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im_Got\Desktop\基金风格\2017Q1\"/>
    </mc:Choice>
  </mc:AlternateContent>
  <bookViews>
    <workbookView xWindow="0" yWindow="0" windowWidth="19365" windowHeight="9810" activeTab="1"/>
  </bookViews>
  <sheets>
    <sheet name="6.2" sheetId="1" r:id="rId1"/>
    <sheet name="3.31" sheetId="2" r:id="rId2"/>
    <sheet name="Sheet3" sheetId="3" r:id="rId3"/>
  </sheets>
  <externalReferences>
    <externalReference r:id="rId4"/>
  </externalReferenc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88" i="2" l="1"/>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487" i="2"/>
  <c r="J463" i="2"/>
  <c r="J464" i="2"/>
  <c r="J465" i="2"/>
  <c r="J466" i="2"/>
  <c r="J467" i="2"/>
  <c r="J468" i="2"/>
  <c r="J469" i="2"/>
  <c r="J470" i="2"/>
  <c r="J471" i="2"/>
  <c r="J472" i="2"/>
  <c r="J473" i="2"/>
  <c r="J474" i="2"/>
  <c r="J475" i="2"/>
  <c r="J476" i="2"/>
  <c r="J477" i="2"/>
  <c r="J478" i="2"/>
  <c r="J479" i="2"/>
  <c r="J480" i="2"/>
  <c r="J481" i="2"/>
  <c r="J482" i="2"/>
  <c r="J483" i="2"/>
  <c r="J484" i="2"/>
  <c r="J485" i="2"/>
  <c r="J486" i="2"/>
  <c r="J462" i="2"/>
  <c r="I463" i="2"/>
  <c r="I464" i="2"/>
  <c r="I465" i="2"/>
  <c r="I466" i="2"/>
  <c r="I467" i="2"/>
  <c r="I468" i="2"/>
  <c r="I469" i="2"/>
  <c r="I470" i="2"/>
  <c r="I471" i="2"/>
  <c r="I472" i="2"/>
  <c r="I473" i="2"/>
  <c r="I474" i="2"/>
  <c r="I475" i="2"/>
  <c r="I476" i="2"/>
  <c r="I477" i="2"/>
  <c r="I478" i="2"/>
  <c r="I479" i="2"/>
  <c r="I480" i="2"/>
  <c r="I481" i="2"/>
  <c r="I482" i="2"/>
  <c r="I483" i="2"/>
  <c r="I484" i="2"/>
  <c r="I485" i="2"/>
  <c r="I486" i="2"/>
  <c r="I462" i="2"/>
  <c r="J441" i="2"/>
  <c r="J442" i="2"/>
  <c r="J443" i="2"/>
  <c r="J444" i="2"/>
  <c r="J445" i="2"/>
  <c r="J446" i="2"/>
  <c r="J447" i="2"/>
  <c r="J448" i="2"/>
  <c r="J449" i="2"/>
  <c r="J450" i="2"/>
  <c r="J451" i="2"/>
  <c r="J452" i="2"/>
  <c r="J453" i="2"/>
  <c r="J454" i="2"/>
  <c r="J455" i="2"/>
  <c r="J456" i="2"/>
  <c r="J457" i="2"/>
  <c r="J458" i="2"/>
  <c r="J459" i="2"/>
  <c r="J460" i="2"/>
  <c r="J461" i="2"/>
  <c r="J440" i="2"/>
  <c r="I441" i="2"/>
  <c r="I442" i="2"/>
  <c r="I443" i="2"/>
  <c r="I444" i="2"/>
  <c r="I445" i="2"/>
  <c r="I446" i="2"/>
  <c r="I447" i="2"/>
  <c r="I448" i="2"/>
  <c r="I449" i="2"/>
  <c r="I450" i="2"/>
  <c r="I451" i="2"/>
  <c r="I452" i="2"/>
  <c r="I453" i="2"/>
  <c r="I454" i="2"/>
  <c r="I455" i="2"/>
  <c r="I456" i="2"/>
  <c r="I457" i="2"/>
  <c r="I458" i="2"/>
  <c r="I459" i="2"/>
  <c r="I460" i="2"/>
  <c r="I461" i="2"/>
  <c r="I440"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439"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13" i="2"/>
  <c r="J12"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439"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13" i="2"/>
  <c r="I12" i="2"/>
  <c r="J3" i="2"/>
  <c r="J4" i="2"/>
  <c r="J5" i="2"/>
  <c r="J6" i="2"/>
  <c r="J7" i="2"/>
  <c r="J8" i="2"/>
  <c r="J9" i="2"/>
  <c r="J10" i="2"/>
  <c r="J11" i="2"/>
  <c r="J2" i="2"/>
  <c r="I3" i="2"/>
  <c r="I4" i="2"/>
  <c r="I5" i="2"/>
  <c r="I6" i="2"/>
  <c r="I7" i="2"/>
  <c r="I8" i="2"/>
  <c r="I9" i="2"/>
  <c r="I10" i="2"/>
  <c r="I11" i="2"/>
  <c r="I2" i="2"/>
  <c r="N967" i="2" l="1"/>
  <c r="N965" i="2"/>
  <c r="N963" i="2"/>
  <c r="N961" i="2"/>
  <c r="N959" i="2"/>
  <c r="N957" i="2"/>
  <c r="N955" i="2"/>
  <c r="N953" i="2"/>
  <c r="N73" i="2"/>
  <c r="N397" i="2"/>
  <c r="N554" i="2"/>
  <c r="N696" i="2"/>
  <c r="N832" i="2"/>
  <c r="N402" i="2"/>
  <c r="N242" i="2"/>
  <c r="N755" i="2"/>
  <c r="N190" i="2"/>
  <c r="N297" i="2"/>
  <c r="N787" i="2"/>
  <c r="N502" i="2"/>
  <c r="N145" i="2"/>
  <c r="N8" i="2"/>
  <c r="N658" i="2"/>
  <c r="N255" i="2"/>
  <c r="N828" i="2"/>
  <c r="N257" i="2"/>
  <c r="N77" i="2"/>
  <c r="N314" i="2"/>
  <c r="N913" i="2"/>
  <c r="N240" i="2"/>
  <c r="N298" i="2"/>
  <c r="N536" i="2"/>
  <c r="N419" i="2"/>
  <c r="N386" i="2"/>
  <c r="N27" i="2"/>
  <c r="N438" i="2"/>
  <c r="N786" i="2"/>
  <c r="N904" i="2"/>
  <c r="N363" i="2"/>
  <c r="N813" i="2"/>
  <c r="N605" i="2"/>
  <c r="N754" i="2"/>
  <c r="N949" i="2"/>
  <c r="N816" i="2"/>
  <c r="N169" i="2"/>
  <c r="N84" i="2"/>
  <c r="N767" i="2"/>
  <c r="N809" i="2"/>
  <c r="N337" i="2"/>
  <c r="N273" i="2"/>
  <c r="N712" i="2"/>
  <c r="N835" i="2"/>
  <c r="N643" i="2"/>
  <c r="N820" i="2"/>
  <c r="N493" i="2"/>
  <c r="N675" i="2"/>
  <c r="N515" i="2"/>
  <c r="N660" i="2"/>
  <c r="N401" i="2"/>
  <c r="N774" i="2"/>
  <c r="N299" i="2"/>
  <c r="N100" i="2"/>
  <c r="N239" i="2"/>
  <c r="N687" i="2"/>
  <c r="N269" i="2"/>
  <c r="N867" i="2"/>
  <c r="N550" i="2"/>
  <c r="N859" i="2"/>
  <c r="N881" i="2"/>
  <c r="N752" i="2"/>
  <c r="N185" i="2"/>
  <c r="N654" i="2"/>
  <c r="N138" i="2"/>
  <c r="O966" i="2"/>
  <c r="O964" i="2"/>
  <c r="O962" i="2"/>
  <c r="O960" i="2"/>
  <c r="O958" i="2"/>
  <c r="O956" i="2"/>
  <c r="O954" i="2"/>
  <c r="O825" i="2"/>
  <c r="O81" i="2"/>
  <c r="O155" i="2"/>
  <c r="O649" i="2"/>
  <c r="O764" i="2"/>
  <c r="O781" i="2"/>
  <c r="O481" i="2"/>
  <c r="O192" i="2"/>
  <c r="O159" i="2"/>
  <c r="O33" i="2"/>
  <c r="O856" i="2"/>
  <c r="O376" i="2"/>
  <c r="O722" i="2"/>
  <c r="O848" i="2"/>
  <c r="O846" i="2"/>
  <c r="O638" i="2"/>
  <c r="O495" i="2"/>
  <c r="O759" i="2"/>
  <c r="O918" i="2"/>
  <c r="O894" i="2"/>
  <c r="O291" i="2"/>
  <c r="O671" i="2"/>
  <c r="O510" i="2"/>
  <c r="O929" i="2"/>
  <c r="O424" i="2"/>
  <c r="O300" i="2"/>
  <c r="O792" i="2"/>
  <c r="O282" i="2"/>
  <c r="O173" i="2"/>
  <c r="O2" i="2"/>
  <c r="O805" i="2"/>
  <c r="O890" i="2"/>
  <c r="O323" i="2"/>
  <c r="O647" i="2"/>
  <c r="O703" i="2"/>
  <c r="O211" i="2"/>
  <c r="O719" i="2"/>
  <c r="O917" i="2"/>
  <c r="O896" i="2"/>
  <c r="O372" i="2"/>
  <c r="O843" i="2"/>
  <c r="O668" i="2"/>
  <c r="O720" i="2"/>
  <c r="O822" i="2"/>
  <c r="O341" i="2"/>
  <c r="O821" i="2"/>
  <c r="O425" i="2"/>
  <c r="O884" i="2"/>
  <c r="O284" i="2"/>
  <c r="O172" i="2"/>
  <c r="O3" i="2"/>
  <c r="O665" i="2"/>
  <c r="O137" i="2"/>
  <c r="O312" i="2"/>
  <c r="O408" i="2"/>
  <c r="O227" i="2"/>
  <c r="O748" i="2"/>
  <c r="O826" i="2"/>
  <c r="O247" i="2"/>
  <c r="O383" i="2"/>
  <c r="O838" i="2"/>
  <c r="O423" i="2"/>
  <c r="O903" i="2"/>
  <c r="O730" i="2"/>
  <c r="O839" i="2"/>
  <c r="O389" i="2"/>
  <c r="O303" i="2"/>
  <c r="O167" i="2"/>
  <c r="O90" i="2"/>
  <c r="O795" i="2"/>
  <c r="O283" i="2"/>
  <c r="O731" i="2"/>
  <c r="O818" i="2"/>
  <c r="O454" i="2"/>
  <c r="O860" i="2"/>
  <c r="O717" i="2"/>
  <c r="O851" i="2"/>
  <c r="O919" i="2"/>
  <c r="O937" i="2"/>
  <c r="O243" i="2"/>
  <c r="O72" i="2"/>
  <c r="O478" i="2"/>
  <c r="O148" i="2"/>
  <c r="O669" i="2"/>
  <c r="O824" i="2"/>
  <c r="O486" i="2"/>
  <c r="O180" i="2"/>
  <c r="O713" i="2"/>
  <c r="O65" i="2"/>
  <c r="O458" i="2"/>
  <c r="O149" i="2"/>
  <c r="O831" i="2"/>
  <c r="O212" i="2"/>
  <c r="O371" i="2"/>
  <c r="O512" i="2"/>
  <c r="O378" i="2"/>
  <c r="O254" i="2"/>
  <c r="O746" i="2"/>
  <c r="O921" i="2"/>
  <c r="O171" i="2"/>
  <c r="O216" i="2"/>
  <c r="O739" i="2"/>
  <c r="O948" i="2"/>
  <c r="O357" i="2"/>
  <c r="O309" i="2"/>
  <c r="O289" i="2"/>
  <c r="O346" i="2"/>
  <c r="O292" i="2"/>
  <c r="O370" i="2"/>
  <c r="O431" i="2"/>
  <c r="O886" i="2"/>
  <c r="O586" i="2"/>
  <c r="O697" i="2"/>
  <c r="O373" i="2"/>
  <c r="O883" i="2"/>
  <c r="O441" i="2"/>
  <c r="O878" i="2"/>
  <c r="O55" i="2"/>
  <c r="O451" i="2"/>
  <c r="O830" i="2"/>
  <c r="N966" i="2"/>
  <c r="N964" i="2"/>
  <c r="N962" i="2"/>
  <c r="N960" i="2"/>
  <c r="N958" i="2"/>
  <c r="N956" i="2"/>
  <c r="N954" i="2"/>
  <c r="N825" i="2"/>
  <c r="N81" i="2"/>
  <c r="N155" i="2"/>
  <c r="N649" i="2"/>
  <c r="N764" i="2"/>
  <c r="N781" i="2"/>
  <c r="N481" i="2"/>
  <c r="N192" i="2"/>
  <c r="N159" i="2"/>
  <c r="N33" i="2"/>
  <c r="N856" i="2"/>
  <c r="N376" i="2"/>
  <c r="N722" i="2"/>
  <c r="N848" i="2"/>
  <c r="N846" i="2"/>
  <c r="N638" i="2"/>
  <c r="N495" i="2"/>
  <c r="N759" i="2"/>
  <c r="N918" i="2"/>
  <c r="N894" i="2"/>
  <c r="N291" i="2"/>
  <c r="N671" i="2"/>
  <c r="N510" i="2"/>
  <c r="N929" i="2"/>
  <c r="N424" i="2"/>
  <c r="N300" i="2"/>
  <c r="N792" i="2"/>
  <c r="N282" i="2"/>
  <c r="N173" i="2"/>
  <c r="N2" i="2"/>
  <c r="N805" i="2"/>
  <c r="N890" i="2"/>
  <c r="N323" i="2"/>
  <c r="N647" i="2"/>
  <c r="N703" i="2"/>
  <c r="N211" i="2"/>
  <c r="N719" i="2"/>
  <c r="N917" i="2"/>
  <c r="N896" i="2"/>
  <c r="N372" i="2"/>
  <c r="N843" i="2"/>
  <c r="N668" i="2"/>
  <c r="N720" i="2"/>
  <c r="N822" i="2"/>
  <c r="N341" i="2"/>
  <c r="N821" i="2"/>
  <c r="N425" i="2"/>
  <c r="N884" i="2"/>
  <c r="N284" i="2"/>
  <c r="N172" i="2"/>
  <c r="N3" i="2"/>
  <c r="N665" i="2"/>
  <c r="N137" i="2"/>
  <c r="N312" i="2"/>
  <c r="N408" i="2"/>
  <c r="N227" i="2"/>
  <c r="N748" i="2"/>
  <c r="N826" i="2"/>
  <c r="N247" i="2"/>
  <c r="N383" i="2"/>
  <c r="N838" i="2"/>
  <c r="N423" i="2"/>
  <c r="N903" i="2"/>
  <c r="N730" i="2"/>
  <c r="N839" i="2"/>
  <c r="N389" i="2"/>
  <c r="N303" i="2"/>
  <c r="N167" i="2"/>
  <c r="N90" i="2"/>
  <c r="N795" i="2"/>
  <c r="N283" i="2"/>
  <c r="N731" i="2"/>
  <c r="N818" i="2"/>
  <c r="N454" i="2"/>
  <c r="N860" i="2"/>
  <c r="N717" i="2"/>
  <c r="N851" i="2"/>
  <c r="O967" i="2"/>
  <c r="O959" i="2"/>
  <c r="O73" i="2"/>
  <c r="O832" i="2"/>
  <c r="O190" i="2"/>
  <c r="O145" i="2"/>
  <c r="O828" i="2"/>
  <c r="O913" i="2"/>
  <c r="O419" i="2"/>
  <c r="O786" i="2"/>
  <c r="O605" i="2"/>
  <c r="O169" i="2"/>
  <c r="O337" i="2"/>
  <c r="O643" i="2"/>
  <c r="O515" i="2"/>
  <c r="O299" i="2"/>
  <c r="O269" i="2"/>
  <c r="O881" i="2"/>
  <c r="O138" i="2"/>
  <c r="N205" i="2"/>
  <c r="N841" i="2"/>
  <c r="N751" i="2"/>
  <c r="N305" i="2"/>
  <c r="N641" i="2"/>
  <c r="N885" i="2"/>
  <c r="N937" i="2"/>
  <c r="O232" i="2"/>
  <c r="N784" i="2"/>
  <c r="N148" i="2"/>
  <c r="O707" i="2"/>
  <c r="N400" i="2"/>
  <c r="N180" i="2"/>
  <c r="O852" i="2"/>
  <c r="N855" i="2"/>
  <c r="N149" i="2"/>
  <c r="O547" i="2"/>
  <c r="N487" i="2"/>
  <c r="N512" i="2"/>
  <c r="O811" i="2"/>
  <c r="N331" i="2"/>
  <c r="N921" i="2"/>
  <c r="O132" i="2"/>
  <c r="N653" i="2"/>
  <c r="N948" i="2"/>
  <c r="O624" i="2"/>
  <c r="N279" i="2"/>
  <c r="N346" i="2"/>
  <c r="O220" i="2"/>
  <c r="N888" i="2"/>
  <c r="N886" i="2"/>
  <c r="O128" i="2"/>
  <c r="N488" i="2"/>
  <c r="N883" i="2"/>
  <c r="O381" i="2"/>
  <c r="N124" i="2"/>
  <c r="N451" i="2"/>
  <c r="O95" i="2"/>
  <c r="O56" i="2"/>
  <c r="O849" i="2"/>
  <c r="O177" i="2"/>
  <c r="O217" i="2"/>
  <c r="O286" i="2"/>
  <c r="O160" i="2"/>
  <c r="O329" i="2"/>
  <c r="O223" i="2"/>
  <c r="O858" i="2"/>
  <c r="O37" i="2"/>
  <c r="O355" i="2"/>
  <c r="O366" i="2"/>
  <c r="O131" i="2"/>
  <c r="O604" i="2"/>
  <c r="O105" i="2"/>
  <c r="O187" i="2"/>
  <c r="O636" i="2"/>
  <c r="O799" i="2"/>
  <c r="O728" i="2"/>
  <c r="O260" i="2"/>
  <c r="O276" i="2"/>
  <c r="O775" i="2"/>
  <c r="O548" i="2"/>
  <c r="O909" i="2"/>
  <c r="O318" i="2"/>
  <c r="O625" i="2"/>
  <c r="O248" i="2"/>
  <c r="O164" i="2"/>
  <c r="O762" i="2"/>
  <c r="O947" i="2"/>
  <c r="O747" i="2"/>
  <c r="O879" i="2"/>
  <c r="O157" i="2"/>
  <c r="O484" i="2"/>
  <c r="O156" i="2"/>
  <c r="O208" i="2"/>
  <c r="O551" i="2"/>
  <c r="O726" i="2"/>
  <c r="O771" i="2"/>
  <c r="O723" i="2"/>
  <c r="O20" i="2"/>
  <c r="O655" i="2"/>
  <c r="O123" i="2"/>
  <c r="O63" i="2"/>
  <c r="O844" i="2"/>
  <c r="O691" i="2"/>
  <c r="O114" i="2"/>
  <c r="O5" i="2"/>
  <c r="O189" i="2"/>
  <c r="O221" i="2"/>
  <c r="O139" i="2"/>
  <c r="O908" i="2"/>
  <c r="O499" i="2"/>
  <c r="O496" i="2"/>
  <c r="O22" i="2"/>
  <c r="O724" i="2"/>
  <c r="O420" i="2"/>
  <c r="O523" i="2"/>
  <c r="O742" i="2"/>
  <c r="O224" i="2"/>
  <c r="O657" i="2"/>
  <c r="O117" i="2"/>
  <c r="O175" i="2"/>
  <c r="O294" i="2"/>
  <c r="O575" i="2"/>
  <c r="O109" i="2"/>
  <c r="O965" i="2"/>
  <c r="O957" i="2"/>
  <c r="O397" i="2"/>
  <c r="O402" i="2"/>
  <c r="O297" i="2"/>
  <c r="O8" i="2"/>
  <c r="O257" i="2"/>
  <c r="O240" i="2"/>
  <c r="O386" i="2"/>
  <c r="O904" i="2"/>
  <c r="O754" i="2"/>
  <c r="O84" i="2"/>
  <c r="O273" i="2"/>
  <c r="O820" i="2"/>
  <c r="O660" i="2"/>
  <c r="O100" i="2"/>
  <c r="O867" i="2"/>
  <c r="O752" i="2"/>
  <c r="O340" i="2"/>
  <c r="O745" i="2"/>
  <c r="O411" i="2"/>
  <c r="O111" i="2"/>
  <c r="O761" i="2"/>
  <c r="O865" i="2"/>
  <c r="N919" i="2"/>
  <c r="O737" i="2"/>
  <c r="N232" i="2"/>
  <c r="N478" i="2"/>
  <c r="O667" i="2"/>
  <c r="N707" i="2"/>
  <c r="N486" i="2"/>
  <c r="O281" i="2"/>
  <c r="N852" i="2"/>
  <c r="N458" i="2"/>
  <c r="O21" i="2"/>
  <c r="N547" i="2"/>
  <c r="N371" i="2"/>
  <c r="O102" i="2"/>
  <c r="N811" i="2"/>
  <c r="N746" i="2"/>
  <c r="O938" i="2"/>
  <c r="N132" i="2"/>
  <c r="N739" i="2"/>
  <c r="O19" i="2"/>
  <c r="N624" i="2"/>
  <c r="N289" i="2"/>
  <c r="O814" i="2"/>
  <c r="N220" i="2"/>
  <c r="N431" i="2"/>
  <c r="O304" i="2"/>
  <c r="N128" i="2"/>
  <c r="N373" i="2"/>
  <c r="O681" i="2"/>
  <c r="N381" i="2"/>
  <c r="N55" i="2"/>
  <c r="O144" i="2"/>
  <c r="N95" i="2"/>
  <c r="N56" i="2"/>
  <c r="N849" i="2"/>
  <c r="N177" i="2"/>
  <c r="N217" i="2"/>
  <c r="N286" i="2"/>
  <c r="N160" i="2"/>
  <c r="N329" i="2"/>
  <c r="N223" i="2"/>
  <c r="N858" i="2"/>
  <c r="N37" i="2"/>
  <c r="N355" i="2"/>
  <c r="N366" i="2"/>
  <c r="N131" i="2"/>
  <c r="N604" i="2"/>
  <c r="N105" i="2"/>
  <c r="N187" i="2"/>
  <c r="N636" i="2"/>
  <c r="N799" i="2"/>
  <c r="N728" i="2"/>
  <c r="N260" i="2"/>
  <c r="N276" i="2"/>
  <c r="N775" i="2"/>
  <c r="N548" i="2"/>
  <c r="N909" i="2"/>
  <c r="N318" i="2"/>
  <c r="N625" i="2"/>
  <c r="N248" i="2"/>
  <c r="N164" i="2"/>
  <c r="N762" i="2"/>
  <c r="N947" i="2"/>
  <c r="N747" i="2"/>
  <c r="N879" i="2"/>
  <c r="N157" i="2"/>
  <c r="N484" i="2"/>
  <c r="N156" i="2"/>
  <c r="N208" i="2"/>
  <c r="N551" i="2"/>
  <c r="N726" i="2"/>
  <c r="N771" i="2"/>
  <c r="N723" i="2"/>
  <c r="N20" i="2"/>
  <c r="N655" i="2"/>
  <c r="N123" i="2"/>
  <c r="N63" i="2"/>
  <c r="N844" i="2"/>
  <c r="N691" i="2"/>
  <c r="N114" i="2"/>
  <c r="N5" i="2"/>
  <c r="N189" i="2"/>
  <c r="N221" i="2"/>
  <c r="N139" i="2"/>
  <c r="N908" i="2"/>
  <c r="N499" i="2"/>
  <c r="N496" i="2"/>
  <c r="N22" i="2"/>
  <c r="N724" i="2"/>
  <c r="N420" i="2"/>
  <c r="N523" i="2"/>
  <c r="N742" i="2"/>
  <c r="N224" i="2"/>
  <c r="N657" i="2"/>
  <c r="N117" i="2"/>
  <c r="N175" i="2"/>
  <c r="N294" i="2"/>
  <c r="N575" i="2"/>
  <c r="N109" i="2"/>
  <c r="N201" i="2"/>
  <c r="N61" i="2"/>
  <c r="N866" i="2"/>
  <c r="N823" i="2"/>
  <c r="O963" i="2"/>
  <c r="O955" i="2"/>
  <c r="O554" i="2"/>
  <c r="O242" i="2"/>
  <c r="O787" i="2"/>
  <c r="O658" i="2"/>
  <c r="O77" i="2"/>
  <c r="O298" i="2"/>
  <c r="O27" i="2"/>
  <c r="O363" i="2"/>
  <c r="O949" i="2"/>
  <c r="O767" i="2"/>
  <c r="O712" i="2"/>
  <c r="O493" i="2"/>
  <c r="O401" i="2"/>
  <c r="O239" i="2"/>
  <c r="O550" i="2"/>
  <c r="O185" i="2"/>
  <c r="N340" i="2"/>
  <c r="N745" i="2"/>
  <c r="N411" i="2"/>
  <c r="N111" i="2"/>
  <c r="N761" i="2"/>
  <c r="N865" i="2"/>
  <c r="O714" i="2"/>
  <c r="N737" i="2"/>
  <c r="N72" i="2"/>
  <c r="O182" i="2"/>
  <c r="N667" i="2"/>
  <c r="N824" i="2"/>
  <c r="O927" i="2"/>
  <c r="N281" i="2"/>
  <c r="N65" i="2"/>
  <c r="O53" i="2"/>
  <c r="N21" i="2"/>
  <c r="N212" i="2"/>
  <c r="O44" i="2"/>
  <c r="N102" i="2"/>
  <c r="N254" i="2"/>
  <c r="O122" i="2"/>
  <c r="N938" i="2"/>
  <c r="N216" i="2"/>
  <c r="O412" i="2"/>
  <c r="N19" i="2"/>
  <c r="N309" i="2"/>
  <c r="O465" i="2"/>
  <c r="N814" i="2"/>
  <c r="N370" i="2"/>
  <c r="O245" i="2"/>
  <c r="N304" i="2"/>
  <c r="N697" i="2"/>
  <c r="O345" i="2"/>
  <c r="N681" i="2"/>
  <c r="N878" i="2"/>
  <c r="O272" i="2"/>
  <c r="N144" i="2"/>
  <c r="O509" i="2"/>
  <c r="O939" i="2"/>
  <c r="O592" i="2"/>
  <c r="O26" i="2"/>
  <c r="O186" i="2"/>
  <c r="O261" i="2"/>
  <c r="O405" i="2"/>
  <c r="O290" i="2"/>
  <c r="O112" i="2"/>
  <c r="O907" i="2"/>
  <c r="O267" i="2"/>
  <c r="O176" i="2"/>
  <c r="O827" i="2"/>
  <c r="O151" i="2"/>
  <c r="O797" i="2"/>
  <c r="O920" i="2"/>
  <c r="O580" i="2"/>
  <c r="O225" i="2"/>
  <c r="O234" i="2"/>
  <c r="O317" i="2"/>
  <c r="O275" i="2"/>
  <c r="O569" i="2"/>
  <c r="O295" i="2"/>
  <c r="O76" i="2"/>
  <c r="O71" i="2"/>
  <c r="O110" i="2"/>
  <c r="O711" i="2"/>
  <c r="O689" i="2"/>
  <c r="O278" i="2"/>
  <c r="O829" i="2"/>
  <c r="O94" i="2"/>
  <c r="O325" i="2"/>
  <c r="O532" i="2"/>
  <c r="O262" i="2"/>
  <c r="O639" i="2"/>
  <c r="O574" i="2"/>
  <c r="O555" i="2"/>
  <c r="O92" i="2"/>
  <c r="O133" i="2"/>
  <c r="O351" i="2"/>
  <c r="O700" i="2"/>
  <c r="O99" i="2"/>
  <c r="O311" i="2"/>
  <c r="O315" i="2"/>
  <c r="O358" i="2"/>
  <c r="O695" i="2"/>
  <c r="O339" i="2"/>
  <c r="O75" i="2"/>
  <c r="O82" i="2"/>
  <c r="O612" i="2"/>
  <c r="O870" i="2"/>
  <c r="O332" i="2"/>
  <c r="O241" i="2"/>
  <c r="O911" i="2"/>
  <c r="O306" i="2"/>
  <c r="O930" i="2"/>
  <c r="O808" i="2"/>
  <c r="O364" i="2"/>
  <c r="O210" i="2"/>
  <c r="O882" i="2"/>
  <c r="O414" i="2"/>
  <c r="O840" i="2"/>
  <c r="O648" i="2"/>
  <c r="O914" i="2"/>
  <c r="O147" i="2"/>
  <c r="O296" i="2"/>
  <c r="O765" i="2"/>
  <c r="O600" i="2"/>
  <c r="O59" i="2"/>
  <c r="O796" i="2"/>
  <c r="O961" i="2"/>
  <c r="O502" i="2"/>
  <c r="O438" i="2"/>
  <c r="O835" i="2"/>
  <c r="O859" i="2"/>
  <c r="O751" i="2"/>
  <c r="N714" i="2"/>
  <c r="N669" i="2"/>
  <c r="O855" i="2"/>
  <c r="N44" i="2"/>
  <c r="N171" i="2"/>
  <c r="O279" i="2"/>
  <c r="N245" i="2"/>
  <c r="N441" i="2"/>
  <c r="N509" i="2"/>
  <c r="N186" i="2"/>
  <c r="N112" i="2"/>
  <c r="N827" i="2"/>
  <c r="N580" i="2"/>
  <c r="N275" i="2"/>
  <c r="N71" i="2"/>
  <c r="N278" i="2"/>
  <c r="N532" i="2"/>
  <c r="N555" i="2"/>
  <c r="N700" i="2"/>
  <c r="N358" i="2"/>
  <c r="N82" i="2"/>
  <c r="N241" i="2"/>
  <c r="N808" i="2"/>
  <c r="N414" i="2"/>
  <c r="N147" i="2"/>
  <c r="N600" i="2"/>
  <c r="N796" i="2"/>
  <c r="O141" i="2"/>
  <c r="O103" i="2"/>
  <c r="O902" i="2"/>
  <c r="O222" i="2"/>
  <c r="O206" i="2"/>
  <c r="O34" i="2"/>
  <c r="O520" i="2"/>
  <c r="O645" i="2"/>
  <c r="O864" i="2"/>
  <c r="O108" i="2"/>
  <c r="O23" i="2"/>
  <c r="O477" i="2"/>
  <c r="O901" i="2"/>
  <c r="O348" i="2"/>
  <c r="O143" i="2"/>
  <c r="O573" i="2"/>
  <c r="O265" i="2"/>
  <c r="O656" i="2"/>
  <c r="O729" i="2"/>
  <c r="O803" i="2"/>
  <c r="O29" i="2"/>
  <c r="O606" i="2"/>
  <c r="O64" i="2"/>
  <c r="O391" i="2"/>
  <c r="O199" i="2"/>
  <c r="O263" i="2"/>
  <c r="O613" i="2"/>
  <c r="O572" i="2"/>
  <c r="O78" i="2"/>
  <c r="O83" i="2"/>
  <c r="O328" i="2"/>
  <c r="O32" i="2"/>
  <c r="O685" i="2"/>
  <c r="O385" i="2"/>
  <c r="O457" i="2"/>
  <c r="O184" i="2"/>
  <c r="O673" i="2"/>
  <c r="O204" i="2"/>
  <c r="O582" i="2"/>
  <c r="O233" i="2"/>
  <c r="O439" i="2"/>
  <c r="O406" i="2"/>
  <c r="O302" i="2"/>
  <c r="O923" i="2"/>
  <c r="O196" i="2"/>
  <c r="O539" i="2"/>
  <c r="O642" i="2"/>
  <c r="O670" i="2"/>
  <c r="O35" i="2"/>
  <c r="O218" i="2"/>
  <c r="O183" i="2"/>
  <c r="O791" i="2"/>
  <c r="O350" i="2"/>
  <c r="O140" i="2"/>
  <c r="O97" i="2"/>
  <c r="O895" i="2"/>
  <c r="O863" i="2"/>
  <c r="O310" i="2"/>
  <c r="O379" i="2"/>
  <c r="O324" i="2"/>
  <c r="O142" i="2"/>
  <c r="O480" i="2"/>
  <c r="O321" i="2"/>
  <c r="O86" i="2"/>
  <c r="O925" i="2"/>
  <c r="O924" i="2"/>
  <c r="O595" i="2"/>
  <c r="O174" i="2"/>
  <c r="O596" i="2"/>
  <c r="O198" i="2"/>
  <c r="O485" i="2"/>
  <c r="O333" i="2"/>
  <c r="O375" i="2"/>
  <c r="O943" i="2"/>
  <c r="O308" i="2"/>
  <c r="O777" i="2"/>
  <c r="O130" i="2"/>
  <c r="O518" i="2"/>
  <c r="O469" i="2"/>
  <c r="O701" i="2"/>
  <c r="O266" i="2"/>
  <c r="O327" i="2"/>
  <c r="O429" i="2"/>
  <c r="O162" i="2"/>
  <c r="O301" i="2"/>
  <c r="O801" i="2"/>
  <c r="O479" i="2"/>
  <c r="O380" i="2"/>
  <c r="O228" i="2"/>
  <c r="O58" i="2"/>
  <c r="O455" i="2"/>
  <c r="O36" i="2"/>
  <c r="O603" i="2"/>
  <c r="O188" i="2"/>
  <c r="O953" i="2"/>
  <c r="O255" i="2"/>
  <c r="O813" i="2"/>
  <c r="O675" i="2"/>
  <c r="O654" i="2"/>
  <c r="O305" i="2"/>
  <c r="N243" i="2"/>
  <c r="O400" i="2"/>
  <c r="N53" i="2"/>
  <c r="N378" i="2"/>
  <c r="O653" i="2"/>
  <c r="N465" i="2"/>
  <c r="N586" i="2"/>
  <c r="O124" i="2"/>
  <c r="N939" i="2"/>
  <c r="N261" i="2"/>
  <c r="N907" i="2"/>
  <c r="N151" i="2"/>
  <c r="N225" i="2"/>
  <c r="N569" i="2"/>
  <c r="N110" i="2"/>
  <c r="N829" i="2"/>
  <c r="N262" i="2"/>
  <c r="N92" i="2"/>
  <c r="N99" i="2"/>
  <c r="N695" i="2"/>
  <c r="N612" i="2"/>
  <c r="N911" i="2"/>
  <c r="N364" i="2"/>
  <c r="N840" i="2"/>
  <c r="N296" i="2"/>
  <c r="O61" i="2"/>
  <c r="O823" i="2"/>
  <c r="N141" i="2"/>
  <c r="N103" i="2"/>
  <c r="N902" i="2"/>
  <c r="N222" i="2"/>
  <c r="N206" i="2"/>
  <c r="N34" i="2"/>
  <c r="N520" i="2"/>
  <c r="N645" i="2"/>
  <c r="N864" i="2"/>
  <c r="N108" i="2"/>
  <c r="N23" i="2"/>
  <c r="N477" i="2"/>
  <c r="N901" i="2"/>
  <c r="N348" i="2"/>
  <c r="N143" i="2"/>
  <c r="N573" i="2"/>
  <c r="N265" i="2"/>
  <c r="N656" i="2"/>
  <c r="N729" i="2"/>
  <c r="N803" i="2"/>
  <c r="N29" i="2"/>
  <c r="N606" i="2"/>
  <c r="N64" i="2"/>
  <c r="N391" i="2"/>
  <c r="N199" i="2"/>
  <c r="N263" i="2"/>
  <c r="N613" i="2"/>
  <c r="N572" i="2"/>
  <c r="N78" i="2"/>
  <c r="N83" i="2"/>
  <c r="N328" i="2"/>
  <c r="N32" i="2"/>
  <c r="N685" i="2"/>
  <c r="N385" i="2"/>
  <c r="N457" i="2"/>
  <c r="N184" i="2"/>
  <c r="N673" i="2"/>
  <c r="N204" i="2"/>
  <c r="N582" i="2"/>
  <c r="N233" i="2"/>
  <c r="N439" i="2"/>
  <c r="N406" i="2"/>
  <c r="N302" i="2"/>
  <c r="N923" i="2"/>
  <c r="N196" i="2"/>
  <c r="N539" i="2"/>
  <c r="N642" i="2"/>
  <c r="N670" i="2"/>
  <c r="N35" i="2"/>
  <c r="N218" i="2"/>
  <c r="N183" i="2"/>
  <c r="N791" i="2"/>
  <c r="N350" i="2"/>
  <c r="N140" i="2"/>
  <c r="N97" i="2"/>
  <c r="N895" i="2"/>
  <c r="N863" i="2"/>
  <c r="N310" i="2"/>
  <c r="N379" i="2"/>
  <c r="N324" i="2"/>
  <c r="N142" i="2"/>
  <c r="N480" i="2"/>
  <c r="N321" i="2"/>
  <c r="N86" i="2"/>
  <c r="N925" i="2"/>
  <c r="N924" i="2"/>
  <c r="N595" i="2"/>
  <c r="N174" i="2"/>
  <c r="N596" i="2"/>
  <c r="N198" i="2"/>
  <c r="N485" i="2"/>
  <c r="N333" i="2"/>
  <c r="N375" i="2"/>
  <c r="N943" i="2"/>
  <c r="N308" i="2"/>
  <c r="N777" i="2"/>
  <c r="N130" i="2"/>
  <c r="N518" i="2"/>
  <c r="N469" i="2"/>
  <c r="N701" i="2"/>
  <c r="N266" i="2"/>
  <c r="N327" i="2"/>
  <c r="N429" i="2"/>
  <c r="N162" i="2"/>
  <c r="N301" i="2"/>
  <c r="N801" i="2"/>
  <c r="N479" i="2"/>
  <c r="N380" i="2"/>
  <c r="N228" i="2"/>
  <c r="N58" i="2"/>
  <c r="N455" i="2"/>
  <c r="N36" i="2"/>
  <c r="O696" i="2"/>
  <c r="O314" i="2"/>
  <c r="O816" i="2"/>
  <c r="O774" i="2"/>
  <c r="O205" i="2"/>
  <c r="O641" i="2"/>
  <c r="O784" i="2"/>
  <c r="N927" i="2"/>
  <c r="N831" i="2"/>
  <c r="O331" i="2"/>
  <c r="N412" i="2"/>
  <c r="N292" i="2"/>
  <c r="O488" i="2"/>
  <c r="N272" i="2"/>
  <c r="N592" i="2"/>
  <c r="N405" i="2"/>
  <c r="N267" i="2"/>
  <c r="N797" i="2"/>
  <c r="N234" i="2"/>
  <c r="N295" i="2"/>
  <c r="N711" i="2"/>
  <c r="N94" i="2"/>
  <c r="N639" i="2"/>
  <c r="N133" i="2"/>
  <c r="N311" i="2"/>
  <c r="N339" i="2"/>
  <c r="N870" i="2"/>
  <c r="N306" i="2"/>
  <c r="N210" i="2"/>
  <c r="N648" i="2"/>
  <c r="N765" i="2"/>
  <c r="N59" i="2"/>
  <c r="O47" i="2"/>
  <c r="O16" i="2"/>
  <c r="O804" i="2"/>
  <c r="O435" i="2"/>
  <c r="O932" i="2"/>
  <c r="O445" i="2"/>
  <c r="O181" i="2"/>
  <c r="O80" i="2"/>
  <c r="O54" i="2"/>
  <c r="O601" i="2"/>
  <c r="O396" i="2"/>
  <c r="O178" i="2"/>
  <c r="O41" i="2"/>
  <c r="O437" i="2"/>
  <c r="O258" i="2"/>
  <c r="O285" i="2"/>
  <c r="O238" i="2"/>
  <c r="O459" i="2"/>
  <c r="O585" i="2"/>
  <c r="O756" i="2"/>
  <c r="O18" i="2"/>
  <c r="O356" i="2"/>
  <c r="O736" i="2"/>
  <c r="O946" i="2"/>
  <c r="O876" i="2"/>
  <c r="O193" i="2"/>
  <c r="O544" i="2"/>
  <c r="O776" i="2"/>
  <c r="O802" i="2"/>
  <c r="O690" i="2"/>
  <c r="O316" i="2"/>
  <c r="O154" i="2"/>
  <c r="O320" i="2"/>
  <c r="O334" i="2"/>
  <c r="O945" i="2"/>
  <c r="O200" i="2"/>
  <c r="O452" i="2"/>
  <c r="O353" i="2"/>
  <c r="O40" i="2"/>
  <c r="O944" i="2"/>
  <c r="O702" i="2"/>
  <c r="O629" i="2"/>
  <c r="O534" i="2"/>
  <c r="O698" i="2"/>
  <c r="O349" i="2"/>
  <c r="O136" i="2"/>
  <c r="O113" i="2"/>
  <c r="O135" i="2"/>
  <c r="O773" i="2"/>
  <c r="O906" i="2"/>
  <c r="O368" i="2"/>
  <c r="O571" i="2"/>
  <c r="O779" i="2"/>
  <c r="O168" i="2"/>
  <c r="O249" i="2"/>
  <c r="O473" i="2"/>
  <c r="O253" i="2"/>
  <c r="O602" i="2"/>
  <c r="O215" i="2"/>
  <c r="O778" i="2"/>
  <c r="O219" i="2"/>
  <c r="O207" i="2"/>
  <c r="O42" i="2"/>
  <c r="O663" i="2"/>
  <c r="O197" i="2"/>
  <c r="O387" i="2"/>
  <c r="O587" i="2"/>
  <c r="O869" i="2"/>
  <c r="O395" i="2"/>
  <c r="O126" i="2"/>
  <c r="O407" i="2"/>
  <c r="O251" i="2"/>
  <c r="O768" i="2"/>
  <c r="O191" i="2"/>
  <c r="O892" i="2"/>
  <c r="O598" i="2"/>
  <c r="O271" i="2"/>
  <c r="O492" i="2"/>
  <c r="O382" i="2"/>
  <c r="O504" i="2"/>
  <c r="O409" i="2"/>
  <c r="O237" i="2"/>
  <c r="O413" i="2"/>
  <c r="O374" i="2"/>
  <c r="O343" i="2"/>
  <c r="O560" i="2"/>
  <c r="O448" i="2"/>
  <c r="O367" i="2"/>
  <c r="O432" i="2"/>
  <c r="O887" i="2"/>
  <c r="O360" i="2"/>
  <c r="O942" i="2"/>
  <c r="O427" i="2"/>
  <c r="O342" i="2"/>
  <c r="O443" i="2"/>
  <c r="O503" i="2"/>
  <c r="O369" i="2"/>
  <c r="O322" i="2"/>
  <c r="O933" i="2"/>
  <c r="O693" i="2"/>
  <c r="O150" i="2"/>
  <c r="O388" i="2"/>
  <c r="O287" i="2"/>
  <c r="O347" i="2"/>
  <c r="O872" i="2"/>
  <c r="O116" i="2"/>
  <c r="O674" i="2"/>
  <c r="O415" i="2"/>
  <c r="O359" i="2"/>
  <c r="O338" i="2"/>
  <c r="O365" i="2"/>
  <c r="O608" i="2"/>
  <c r="O399" i="2"/>
  <c r="O417" i="2"/>
  <c r="O442" i="2"/>
  <c r="O898" i="2"/>
  <c r="O460" i="2"/>
  <c r="O361" i="2"/>
  <c r="O236" i="2"/>
  <c r="O476" i="2"/>
  <c r="O354" i="2"/>
  <c r="O537" i="2"/>
  <c r="O793" i="2"/>
  <c r="O934" i="2"/>
  <c r="O428" i="2"/>
  <c r="O755" i="2"/>
  <c r="O841" i="2"/>
  <c r="O487" i="2"/>
  <c r="N345" i="2"/>
  <c r="N176" i="2"/>
  <c r="N689" i="2"/>
  <c r="N315" i="2"/>
  <c r="N882" i="2"/>
  <c r="N47" i="2"/>
  <c r="N932" i="2"/>
  <c r="N54" i="2"/>
  <c r="N41" i="2"/>
  <c r="N238" i="2"/>
  <c r="N18" i="2"/>
  <c r="N876" i="2"/>
  <c r="N802" i="2"/>
  <c r="N320" i="2"/>
  <c r="N452" i="2"/>
  <c r="N702" i="2"/>
  <c r="N349" i="2"/>
  <c r="N773" i="2"/>
  <c r="N779" i="2"/>
  <c r="N253" i="2"/>
  <c r="N219" i="2"/>
  <c r="N197" i="2"/>
  <c r="N395" i="2"/>
  <c r="N768" i="2"/>
  <c r="N271" i="2"/>
  <c r="N409" i="2"/>
  <c r="N343" i="2"/>
  <c r="N432" i="2"/>
  <c r="N427" i="2"/>
  <c r="N443" i="2"/>
  <c r="O500" i="2"/>
  <c r="N757" i="2"/>
  <c r="N933" i="2"/>
  <c r="O398" i="2"/>
  <c r="N861" i="2"/>
  <c r="N287" i="2"/>
  <c r="O330" i="2"/>
  <c r="N842" i="2"/>
  <c r="N674" i="2"/>
  <c r="O259" i="2"/>
  <c r="N433" i="2"/>
  <c r="N365" i="2"/>
  <c r="O434" i="2"/>
  <c r="N931" i="2"/>
  <c r="N442" i="2"/>
  <c r="O152" i="2"/>
  <c r="N11" i="2"/>
  <c r="N236" i="2"/>
  <c r="O471" i="2"/>
  <c r="N394" i="2"/>
  <c r="N793" i="2"/>
  <c r="O430" i="2"/>
  <c r="N637" i="2"/>
  <c r="N936" i="2"/>
  <c r="N483" i="2"/>
  <c r="N769" i="2"/>
  <c r="N293" i="2"/>
  <c r="N404" i="2"/>
  <c r="N392" i="2"/>
  <c r="N410" i="2"/>
  <c r="N268" i="2"/>
  <c r="N578" i="2"/>
  <c r="N683" i="2"/>
  <c r="N416" i="2"/>
  <c r="N118" i="2"/>
  <c r="N274" i="2"/>
  <c r="N789" i="2"/>
  <c r="N893" i="2"/>
  <c r="N362" i="2"/>
  <c r="N563" i="2"/>
  <c r="N475" i="2"/>
  <c r="N874" i="2"/>
  <c r="N91" i="2"/>
  <c r="N384" i="2"/>
  <c r="N213" i="2"/>
  <c r="N202" i="2"/>
  <c r="N256" i="2"/>
  <c r="N738" i="2"/>
  <c r="N741" i="2"/>
  <c r="N812" i="2"/>
  <c r="N633" i="2"/>
  <c r="N158" i="2"/>
  <c r="N833" i="2"/>
  <c r="N7" i="2"/>
  <c r="N926" i="2"/>
  <c r="N66" i="2"/>
  <c r="N899" i="2"/>
  <c r="N546" i="2"/>
  <c r="N104" i="2"/>
  <c r="N45" i="2"/>
  <c r="N709" i="2"/>
  <c r="N941" i="2"/>
  <c r="N79" i="2"/>
  <c r="N48" i="2"/>
  <c r="N672" i="2"/>
  <c r="N87" i="2"/>
  <c r="N134" i="2"/>
  <c r="N39" i="2"/>
  <c r="N940" i="2"/>
  <c r="N704" i="2"/>
  <c r="N393" i="2"/>
  <c r="N588" i="2"/>
  <c r="N456" i="2"/>
  <c r="N564" i="2"/>
  <c r="N622" i="2"/>
  <c r="N489" i="2"/>
  <c r="N52" i="2"/>
  <c r="N10" i="2"/>
  <c r="N552" i="2"/>
  <c r="N501" i="2"/>
  <c r="N93" i="2"/>
  <c r="N497" i="2"/>
  <c r="N531" i="2"/>
  <c r="N734" i="2"/>
  <c r="N170" i="2"/>
  <c r="N9" i="2"/>
  <c r="N628" i="2"/>
  <c r="N718" i="2"/>
  <c r="N597" i="2"/>
  <c r="N446" i="2"/>
  <c r="N277" i="2"/>
  <c r="N889" i="2"/>
  <c r="N591" i="2"/>
  <c r="N594" i="2"/>
  <c r="N31" i="2"/>
  <c r="N166" i="2"/>
  <c r="N121" i="2"/>
  <c r="N623" i="2"/>
  <c r="N715" i="2"/>
  <c r="N440" i="2"/>
  <c r="N541" i="2"/>
  <c r="N203" i="2"/>
  <c r="N17" i="2"/>
  <c r="N98" i="2"/>
  <c r="N209" i="2"/>
  <c r="N466" i="2"/>
  <c r="N463" i="2"/>
  <c r="N153" i="2"/>
  <c r="N568" i="2"/>
  <c r="N815" i="2"/>
  <c r="N635" i="2"/>
  <c r="N235" i="2"/>
  <c r="N115" i="2"/>
  <c r="N716" i="2"/>
  <c r="N319" i="2"/>
  <c r="N165" i="2"/>
  <c r="N783" i="2"/>
  <c r="N462" i="2"/>
  <c r="N644" i="2"/>
  <c r="N740" i="2"/>
  <c r="N853" i="2"/>
  <c r="N782" i="2"/>
  <c r="N107" i="2"/>
  <c r="N522" i="2"/>
  <c r="N24" i="2"/>
  <c r="N89" i="2"/>
  <c r="N38" i="2"/>
  <c r="N161" i="2"/>
  <c r="N763" i="2"/>
  <c r="N589" i="2"/>
  <c r="N800" i="2"/>
  <c r="N725" i="2"/>
  <c r="N679" i="2"/>
  <c r="N705" i="2"/>
  <c r="N772" i="2"/>
  <c r="N758" i="2"/>
  <c r="N873" i="2"/>
  <c r="N880" i="2"/>
  <c r="N525" i="2"/>
  <c r="N664" i="2"/>
  <c r="N798" i="2"/>
  <c r="N620" i="2"/>
  <c r="N868" i="2"/>
  <c r="N794" i="2"/>
  <c r="N760" i="2"/>
  <c r="N662" i="2"/>
  <c r="N677" i="2"/>
  <c r="N513" i="2"/>
  <c r="N651" i="2"/>
  <c r="N508" i="2"/>
  <c r="N900" i="2"/>
  <c r="N684" i="2"/>
  <c r="N447" i="2"/>
  <c r="N770" i="2"/>
  <c r="N533" i="2"/>
  <c r="N530" i="2"/>
  <c r="N506" i="2"/>
  <c r="N556" i="2"/>
  <c r="N875" i="2"/>
  <c r="N250" i="2"/>
  <c r="N85" i="2"/>
  <c r="N627" i="2"/>
  <c r="N915" i="2"/>
  <c r="N230" i="2"/>
  <c r="N905" i="2"/>
  <c r="N618" i="2"/>
  <c r="N214" i="2"/>
  <c r="N661" i="2"/>
  <c r="N634" i="2"/>
  <c r="N836" i="2"/>
  <c r="N877" i="2"/>
  <c r="N607" i="2"/>
  <c r="N516" i="2"/>
  <c r="N557" i="2"/>
  <c r="N616" i="2"/>
  <c r="N579" i="2"/>
  <c r="N735" i="2"/>
  <c r="N517" i="2"/>
  <c r="N733" i="2"/>
  <c r="N561" i="2"/>
  <c r="N490" i="2"/>
  <c r="N749" i="2"/>
  <c r="O888" i="2"/>
  <c r="N80" i="2"/>
  <c r="N776" i="2"/>
  <c r="N944" i="2"/>
  <c r="N571" i="2"/>
  <c r="N663" i="2"/>
  <c r="N598" i="2"/>
  <c r="N367" i="2"/>
  <c r="O757" i="2"/>
  <c r="N226" i="2"/>
  <c r="N632" i="2"/>
  <c r="N935" i="2"/>
  <c r="N617" i="2"/>
  <c r="N436" i="2"/>
  <c r="N422" i="2"/>
  <c r="O936" i="2"/>
  <c r="O293" i="2"/>
  <c r="O578" i="2"/>
  <c r="O118" i="2"/>
  <c r="O789" i="2"/>
  <c r="O563" i="2"/>
  <c r="O91" i="2"/>
  <c r="O202" i="2"/>
  <c r="O741" i="2"/>
  <c r="O833" i="2"/>
  <c r="O899" i="2"/>
  <c r="O45" i="2"/>
  <c r="O79" i="2"/>
  <c r="O87" i="2"/>
  <c r="O704" i="2"/>
  <c r="O456" i="2"/>
  <c r="O52" i="2"/>
  <c r="O501" i="2"/>
  <c r="O531" i="2"/>
  <c r="O536" i="2"/>
  <c r="O885" i="2"/>
  <c r="N122" i="2"/>
  <c r="N830" i="2"/>
  <c r="N920" i="2"/>
  <c r="N325" i="2"/>
  <c r="N75" i="2"/>
  <c r="N914" i="2"/>
  <c r="N16" i="2"/>
  <c r="N445" i="2"/>
  <c r="N601" i="2"/>
  <c r="N437" i="2"/>
  <c r="N459" i="2"/>
  <c r="N356" i="2"/>
  <c r="N193" i="2"/>
  <c r="N690" i="2"/>
  <c r="N334" i="2"/>
  <c r="N353" i="2"/>
  <c r="N629" i="2"/>
  <c r="N136" i="2"/>
  <c r="N906" i="2"/>
  <c r="N168" i="2"/>
  <c r="N602" i="2"/>
  <c r="N207" i="2"/>
  <c r="N387" i="2"/>
  <c r="N126" i="2"/>
  <c r="N191" i="2"/>
  <c r="N492" i="2"/>
  <c r="N237" i="2"/>
  <c r="N560" i="2"/>
  <c r="N887" i="2"/>
  <c r="N603" i="2"/>
  <c r="O857" i="2"/>
  <c r="N500" i="2"/>
  <c r="N322" i="2"/>
  <c r="O418" i="2"/>
  <c r="N398" i="2"/>
  <c r="N388" i="2"/>
  <c r="O922" i="2"/>
  <c r="N330" i="2"/>
  <c r="N116" i="2"/>
  <c r="O403" i="2"/>
  <c r="N259" i="2"/>
  <c r="N338" i="2"/>
  <c r="O527" i="2"/>
  <c r="N434" i="2"/>
  <c r="N417" i="2"/>
  <c r="O897" i="2"/>
  <c r="N152" i="2"/>
  <c r="N361" i="2"/>
  <c r="O344" i="2"/>
  <c r="N471" i="2"/>
  <c r="N537" i="2"/>
  <c r="O28" i="2"/>
  <c r="N430" i="2"/>
  <c r="O529" i="2"/>
  <c r="O195" i="2"/>
  <c r="O335" i="2"/>
  <c r="O288" i="2"/>
  <c r="O326" i="2"/>
  <c r="O49" i="2"/>
  <c r="O336" i="2"/>
  <c r="O390" i="2"/>
  <c r="O678" i="2"/>
  <c r="O125" i="2"/>
  <c r="O692" i="2"/>
  <c r="O421" i="2"/>
  <c r="O377" i="2"/>
  <c r="O553" i="2"/>
  <c r="O807" i="2"/>
  <c r="O559" i="2"/>
  <c r="O542" i="2"/>
  <c r="O468" i="2"/>
  <c r="O15" i="2"/>
  <c r="O659" i="2"/>
  <c r="O514" i="2"/>
  <c r="O6" i="2"/>
  <c r="O467" i="2"/>
  <c r="O120" i="2"/>
  <c r="O928" i="2"/>
  <c r="O127" i="2"/>
  <c r="O229" i="2"/>
  <c r="O837" i="2"/>
  <c r="O68" i="2"/>
  <c r="O43" i="2"/>
  <c r="O545" i="2"/>
  <c r="O916" i="2"/>
  <c r="O264" i="2"/>
  <c r="O119" i="2"/>
  <c r="O570" i="2"/>
  <c r="O850" i="2"/>
  <c r="O194" i="2"/>
  <c r="O50" i="2"/>
  <c r="O246" i="2"/>
  <c r="O450" i="2"/>
  <c r="O88" i="2"/>
  <c r="O464" i="2"/>
  <c r="O611" i="2"/>
  <c r="O727" i="2"/>
  <c r="O129" i="2"/>
  <c r="O280" i="2"/>
  <c r="O244" i="2"/>
  <c r="O650" i="2"/>
  <c r="O519" i="2"/>
  <c r="O96" i="2"/>
  <c r="O74" i="2"/>
  <c r="O307" i="2"/>
  <c r="O543" i="2"/>
  <c r="O498" i="2"/>
  <c r="O101" i="2"/>
  <c r="O51" i="2"/>
  <c r="O67" i="2"/>
  <c r="O614" i="2"/>
  <c r="O30" i="2"/>
  <c r="O819" i="2"/>
  <c r="O576" i="2"/>
  <c r="O106" i="2"/>
  <c r="O60" i="2"/>
  <c r="O526" i="2"/>
  <c r="O871" i="2"/>
  <c r="O788" i="2"/>
  <c r="O910" i="2"/>
  <c r="O270" i="2"/>
  <c r="O352" i="2"/>
  <c r="O521" i="2"/>
  <c r="O12" i="2"/>
  <c r="O14" i="2"/>
  <c r="O652" i="2"/>
  <c r="O70" i="2"/>
  <c r="O590" i="2"/>
  <c r="O470" i="2"/>
  <c r="O581" i="2"/>
  <c r="O630" i="2"/>
  <c r="O46" i="2"/>
  <c r="O69" i="2"/>
  <c r="O57" i="2"/>
  <c r="O566" i="2"/>
  <c r="O567" i="2"/>
  <c r="O482" i="2"/>
  <c r="O494" i="2"/>
  <c r="O163" i="2"/>
  <c r="O444" i="2"/>
  <c r="O62" i="2"/>
  <c r="O688" i="2"/>
  <c r="O461" i="2"/>
  <c r="O474" i="2"/>
  <c r="O313" i="2"/>
  <c r="O4" i="2"/>
  <c r="O631" i="2"/>
  <c r="O449" i="2"/>
  <c r="O609" i="2"/>
  <c r="O252" i="2"/>
  <c r="O708" i="2"/>
  <c r="O25" i="2"/>
  <c r="O780" i="2"/>
  <c r="O619" i="2"/>
  <c r="O472" i="2"/>
  <c r="O743" i="2"/>
  <c r="O453" i="2"/>
  <c r="O13" i="2"/>
  <c r="O862" i="2"/>
  <c r="O565" i="2"/>
  <c r="O621" i="2"/>
  <c r="O785" i="2"/>
  <c r="O912" i="2"/>
  <c r="O593" i="2"/>
  <c r="O535" i="2"/>
  <c r="O646" i="2"/>
  <c r="O562" i="2"/>
  <c r="O766" i="2"/>
  <c r="O524" i="2"/>
  <c r="O750" i="2"/>
  <c r="O146" i="2"/>
  <c r="O666" i="2"/>
  <c r="O744" i="2"/>
  <c r="O847" i="2"/>
  <c r="O528" i="2"/>
  <c r="O834" i="2"/>
  <c r="O699" i="2"/>
  <c r="O721" i="2"/>
  <c r="O810" i="2"/>
  <c r="O891" i="2"/>
  <c r="O615" i="2"/>
  <c r="O583" i="2"/>
  <c r="O507" i="2"/>
  <c r="O806" i="2"/>
  <c r="O817" i="2"/>
  <c r="O845" i="2"/>
  <c r="O549" i="2"/>
  <c r="O790" i="2"/>
  <c r="O686" i="2"/>
  <c r="O753" i="2"/>
  <c r="O610" i="2"/>
  <c r="O854" i="2"/>
  <c r="O682" i="2"/>
  <c r="O584" i="2"/>
  <c r="O706" i="2"/>
  <c r="O680" i="2"/>
  <c r="O231" i="2"/>
  <c r="O626" i="2"/>
  <c r="O694" i="2"/>
  <c r="O538" i="2"/>
  <c r="O505" i="2"/>
  <c r="O179" i="2"/>
  <c r="O558" i="2"/>
  <c r="O511" i="2"/>
  <c r="O540" i="2"/>
  <c r="O577" i="2"/>
  <c r="O732" i="2"/>
  <c r="O640" i="2"/>
  <c r="O710" i="2"/>
  <c r="O491" i="2"/>
  <c r="O676" i="2"/>
  <c r="O599" i="2"/>
  <c r="N713" i="2"/>
  <c r="N76" i="2"/>
  <c r="N351" i="2"/>
  <c r="O866" i="2"/>
  <c r="N178" i="2"/>
  <c r="N756" i="2"/>
  <c r="N200" i="2"/>
  <c r="N135" i="2"/>
  <c r="N778" i="2"/>
  <c r="N251" i="2"/>
  <c r="N504" i="2"/>
  <c r="N188" i="2"/>
  <c r="N426" i="2"/>
  <c r="O861" i="2"/>
  <c r="O842" i="2"/>
  <c r="O433" i="2"/>
  <c r="O931" i="2"/>
  <c r="O11" i="2"/>
  <c r="O394" i="2"/>
  <c r="O637" i="2"/>
  <c r="O483" i="2"/>
  <c r="O404" i="2"/>
  <c r="O410" i="2"/>
  <c r="O683" i="2"/>
  <c r="O274" i="2"/>
  <c r="O362" i="2"/>
  <c r="O475" i="2"/>
  <c r="O213" i="2"/>
  <c r="O738" i="2"/>
  <c r="O633" i="2"/>
  <c r="O7" i="2"/>
  <c r="O66" i="2"/>
  <c r="O104" i="2"/>
  <c r="O941" i="2"/>
  <c r="O672" i="2"/>
  <c r="O39" i="2"/>
  <c r="O393" i="2"/>
  <c r="O564" i="2"/>
  <c r="O489" i="2"/>
  <c r="O552" i="2"/>
  <c r="O497" i="2"/>
  <c r="O809" i="2"/>
  <c r="N182" i="2"/>
  <c r="N357" i="2"/>
  <c r="N26" i="2"/>
  <c r="N317" i="2"/>
  <c r="N574" i="2"/>
  <c r="N332" i="2"/>
  <c r="O201" i="2"/>
  <c r="N804" i="2"/>
  <c r="N181" i="2"/>
  <c r="N396" i="2"/>
  <c r="N258" i="2"/>
  <c r="N585" i="2"/>
  <c r="N736" i="2"/>
  <c r="N544" i="2"/>
  <c r="N316" i="2"/>
  <c r="N945" i="2"/>
  <c r="N40" i="2"/>
  <c r="N534" i="2"/>
  <c r="N113" i="2"/>
  <c r="N368" i="2"/>
  <c r="N249" i="2"/>
  <c r="N215" i="2"/>
  <c r="N42" i="2"/>
  <c r="N587" i="2"/>
  <c r="N407" i="2"/>
  <c r="N892" i="2"/>
  <c r="N382" i="2"/>
  <c r="N413" i="2"/>
  <c r="N448" i="2"/>
  <c r="N360" i="2"/>
  <c r="N342" i="2"/>
  <c r="N857" i="2"/>
  <c r="N369" i="2"/>
  <c r="O426" i="2"/>
  <c r="N418" i="2"/>
  <c r="N150" i="2"/>
  <c r="O226" i="2"/>
  <c r="N922" i="2"/>
  <c r="N872" i="2"/>
  <c r="O632" i="2"/>
  <c r="N403" i="2"/>
  <c r="N359" i="2"/>
  <c r="O935" i="2"/>
  <c r="N527" i="2"/>
  <c r="N399" i="2"/>
  <c r="O617" i="2"/>
  <c r="N897" i="2"/>
  <c r="N460" i="2"/>
  <c r="O436" i="2"/>
  <c r="N344" i="2"/>
  <c r="N354" i="2"/>
  <c r="O422" i="2"/>
  <c r="N28" i="2"/>
  <c r="N428" i="2"/>
  <c r="N529" i="2"/>
  <c r="N195" i="2"/>
  <c r="N335" i="2"/>
  <c r="N288" i="2"/>
  <c r="N326" i="2"/>
  <c r="N49" i="2"/>
  <c r="N336" i="2"/>
  <c r="N390" i="2"/>
  <c r="N678" i="2"/>
  <c r="N125" i="2"/>
  <c r="N692" i="2"/>
  <c r="N421" i="2"/>
  <c r="N377" i="2"/>
  <c r="N553" i="2"/>
  <c r="N807" i="2"/>
  <c r="N559" i="2"/>
  <c r="N542" i="2"/>
  <c r="N468" i="2"/>
  <c r="N15" i="2"/>
  <c r="N659" i="2"/>
  <c r="N514" i="2"/>
  <c r="N6" i="2"/>
  <c r="N467" i="2"/>
  <c r="N120" i="2"/>
  <c r="N928" i="2"/>
  <c r="N127" i="2"/>
  <c r="N229" i="2"/>
  <c r="N837" i="2"/>
  <c r="N68" i="2"/>
  <c r="N43" i="2"/>
  <c r="N545" i="2"/>
  <c r="N916" i="2"/>
  <c r="N264" i="2"/>
  <c r="N119" i="2"/>
  <c r="N570" i="2"/>
  <c r="N850" i="2"/>
  <c r="N194" i="2"/>
  <c r="N50" i="2"/>
  <c r="N246" i="2"/>
  <c r="N450" i="2"/>
  <c r="N88" i="2"/>
  <c r="N464" i="2"/>
  <c r="N611" i="2"/>
  <c r="N727" i="2"/>
  <c r="N129" i="2"/>
  <c r="N280" i="2"/>
  <c r="N244" i="2"/>
  <c r="N650" i="2"/>
  <c r="N519" i="2"/>
  <c r="N96" i="2"/>
  <c r="N74" i="2"/>
  <c r="N307" i="2"/>
  <c r="N543" i="2"/>
  <c r="N498" i="2"/>
  <c r="N101" i="2"/>
  <c r="N51" i="2"/>
  <c r="N67" i="2"/>
  <c r="N614" i="2"/>
  <c r="N30" i="2"/>
  <c r="N819" i="2"/>
  <c r="N576" i="2"/>
  <c r="N106" i="2"/>
  <c r="N60" i="2"/>
  <c r="N526" i="2"/>
  <c r="N871" i="2"/>
  <c r="N788" i="2"/>
  <c r="N910" i="2"/>
  <c r="N270" i="2"/>
  <c r="N352" i="2"/>
  <c r="N521" i="2"/>
  <c r="N12" i="2"/>
  <c r="N14" i="2"/>
  <c r="N652" i="2"/>
  <c r="N70" i="2"/>
  <c r="N590" i="2"/>
  <c r="N470" i="2"/>
  <c r="N581" i="2"/>
  <c r="N630" i="2"/>
  <c r="N46" i="2"/>
  <c r="N69" i="2"/>
  <c r="N57" i="2"/>
  <c r="N566" i="2"/>
  <c r="N567" i="2"/>
  <c r="N482" i="2"/>
  <c r="N494" i="2"/>
  <c r="N163" i="2"/>
  <c r="N444" i="2"/>
  <c r="N62" i="2"/>
  <c r="N688" i="2"/>
  <c r="N461" i="2"/>
  <c r="N474" i="2"/>
  <c r="N313" i="2"/>
  <c r="N4" i="2"/>
  <c r="N631" i="2"/>
  <c r="N449" i="2"/>
  <c r="N609" i="2"/>
  <c r="N252" i="2"/>
  <c r="N708" i="2"/>
  <c r="N25" i="2"/>
  <c r="N780" i="2"/>
  <c r="N619" i="2"/>
  <c r="N472" i="2"/>
  <c r="N743" i="2"/>
  <c r="N453" i="2"/>
  <c r="N13" i="2"/>
  <c r="N862" i="2"/>
  <c r="N565" i="2"/>
  <c r="N621" i="2"/>
  <c r="N785" i="2"/>
  <c r="N912" i="2"/>
  <c r="N593" i="2"/>
  <c r="N535" i="2"/>
  <c r="N646" i="2"/>
  <c r="N562" i="2"/>
  <c r="N766" i="2"/>
  <c r="N524" i="2"/>
  <c r="N750" i="2"/>
  <c r="N146" i="2"/>
  <c r="N666" i="2"/>
  <c r="N744" i="2"/>
  <c r="N847" i="2"/>
  <c r="N528" i="2"/>
  <c r="N834" i="2"/>
  <c r="N699" i="2"/>
  <c r="N721" i="2"/>
  <c r="N810" i="2"/>
  <c r="N891" i="2"/>
  <c r="N615" i="2"/>
  <c r="N583" i="2"/>
  <c r="N507" i="2"/>
  <c r="N806" i="2"/>
  <c r="N817" i="2"/>
  <c r="N845" i="2"/>
  <c r="N549" i="2"/>
  <c r="N790" i="2"/>
  <c r="N686" i="2"/>
  <c r="N753" i="2"/>
  <c r="N610" i="2"/>
  <c r="N854" i="2"/>
  <c r="N682" i="2"/>
  <c r="N584" i="2"/>
  <c r="N706" i="2"/>
  <c r="N680" i="2"/>
  <c r="N231" i="2"/>
  <c r="N626" i="2"/>
  <c r="N694" i="2"/>
  <c r="N538" i="2"/>
  <c r="N505" i="2"/>
  <c r="N179" i="2"/>
  <c r="N558" i="2"/>
  <c r="N511" i="2"/>
  <c r="N540" i="2"/>
  <c r="N577" i="2"/>
  <c r="N732" i="2"/>
  <c r="N640" i="2"/>
  <c r="N710" i="2"/>
  <c r="N491" i="2"/>
  <c r="N676" i="2"/>
  <c r="N599" i="2"/>
  <c r="O687" i="2"/>
  <c r="N290" i="2"/>
  <c r="N930" i="2"/>
  <c r="N435" i="2"/>
  <c r="N285" i="2"/>
  <c r="N946" i="2"/>
  <c r="N154" i="2"/>
  <c r="N698" i="2"/>
  <c r="N473" i="2"/>
  <c r="N869" i="2"/>
  <c r="N374" i="2"/>
  <c r="N942" i="2"/>
  <c r="N503" i="2"/>
  <c r="N693" i="2"/>
  <c r="N347" i="2"/>
  <c r="N415" i="2"/>
  <c r="N608" i="2"/>
  <c r="N898" i="2"/>
  <c r="N476" i="2"/>
  <c r="N934" i="2"/>
  <c r="O769" i="2"/>
  <c r="O392" i="2"/>
  <c r="O268" i="2"/>
  <c r="O416" i="2"/>
  <c r="O893" i="2"/>
  <c r="O874" i="2"/>
  <c r="O384" i="2"/>
  <c r="O256" i="2"/>
  <c r="O812" i="2"/>
  <c r="O158" i="2"/>
  <c r="O926" i="2"/>
  <c r="O546" i="2"/>
  <c r="O709" i="2"/>
  <c r="O48" i="2"/>
  <c r="O134" i="2"/>
  <c r="O940" i="2"/>
  <c r="O588" i="2"/>
  <c r="O622" i="2"/>
  <c r="O10" i="2"/>
  <c r="O93" i="2"/>
  <c r="O734" i="2"/>
  <c r="O170" i="2"/>
  <c r="O597" i="2"/>
  <c r="O591" i="2"/>
  <c r="O121" i="2"/>
  <c r="O541" i="2"/>
  <c r="O209" i="2"/>
  <c r="O568" i="2"/>
  <c r="O115" i="2"/>
  <c r="O783" i="2"/>
  <c r="O853" i="2"/>
  <c r="O24" i="2"/>
  <c r="O763" i="2"/>
  <c r="O679" i="2"/>
  <c r="O873" i="2"/>
  <c r="O798" i="2"/>
  <c r="O760" i="2"/>
  <c r="O651" i="2"/>
  <c r="O447" i="2"/>
  <c r="O506" i="2"/>
  <c r="O85" i="2"/>
  <c r="O905" i="2"/>
  <c r="O634" i="2"/>
  <c r="O516" i="2"/>
  <c r="O735" i="2"/>
  <c r="O490" i="2"/>
  <c r="O98" i="2"/>
  <c r="O725" i="2"/>
  <c r="O794" i="2"/>
  <c r="O530" i="2"/>
  <c r="O661" i="2"/>
  <c r="O561" i="2"/>
  <c r="O9" i="2"/>
  <c r="O446" i="2"/>
  <c r="O594" i="2"/>
  <c r="O623" i="2"/>
  <c r="O203" i="2"/>
  <c r="O466" i="2"/>
  <c r="O815" i="2"/>
  <c r="O716" i="2"/>
  <c r="O462" i="2"/>
  <c r="O782" i="2"/>
  <c r="O89" i="2"/>
  <c r="O589" i="2"/>
  <c r="O705" i="2"/>
  <c r="O880" i="2"/>
  <c r="O620" i="2"/>
  <c r="O662" i="2"/>
  <c r="O508" i="2"/>
  <c r="O770" i="2"/>
  <c r="O556" i="2"/>
  <c r="O627" i="2"/>
  <c r="O618" i="2"/>
  <c r="O836" i="2"/>
  <c r="O557" i="2"/>
  <c r="O517" i="2"/>
  <c r="O749" i="2"/>
  <c r="O889" i="2"/>
  <c r="O153" i="2"/>
  <c r="O165" i="2"/>
  <c r="O522" i="2"/>
  <c r="O758" i="2"/>
  <c r="O513" i="2"/>
  <c r="O230" i="2"/>
  <c r="O579" i="2"/>
  <c r="O628" i="2"/>
  <c r="O277" i="2"/>
  <c r="O31" i="2"/>
  <c r="O715" i="2"/>
  <c r="O17" i="2"/>
  <c r="O463" i="2"/>
  <c r="O635" i="2"/>
  <c r="O319" i="2"/>
  <c r="O644" i="2"/>
  <c r="O107" i="2"/>
  <c r="O38" i="2"/>
  <c r="O800" i="2"/>
  <c r="O772" i="2"/>
  <c r="O525" i="2"/>
  <c r="O868" i="2"/>
  <c r="O677" i="2"/>
  <c r="O900" i="2"/>
  <c r="O533" i="2"/>
  <c r="O875" i="2"/>
  <c r="O915" i="2"/>
  <c r="O214" i="2"/>
  <c r="O877" i="2"/>
  <c r="O616" i="2"/>
  <c r="O733" i="2"/>
  <c r="O718" i="2"/>
  <c r="O166" i="2"/>
  <c r="O440" i="2"/>
  <c r="O235" i="2"/>
  <c r="O740" i="2"/>
  <c r="O161" i="2"/>
  <c r="O664" i="2"/>
  <c r="O684" i="2"/>
  <c r="O250" i="2"/>
  <c r="O607" i="2"/>
  <c r="M967" i="1"/>
  <c r="M965" i="1"/>
  <c r="M963" i="1"/>
  <c r="M961" i="1"/>
  <c r="M959" i="1"/>
  <c r="M957" i="1"/>
  <c r="M955" i="1"/>
  <c r="M953" i="1"/>
  <c r="M948" i="1"/>
  <c r="M946" i="1"/>
  <c r="M944" i="1"/>
  <c r="M942" i="1"/>
  <c r="M940" i="1"/>
  <c r="M938" i="1"/>
  <c r="M936" i="1"/>
  <c r="M934" i="1"/>
  <c r="M932" i="1"/>
  <c r="M930" i="1"/>
  <c r="M928" i="1"/>
  <c r="M926" i="1"/>
  <c r="M924" i="1"/>
  <c r="M922" i="1"/>
  <c r="M920" i="1"/>
  <c r="M918" i="1"/>
  <c r="M916" i="1"/>
  <c r="M914" i="1"/>
  <c r="M912" i="1"/>
  <c r="M910" i="1"/>
  <c r="M908" i="1"/>
  <c r="M906" i="1"/>
  <c r="M904" i="1"/>
  <c r="M902" i="1"/>
  <c r="M900" i="1"/>
  <c r="M898" i="1"/>
  <c r="M896" i="1"/>
  <c r="M894" i="1"/>
  <c r="M892" i="1"/>
  <c r="M890" i="1"/>
  <c r="M888" i="1"/>
  <c r="M886" i="1"/>
  <c r="M884" i="1"/>
  <c r="M882" i="1"/>
  <c r="M880" i="1"/>
  <c r="M878" i="1"/>
  <c r="M876" i="1"/>
  <c r="M874" i="1"/>
  <c r="M872" i="1"/>
  <c r="M870" i="1"/>
  <c r="M868" i="1"/>
  <c r="M866" i="1"/>
  <c r="M864" i="1"/>
  <c r="M862" i="1"/>
  <c r="M860" i="1"/>
  <c r="M858" i="1"/>
  <c r="M856" i="1"/>
  <c r="M854" i="1"/>
  <c r="M852" i="1"/>
  <c r="M850" i="1"/>
  <c r="M848" i="1"/>
  <c r="M846" i="1"/>
  <c r="M844" i="1"/>
  <c r="M842" i="1"/>
  <c r="M840" i="1"/>
  <c r="M838" i="1"/>
  <c r="M836" i="1"/>
  <c r="M834" i="1"/>
  <c r="M832" i="1"/>
  <c r="M830" i="1"/>
  <c r="M828" i="1"/>
  <c r="M826" i="1"/>
  <c r="M824" i="1"/>
  <c r="M822" i="1"/>
  <c r="M820" i="1"/>
  <c r="M818" i="1"/>
  <c r="M816" i="1"/>
  <c r="M814" i="1"/>
  <c r="M812" i="1"/>
  <c r="M810" i="1"/>
  <c r="M808" i="1"/>
  <c r="M806" i="1"/>
  <c r="M804" i="1"/>
  <c r="M802" i="1"/>
  <c r="M800" i="1"/>
  <c r="M798" i="1"/>
  <c r="M796" i="1"/>
  <c r="M794" i="1"/>
  <c r="M792" i="1"/>
  <c r="M790" i="1"/>
  <c r="M788" i="1"/>
  <c r="M786" i="1"/>
  <c r="M784" i="1"/>
  <c r="M782" i="1"/>
  <c r="M780" i="1"/>
  <c r="M778" i="1"/>
  <c r="M776" i="1"/>
  <c r="M774" i="1"/>
  <c r="M772" i="1"/>
  <c r="M770" i="1"/>
  <c r="M768" i="1"/>
  <c r="M766" i="1"/>
  <c r="M764" i="1"/>
  <c r="M762" i="1"/>
  <c r="M760" i="1"/>
  <c r="M758" i="1"/>
  <c r="M756" i="1"/>
  <c r="M754" i="1"/>
  <c r="M752" i="1"/>
  <c r="M750" i="1"/>
  <c r="M748" i="1"/>
  <c r="M746" i="1"/>
  <c r="M744" i="1"/>
  <c r="M742" i="1"/>
  <c r="M740" i="1"/>
  <c r="M738" i="1"/>
  <c r="M736" i="1"/>
  <c r="M734" i="1"/>
  <c r="M732" i="1"/>
  <c r="M730" i="1"/>
  <c r="M728" i="1"/>
  <c r="M726" i="1"/>
  <c r="M724" i="1"/>
  <c r="M722" i="1"/>
  <c r="M720" i="1"/>
  <c r="M718" i="1"/>
  <c r="M716" i="1"/>
  <c r="M714" i="1"/>
  <c r="N966" i="1"/>
  <c r="N964" i="1"/>
  <c r="N962" i="1"/>
  <c r="N960" i="1"/>
  <c r="N958" i="1"/>
  <c r="N956" i="1"/>
  <c r="N954" i="1"/>
  <c r="N949" i="1"/>
  <c r="N947" i="1"/>
  <c r="N945" i="1"/>
  <c r="N943" i="1"/>
  <c r="N941" i="1"/>
  <c r="N939" i="1"/>
  <c r="N937" i="1"/>
  <c r="N935" i="1"/>
  <c r="N933" i="1"/>
  <c r="N931" i="1"/>
  <c r="N929" i="1"/>
  <c r="N927" i="1"/>
  <c r="N925" i="1"/>
  <c r="N923" i="1"/>
  <c r="N921" i="1"/>
  <c r="N919" i="1"/>
  <c r="N917" i="1"/>
  <c r="N915" i="1"/>
  <c r="N913" i="1"/>
  <c r="N911" i="1"/>
  <c r="N909" i="1"/>
  <c r="N907" i="1"/>
  <c r="N905" i="1"/>
  <c r="N903" i="1"/>
  <c r="N901" i="1"/>
  <c r="N899" i="1"/>
  <c r="N897" i="1"/>
  <c r="N895" i="1"/>
  <c r="N893" i="1"/>
  <c r="N891" i="1"/>
  <c r="N889" i="1"/>
  <c r="N887" i="1"/>
  <c r="N885" i="1"/>
  <c r="N883" i="1"/>
  <c r="N881" i="1"/>
  <c r="N879" i="1"/>
  <c r="N877" i="1"/>
  <c r="N875" i="1"/>
  <c r="N873" i="1"/>
  <c r="N871" i="1"/>
  <c r="N869" i="1"/>
  <c r="N867" i="1"/>
  <c r="N865" i="1"/>
  <c r="N863" i="1"/>
  <c r="N861" i="1"/>
  <c r="N859" i="1"/>
  <c r="N857" i="1"/>
  <c r="N855" i="1"/>
  <c r="N853" i="1"/>
  <c r="N851" i="1"/>
  <c r="N849" i="1"/>
  <c r="N847" i="1"/>
  <c r="N845" i="1"/>
  <c r="N843" i="1"/>
  <c r="N841" i="1"/>
  <c r="N839" i="1"/>
  <c r="N837" i="1"/>
  <c r="N835" i="1"/>
  <c r="N833" i="1"/>
  <c r="N831" i="1"/>
  <c r="N829" i="1"/>
  <c r="N827" i="1"/>
  <c r="N825" i="1"/>
  <c r="N823" i="1"/>
  <c r="N821" i="1"/>
  <c r="N819" i="1"/>
  <c r="N817" i="1"/>
  <c r="N815" i="1"/>
  <c r="N813" i="1"/>
  <c r="N811" i="1"/>
  <c r="N809" i="1"/>
  <c r="N807" i="1"/>
  <c r="N805" i="1"/>
  <c r="N803" i="1"/>
  <c r="N801" i="1"/>
  <c r="N799" i="1"/>
  <c r="N797" i="1"/>
  <c r="N795" i="1"/>
  <c r="N793" i="1"/>
  <c r="N791" i="1"/>
  <c r="N789" i="1"/>
  <c r="N787" i="1"/>
  <c r="N785" i="1"/>
  <c r="N783" i="1"/>
  <c r="N781" i="1"/>
  <c r="N779" i="1"/>
  <c r="N777" i="1"/>
  <c r="N775" i="1"/>
  <c r="N773" i="1"/>
  <c r="N771" i="1"/>
  <c r="N769" i="1"/>
  <c r="N767" i="1"/>
  <c r="N765" i="1"/>
  <c r="N763" i="1"/>
  <c r="N761" i="1"/>
  <c r="N759" i="1"/>
  <c r="N757" i="1"/>
  <c r="N755" i="1"/>
  <c r="N753" i="1"/>
  <c r="N751" i="1"/>
  <c r="N749" i="1"/>
  <c r="N747" i="1"/>
  <c r="N745" i="1"/>
  <c r="N743" i="1"/>
  <c r="N741" i="1"/>
  <c r="N739" i="1"/>
  <c r="N737" i="1"/>
  <c r="N735" i="1"/>
  <c r="N733" i="1"/>
  <c r="N731" i="1"/>
  <c r="N729" i="1"/>
  <c r="N727" i="1"/>
  <c r="N725" i="1"/>
  <c r="N723" i="1"/>
  <c r="N721" i="1"/>
  <c r="N719" i="1"/>
  <c r="N717" i="1"/>
  <c r="N715" i="1"/>
  <c r="N713" i="1"/>
  <c r="N711" i="1"/>
  <c r="M966" i="1"/>
  <c r="M964" i="1"/>
  <c r="M962" i="1"/>
  <c r="M960" i="1"/>
  <c r="M958" i="1"/>
  <c r="M956" i="1"/>
  <c r="M954" i="1"/>
  <c r="M949" i="1"/>
  <c r="M947" i="1"/>
  <c r="M945" i="1"/>
  <c r="M943" i="1"/>
  <c r="M941" i="1"/>
  <c r="M939" i="1"/>
  <c r="M937" i="1"/>
  <c r="M935" i="1"/>
  <c r="M933" i="1"/>
  <c r="M931" i="1"/>
  <c r="M929" i="1"/>
  <c r="M927" i="1"/>
  <c r="M925" i="1"/>
  <c r="M923" i="1"/>
  <c r="M921" i="1"/>
  <c r="M919" i="1"/>
  <c r="M917" i="1"/>
  <c r="M915" i="1"/>
  <c r="M913" i="1"/>
  <c r="M911" i="1"/>
  <c r="M909" i="1"/>
  <c r="M907" i="1"/>
  <c r="M905" i="1"/>
  <c r="M903" i="1"/>
  <c r="M901" i="1"/>
  <c r="M899" i="1"/>
  <c r="M897" i="1"/>
  <c r="M895" i="1"/>
  <c r="M893" i="1"/>
  <c r="M891" i="1"/>
  <c r="M889" i="1"/>
  <c r="M887" i="1"/>
  <c r="M885" i="1"/>
  <c r="M883" i="1"/>
  <c r="M881" i="1"/>
  <c r="M879" i="1"/>
  <c r="M877" i="1"/>
  <c r="M875" i="1"/>
  <c r="M873" i="1"/>
  <c r="M871" i="1"/>
  <c r="M869" i="1"/>
  <c r="M867" i="1"/>
  <c r="M865" i="1"/>
  <c r="M863" i="1"/>
  <c r="M861" i="1"/>
  <c r="M859" i="1"/>
  <c r="M857" i="1"/>
  <c r="M855" i="1"/>
  <c r="M853" i="1"/>
  <c r="M851" i="1"/>
  <c r="M849" i="1"/>
  <c r="M847" i="1"/>
  <c r="M845" i="1"/>
  <c r="M843" i="1"/>
  <c r="M841" i="1"/>
  <c r="M839" i="1"/>
  <c r="M837" i="1"/>
  <c r="M835" i="1"/>
  <c r="M833" i="1"/>
  <c r="M831" i="1"/>
  <c r="M829" i="1"/>
  <c r="M827" i="1"/>
  <c r="M825" i="1"/>
  <c r="M823" i="1"/>
  <c r="M821" i="1"/>
  <c r="M819" i="1"/>
  <c r="M817" i="1"/>
  <c r="M815" i="1"/>
  <c r="M813" i="1"/>
  <c r="M811" i="1"/>
  <c r="M809" i="1"/>
  <c r="M807" i="1"/>
  <c r="M805" i="1"/>
  <c r="M803" i="1"/>
  <c r="M801" i="1"/>
  <c r="M799" i="1"/>
  <c r="M797" i="1"/>
  <c r="M795" i="1"/>
  <c r="M793" i="1"/>
  <c r="M791" i="1"/>
  <c r="M789" i="1"/>
  <c r="M787" i="1"/>
  <c r="M785" i="1"/>
  <c r="M783" i="1"/>
  <c r="M781" i="1"/>
  <c r="M779" i="1"/>
  <c r="M777" i="1"/>
  <c r="M775" i="1"/>
  <c r="M773" i="1"/>
  <c r="M771" i="1"/>
  <c r="M769" i="1"/>
  <c r="M767" i="1"/>
  <c r="M765" i="1"/>
  <c r="M763" i="1"/>
  <c r="M761" i="1"/>
  <c r="M759" i="1"/>
  <c r="M757" i="1"/>
  <c r="M755" i="1"/>
  <c r="M753" i="1"/>
  <c r="M751" i="1"/>
  <c r="M749" i="1"/>
  <c r="M747" i="1"/>
  <c r="M745" i="1"/>
  <c r="M743" i="1"/>
  <c r="M741" i="1"/>
  <c r="M739" i="1"/>
  <c r="M737" i="1"/>
  <c r="M735" i="1"/>
  <c r="M733" i="1"/>
  <c r="M731" i="1"/>
  <c r="M729" i="1"/>
  <c r="M727" i="1"/>
  <c r="M725" i="1"/>
  <c r="M723" i="1"/>
  <c r="M721" i="1"/>
  <c r="M719" i="1"/>
  <c r="M717" i="1"/>
  <c r="M715" i="1"/>
  <c r="M713" i="1"/>
  <c r="N967" i="1"/>
  <c r="N959" i="1"/>
  <c r="N948" i="1"/>
  <c r="N940" i="1"/>
  <c r="N932" i="1"/>
  <c r="N924" i="1"/>
  <c r="N916" i="1"/>
  <c r="N908" i="1"/>
  <c r="N900" i="1"/>
  <c r="N892" i="1"/>
  <c r="N884" i="1"/>
  <c r="N876" i="1"/>
  <c r="N868" i="1"/>
  <c r="N860" i="1"/>
  <c r="N852" i="1"/>
  <c r="N844" i="1"/>
  <c r="N836" i="1"/>
  <c r="N828" i="1"/>
  <c r="N820" i="1"/>
  <c r="N812" i="1"/>
  <c r="N804" i="1"/>
  <c r="N796" i="1"/>
  <c r="N788" i="1"/>
  <c r="N780" i="1"/>
  <c r="N772" i="1"/>
  <c r="N764" i="1"/>
  <c r="N756" i="1"/>
  <c r="N748" i="1"/>
  <c r="N740" i="1"/>
  <c r="N732" i="1"/>
  <c r="N724" i="1"/>
  <c r="N716" i="1"/>
  <c r="M711" i="1"/>
  <c r="M709" i="1"/>
  <c r="M707" i="1"/>
  <c r="M705" i="1"/>
  <c r="M703" i="1"/>
  <c r="M701" i="1"/>
  <c r="M699" i="1"/>
  <c r="M697" i="1"/>
  <c r="M695" i="1"/>
  <c r="M693" i="1"/>
  <c r="M691" i="1"/>
  <c r="M689" i="1"/>
  <c r="M687" i="1"/>
  <c r="M685" i="1"/>
  <c r="M683" i="1"/>
  <c r="M681" i="1"/>
  <c r="M679" i="1"/>
  <c r="M677" i="1"/>
  <c r="M675" i="1"/>
  <c r="M673" i="1"/>
  <c r="M671" i="1"/>
  <c r="M669" i="1"/>
  <c r="M667" i="1"/>
  <c r="M665" i="1"/>
  <c r="M663" i="1"/>
  <c r="M661" i="1"/>
  <c r="M659" i="1"/>
  <c r="M657" i="1"/>
  <c r="M655" i="1"/>
  <c r="M653" i="1"/>
  <c r="M651" i="1"/>
  <c r="M649" i="1"/>
  <c r="M647" i="1"/>
  <c r="M645" i="1"/>
  <c r="M643" i="1"/>
  <c r="M641" i="1"/>
  <c r="M639" i="1"/>
  <c r="M637" i="1"/>
  <c r="M635" i="1"/>
  <c r="M633" i="1"/>
  <c r="M631" i="1"/>
  <c r="M629" i="1"/>
  <c r="M627" i="1"/>
  <c r="M625" i="1"/>
  <c r="M623" i="1"/>
  <c r="M621" i="1"/>
  <c r="M619" i="1"/>
  <c r="M617" i="1"/>
  <c r="N965" i="1"/>
  <c r="N957" i="1"/>
  <c r="N946" i="1"/>
  <c r="N938" i="1"/>
  <c r="N930" i="1"/>
  <c r="N922" i="1"/>
  <c r="N914" i="1"/>
  <c r="N906" i="1"/>
  <c r="N898" i="1"/>
  <c r="N890" i="1"/>
  <c r="N882" i="1"/>
  <c r="N874" i="1"/>
  <c r="N866" i="1"/>
  <c r="N858" i="1"/>
  <c r="N850" i="1"/>
  <c r="N842" i="1"/>
  <c r="N834" i="1"/>
  <c r="N826" i="1"/>
  <c r="N818" i="1"/>
  <c r="N810" i="1"/>
  <c r="N802" i="1"/>
  <c r="N794" i="1"/>
  <c r="N786" i="1"/>
  <c r="N778" i="1"/>
  <c r="N770" i="1"/>
  <c r="N762" i="1"/>
  <c r="N754" i="1"/>
  <c r="N746" i="1"/>
  <c r="N738" i="1"/>
  <c r="N730" i="1"/>
  <c r="N722" i="1"/>
  <c r="N714" i="1"/>
  <c r="N710" i="1"/>
  <c r="N708" i="1"/>
  <c r="N706" i="1"/>
  <c r="N704" i="1"/>
  <c r="N702" i="1"/>
  <c r="N700" i="1"/>
  <c r="N698" i="1"/>
  <c r="N696" i="1"/>
  <c r="N694" i="1"/>
  <c r="N692" i="1"/>
  <c r="N690" i="1"/>
  <c r="N688" i="1"/>
  <c r="N686" i="1"/>
  <c r="N684" i="1"/>
  <c r="N682" i="1"/>
  <c r="N680" i="1"/>
  <c r="N678" i="1"/>
  <c r="N676" i="1"/>
  <c r="N674" i="1"/>
  <c r="N672" i="1"/>
  <c r="N670" i="1"/>
  <c r="N668" i="1"/>
  <c r="N666" i="1"/>
  <c r="N664" i="1"/>
  <c r="N662" i="1"/>
  <c r="N660" i="1"/>
  <c r="N658" i="1"/>
  <c r="N656" i="1"/>
  <c r="N654" i="1"/>
  <c r="N652" i="1"/>
  <c r="N650" i="1"/>
  <c r="N648" i="1"/>
  <c r="N646" i="1"/>
  <c r="N644" i="1"/>
  <c r="N642" i="1"/>
  <c r="N640" i="1"/>
  <c r="N638" i="1"/>
  <c r="N636" i="1"/>
  <c r="N634" i="1"/>
  <c r="N632" i="1"/>
  <c r="N630" i="1"/>
  <c r="N628" i="1"/>
  <c r="N626" i="1"/>
  <c r="N624" i="1"/>
  <c r="N622" i="1"/>
  <c r="N620" i="1"/>
  <c r="N618" i="1"/>
  <c r="N616" i="1"/>
  <c r="N614" i="1"/>
  <c r="N612" i="1"/>
  <c r="N610" i="1"/>
  <c r="N608" i="1"/>
  <c r="N606" i="1"/>
  <c r="N604" i="1"/>
  <c r="N602" i="1"/>
  <c r="N600" i="1"/>
  <c r="N598" i="1"/>
  <c r="N596" i="1"/>
  <c r="N594" i="1"/>
  <c r="N592" i="1"/>
  <c r="N590" i="1"/>
  <c r="N588" i="1"/>
  <c r="N586" i="1"/>
  <c r="N584" i="1"/>
  <c r="N582" i="1"/>
  <c r="N580" i="1"/>
  <c r="N578" i="1"/>
  <c r="N576" i="1"/>
  <c r="N574" i="1"/>
  <c r="N572" i="1"/>
  <c r="N570" i="1"/>
  <c r="N568" i="1"/>
  <c r="N566" i="1"/>
  <c r="N564" i="1"/>
  <c r="N562" i="1"/>
  <c r="N560" i="1"/>
  <c r="N558" i="1"/>
  <c r="N556" i="1"/>
  <c r="N554" i="1"/>
  <c r="N552" i="1"/>
  <c r="N550" i="1"/>
  <c r="N548" i="1"/>
  <c r="N546" i="1"/>
  <c r="N544" i="1"/>
  <c r="N542" i="1"/>
  <c r="N540" i="1"/>
  <c r="N538" i="1"/>
  <c r="N536" i="1"/>
  <c r="N534" i="1"/>
  <c r="N532" i="1"/>
  <c r="N530" i="1"/>
  <c r="N528" i="1"/>
  <c r="N526" i="1"/>
  <c r="N524" i="1"/>
  <c r="N522" i="1"/>
  <c r="N963" i="1"/>
  <c r="N955" i="1"/>
  <c r="N944" i="1"/>
  <c r="N936" i="1"/>
  <c r="N928" i="1"/>
  <c r="N920" i="1"/>
  <c r="N912" i="1"/>
  <c r="N904" i="1"/>
  <c r="N896" i="1"/>
  <c r="N888" i="1"/>
  <c r="N880" i="1"/>
  <c r="N872" i="1"/>
  <c r="N864" i="1"/>
  <c r="N856" i="1"/>
  <c r="N848" i="1"/>
  <c r="N840" i="1"/>
  <c r="N832" i="1"/>
  <c r="N824" i="1"/>
  <c r="N816" i="1"/>
  <c r="N808" i="1"/>
  <c r="N800" i="1"/>
  <c r="N792" i="1"/>
  <c r="N784" i="1"/>
  <c r="N776" i="1"/>
  <c r="N768" i="1"/>
  <c r="N760" i="1"/>
  <c r="N752" i="1"/>
  <c r="N744" i="1"/>
  <c r="N736" i="1"/>
  <c r="N728" i="1"/>
  <c r="N720" i="1"/>
  <c r="N712" i="1"/>
  <c r="M710" i="1"/>
  <c r="M708" i="1"/>
  <c r="M706" i="1"/>
  <c r="M704" i="1"/>
  <c r="M702" i="1"/>
  <c r="M700" i="1"/>
  <c r="M698" i="1"/>
  <c r="M696" i="1"/>
  <c r="M694" i="1"/>
  <c r="M692" i="1"/>
  <c r="M690" i="1"/>
  <c r="M688" i="1"/>
  <c r="M686" i="1"/>
  <c r="M684" i="1"/>
  <c r="M682" i="1"/>
  <c r="M680" i="1"/>
  <c r="M678" i="1"/>
  <c r="M676" i="1"/>
  <c r="M674" i="1"/>
  <c r="M672" i="1"/>
  <c r="M670" i="1"/>
  <c r="M668" i="1"/>
  <c r="M666" i="1"/>
  <c r="M664" i="1"/>
  <c r="M662" i="1"/>
  <c r="M660" i="1"/>
  <c r="M658" i="1"/>
  <c r="M656" i="1"/>
  <c r="M654" i="1"/>
  <c r="M652" i="1"/>
  <c r="M650" i="1"/>
  <c r="M648" i="1"/>
  <c r="M646" i="1"/>
  <c r="M644" i="1"/>
  <c r="M642" i="1"/>
  <c r="M640" i="1"/>
  <c r="M638" i="1"/>
  <c r="M636" i="1"/>
  <c r="M634" i="1"/>
  <c r="M632" i="1"/>
  <c r="M630" i="1"/>
  <c r="M628" i="1"/>
  <c r="M626" i="1"/>
  <c r="M624" i="1"/>
  <c r="M622" i="1"/>
  <c r="M620" i="1"/>
  <c r="M618" i="1"/>
  <c r="M616" i="1"/>
  <c r="M614" i="1"/>
  <c r="M612" i="1"/>
  <c r="M610" i="1"/>
  <c r="M608" i="1"/>
  <c r="M606" i="1"/>
  <c r="M604" i="1"/>
  <c r="M602" i="1"/>
  <c r="M600" i="1"/>
  <c r="M598" i="1"/>
  <c r="M596" i="1"/>
  <c r="M594" i="1"/>
  <c r="M592" i="1"/>
  <c r="M590" i="1"/>
  <c r="M588" i="1"/>
  <c r="M586" i="1"/>
  <c r="M584" i="1"/>
  <c r="M582" i="1"/>
  <c r="M580" i="1"/>
  <c r="M578" i="1"/>
  <c r="M576" i="1"/>
  <c r="M574" i="1"/>
  <c r="M572" i="1"/>
  <c r="M570" i="1"/>
  <c r="M568" i="1"/>
  <c r="M566" i="1"/>
  <c r="M564" i="1"/>
  <c r="M562" i="1"/>
  <c r="M560" i="1"/>
  <c r="M558" i="1"/>
  <c r="M556" i="1"/>
  <c r="M554" i="1"/>
  <c r="M552" i="1"/>
  <c r="M550" i="1"/>
  <c r="M548" i="1"/>
  <c r="M546" i="1"/>
  <c r="M544" i="1"/>
  <c r="M542" i="1"/>
  <c r="M540" i="1"/>
  <c r="M538" i="1"/>
  <c r="M536" i="1"/>
  <c r="M534" i="1"/>
  <c r="M532" i="1"/>
  <c r="M530" i="1"/>
  <c r="M528" i="1"/>
  <c r="N961" i="1"/>
  <c r="N926" i="1"/>
  <c r="N894" i="1"/>
  <c r="N862" i="1"/>
  <c r="N830" i="1"/>
  <c r="N798" i="1"/>
  <c r="N766" i="1"/>
  <c r="N734" i="1"/>
  <c r="N709" i="1"/>
  <c r="N701" i="1"/>
  <c r="N693" i="1"/>
  <c r="N685" i="1"/>
  <c r="N677" i="1"/>
  <c r="N669" i="1"/>
  <c r="N661" i="1"/>
  <c r="N653" i="1"/>
  <c r="N645" i="1"/>
  <c r="N637" i="1"/>
  <c r="N629" i="1"/>
  <c r="N621" i="1"/>
  <c r="M615" i="1"/>
  <c r="M611" i="1"/>
  <c r="M607" i="1"/>
  <c r="M603" i="1"/>
  <c r="M599" i="1"/>
  <c r="M595" i="1"/>
  <c r="M591" i="1"/>
  <c r="M587" i="1"/>
  <c r="M583" i="1"/>
  <c r="M579" i="1"/>
  <c r="M575" i="1"/>
  <c r="M571" i="1"/>
  <c r="M567" i="1"/>
  <c r="M563" i="1"/>
  <c r="M559" i="1"/>
  <c r="M555" i="1"/>
  <c r="M551" i="1"/>
  <c r="M547" i="1"/>
  <c r="M543" i="1"/>
  <c r="M539" i="1"/>
  <c r="M535" i="1"/>
  <c r="M531" i="1"/>
  <c r="M527" i="1"/>
  <c r="M524" i="1"/>
  <c r="N521" i="1"/>
  <c r="N519" i="1"/>
  <c r="N517" i="1"/>
  <c r="N515" i="1"/>
  <c r="N513" i="1"/>
  <c r="N511" i="1"/>
  <c r="N509" i="1"/>
  <c r="N507" i="1"/>
  <c r="N505" i="1"/>
  <c r="N503" i="1"/>
  <c r="N501" i="1"/>
  <c r="N499" i="1"/>
  <c r="N497" i="1"/>
  <c r="N495" i="1"/>
  <c r="N493" i="1"/>
  <c r="N491" i="1"/>
  <c r="N489" i="1"/>
  <c r="N487" i="1"/>
  <c r="N485" i="1"/>
  <c r="N483" i="1"/>
  <c r="N481" i="1"/>
  <c r="N479" i="1"/>
  <c r="N477" i="1"/>
  <c r="N475" i="1"/>
  <c r="N473" i="1"/>
  <c r="N471" i="1"/>
  <c r="N469" i="1"/>
  <c r="N467" i="1"/>
  <c r="N465" i="1"/>
  <c r="N463" i="1"/>
  <c r="N461" i="1"/>
  <c r="N459" i="1"/>
  <c r="N457" i="1"/>
  <c r="N455" i="1"/>
  <c r="N453" i="1"/>
  <c r="N451" i="1"/>
  <c r="N449" i="1"/>
  <c r="N447" i="1"/>
  <c r="N445" i="1"/>
  <c r="N443" i="1"/>
  <c r="N441" i="1"/>
  <c r="N439" i="1"/>
  <c r="N437" i="1"/>
  <c r="N435" i="1"/>
  <c r="N433" i="1"/>
  <c r="N431" i="1"/>
  <c r="N429" i="1"/>
  <c r="N427" i="1"/>
  <c r="N425" i="1"/>
  <c r="N423" i="1"/>
  <c r="N421" i="1"/>
  <c r="N419" i="1"/>
  <c r="N417" i="1"/>
  <c r="N415" i="1"/>
  <c r="N413" i="1"/>
  <c r="N411" i="1"/>
  <c r="N409" i="1"/>
  <c r="N407" i="1"/>
  <c r="N405" i="1"/>
  <c r="N403" i="1"/>
  <c r="N401" i="1"/>
  <c r="N399" i="1"/>
  <c r="N397" i="1"/>
  <c r="N395" i="1"/>
  <c r="N393" i="1"/>
  <c r="N391" i="1"/>
  <c r="N389" i="1"/>
  <c r="N387" i="1"/>
  <c r="N385" i="1"/>
  <c r="N383" i="1"/>
  <c r="N381" i="1"/>
  <c r="N379" i="1"/>
  <c r="N377" i="1"/>
  <c r="N375" i="1"/>
  <c r="N373" i="1"/>
  <c r="N371" i="1"/>
  <c r="N369" i="1"/>
  <c r="N367" i="1"/>
  <c r="N365" i="1"/>
  <c r="N363" i="1"/>
  <c r="N361" i="1"/>
  <c r="N359" i="1"/>
  <c r="N357" i="1"/>
  <c r="N953" i="1"/>
  <c r="N918" i="1"/>
  <c r="N886" i="1"/>
  <c r="N854" i="1"/>
  <c r="N822" i="1"/>
  <c r="N790" i="1"/>
  <c r="N758" i="1"/>
  <c r="N726" i="1"/>
  <c r="N707" i="1"/>
  <c r="N699" i="1"/>
  <c r="N691" i="1"/>
  <c r="N683" i="1"/>
  <c r="N675" i="1"/>
  <c r="N667" i="1"/>
  <c r="N659" i="1"/>
  <c r="N651" i="1"/>
  <c r="N643" i="1"/>
  <c r="N635" i="1"/>
  <c r="N627" i="1"/>
  <c r="N619" i="1"/>
  <c r="N613" i="1"/>
  <c r="N609" i="1"/>
  <c r="N605" i="1"/>
  <c r="N601" i="1"/>
  <c r="N597" i="1"/>
  <c r="N593" i="1"/>
  <c r="N589" i="1"/>
  <c r="N585" i="1"/>
  <c r="N581" i="1"/>
  <c r="N577" i="1"/>
  <c r="N573" i="1"/>
  <c r="N569" i="1"/>
  <c r="N565" i="1"/>
  <c r="N561" i="1"/>
  <c r="N557" i="1"/>
  <c r="N553" i="1"/>
  <c r="N549" i="1"/>
  <c r="N545" i="1"/>
  <c r="N541" i="1"/>
  <c r="N537" i="1"/>
  <c r="N533" i="1"/>
  <c r="N529" i="1"/>
  <c r="M526" i="1"/>
  <c r="N523" i="1"/>
  <c r="M521" i="1"/>
  <c r="M519" i="1"/>
  <c r="M517" i="1"/>
  <c r="M515" i="1"/>
  <c r="M513" i="1"/>
  <c r="M511" i="1"/>
  <c r="M509" i="1"/>
  <c r="M507" i="1"/>
  <c r="M505" i="1"/>
  <c r="M503" i="1"/>
  <c r="M501" i="1"/>
  <c r="M499" i="1"/>
  <c r="M497" i="1"/>
  <c r="M495" i="1"/>
  <c r="M493" i="1"/>
  <c r="M491" i="1"/>
  <c r="M489" i="1"/>
  <c r="M487" i="1"/>
  <c r="M485" i="1"/>
  <c r="M483" i="1"/>
  <c r="M481" i="1"/>
  <c r="M479" i="1"/>
  <c r="M477" i="1"/>
  <c r="M475" i="1"/>
  <c r="M473" i="1"/>
  <c r="M471" i="1"/>
  <c r="M469" i="1"/>
  <c r="M467" i="1"/>
  <c r="M465" i="1"/>
  <c r="M463" i="1"/>
  <c r="M461" i="1"/>
  <c r="M459" i="1"/>
  <c r="M457" i="1"/>
  <c r="M455" i="1"/>
  <c r="M453" i="1"/>
  <c r="M451" i="1"/>
  <c r="M449" i="1"/>
  <c r="M447" i="1"/>
  <c r="M445" i="1"/>
  <c r="M443" i="1"/>
  <c r="M441" i="1"/>
  <c r="M439" i="1"/>
  <c r="M437" i="1"/>
  <c r="M435" i="1"/>
  <c r="M433" i="1"/>
  <c r="M431" i="1"/>
  <c r="M429" i="1"/>
  <c r="M427" i="1"/>
  <c r="M425" i="1"/>
  <c r="M423" i="1"/>
  <c r="M421" i="1"/>
  <c r="M419" i="1"/>
  <c r="M417" i="1"/>
  <c r="M415" i="1"/>
  <c r="M413" i="1"/>
  <c r="M411" i="1"/>
  <c r="M409" i="1"/>
  <c r="M407" i="1"/>
  <c r="M405" i="1"/>
  <c r="M403" i="1"/>
  <c r="M401" i="1"/>
  <c r="M399" i="1"/>
  <c r="M397" i="1"/>
  <c r="M395" i="1"/>
  <c r="M393" i="1"/>
  <c r="M391" i="1"/>
  <c r="M389" i="1"/>
  <c r="M387" i="1"/>
  <c r="M385" i="1"/>
  <c r="M383" i="1"/>
  <c r="M381" i="1"/>
  <c r="M379" i="1"/>
  <c r="M377" i="1"/>
  <c r="M375" i="1"/>
  <c r="N942" i="1"/>
  <c r="N910" i="1"/>
  <c r="N878" i="1"/>
  <c r="N846" i="1"/>
  <c r="N814" i="1"/>
  <c r="N782" i="1"/>
  <c r="N750" i="1"/>
  <c r="N718" i="1"/>
  <c r="N705" i="1"/>
  <c r="N697" i="1"/>
  <c r="N689" i="1"/>
  <c r="N681" i="1"/>
  <c r="N673" i="1"/>
  <c r="N665" i="1"/>
  <c r="N657" i="1"/>
  <c r="N649" i="1"/>
  <c r="N641" i="1"/>
  <c r="N633" i="1"/>
  <c r="N625" i="1"/>
  <c r="N617" i="1"/>
  <c r="M613" i="1"/>
  <c r="M609" i="1"/>
  <c r="M605" i="1"/>
  <c r="M601" i="1"/>
  <c r="M597" i="1"/>
  <c r="M593" i="1"/>
  <c r="M589" i="1"/>
  <c r="M585" i="1"/>
  <c r="M581" i="1"/>
  <c r="M577" i="1"/>
  <c r="M573" i="1"/>
  <c r="M569" i="1"/>
  <c r="M565" i="1"/>
  <c r="M561" i="1"/>
  <c r="M557" i="1"/>
  <c r="M553" i="1"/>
  <c r="M549" i="1"/>
  <c r="M545" i="1"/>
  <c r="M541" i="1"/>
  <c r="M537" i="1"/>
  <c r="M533" i="1"/>
  <c r="M529" i="1"/>
  <c r="N525" i="1"/>
  <c r="M523" i="1"/>
  <c r="N520" i="1"/>
  <c r="N518" i="1"/>
  <c r="N516" i="1"/>
  <c r="N514" i="1"/>
  <c r="N512" i="1"/>
  <c r="N510" i="1"/>
  <c r="N508" i="1"/>
  <c r="N506" i="1"/>
  <c r="N504" i="1"/>
  <c r="N502" i="1"/>
  <c r="N500" i="1"/>
  <c r="N498" i="1"/>
  <c r="N496" i="1"/>
  <c r="N494" i="1"/>
  <c r="N492" i="1"/>
  <c r="N490" i="1"/>
  <c r="N488" i="1"/>
  <c r="N486" i="1"/>
  <c r="N484" i="1"/>
  <c r="N482" i="1"/>
  <c r="N480" i="1"/>
  <c r="N478" i="1"/>
  <c r="N476" i="1"/>
  <c r="N474" i="1"/>
  <c r="N472" i="1"/>
  <c r="N470" i="1"/>
  <c r="N468" i="1"/>
  <c r="N466" i="1"/>
  <c r="N464" i="1"/>
  <c r="N462" i="1"/>
  <c r="N460" i="1"/>
  <c r="N458" i="1"/>
  <c r="N456" i="1"/>
  <c r="N454" i="1"/>
  <c r="N452" i="1"/>
  <c r="N450" i="1"/>
  <c r="N448" i="1"/>
  <c r="N446" i="1"/>
  <c r="N444" i="1"/>
  <c r="N442" i="1"/>
  <c r="N440" i="1"/>
  <c r="N438" i="1"/>
  <c r="N436" i="1"/>
  <c r="N434" i="1"/>
  <c r="N432" i="1"/>
  <c r="N430" i="1"/>
  <c r="N428" i="1"/>
  <c r="N426" i="1"/>
  <c r="N424" i="1"/>
  <c r="N422" i="1"/>
  <c r="N420" i="1"/>
  <c r="N418" i="1"/>
  <c r="N416" i="1"/>
  <c r="N414" i="1"/>
  <c r="N412" i="1"/>
  <c r="N410" i="1"/>
  <c r="N408" i="1"/>
  <c r="N406" i="1"/>
  <c r="N404" i="1"/>
  <c r="N402" i="1"/>
  <c r="N400" i="1"/>
  <c r="N398" i="1"/>
  <c r="N396" i="1"/>
  <c r="N394" i="1"/>
  <c r="N392" i="1"/>
  <c r="N390" i="1"/>
  <c r="N388" i="1"/>
  <c r="N386" i="1"/>
  <c r="N384" i="1"/>
  <c r="N382" i="1"/>
  <c r="N380" i="1"/>
  <c r="N378" i="1"/>
  <c r="N376" i="1"/>
  <c r="N374" i="1"/>
  <c r="N372" i="1"/>
  <c r="N370" i="1"/>
  <c r="N368" i="1"/>
  <c r="N366" i="1"/>
  <c r="N364" i="1"/>
  <c r="N362" i="1"/>
  <c r="N360" i="1"/>
  <c r="N358" i="1"/>
  <c r="N356" i="1"/>
  <c r="N354" i="1"/>
  <c r="N352" i="1"/>
  <c r="N350" i="1"/>
  <c r="N348" i="1"/>
  <c r="N346" i="1"/>
  <c r="N344" i="1"/>
  <c r="N342" i="1"/>
  <c r="N340" i="1"/>
  <c r="N338" i="1"/>
  <c r="N336" i="1"/>
  <c r="N334" i="1"/>
  <c r="N332" i="1"/>
  <c r="N330" i="1"/>
  <c r="N328" i="1"/>
  <c r="N326" i="1"/>
  <c r="N324" i="1"/>
  <c r="N322" i="1"/>
  <c r="N320" i="1"/>
  <c r="N318" i="1"/>
  <c r="N934" i="1"/>
  <c r="N806" i="1"/>
  <c r="N703" i="1"/>
  <c r="N671" i="1"/>
  <c r="N639" i="1"/>
  <c r="N611" i="1"/>
  <c r="N595" i="1"/>
  <c r="N579" i="1"/>
  <c r="N563" i="1"/>
  <c r="N547" i="1"/>
  <c r="N531" i="1"/>
  <c r="M520" i="1"/>
  <c r="M512" i="1"/>
  <c r="M504" i="1"/>
  <c r="M496" i="1"/>
  <c r="M488" i="1"/>
  <c r="M480" i="1"/>
  <c r="M472" i="1"/>
  <c r="M464" i="1"/>
  <c r="M456" i="1"/>
  <c r="M448" i="1"/>
  <c r="M440" i="1"/>
  <c r="M432" i="1"/>
  <c r="M424" i="1"/>
  <c r="M416" i="1"/>
  <c r="M408" i="1"/>
  <c r="M400" i="1"/>
  <c r="M392" i="1"/>
  <c r="M384" i="1"/>
  <c r="M376" i="1"/>
  <c r="M371" i="1"/>
  <c r="M367" i="1"/>
  <c r="M363" i="1"/>
  <c r="M359" i="1"/>
  <c r="N355" i="1"/>
  <c r="M353" i="1"/>
  <c r="M350" i="1"/>
  <c r="N347" i="1"/>
  <c r="M345" i="1"/>
  <c r="M342" i="1"/>
  <c r="N339" i="1"/>
  <c r="M337" i="1"/>
  <c r="M334" i="1"/>
  <c r="N331" i="1"/>
  <c r="M329" i="1"/>
  <c r="M326" i="1"/>
  <c r="N323" i="1"/>
  <c r="M321" i="1"/>
  <c r="M318" i="1"/>
  <c r="M316" i="1"/>
  <c r="M314" i="1"/>
  <c r="M312" i="1"/>
  <c r="M310" i="1"/>
  <c r="M308" i="1"/>
  <c r="M306" i="1"/>
  <c r="M304" i="1"/>
  <c r="M302" i="1"/>
  <c r="M300" i="1"/>
  <c r="M298" i="1"/>
  <c r="M296" i="1"/>
  <c r="M294" i="1"/>
  <c r="M292" i="1"/>
  <c r="M290" i="1"/>
  <c r="M288" i="1"/>
  <c r="M286" i="1"/>
  <c r="M284" i="1"/>
  <c r="M282" i="1"/>
  <c r="M280" i="1"/>
  <c r="M278" i="1"/>
  <c r="M276" i="1"/>
  <c r="M274" i="1"/>
  <c r="M272" i="1"/>
  <c r="M270" i="1"/>
  <c r="M268" i="1"/>
  <c r="M266" i="1"/>
  <c r="M264" i="1"/>
  <c r="M262" i="1"/>
  <c r="M260" i="1"/>
  <c r="M258" i="1"/>
  <c r="M256" i="1"/>
  <c r="M254" i="1"/>
  <c r="M252" i="1"/>
  <c r="M250" i="1"/>
  <c r="M248" i="1"/>
  <c r="M246" i="1"/>
  <c r="M244" i="1"/>
  <c r="M242" i="1"/>
  <c r="M240" i="1"/>
  <c r="M238" i="1"/>
  <c r="M236" i="1"/>
  <c r="M234" i="1"/>
  <c r="M232" i="1"/>
  <c r="M230" i="1"/>
  <c r="M228" i="1"/>
  <c r="M226" i="1"/>
  <c r="M224" i="1"/>
  <c r="M222" i="1"/>
  <c r="M220" i="1"/>
  <c r="M218" i="1"/>
  <c r="M216" i="1"/>
  <c r="M214" i="1"/>
  <c r="M212" i="1"/>
  <c r="M210" i="1"/>
  <c r="M208" i="1"/>
  <c r="M206" i="1"/>
  <c r="M204" i="1"/>
  <c r="M202" i="1"/>
  <c r="M200" i="1"/>
  <c r="M198" i="1"/>
  <c r="M196" i="1"/>
  <c r="M194" i="1"/>
  <c r="M192" i="1"/>
  <c r="M190" i="1"/>
  <c r="M188" i="1"/>
  <c r="M186" i="1"/>
  <c r="M184" i="1"/>
  <c r="M182" i="1"/>
  <c r="M180" i="1"/>
  <c r="M178" i="1"/>
  <c r="M176" i="1"/>
  <c r="M174" i="1"/>
  <c r="M172" i="1"/>
  <c r="M170" i="1"/>
  <c r="M168" i="1"/>
  <c r="M166" i="1"/>
  <c r="M164" i="1"/>
  <c r="M162" i="1"/>
  <c r="M160" i="1"/>
  <c r="M158" i="1"/>
  <c r="M156" i="1"/>
  <c r="M154" i="1"/>
  <c r="M152" i="1"/>
  <c r="M150" i="1"/>
  <c r="M148" i="1"/>
  <c r="M146" i="1"/>
  <c r="M144" i="1"/>
  <c r="M142" i="1"/>
  <c r="M140" i="1"/>
  <c r="M138" i="1"/>
  <c r="M136" i="1"/>
  <c r="M134" i="1"/>
  <c r="M132" i="1"/>
  <c r="M130" i="1"/>
  <c r="M128" i="1"/>
  <c r="M126" i="1"/>
  <c r="M124" i="1"/>
  <c r="M122" i="1"/>
  <c r="M120" i="1"/>
  <c r="M118" i="1"/>
  <c r="M116" i="1"/>
  <c r="M114" i="1"/>
  <c r="M112" i="1"/>
  <c r="M110" i="1"/>
  <c r="M108" i="1"/>
  <c r="M106" i="1"/>
  <c r="M104" i="1"/>
  <c r="M102" i="1"/>
  <c r="M100" i="1"/>
  <c r="M98" i="1"/>
  <c r="M96" i="1"/>
  <c r="M94" i="1"/>
  <c r="M92" i="1"/>
  <c r="M90" i="1"/>
  <c r="M88" i="1"/>
  <c r="M86" i="1"/>
  <c r="M84" i="1"/>
  <c r="M82" i="1"/>
  <c r="M80" i="1"/>
  <c r="M78" i="1"/>
  <c r="M76" i="1"/>
  <c r="M74" i="1"/>
  <c r="M72" i="1"/>
  <c r="M70" i="1"/>
  <c r="M68" i="1"/>
  <c r="M66" i="1"/>
  <c r="M64" i="1"/>
  <c r="M62" i="1"/>
  <c r="M60" i="1"/>
  <c r="M58" i="1"/>
  <c r="M56" i="1"/>
  <c r="M54" i="1"/>
  <c r="M52" i="1"/>
  <c r="M50" i="1"/>
  <c r="M48" i="1"/>
  <c r="M46" i="1"/>
  <c r="M44" i="1"/>
  <c r="M42" i="1"/>
  <c r="M40" i="1"/>
  <c r="M38" i="1"/>
  <c r="M36" i="1"/>
  <c r="M34" i="1"/>
  <c r="M32" i="1"/>
  <c r="M30" i="1"/>
  <c r="M28" i="1"/>
  <c r="M26" i="1"/>
  <c r="M24" i="1"/>
  <c r="M22" i="1"/>
  <c r="M20" i="1"/>
  <c r="M18" i="1"/>
  <c r="M16" i="1"/>
  <c r="M14" i="1"/>
  <c r="M12" i="1"/>
  <c r="M10" i="1"/>
  <c r="M8" i="1"/>
  <c r="M6" i="1"/>
  <c r="M4" i="1"/>
  <c r="M2" i="1"/>
  <c r="M458" i="1"/>
  <c r="M386" i="1"/>
  <c r="M368" i="1"/>
  <c r="N353" i="1"/>
  <c r="N345" i="1"/>
  <c r="N337" i="1"/>
  <c r="N329" i="1"/>
  <c r="N321" i="1"/>
  <c r="N314" i="1"/>
  <c r="N310" i="1"/>
  <c r="N302" i="1"/>
  <c r="N296" i="1"/>
  <c r="N292" i="1"/>
  <c r="N286" i="1"/>
  <c r="N280" i="1"/>
  <c r="N276" i="1"/>
  <c r="N270" i="1"/>
  <c r="N260" i="1"/>
  <c r="N254" i="1"/>
  <c r="N250" i="1"/>
  <c r="N246" i="1"/>
  <c r="N240" i="1"/>
  <c r="N234" i="1"/>
  <c r="N228" i="1"/>
  <c r="N220" i="1"/>
  <c r="N216" i="1"/>
  <c r="N210" i="1"/>
  <c r="N206" i="1"/>
  <c r="N902" i="1"/>
  <c r="N774" i="1"/>
  <c r="N695" i="1"/>
  <c r="N663" i="1"/>
  <c r="N631" i="1"/>
  <c r="N607" i="1"/>
  <c r="N591" i="1"/>
  <c r="N575" i="1"/>
  <c r="N559" i="1"/>
  <c r="N543" i="1"/>
  <c r="N527" i="1"/>
  <c r="M518" i="1"/>
  <c r="M510" i="1"/>
  <c r="M502" i="1"/>
  <c r="M494" i="1"/>
  <c r="M486" i="1"/>
  <c r="M478" i="1"/>
  <c r="M470" i="1"/>
  <c r="M462" i="1"/>
  <c r="M454" i="1"/>
  <c r="M446" i="1"/>
  <c r="M438" i="1"/>
  <c r="M430" i="1"/>
  <c r="M422" i="1"/>
  <c r="M414" i="1"/>
  <c r="M406" i="1"/>
  <c r="M398" i="1"/>
  <c r="M390" i="1"/>
  <c r="M382" i="1"/>
  <c r="M374" i="1"/>
  <c r="M370" i="1"/>
  <c r="M366" i="1"/>
  <c r="M362" i="1"/>
  <c r="M358" i="1"/>
  <c r="M355" i="1"/>
  <c r="M352" i="1"/>
  <c r="N349" i="1"/>
  <c r="M347" i="1"/>
  <c r="M344" i="1"/>
  <c r="N341" i="1"/>
  <c r="M339" i="1"/>
  <c r="M336" i="1"/>
  <c r="N333" i="1"/>
  <c r="M331" i="1"/>
  <c r="M328" i="1"/>
  <c r="N325" i="1"/>
  <c r="M323" i="1"/>
  <c r="M320" i="1"/>
  <c r="N317" i="1"/>
  <c r="N315" i="1"/>
  <c r="N313" i="1"/>
  <c r="N311" i="1"/>
  <c r="N309" i="1"/>
  <c r="N307" i="1"/>
  <c r="N305" i="1"/>
  <c r="N303" i="1"/>
  <c r="N301" i="1"/>
  <c r="N299" i="1"/>
  <c r="N297" i="1"/>
  <c r="N295" i="1"/>
  <c r="N293" i="1"/>
  <c r="N291" i="1"/>
  <c r="N289" i="1"/>
  <c r="N287" i="1"/>
  <c r="N285" i="1"/>
  <c r="N283" i="1"/>
  <c r="N281" i="1"/>
  <c r="N279" i="1"/>
  <c r="N277" i="1"/>
  <c r="N275" i="1"/>
  <c r="N273" i="1"/>
  <c r="N271" i="1"/>
  <c r="N269" i="1"/>
  <c r="N267" i="1"/>
  <c r="N265" i="1"/>
  <c r="N263" i="1"/>
  <c r="N261" i="1"/>
  <c r="N259" i="1"/>
  <c r="N257" i="1"/>
  <c r="N255" i="1"/>
  <c r="N253" i="1"/>
  <c r="N251" i="1"/>
  <c r="N249" i="1"/>
  <c r="N247" i="1"/>
  <c r="N245" i="1"/>
  <c r="N243" i="1"/>
  <c r="N241" i="1"/>
  <c r="N239" i="1"/>
  <c r="N237" i="1"/>
  <c r="N235" i="1"/>
  <c r="N233" i="1"/>
  <c r="N231" i="1"/>
  <c r="N229" i="1"/>
  <c r="N227" i="1"/>
  <c r="N225" i="1"/>
  <c r="N223" i="1"/>
  <c r="N221" i="1"/>
  <c r="N219" i="1"/>
  <c r="N217" i="1"/>
  <c r="N215" i="1"/>
  <c r="N213" i="1"/>
  <c r="N211" i="1"/>
  <c r="N209" i="1"/>
  <c r="N207" i="1"/>
  <c r="N205" i="1"/>
  <c r="N203" i="1"/>
  <c r="N201" i="1"/>
  <c r="N199" i="1"/>
  <c r="N197" i="1"/>
  <c r="N195" i="1"/>
  <c r="N193" i="1"/>
  <c r="N191" i="1"/>
  <c r="N189" i="1"/>
  <c r="N187" i="1"/>
  <c r="N185" i="1"/>
  <c r="N183" i="1"/>
  <c r="N181" i="1"/>
  <c r="N179" i="1"/>
  <c r="N177" i="1"/>
  <c r="N175" i="1"/>
  <c r="N173" i="1"/>
  <c r="N171" i="1"/>
  <c r="N169" i="1"/>
  <c r="N167" i="1"/>
  <c r="N165" i="1"/>
  <c r="N163" i="1"/>
  <c r="N161" i="1"/>
  <c r="N159" i="1"/>
  <c r="N157" i="1"/>
  <c r="N155" i="1"/>
  <c r="N153" i="1"/>
  <c r="N151" i="1"/>
  <c r="N149" i="1"/>
  <c r="N147" i="1"/>
  <c r="N145" i="1"/>
  <c r="N143" i="1"/>
  <c r="N141" i="1"/>
  <c r="N139" i="1"/>
  <c r="N137" i="1"/>
  <c r="N135" i="1"/>
  <c r="N133" i="1"/>
  <c r="N131" i="1"/>
  <c r="N129" i="1"/>
  <c r="N127" i="1"/>
  <c r="N125" i="1"/>
  <c r="N123" i="1"/>
  <c r="N121" i="1"/>
  <c r="N119" i="1"/>
  <c r="N117" i="1"/>
  <c r="N115" i="1"/>
  <c r="N113" i="1"/>
  <c r="N111" i="1"/>
  <c r="N109" i="1"/>
  <c r="N107" i="1"/>
  <c r="N105" i="1"/>
  <c r="N103" i="1"/>
  <c r="N101" i="1"/>
  <c r="N99" i="1"/>
  <c r="N97" i="1"/>
  <c r="N95" i="1"/>
  <c r="N93" i="1"/>
  <c r="N91" i="1"/>
  <c r="N89" i="1"/>
  <c r="N87" i="1"/>
  <c r="N85" i="1"/>
  <c r="N83" i="1"/>
  <c r="N81" i="1"/>
  <c r="N79" i="1"/>
  <c r="N77" i="1"/>
  <c r="N75" i="1"/>
  <c r="N73" i="1"/>
  <c r="N71" i="1"/>
  <c r="N69" i="1"/>
  <c r="N67" i="1"/>
  <c r="N65" i="1"/>
  <c r="N63" i="1"/>
  <c r="N61" i="1"/>
  <c r="N59" i="1"/>
  <c r="N57" i="1"/>
  <c r="N55" i="1"/>
  <c r="N53" i="1"/>
  <c r="N51" i="1"/>
  <c r="N49" i="1"/>
  <c r="N47" i="1"/>
  <c r="N45" i="1"/>
  <c r="N43" i="1"/>
  <c r="N41" i="1"/>
  <c r="N39" i="1"/>
  <c r="N37" i="1"/>
  <c r="N35" i="1"/>
  <c r="N33" i="1"/>
  <c r="N31" i="1"/>
  <c r="N29" i="1"/>
  <c r="N27" i="1"/>
  <c r="N25" i="1"/>
  <c r="N23" i="1"/>
  <c r="N21" i="1"/>
  <c r="N19" i="1"/>
  <c r="N17" i="1"/>
  <c r="N15" i="1"/>
  <c r="N13" i="1"/>
  <c r="N11" i="1"/>
  <c r="N9" i="1"/>
  <c r="N7" i="1"/>
  <c r="N5" i="1"/>
  <c r="N3" i="1"/>
  <c r="M450" i="1"/>
  <c r="M378" i="1"/>
  <c r="M364" i="1"/>
  <c r="M356" i="1"/>
  <c r="M348" i="1"/>
  <c r="M340" i="1"/>
  <c r="M332" i="1"/>
  <c r="M324" i="1"/>
  <c r="N316" i="1"/>
  <c r="N308" i="1"/>
  <c r="N304" i="1"/>
  <c r="N300" i="1"/>
  <c r="N294" i="1"/>
  <c r="N288" i="1"/>
  <c r="N282" i="1"/>
  <c r="N274" i="1"/>
  <c r="N268" i="1"/>
  <c r="N264" i="1"/>
  <c r="N258" i="1"/>
  <c r="N248" i="1"/>
  <c r="N244" i="1"/>
  <c r="N238" i="1"/>
  <c r="N232" i="1"/>
  <c r="N226" i="1"/>
  <c r="N222" i="1"/>
  <c r="N214" i="1"/>
  <c r="N208" i="1"/>
  <c r="N202" i="1"/>
  <c r="N870" i="1"/>
  <c r="N742" i="1"/>
  <c r="N687" i="1"/>
  <c r="N655" i="1"/>
  <c r="N623" i="1"/>
  <c r="N603" i="1"/>
  <c r="N587" i="1"/>
  <c r="N571" i="1"/>
  <c r="N555" i="1"/>
  <c r="N539" i="1"/>
  <c r="M525" i="1"/>
  <c r="M516" i="1"/>
  <c r="M508" i="1"/>
  <c r="M500" i="1"/>
  <c r="M492" i="1"/>
  <c r="M484" i="1"/>
  <c r="M476" i="1"/>
  <c r="M468" i="1"/>
  <c r="M460" i="1"/>
  <c r="M452" i="1"/>
  <c r="M444" i="1"/>
  <c r="M436" i="1"/>
  <c r="M428" i="1"/>
  <c r="M420" i="1"/>
  <c r="M412" i="1"/>
  <c r="M404" i="1"/>
  <c r="M396" i="1"/>
  <c r="M388" i="1"/>
  <c r="M380" i="1"/>
  <c r="M373" i="1"/>
  <c r="M369" i="1"/>
  <c r="M365" i="1"/>
  <c r="M361" i="1"/>
  <c r="M357" i="1"/>
  <c r="M354" i="1"/>
  <c r="N351" i="1"/>
  <c r="M349" i="1"/>
  <c r="M346" i="1"/>
  <c r="N343" i="1"/>
  <c r="M341" i="1"/>
  <c r="M338" i="1"/>
  <c r="N335" i="1"/>
  <c r="M333" i="1"/>
  <c r="M330" i="1"/>
  <c r="N327" i="1"/>
  <c r="M325" i="1"/>
  <c r="M322" i="1"/>
  <c r="N319" i="1"/>
  <c r="M317" i="1"/>
  <c r="M315" i="1"/>
  <c r="M313" i="1"/>
  <c r="M311" i="1"/>
  <c r="M309" i="1"/>
  <c r="M307" i="1"/>
  <c r="M305" i="1"/>
  <c r="M303" i="1"/>
  <c r="M301" i="1"/>
  <c r="M299" i="1"/>
  <c r="M297" i="1"/>
  <c r="M295" i="1"/>
  <c r="M293" i="1"/>
  <c r="M291" i="1"/>
  <c r="M289" i="1"/>
  <c r="M287" i="1"/>
  <c r="M285" i="1"/>
  <c r="M283" i="1"/>
  <c r="M281" i="1"/>
  <c r="M279" i="1"/>
  <c r="M277" i="1"/>
  <c r="M275" i="1"/>
  <c r="M273" i="1"/>
  <c r="M271" i="1"/>
  <c r="M269" i="1"/>
  <c r="M267" i="1"/>
  <c r="M265" i="1"/>
  <c r="M263" i="1"/>
  <c r="M261" i="1"/>
  <c r="M259" i="1"/>
  <c r="M257" i="1"/>
  <c r="M255" i="1"/>
  <c r="M253" i="1"/>
  <c r="M251" i="1"/>
  <c r="M249" i="1"/>
  <c r="M247" i="1"/>
  <c r="M245" i="1"/>
  <c r="M243" i="1"/>
  <c r="M241" i="1"/>
  <c r="M239" i="1"/>
  <c r="M237" i="1"/>
  <c r="M235" i="1"/>
  <c r="M233" i="1"/>
  <c r="M231" i="1"/>
  <c r="M229" i="1"/>
  <c r="M227" i="1"/>
  <c r="M225" i="1"/>
  <c r="M223" i="1"/>
  <c r="M221" i="1"/>
  <c r="M219" i="1"/>
  <c r="M217" i="1"/>
  <c r="M215" i="1"/>
  <c r="M213" i="1"/>
  <c r="M211" i="1"/>
  <c r="M209" i="1"/>
  <c r="M207" i="1"/>
  <c r="M205" i="1"/>
  <c r="M203" i="1"/>
  <c r="M201" i="1"/>
  <c r="M199" i="1"/>
  <c r="M197" i="1"/>
  <c r="M195" i="1"/>
  <c r="M193" i="1"/>
  <c r="M191" i="1"/>
  <c r="M189" i="1"/>
  <c r="M187" i="1"/>
  <c r="M185" i="1"/>
  <c r="M183" i="1"/>
  <c r="M181" i="1"/>
  <c r="M179" i="1"/>
  <c r="M177" i="1"/>
  <c r="M175" i="1"/>
  <c r="M173" i="1"/>
  <c r="M171" i="1"/>
  <c r="M169" i="1"/>
  <c r="M167" i="1"/>
  <c r="M165" i="1"/>
  <c r="M163" i="1"/>
  <c r="M161" i="1"/>
  <c r="M159" i="1"/>
  <c r="M157" i="1"/>
  <c r="M155" i="1"/>
  <c r="M153" i="1"/>
  <c r="M151" i="1"/>
  <c r="M149" i="1"/>
  <c r="M147" i="1"/>
  <c r="M145" i="1"/>
  <c r="M143" i="1"/>
  <c r="M141" i="1"/>
  <c r="M139" i="1"/>
  <c r="M137" i="1"/>
  <c r="M135" i="1"/>
  <c r="M133" i="1"/>
  <c r="M131" i="1"/>
  <c r="M129" i="1"/>
  <c r="M127" i="1"/>
  <c r="M125" i="1"/>
  <c r="M123" i="1"/>
  <c r="M121" i="1"/>
  <c r="M119" i="1"/>
  <c r="M117" i="1"/>
  <c r="M115" i="1"/>
  <c r="M113" i="1"/>
  <c r="M111" i="1"/>
  <c r="M109" i="1"/>
  <c r="M107" i="1"/>
  <c r="M105" i="1"/>
  <c r="M103" i="1"/>
  <c r="M101" i="1"/>
  <c r="M99" i="1"/>
  <c r="M97" i="1"/>
  <c r="M95" i="1"/>
  <c r="M93" i="1"/>
  <c r="M91" i="1"/>
  <c r="M89" i="1"/>
  <c r="M87" i="1"/>
  <c r="M85" i="1"/>
  <c r="M83" i="1"/>
  <c r="M81" i="1"/>
  <c r="M79" i="1"/>
  <c r="M77" i="1"/>
  <c r="M75" i="1"/>
  <c r="M73" i="1"/>
  <c r="M71" i="1"/>
  <c r="M69" i="1"/>
  <c r="M67" i="1"/>
  <c r="M65" i="1"/>
  <c r="M63" i="1"/>
  <c r="M61" i="1"/>
  <c r="M59" i="1"/>
  <c r="M57" i="1"/>
  <c r="M55" i="1"/>
  <c r="M53" i="1"/>
  <c r="M51" i="1"/>
  <c r="M49" i="1"/>
  <c r="M47" i="1"/>
  <c r="M45" i="1"/>
  <c r="M43" i="1"/>
  <c r="M41" i="1"/>
  <c r="M39" i="1"/>
  <c r="M37" i="1"/>
  <c r="M35" i="1"/>
  <c r="M33" i="1"/>
  <c r="M31" i="1"/>
  <c r="M29" i="1"/>
  <c r="M27" i="1"/>
  <c r="M25" i="1"/>
  <c r="M23" i="1"/>
  <c r="M21" i="1"/>
  <c r="M19" i="1"/>
  <c r="M17" i="1"/>
  <c r="M15" i="1"/>
  <c r="M13" i="1"/>
  <c r="M11" i="1"/>
  <c r="M9" i="1"/>
  <c r="M7" i="1"/>
  <c r="M5" i="1"/>
  <c r="M3" i="1"/>
  <c r="N838" i="1"/>
  <c r="M712" i="1"/>
  <c r="N679" i="1"/>
  <c r="N647" i="1"/>
  <c r="N615" i="1"/>
  <c r="N599" i="1"/>
  <c r="N583" i="1"/>
  <c r="N567" i="1"/>
  <c r="N551" i="1"/>
  <c r="N535" i="1"/>
  <c r="M522" i="1"/>
  <c r="M514" i="1"/>
  <c r="M506" i="1"/>
  <c r="M498" i="1"/>
  <c r="M490" i="1"/>
  <c r="M482" i="1"/>
  <c r="M474" i="1"/>
  <c r="M466" i="1"/>
  <c r="M442" i="1"/>
  <c r="M434" i="1"/>
  <c r="M426" i="1"/>
  <c r="M418" i="1"/>
  <c r="M410" i="1"/>
  <c r="M402" i="1"/>
  <c r="M394" i="1"/>
  <c r="M372" i="1"/>
  <c r="M360" i="1"/>
  <c r="M351" i="1"/>
  <c r="M343" i="1"/>
  <c r="M335" i="1"/>
  <c r="M327" i="1"/>
  <c r="M319" i="1"/>
  <c r="N312" i="1"/>
  <c r="N306" i="1"/>
  <c r="N298" i="1"/>
  <c r="N290" i="1"/>
  <c r="N284" i="1"/>
  <c r="N278" i="1"/>
  <c r="N272" i="1"/>
  <c r="N266" i="1"/>
  <c r="N262" i="1"/>
  <c r="N256" i="1"/>
  <c r="N252" i="1"/>
  <c r="N242" i="1"/>
  <c r="N236" i="1"/>
  <c r="N230" i="1"/>
  <c r="N224" i="1"/>
  <c r="N218" i="1"/>
  <c r="N212" i="1"/>
  <c r="N204" i="1"/>
  <c r="N194" i="1"/>
  <c r="N186" i="1"/>
  <c r="N178" i="1"/>
  <c r="N170" i="1"/>
  <c r="N162" i="1"/>
  <c r="N154" i="1"/>
  <c r="N146" i="1"/>
  <c r="N138" i="1"/>
  <c r="N130" i="1"/>
  <c r="N122" i="1"/>
  <c r="N114" i="1"/>
  <c r="N106" i="1"/>
  <c r="N98" i="1"/>
  <c r="N90" i="1"/>
  <c r="N82" i="1"/>
  <c r="N74" i="1"/>
  <c r="N66" i="1"/>
  <c r="N58" i="1"/>
  <c r="N50" i="1"/>
  <c r="N42" i="1"/>
  <c r="N34" i="1"/>
  <c r="N26" i="1"/>
  <c r="N18" i="1"/>
  <c r="N10" i="1"/>
  <c r="N2" i="1"/>
  <c r="N148" i="1"/>
  <c r="N116" i="1"/>
  <c r="N84" i="1"/>
  <c r="N60" i="1"/>
  <c r="N36" i="1"/>
  <c r="N12" i="1"/>
  <c r="N200" i="1"/>
  <c r="N192" i="1"/>
  <c r="N184" i="1"/>
  <c r="N176" i="1"/>
  <c r="N168" i="1"/>
  <c r="N160" i="1"/>
  <c r="N152" i="1"/>
  <c r="N144" i="1"/>
  <c r="N136" i="1"/>
  <c r="N128" i="1"/>
  <c r="N120" i="1"/>
  <c r="N112" i="1"/>
  <c r="N104" i="1"/>
  <c r="N96" i="1"/>
  <c r="N88" i="1"/>
  <c r="N80" i="1"/>
  <c r="N72" i="1"/>
  <c r="N64" i="1"/>
  <c r="N56" i="1"/>
  <c r="N48" i="1"/>
  <c r="N40" i="1"/>
  <c r="N32" i="1"/>
  <c r="N24" i="1"/>
  <c r="N16" i="1"/>
  <c r="N8" i="1"/>
  <c r="N188" i="1"/>
  <c r="N180" i="1"/>
  <c r="N164" i="1"/>
  <c r="N132" i="1"/>
  <c r="N108" i="1"/>
  <c r="N92" i="1"/>
  <c r="N68" i="1"/>
  <c r="N44" i="1"/>
  <c r="N20" i="1"/>
  <c r="N198" i="1"/>
  <c r="N190" i="1"/>
  <c r="N182" i="1"/>
  <c r="N174" i="1"/>
  <c r="N166" i="1"/>
  <c r="N158" i="1"/>
  <c r="N150" i="1"/>
  <c r="N142" i="1"/>
  <c r="N134" i="1"/>
  <c r="N126" i="1"/>
  <c r="N118" i="1"/>
  <c r="N110" i="1"/>
  <c r="N102" i="1"/>
  <c r="N94" i="1"/>
  <c r="N86" i="1"/>
  <c r="N78" i="1"/>
  <c r="N70" i="1"/>
  <c r="N62" i="1"/>
  <c r="N54" i="1"/>
  <c r="N46" i="1"/>
  <c r="N38" i="1"/>
  <c r="N30" i="1"/>
  <c r="N22" i="1"/>
  <c r="N14" i="1"/>
  <c r="N6" i="1"/>
  <c r="N196" i="1"/>
  <c r="N172" i="1"/>
  <c r="N156" i="1"/>
  <c r="N140" i="1"/>
  <c r="N124" i="1"/>
  <c r="N100" i="1"/>
  <c r="N76" i="1"/>
  <c r="N52" i="1"/>
  <c r="N28" i="1"/>
  <c r="N4" i="1"/>
</calcChain>
</file>

<file path=xl/sharedStrings.xml><?xml version="1.0" encoding="utf-8"?>
<sst xmlns="http://schemas.openxmlformats.org/spreadsheetml/2006/main" count="29633" uniqueCount="3849">
  <si>
    <t>序号</t>
    <phoneticPr fontId="2" type="noConversion"/>
  </si>
  <si>
    <t>代码</t>
  </si>
  <si>
    <t>简称</t>
    <phoneticPr fontId="4" type="noConversion"/>
  </si>
  <si>
    <t>基金全称</t>
    <phoneticPr fontId="4" type="noConversion"/>
  </si>
  <si>
    <t>基金公司</t>
  </si>
  <si>
    <t xml:space="preserve">设立日期
</t>
  </si>
  <si>
    <t>2016年年末（亿）</t>
    <phoneticPr fontId="4" type="noConversion"/>
  </si>
  <si>
    <t>2016年三季度末（亿）</t>
    <phoneticPr fontId="4" type="noConversion"/>
  </si>
  <si>
    <t>鹏华一级分类</t>
    <phoneticPr fontId="4" type="noConversion"/>
  </si>
  <si>
    <t>鹏华二级分类</t>
    <phoneticPr fontId="4" type="noConversion"/>
  </si>
  <si>
    <t>鹏华三级分类</t>
    <phoneticPr fontId="4" type="noConversion"/>
  </si>
  <si>
    <t>鹏华四级分类</t>
  </si>
  <si>
    <t>跟踪标的</t>
    <phoneticPr fontId="4" type="noConversion"/>
  </si>
  <si>
    <t>备注</t>
    <phoneticPr fontId="4" type="noConversion"/>
  </si>
  <si>
    <t>新鹏华二级分类</t>
    <phoneticPr fontId="2" type="noConversion"/>
  </si>
  <si>
    <t>新鹏华三级分类</t>
    <phoneticPr fontId="2" type="noConversion"/>
  </si>
  <si>
    <t>17Q1股票仓位</t>
    <phoneticPr fontId="2" type="noConversion"/>
  </si>
  <si>
    <t>17Q1现任</t>
    <phoneticPr fontId="2" type="noConversion"/>
  </si>
  <si>
    <t>17Q1现任管理年限</t>
    <phoneticPr fontId="2" type="noConversion"/>
  </si>
  <si>
    <t>2016Q4股票仓位</t>
    <phoneticPr fontId="4" type="noConversion"/>
  </si>
  <si>
    <t>现任基金经理</t>
    <phoneticPr fontId="4" type="noConversion"/>
  </si>
  <si>
    <t>现任管理年限</t>
    <phoneticPr fontId="4" type="noConversion"/>
  </si>
  <si>
    <t>YTD收益</t>
    <phoneticPr fontId="4" type="noConversion"/>
  </si>
  <si>
    <t>3年平均收益</t>
    <phoneticPr fontId="4" type="noConversion"/>
  </si>
  <si>
    <t>5年平均收益</t>
    <phoneticPr fontId="4" type="noConversion"/>
  </si>
  <si>
    <t>YTD夏普</t>
    <phoneticPr fontId="4" type="noConversion"/>
  </si>
  <si>
    <t>3年夏普</t>
    <phoneticPr fontId="4" type="noConversion"/>
  </si>
  <si>
    <t>5年夏普</t>
    <phoneticPr fontId="4" type="noConversion"/>
  </si>
  <si>
    <t>业绩基准</t>
    <phoneticPr fontId="4" type="noConversion"/>
  </si>
  <si>
    <t>银河3年评级</t>
    <phoneticPr fontId="4" type="noConversion"/>
  </si>
  <si>
    <t>万得3年评级</t>
    <phoneticPr fontId="4" type="noConversion"/>
  </si>
  <si>
    <t>市场综合评级</t>
    <phoneticPr fontId="4" type="noConversion"/>
  </si>
  <si>
    <t>前端费用</t>
    <phoneticPr fontId="4" type="noConversion"/>
  </si>
  <si>
    <t>后端费用</t>
    <phoneticPr fontId="4" type="noConversion"/>
  </si>
  <si>
    <t>管理费</t>
    <phoneticPr fontId="4" type="noConversion"/>
  </si>
  <si>
    <t>销售服务费</t>
    <phoneticPr fontId="4" type="noConversion"/>
  </si>
  <si>
    <t>新疆前海联合国民健康产业灵活</t>
  </si>
  <si>
    <t>新疆前海联合国民健康产业灵活配置混合型证券投资基金</t>
  </si>
  <si>
    <t>新疆前海联合基金</t>
  </si>
  <si>
    <t>-</t>
    <phoneticPr fontId="4" type="noConversion"/>
  </si>
  <si>
    <t>中国主动型基金</t>
  </si>
  <si>
    <t>股债混合型</t>
  </si>
  <si>
    <t>资产配置型</t>
  </si>
  <si>
    <t>保守配置型</t>
  </si>
  <si>
    <t>偏股型</t>
  </si>
  <si>
    <t>积极主动型基金</t>
  </si>
  <si>
    <t>林材</t>
  </si>
  <si>
    <t>中证医药卫生指数收益率*60%+中债综合指数收益率*40%</t>
  </si>
  <si>
    <t>-</t>
  </si>
  <si>
    <t xml:space="preserve">500万元以上 1000元/笔_x000D_
100万元以下 1%_x000D_
100~500万元 0.6%_x000D_
</t>
  </si>
  <si>
    <t>泰康沪港深价值优选灵活混合</t>
  </si>
  <si>
    <t>泰康沪港深价值优选灵活配置混合型证券投资基金</t>
  </si>
  <si>
    <t>泰康资产管理公司</t>
  </si>
  <si>
    <t>彭一博</t>
  </si>
  <si>
    <t>恒生指数收益率*75%+中债综合全价指数收益率*20%+沪深300指数收益率*5%</t>
  </si>
  <si>
    <t>银华盛世精选灵活配置混合</t>
  </si>
  <si>
    <t>银华盛世精选灵活配置混合型发起式证券投资基金</t>
  </si>
  <si>
    <t>银华基金</t>
  </si>
  <si>
    <t>-</t>
    <phoneticPr fontId="4" type="noConversion"/>
  </si>
  <si>
    <t>李晓星</t>
  </si>
  <si>
    <t>中证800指数收益率*50%+中证综合债券指数收益率*50%</t>
  </si>
  <si>
    <t>华安事件驱动量化策略混合</t>
  </si>
  <si>
    <t>华安事件驱动量化策略混合型证券投资基金</t>
  </si>
  <si>
    <t>华安基金</t>
  </si>
  <si>
    <t>量化基金</t>
  </si>
  <si>
    <t>Alpha基金</t>
  </si>
  <si>
    <t>牛勇,孙晨进</t>
  </si>
  <si>
    <t>中证800指数收益率*75%+中国债券总指数*25%收益率</t>
  </si>
  <si>
    <t xml:space="preserve">500万元以上 1000元/笔_x000D_
500万元以上 1000元/笔,通过基金管理人的直销柜台申购的养老金客户._x000D_
50万元以下 1.5%_x000D_
50~100万元 1.2%_x000D_
100~200万元 0.8%_x000D_
50万元以下 0.6%_x000D_
200~500万元 0.5%_x000D_
50~100万元 0.36%_x000D_
100~200万元 0.16%_x000D_
200~500万元 0.12%_x000D_
</t>
  </si>
  <si>
    <t>中银量化精选灵活配置混合</t>
  </si>
  <si>
    <t>中银量化精选灵活配置混合型证券投资基金</t>
  </si>
  <si>
    <t>中银基金</t>
  </si>
  <si>
    <t>-</t>
    <phoneticPr fontId="4" type="noConversion"/>
  </si>
  <si>
    <t>赵志华</t>
  </si>
  <si>
    <t>中证500指数收益率*75%+中债综合指数收益率*25%</t>
  </si>
  <si>
    <t xml:space="preserve">1000万元以上 1000元/笔_x000D_
1000万元以上 1000元/笔_x000D_
100万元以下 1.5%_x000D_
100~500万元 1%_x000D_
100万元以下 0.6%_x000D_
100~500万元 0.3%_x000D_
500~1000万元 0.3%_x000D_
500~1000万元 0.06%_x000D_
</t>
  </si>
  <si>
    <t>前海开源沪港深核心驱动灵活混合</t>
  </si>
  <si>
    <t>前海开源沪港深核心驱动灵活配置混合型证券投资基金</t>
  </si>
  <si>
    <t>前海开源基金</t>
  </si>
  <si>
    <t>-</t>
    <phoneticPr fontId="4" type="noConversion"/>
  </si>
  <si>
    <t>丁骏</t>
  </si>
  <si>
    <t>沪深300指数收益率*60%+恒生指数收益率*20%+中证全债指数收益率*20%</t>
  </si>
  <si>
    <t xml:space="preserve">500万元以上 1000元/笔_x000D_
100万元以下 1.5%_x000D_
100~200万元 1%_x000D_
200~500万元 0.5%_x000D_
</t>
  </si>
  <si>
    <t>中邮医药健康灵活配置混合</t>
  </si>
  <si>
    <t>中邮医药健康灵活配置混合型证券投资基金</t>
  </si>
  <si>
    <t>中邮创业基金</t>
  </si>
  <si>
    <t>行业基金</t>
  </si>
  <si>
    <t>主题基金</t>
  </si>
  <si>
    <t>王曼</t>
  </si>
  <si>
    <t>中证医药100指数收益率*60%+上证国债指数收益率*40%</t>
  </si>
  <si>
    <t>嘉实农业产业股票</t>
  </si>
  <si>
    <t>嘉实农业产业股票型证券投资基金</t>
  </si>
  <si>
    <t>嘉实基金</t>
  </si>
  <si>
    <t>姚爽</t>
  </si>
  <si>
    <t>申万农林牧渔指数收益率*80%+中债总指数收益率*20%</t>
  </si>
  <si>
    <t xml:space="preserve">500万元以上 1000元/笔_x000D_
100万元以下 1.2%_x000D_
100~500万元 0.8%_x000D_
</t>
  </si>
  <si>
    <t>富安达新动力灵活配置混合</t>
  </si>
  <si>
    <t>富安达新动力灵活配置混合型证券投资基金</t>
  </si>
  <si>
    <t>富安达基金</t>
  </si>
  <si>
    <t>毛矛</t>
  </si>
  <si>
    <t>中证新兴产业指数收益率*60%+中债总指数收益率*40%</t>
  </si>
  <si>
    <t xml:space="preserve">500万元以上 1000元/笔_x000D_
50万元以下 1.5%_x000D_
50~200万元 1.2%_x000D_
200~500万元 0.8%_x000D_
</t>
  </si>
  <si>
    <t>嘉实研究增强灵活配置混合</t>
  </si>
  <si>
    <t>嘉实研究增强灵活配置混合型证券投资基金</t>
  </si>
  <si>
    <t>陈少平</t>
  </si>
  <si>
    <t>沪深300指数收益率*50%+中证综合债券指数收益率*50%</t>
  </si>
  <si>
    <t xml:space="preserve">500万元以上 1000元/笔_x000D_
100万元以下 1%_x000D_
100~200万元 0.8%_x000D_
200~500万元 0.4%_x000D_
</t>
  </si>
  <si>
    <t>嘉实优势成长灵活配置混合</t>
  </si>
  <si>
    <t>嘉实优势成长灵活配置混合型证券投资基金</t>
  </si>
  <si>
    <t>刘美玲</t>
  </si>
  <si>
    <t>沪深300指数收益率*80%+中国债券总指数收益率*20%</t>
  </si>
  <si>
    <t>英大睿鑫灵活配置混合A</t>
  </si>
  <si>
    <t>英大睿鑫灵活配置混合型证券投资基金</t>
  </si>
  <si>
    <t>英大基金</t>
  </si>
  <si>
    <t>袁忠伟</t>
  </si>
  <si>
    <t>中证全指指数收益率*50%+中证全债指数收益率*50%</t>
  </si>
  <si>
    <t xml:space="preserve">1000万元以上 1000元/笔_x000D_
100万元以下 0.8%_x000D_
100~500万元 0.5%_x000D_
500~1000万元 0.3%_x000D_
</t>
  </si>
  <si>
    <t>前海开源沪港深价值精选灵活混合</t>
  </si>
  <si>
    <t>前海开源沪港深价值精选灵活配置混合型证券投资基金</t>
  </si>
  <si>
    <t>曲扬</t>
  </si>
  <si>
    <t>沪深300指数收益率*35%+恒生指数收益率(使用估值汇率折算)*35%+中证全债指数收益率*30%</t>
  </si>
  <si>
    <t xml:space="preserve">1000万元以上 1000元/笔_x000D_
100万元以下 1.2%_x000D_
100~500万元 0.8%_x000D_
500~1000万元 0.4%_x000D_
</t>
  </si>
  <si>
    <t>前海开源外向企业股票</t>
  </si>
  <si>
    <t>前海开源外向企业股票型证券投资基金</t>
  </si>
  <si>
    <t>苏天杉</t>
  </si>
  <si>
    <t>中证500指数收益率*80%+中证全债指数收益率*20%</t>
  </si>
  <si>
    <t>银华体育文化灵活配置混合</t>
  </si>
  <si>
    <t>银华体育文化灵活配置混合型证券投资基金</t>
  </si>
  <si>
    <t>周思聪</t>
  </si>
  <si>
    <t>中证800指数收益率*50%+中证全债指数收益率*50%</t>
  </si>
  <si>
    <t>广发鑫益灵活配置混合</t>
  </si>
  <si>
    <t>广发鑫益灵活配置混合型证券投资基金</t>
  </si>
  <si>
    <t>广发基金</t>
  </si>
  <si>
    <t>任爽,易阳方</t>
  </si>
  <si>
    <t>中证全债指数收益率*70%+沪深300指数收益率*30%</t>
  </si>
  <si>
    <t xml:space="preserve">500万元以上 1000元/笔_x000D_
100万元以下 1%_x000D_
100~300万元 0.8%_x000D_
300~500万元 0.3%_x000D_
</t>
  </si>
  <si>
    <t>交银新生活力灵活配置混合</t>
  </si>
  <si>
    <t>交银施罗德新生活力灵活配置混合型证券投资基金</t>
  </si>
  <si>
    <t>交银施罗德基金</t>
  </si>
  <si>
    <t>杨浩</t>
  </si>
  <si>
    <t>沪深300指数收益率*60%+中证综合债券指数收益率*40%</t>
  </si>
  <si>
    <t>华夏港股通精选股票LOF</t>
  </si>
  <si>
    <t>华夏港股通精选股票型发起式证券投资基金(LOF)</t>
  </si>
  <si>
    <t>华夏基金</t>
  </si>
  <si>
    <t>李湘杰</t>
  </si>
  <si>
    <t>恒生综合指数收益率*90%+同期人民币活期存款利率*10%</t>
  </si>
  <si>
    <t xml:space="preserve">500万元以上 1000元/笔_x000D_
500万元以上 1000元/笔_x000D_
100万元以下 1.5%_x000D_
100~300万元 1%_x000D_
300~500万元 0.5%_x000D_
100万元以下 0.3%_x000D_
100~300万元 0.2%_x000D_
300~500万元 0.1%_x000D_
</t>
  </si>
  <si>
    <t>汇丰晋信沪港深股票A</t>
  </si>
  <si>
    <t>汇丰晋信沪港深股票型证券投资基金</t>
  </si>
  <si>
    <t>汇丰晋信基金</t>
  </si>
  <si>
    <t>曹庆,程彧</t>
  </si>
  <si>
    <t>沪深300指数收益率*45%+恒生指数收益率*45%+同业存款利率(税后)*10%</t>
  </si>
  <si>
    <t xml:space="preserve">500万元以上 1000元/笔_x000D_
500万元以上 1000元/笔,养老金客户通过直销柜台实施特定申购费率_x000D_
100万元以下 1.2%_x000D_
100~500万元 0.8%_x000D_
500万元以下 0.6%_x000D_
</t>
  </si>
  <si>
    <t>交银沪港深价值精选灵活混合</t>
  </si>
  <si>
    <t>交银施罗德沪港深价值精选灵活配置混合型证券投资基金</t>
  </si>
  <si>
    <t>陈俊华</t>
  </si>
  <si>
    <t>沪深300指数收益率*40%+恒生指数收益率*40%+中证综合债券指数收益率*20%</t>
  </si>
  <si>
    <t>创金合信优价成长股票A</t>
  </si>
  <si>
    <t>创金合信优价成长股票型发起式证券投资基金</t>
  </si>
  <si>
    <t>创金合信基金</t>
  </si>
  <si>
    <t>李晗</t>
  </si>
  <si>
    <t>中证800指数收益率*90%+一年期人民币定期存款利率(税后)*10%</t>
  </si>
  <si>
    <t xml:space="preserve">1000万元以上 1000元/笔_x000D_
100万元以下 0.7%_x000D_
100~500万元 0.5%_x000D_
500~1000万元 0.2%_x000D_
</t>
  </si>
  <si>
    <t>招商财经大数据策略股票</t>
  </si>
  <si>
    <t>招商财经大数据策略股票型证券投资基金</t>
  </si>
  <si>
    <t>招商基金</t>
  </si>
  <si>
    <t>王平</t>
  </si>
  <si>
    <t>沪深300指数收益率*80%+中债综合指数收益率*20%</t>
  </si>
  <si>
    <t>创金合信资源主题精选股票A</t>
  </si>
  <si>
    <t>创金合信资源主题精选股票型发起式证券投资基金</t>
  </si>
  <si>
    <t>李游</t>
  </si>
  <si>
    <t>中证内地资源指数收益率*90%+人民币活期存款利率(税后)*10%</t>
  </si>
  <si>
    <t xml:space="preserve">500万元以上 1000元/笔_x000D_
500万元以上 1000元/笔,养老金客户通过基金管理人的直销中心申购费率_x000D_
100万元以下 0.6%_x000D_
100~500万元 0.4%_x000D_
100万元以下 0.24%_x000D_
100~500万元 0.16%_x000D_
</t>
  </si>
  <si>
    <t>广发沪港深新起点股票</t>
  </si>
  <si>
    <t>广发沪港深新起点股票型证券投资基金</t>
  </si>
  <si>
    <t>李耀柱</t>
  </si>
  <si>
    <t>沪深300指数收益率*45%+恒生指数收益率*45%+中证全债指数收益率*10%</t>
  </si>
  <si>
    <t xml:space="preserve">500万元以上 1000元/笔_x000D_
500元/笔,通过直销机构申购本基金的养老金客户._x000D_
100万元以下 1.5%_x000D_
100~300万元 1.2%_x000D_
300~500万元 0.8%_x000D_
</t>
  </si>
  <si>
    <t>东兴量化多策略灵活配置混合</t>
  </si>
  <si>
    <t>东兴量化多策略灵活配置混合型证券投资基金</t>
  </si>
  <si>
    <t>东兴证券</t>
  </si>
  <si>
    <t>平衡配置型</t>
  </si>
  <si>
    <t>李兵伟</t>
  </si>
  <si>
    <t>中证800指数收益率*65%+中证综合债券指数收益率*35%</t>
  </si>
  <si>
    <t>交银经济新动力混合</t>
  </si>
  <si>
    <t>交银施罗德经济新动力混合型证券投资基金</t>
  </si>
  <si>
    <t>任相栋</t>
  </si>
  <si>
    <t>信达澳银新目标灵活配置混合</t>
  </si>
  <si>
    <t>信达澳银新目标灵活配置混合型证券投资基金</t>
  </si>
  <si>
    <t>信达澳银基金</t>
  </si>
  <si>
    <t>冯士祯,孔学峰,唐弋迅</t>
  </si>
  <si>
    <t>沪深300指数收益率*50%+上证国债指数收益率*50%</t>
  </si>
  <si>
    <t xml:space="preserve">500万元以上 1000元/笔。通过基金管理人的直销中心申购本基金份额的养老金客户申购费率_x000D_
500万元以上 1000元/笔_x000D_
50万元以下 0.6%_x000D_
50~200万元 0.3%_x000D_
50万元以下 0.24%_x000D_
50~200万元 0.12%_x000D_
200~500万元 0.08%_x000D_
200~500万元 0.032%_x000D_
</t>
  </si>
  <si>
    <t>前海沪港深大消费主题精选灵活A</t>
  </si>
  <si>
    <t>前海开源沪港深大消费主题精选灵活配置混合型证券投资基金</t>
  </si>
  <si>
    <t>赵雪芹</t>
  </si>
  <si>
    <t>沪深300指数收益率*70%+中证全债指数收益率*30%</t>
  </si>
  <si>
    <t xml:space="preserve">500万元以上 1000元/笔_x000D_
500万元以上 1000元/笔_x000D_
100万元以下 0.8%_x000D_
100~200万元 0.6%_x000D_
200~500万元 0.4%_x000D_
100万元以下 0.16%_x000D_
100~200万元 0.12%_x000D_
200~500万元 0.08%_x000D_
</t>
  </si>
  <si>
    <t>中欧医疗健康混合C</t>
  </si>
  <si>
    <t>中欧医疗健康混合型证券投资基金</t>
  </si>
  <si>
    <t>中欧基金</t>
  </si>
  <si>
    <t>中国主动型基金</t>
    <phoneticPr fontId="4" type="noConversion"/>
  </si>
  <si>
    <t>葛兰</t>
  </si>
  <si>
    <t>中证医药卫生指数收益率*65%+中证综合债券指数收益率*35%</t>
  </si>
  <si>
    <t>长信创新驱动股票</t>
  </si>
  <si>
    <t>长信创新驱动股票型证券投资基金</t>
  </si>
  <si>
    <t>长信基金</t>
  </si>
  <si>
    <t>叶松</t>
  </si>
  <si>
    <t>沪深300指数收益率*80%+中证综合债券指数收益率*20%</t>
  </si>
  <si>
    <t xml:space="preserve">500万元以上 1000元/笔_x000D_
100万元以下 1.5%_x000D_
100~500万元 1%_x000D_
</t>
  </si>
  <si>
    <t>创金合信量化发现灵活混合A</t>
  </si>
  <si>
    <t>创金合信量化发现灵活配置混合型证券投资基金</t>
  </si>
  <si>
    <t>程志田</t>
  </si>
  <si>
    <t>中证500指数收益率*60%+一年期人民币定期存款利率(税后)*40%</t>
  </si>
  <si>
    <t xml:space="preserve">500万元以上 1000元/笔_x000D_
100万元以下 1.5%_x000D_
100~200万元 0.8%_x000D_
200~500万元 0.3%_x000D_
</t>
  </si>
  <si>
    <t>创金合信量化发现灵活混合C</t>
  </si>
  <si>
    <t>易方达信息产业混合</t>
  </si>
  <si>
    <t>易方达信息产业混合型证券投资基金</t>
  </si>
  <si>
    <t>易方达基金</t>
  </si>
  <si>
    <t>郑希</t>
  </si>
  <si>
    <t>中证TMT产业主题指数收益率*70%+一年期人民币定期存款利率(税后)*30%</t>
  </si>
  <si>
    <t xml:space="preserve">500万元以上 1000元/笔_x000D_
500万元以上 1000元/笔_x000D_
100万元以下 1.5%_x000D_
100~200万元 1.2%_x000D_
200~500万元 0.3%_x000D_
100万元以下 0.15%_x000D_
100~200万元 0.12%_x000D_
200~500万元 0.03%_x000D_
</t>
  </si>
  <si>
    <t>国寿安保强国智造灵活混合</t>
  </si>
  <si>
    <t>国寿安保强国智造灵活配置混合型证券投资基金</t>
  </si>
  <si>
    <t>国寿安保基金</t>
  </si>
  <si>
    <t>李捷,张琦</t>
  </si>
  <si>
    <t>沪深300指数收益率*60%+中证全债指数收益率*40%</t>
  </si>
  <si>
    <t xml:space="preserve">500万元以上 1000元/笔_x000D_
100万元以下 1.5%_x000D_
100~300万元 1%_x000D_
300~500万元 0.6%_x000D_
</t>
  </si>
  <si>
    <t>融通国企改革新机遇灵活混合</t>
  </si>
  <si>
    <t>融通国企改革新机遇灵活配置混合型证券投资基金</t>
  </si>
  <si>
    <t>融通基金</t>
  </si>
  <si>
    <t>中国主动型基金</t>
    <phoneticPr fontId="4" type="noConversion"/>
  </si>
  <si>
    <t>商小虎,何天翔</t>
  </si>
  <si>
    <t>中证国有企业改革指数收益率*50%+中债综合全价(总值)指数收益率*50%</t>
  </si>
  <si>
    <t xml:space="preserve">500万元以上 1000元/笔_x000D_
100元/笔_x000D_
100万元以下 1.5%_x000D_
100~200万元 1%_x000D_
200~500万元 0.5%_x000D_
</t>
  </si>
  <si>
    <t xml:space="preserve">1年以下 1.8%_x000D_
1~2年 1.35%_x000D_
2~3年 0.9%_x000D_
3~4年 0.45%_x000D_
4年以上 0%_x000D_
</t>
  </si>
  <si>
    <t>财通多策略福享混合</t>
  </si>
  <si>
    <t>财通多策略福享混合型证券投资基金</t>
  </si>
  <si>
    <t>财通基金</t>
  </si>
  <si>
    <t>姚思劼</t>
  </si>
  <si>
    <t>沪深300指数收益率*55%+上证国债指数收益率*45%</t>
  </si>
  <si>
    <t>华安智增精选灵活配置混合</t>
  </si>
  <si>
    <t>华安智增精选灵活配置混合型证券投资基金</t>
  </si>
  <si>
    <t>刘伟亭</t>
  </si>
  <si>
    <t>沪深300指数收益率*50%+中国债券总指数收益率*50%</t>
  </si>
  <si>
    <t>嘉实文体娱乐股票A</t>
  </si>
  <si>
    <t>嘉实文体娱乐股票型证券投资基金</t>
  </si>
  <si>
    <t>王凯</t>
  </si>
  <si>
    <t>中证文体指数*80%+中债综合指数*20%</t>
  </si>
  <si>
    <t xml:space="preserve">500万元以上 1000元/笔_x000D_
100万元以下 1.5%_x000D_
100~200万元 1%_x000D_
200~500万元 0.6%_x000D_
</t>
  </si>
  <si>
    <t>东方区域发展混合</t>
  </si>
  <si>
    <t>东方区域发展混合型证券投资基金</t>
  </si>
  <si>
    <t>东方基金</t>
  </si>
  <si>
    <t>朱晓栋,薛子徵</t>
  </si>
  <si>
    <t>沪深300指数收益率*60%+中债总全价指数收益率*40%</t>
  </si>
  <si>
    <t xml:space="preserve">500万元以上 1000元/笔_x000D_
100万元以下 1.5%_x000D_
100~300万元 1%_x000D_
300~500万元 0.8%_x000D_
</t>
  </si>
  <si>
    <t>华夏创新前沿股票</t>
  </si>
  <si>
    <t>华夏创新前沿股票型证券投资基金</t>
  </si>
  <si>
    <t>郑煜</t>
  </si>
  <si>
    <t>中证800指数收益率*90%+上证国债指数收益率*10%</t>
  </si>
  <si>
    <t xml:space="preserve">500万元以上 1000.00元/笔_x000D_
50万元以下 1.5%_x000D_
50~200万元 1.2%_x000D_
200~500万元 0.8%_x000D_
</t>
  </si>
  <si>
    <t>泰达宏利量化增强股票</t>
  </si>
  <si>
    <t>泰达宏利量化增强股票型证券投资基金</t>
  </si>
  <si>
    <t>泰达宏利基金</t>
  </si>
  <si>
    <t>杨超</t>
  </si>
  <si>
    <t>中证500价格指数收益率*95%+人民银行一年期定存基准收益率(税后)*5%</t>
  </si>
  <si>
    <t xml:space="preserve">500万元以上 1000元/笔_x000D_
500万元以上 1000元/笔_x000D_
100万元以下 1.2%_x000D_
100~250万元 0.8%_x000D_
250~500万元 0.6%_x000D_
100万元以下 0.3%_x000D_
100~250万元 0.2%_x000D_
250~500万元 0.15%_x000D_
</t>
  </si>
  <si>
    <t>前海开源沪港深新机遇灵活混合</t>
  </si>
  <si>
    <t>前海开源沪港深新机遇灵活配置混合型证券投资基金</t>
  </si>
  <si>
    <t>沪深300指数收益率*35%+恒生指数收益率*35%+中证全债指数收益率*30%</t>
  </si>
  <si>
    <t xml:space="preserve">500万元以上 1000元/笔_x000D_
50万元以下 1.5%_x000D_
50~250万元 1%_x000D_
250~500万元 0.6%_x000D_
</t>
  </si>
  <si>
    <t>金鹰量化精选股票</t>
  </si>
  <si>
    <t>金鹰量化精选股票型证券投资基金(LOF)</t>
  </si>
  <si>
    <t>金鹰基金</t>
  </si>
  <si>
    <t>小盘成长</t>
  </si>
  <si>
    <t>黄艳芳</t>
  </si>
  <si>
    <t>沪深300指数收益率*80%+中证全债指数收益率*20%</t>
  </si>
  <si>
    <t>广发创新升级灵活配置混合</t>
  </si>
  <si>
    <t>广发创新升级灵活配置混合型证券投资基金</t>
  </si>
  <si>
    <t>王颂</t>
  </si>
  <si>
    <t>50%*沪深300指数收益率+50%*中证全债指数收益率</t>
  </si>
  <si>
    <t xml:space="preserve">500万元以上 1000元/笔_x000D_
100万元以下 1.5%_x000D_
100~300万元 0.9%_x000D_
300~500万元 0.3%_x000D_
</t>
  </si>
  <si>
    <t>南方转型增长灵活配置混合</t>
  </si>
  <si>
    <t>南方转型增长灵活配置混合型证券投资基金</t>
  </si>
  <si>
    <t>南方基金</t>
  </si>
  <si>
    <t>张旭</t>
  </si>
  <si>
    <t>沪深300收益率*60%+上证国债收益率*40%</t>
  </si>
  <si>
    <t xml:space="preserve">1000万元以上 1000元/笔_x000D_
100万元以下 1.5%_x000D_
100~500万元 0.9%_x000D_
500~1000万元 0.3%_x000D_
</t>
  </si>
  <si>
    <t>融通新趋势灵活配置混合</t>
  </si>
  <si>
    <t>融通新趋势灵活配置混合型证券投资基金</t>
  </si>
  <si>
    <t>何天翔</t>
  </si>
  <si>
    <t>沪深300指数收益率*50%+中债综合全价(总值)指数收益率*50%</t>
  </si>
  <si>
    <t xml:space="preserve">500万元以上 1000元/笔_x000D_
100元/笔,通过基金管理人的直销柜台前端申购的养老金客户_x000D_
100万元以下 1.5%_x000D_
100~200万元 1%_x000D_
200~500万元 0.5%_x000D_
</t>
  </si>
  <si>
    <t>交银数据产业灵活配置混合</t>
  </si>
  <si>
    <t>交银施罗德数据产业灵活配置混合型证券投资基金</t>
  </si>
  <si>
    <t>芮晨</t>
  </si>
  <si>
    <t xml:space="preserve">500万元以上 1000元/笔_x000D_
500万元以上 1000元/笔_x000D_
50万元以下 1.5%_x000D_
50~100万元 1.2%_x000D_
100~200万元 0.8%_x000D_
50万元以下 0.6%_x000D_
200~500万元 0.5%_x000D_
50~100万元 0.36%_x000D_
100~200万元 0.16%_x000D_
200~500万元 0.12%_x000D_
</t>
  </si>
  <si>
    <t>融通通乾研究精选灵活混合</t>
  </si>
  <si>
    <t>融通通乾研究精选灵活配置混合型证券投资基金</t>
  </si>
  <si>
    <t>张延闽</t>
  </si>
  <si>
    <t xml:space="preserve">100元/笔,通过过基金管理人的直销柜台集中申购_x000D_
500万元以上 1000元/笔_x000D_
100万元以下 1.2%_x000D_
100~200万元 0.8%_x000D_
200~500万元 0.3%_x000D_
</t>
  </si>
  <si>
    <t>银华沪港深增长股票</t>
  </si>
  <si>
    <t>银华沪港深增长股票型证券投资基金</t>
  </si>
  <si>
    <t>周可彦</t>
  </si>
  <si>
    <t xml:space="preserve">500万元以上 1000元/笔_x000D_
500万元以上 1000元/笔,通过基金管理人的直销机构及网上直销交易系统申购本基金基金份额的养老金客户的特定申购费率_x000D_
50万元以下 1.5%_x000D_
50~100万元 1.2%_x000D_
100~200万元 1%_x000D_
200~500万元 0.6%_x000D_
50万元以下 0.45%_x000D_
50~100万元 0.36%_x000D_
100~200万元 0.3%_x000D_
200~500万元 0.18%_x000D_
</t>
  </si>
  <si>
    <t>建信多因子量化股票</t>
  </si>
  <si>
    <t>建信多因子量化股票型证券投资基金</t>
  </si>
  <si>
    <t>建信基金</t>
  </si>
  <si>
    <t>叶乐天</t>
  </si>
  <si>
    <t>中证800指数收益率*85%+商业银行活期存款利率(税前)*15%</t>
  </si>
  <si>
    <t xml:space="preserve">500万元以上 1000元/笔_x000D_
100万元以下 1.5%_x000D_
100~200万元 1.2%_x000D_
200~500万元 0.8%_x000D_
</t>
  </si>
  <si>
    <t>东方红睿华沪港深灵活混合</t>
  </si>
  <si>
    <t>东方红睿华沪港深灵活配置混合型证券投资基金</t>
  </si>
  <si>
    <t>上海东方证券</t>
  </si>
  <si>
    <t>林鹏</t>
  </si>
  <si>
    <t>沪深300指数收益率*60%+恒生指数收益率*20%+中国债券总指数收益率*20%</t>
  </si>
  <si>
    <t>华夏乐享健康灵活配置混合</t>
  </si>
  <si>
    <t>华夏乐享健康灵活配置混合型证券投资基金</t>
  </si>
  <si>
    <t>陈斌</t>
  </si>
  <si>
    <t>中证医药卫生指数收益率*50%+上证国债指数收益率*50%</t>
  </si>
  <si>
    <t>南方品质优选灵活配置混合</t>
  </si>
  <si>
    <t>南方品质优选灵活配置混合型证券投资基金</t>
  </si>
  <si>
    <t>李振兴</t>
  </si>
  <si>
    <t>沪深300指数收益率*60%+上证国债指数收益率*40%</t>
  </si>
  <si>
    <t>长信电子信息行业量化灵活混合</t>
  </si>
  <si>
    <t>长信电子信息行业量化灵活配置混合型证券投资基金</t>
  </si>
  <si>
    <t>电子信息行业</t>
    <phoneticPr fontId="4" type="noConversion"/>
  </si>
  <si>
    <t>左金保</t>
  </si>
  <si>
    <t>中证TMT产业主题指数收益率*60%+中证综合债指数收益率*40%</t>
  </si>
  <si>
    <t>汇添富沪港深新价值股票</t>
  </si>
  <si>
    <t>汇添富沪港深新价值股票型证券投资基金</t>
  </si>
  <si>
    <t>汇添富基金</t>
  </si>
  <si>
    <t>顾耀强,赵鹏程,佘中强</t>
  </si>
  <si>
    <t>沪深300指数收益率*60%+恒生指数收益率(使用估值汇率折算)*20%+中债综合指数收益率*20%</t>
  </si>
  <si>
    <t xml:space="preserve">1000万元以上 1000元/笔_x000D_
100万元以下 1.5%_x000D_
100~500万元 1%_x000D_
500~1000万元 0.3%_x000D_
</t>
  </si>
  <si>
    <t>中欧消费主题股票A</t>
  </si>
  <si>
    <t>中欧消费主题股票型证券投资基金</t>
  </si>
  <si>
    <t>小盘价值</t>
  </si>
  <si>
    <t>消费主题</t>
    <phoneticPr fontId="4" type="noConversion"/>
  </si>
  <si>
    <t>周晶</t>
  </si>
  <si>
    <t>中证内地消费主题指数收益率*85%+中证综合债券指数收益率*15%</t>
  </si>
  <si>
    <t xml:space="preserve">500万元以上 1000元/笔_x000D_
500万元以上 1000元/笔_x000D_
100万元以下 1.5%_x000D_
100~500万元 1%_x000D_
100万元以下 0.15%_x000D_
100~500万元 0.1%_x000D_
</t>
  </si>
  <si>
    <t>平安大华鼎泰灵活配置混合</t>
  </si>
  <si>
    <t>平安大华鼎泰灵活配置混合型证券投资基金</t>
  </si>
  <si>
    <t>平安大华基金</t>
  </si>
  <si>
    <t>刘俊廷</t>
  </si>
  <si>
    <t>沪深300指数收益率*50%+中证综合债指数收益率*50%</t>
  </si>
  <si>
    <t>前海沪港深农业主题精选灵活混合</t>
  </si>
  <si>
    <t>前海开源沪港深农业主题精选灵活配置混合型证券投资基金(LOF)</t>
  </si>
  <si>
    <t>沪港深农业主题</t>
    <phoneticPr fontId="4" type="noConversion"/>
  </si>
  <si>
    <t>孙亚超,柯海东</t>
  </si>
  <si>
    <t>景顺量化新动力股票</t>
  </si>
  <si>
    <t>景顺长城量化新动力股票型证券投资基金</t>
  </si>
  <si>
    <t>景顺长城基金</t>
  </si>
  <si>
    <t>大盘价值</t>
  </si>
  <si>
    <t>黎海威</t>
  </si>
  <si>
    <t>MSCI中国A股国际指数收益率*95%+商业银行活期存款利率(税后)*5%</t>
  </si>
  <si>
    <t xml:space="preserve">500万元以上 1000元/笔_x000D_
100万元以下 1.5%_x000D_
100~200万元 0.8%_x000D_
200~500万元 0.5%_x000D_
</t>
  </si>
  <si>
    <t>东方红沪港深灵活配置混合</t>
  </si>
  <si>
    <t>东方红沪港深灵活配置混合型证券投资基金</t>
  </si>
  <si>
    <t>沪深300指数*40%+恒生指数*40%+中国债券总指数收益率*20%</t>
  </si>
  <si>
    <t xml:space="preserve">500万元以上 1000元/笔_x000D_
500万元以上 1000元/笔_x000D_
100万元以下 1.5%_x000D_
100~500万元 1%_x000D_
100万元以下 0.3%_x000D_
100~500万元 0.18%_x000D_
</t>
  </si>
  <si>
    <t>长盛沪港深优势精选灵活混合</t>
  </si>
  <si>
    <t>长盛沪港深优势精选灵活配置混合型证券投资基金</t>
  </si>
  <si>
    <t>长盛基金</t>
  </si>
  <si>
    <t>吴达</t>
  </si>
  <si>
    <t>中证综合债指数收益率*40%+沪深300指数收益率*30%+恒生综合指数收益率*30%</t>
  </si>
  <si>
    <t xml:space="preserve">500万元以上 1000元/笔_x000D_
50万元以下 1.5%_x000D_
50~200万元 1%_x000D_
200~500万元 0.5%_x000D_
</t>
  </si>
  <si>
    <t>前海开源沪港深龙头精选灵活混合</t>
  </si>
  <si>
    <t>前海开源沪港深龙头精选灵活配置混合型证券投资基金</t>
  </si>
  <si>
    <t>金信智能中国2025灵活混合</t>
  </si>
  <si>
    <t>金信智能中国2025灵活配置混合型发起式证券投资基金</t>
  </si>
  <si>
    <t>金信基金</t>
  </si>
  <si>
    <t>刘榕俊</t>
  </si>
  <si>
    <t>中证800指数收益率*65%+中证综合债指数收益率*35%</t>
  </si>
  <si>
    <t xml:space="preserve">500万元以上 1000元/笔_x000D_
500万元以上 1000元/笔_x000D_
100万元以下 1.5%_x000D_
100~250万元 1%_x000D_
250~500万元 0.6%_x000D_
100万元以下 0.375%_x000D_
100~250万元 0.25%_x000D_
250~500万元 0.15%_x000D_
</t>
  </si>
  <si>
    <t>大摩健康产业混合</t>
  </si>
  <si>
    <t>摩根士丹利华鑫健康产业混合型证券投资基金</t>
  </si>
  <si>
    <t>摩根士丹利华鑫基金</t>
  </si>
  <si>
    <t>王大鹏</t>
  </si>
  <si>
    <t>沪深300指数收益率*80%+中证综合债指数收益率*20%</t>
  </si>
  <si>
    <t xml:space="preserve">500万元以上 1000元/笔_x000D_
500万元以上 1000元/笔_x000D_
100万元以下 1.5%_x000D_
100~500万元 1%_x000D_
100万元以下 0.6%_x000D_
100~500万元 0.4%_x000D_
</t>
  </si>
  <si>
    <t>东方红睿满沪港深灵活混合</t>
  </si>
  <si>
    <t>东方红睿满沪港深灵活配置混合型证券投资基金</t>
  </si>
  <si>
    <t>周云</t>
  </si>
  <si>
    <t>华商万众创新灵活配置混合</t>
  </si>
  <si>
    <t>华商万众创新灵活配置混合型证券投资基金</t>
  </si>
  <si>
    <t>华商基金</t>
  </si>
  <si>
    <t>稳健配置型</t>
  </si>
  <si>
    <t>赵媛媛</t>
  </si>
  <si>
    <t>中证800指数收益率*65%+上证国债指数收益率*35%</t>
  </si>
  <si>
    <t>前海沪港深创新成长灵活混合A</t>
  </si>
  <si>
    <t>前海开源沪港深创新成长灵活配置混合型证券投资基金</t>
  </si>
  <si>
    <t>倪枫</t>
  </si>
  <si>
    <t>富国创新科技混合</t>
  </si>
  <si>
    <t>富国创新科技混合型证券投资基金</t>
  </si>
  <si>
    <t>富国基金</t>
  </si>
  <si>
    <t>李元博</t>
  </si>
  <si>
    <t>中证TMT产业主题指数*60%+中证全债指数收益率*40%</t>
  </si>
  <si>
    <t xml:space="preserve">500万元以上 1000元/笔_x000D_
500万元以上 1000元/笔_x000D_
100万元以下 1.5%_x000D_
100~500万元 1.2%_x000D_
100万元以下 0.45%_x000D_
100~500万元 0.36%_x000D_
</t>
  </si>
  <si>
    <t>宝盈互联网沪港深灵活混合</t>
  </si>
  <si>
    <t>宝盈互联网沪港深灵活配置混合型证券投资基金</t>
  </si>
  <si>
    <t>宝盈基金</t>
  </si>
  <si>
    <t>易祚兴,张仲维</t>
  </si>
  <si>
    <t>中证800指数收益率*55%+中证综合债券指数收益率*35%+恒生综合指数收益率*10%</t>
  </si>
  <si>
    <t xml:space="preserve">500万元以上 1000元/笔_x000D_
100万元以下 1.5%_x000D_
100~200万元 1%_x000D_
200~500万元 0.8%_x000D_
</t>
  </si>
  <si>
    <t>东兴众智优选灵活配置混合</t>
  </si>
  <si>
    <t>东兴众智优选灵活配置混合型证券投资基金</t>
  </si>
  <si>
    <t>程远,李晨辉,李兵伟</t>
  </si>
  <si>
    <t>沪深300指数收益率*60%+中债综合指数收益率*40%</t>
  </si>
  <si>
    <t xml:space="preserve">500万元以上 1000元/笔_x000D_
50万元以下 1.5%_x000D_
50~100万元 1.2%_x000D_
100~500万元 0.8%_x000D_
</t>
  </si>
  <si>
    <t>博时工业4.0主题股票</t>
  </si>
  <si>
    <t>博时工业4.0主题股票型证券投资基金</t>
  </si>
  <si>
    <t>博时基金</t>
  </si>
  <si>
    <t>工业4.0主题</t>
    <phoneticPr fontId="4" type="noConversion"/>
  </si>
  <si>
    <t>蔡滨,兰乔</t>
  </si>
  <si>
    <t>中证工业4.0指数*80%+中债综合指数*20%</t>
  </si>
  <si>
    <t xml:space="preserve">500万元以上 1000元/笔_x000D_
50万元以下 1.5%_x000D_
50~100万元 1%_x000D_
100~500万元 0.6%_x000D_
</t>
  </si>
  <si>
    <t>泰康沪港深精选灵活配置混合</t>
  </si>
  <si>
    <t>泰康沪港深精选灵活配置混合型证券投资基金</t>
  </si>
  <si>
    <t>沪深300指数收益率*40%+恒生指数收益率*40%+中债新综合财富(总值)指数收益率*20%</t>
  </si>
  <si>
    <t xml:space="preserve">500万元以上 1000元/笔_x000D_
500万元以上 1000元/笔_x000D_
100万元以下 1.5%_x000D_
100~500万元 1%_x000D_
100万元以下 0.45%_x000D_
100~500万元 0.3%_x000D_
</t>
  </si>
  <si>
    <t>农银汇理国企改革灵活混合</t>
  </si>
  <si>
    <t>农银汇理国企改革灵活配置混合型证券投资基金</t>
  </si>
  <si>
    <t>农银汇理基金</t>
  </si>
  <si>
    <t>张峰</t>
  </si>
  <si>
    <t>中证国有企业改革指数*65%+中证全债指数*35%</t>
  </si>
  <si>
    <t xml:space="preserve">500万元以上 1000元/笔_x000D_
100万元以下 1.5%_x000D_
100~500万元 1.2%_x000D_
</t>
  </si>
  <si>
    <t>兴业成长动力灵活配置混合</t>
  </si>
  <si>
    <t>兴业成长动力灵活配置混合型证券投资基金</t>
  </si>
  <si>
    <t>兴业基金</t>
  </si>
  <si>
    <t>刘方旭</t>
  </si>
  <si>
    <t>中证500指数收益率*55%+中证全债指数收益率*45%</t>
  </si>
  <si>
    <t>博时睿利定增灵活配置混合</t>
  </si>
  <si>
    <t>博时睿利定增灵活配置混合型证券投资基金</t>
  </si>
  <si>
    <t>陈鹏扬</t>
  </si>
  <si>
    <t>沪深300指数收益率*50%+中债综合指数收益率*50%</t>
  </si>
  <si>
    <t>嘉实沪港深精选股票</t>
  </si>
  <si>
    <t>嘉实沪港深精选股票型证券投资基金</t>
  </si>
  <si>
    <t>张金涛</t>
  </si>
  <si>
    <t>沪深300指数收益率*45%+恒生指数收益率*45%+中债综合财富指数收益率*10%</t>
  </si>
  <si>
    <t>融通新消费灵活配置混合</t>
  </si>
  <si>
    <t>融通新消费灵活配置混合型证券投资基金</t>
  </si>
  <si>
    <t>商小虎,关山</t>
  </si>
  <si>
    <t>中证全指主要消费指数收益率*50%+中债综合全价(总值)指数收益率*50%</t>
  </si>
  <si>
    <t xml:space="preserve">100元/笔,通过基金管理人的直销柜台前端申购的养老金客户_x000D_
500万元以上 1000元/笔_x000D_
100万元以下 1.5%_x000D_
100~200万元 1%_x000D_
200~500万元 0.5%_x000D_
</t>
  </si>
  <si>
    <t>广发沪港深新机遇股票</t>
  </si>
  <si>
    <t>广发沪港深新机遇股票型证券投资基金</t>
  </si>
  <si>
    <t>余昊</t>
  </si>
  <si>
    <t xml:space="preserve">500万元以上 1000元/笔_x000D_
100万元以下 1.5%_x000D_
100~200万元 1%_x000D_
200~500万元 0.3%_x000D_
</t>
  </si>
  <si>
    <t>国投瑞盛灵活配置混合</t>
  </si>
  <si>
    <t>国投瑞银瑞盛灵活配置混合型证券投资基金</t>
  </si>
  <si>
    <t>国投瑞银基金</t>
  </si>
  <si>
    <t>杨冬冬,吴潇</t>
  </si>
  <si>
    <t>信诚鼎利定增灵活配置混合</t>
  </si>
  <si>
    <t>信诚鼎利定增灵活配置混合型证券投资基金</t>
  </si>
  <si>
    <t>信诚基金</t>
  </si>
  <si>
    <t>杨旭,殷孝东</t>
  </si>
  <si>
    <t>富国美丽中国混合</t>
  </si>
  <si>
    <t>富国美丽中国混合型证券投资基金</t>
  </si>
  <si>
    <t>张啸伟</t>
  </si>
  <si>
    <t>沪深300指数收益率*60%+中债综合全价指数收益率*40%</t>
  </si>
  <si>
    <t>前海开源沪港深汇鑫灵活混合A</t>
  </si>
  <si>
    <t>前海开源沪港深汇鑫灵活配置混合型证券投资基金</t>
  </si>
  <si>
    <t>谢屹</t>
  </si>
  <si>
    <t>中欧养老产业混合</t>
  </si>
  <si>
    <t>中欧养老产业混合型证券投资基金</t>
  </si>
  <si>
    <t>袁争光,王健</t>
  </si>
  <si>
    <t>沪深300指数收益率*75%+中债综合指数收益率*25%</t>
  </si>
  <si>
    <t>华夏高端制造灵活配置混合</t>
  </si>
  <si>
    <t>华夏高端制造灵活配置混合型证券投资基金</t>
  </si>
  <si>
    <t>代瑞亮</t>
  </si>
  <si>
    <t>交银科技创新灵活配置混合</t>
  </si>
  <si>
    <t>交银施罗德科技创新灵活配置混合型证券投资基金</t>
  </si>
  <si>
    <t>沪深300指数*60%+中证综合债券指数*40%</t>
  </si>
  <si>
    <t xml:space="preserve">500万元以上 1000元/笔_x000D_
500万元以上 1000元/笔_x000D_
100万元以下 1.5%_x000D_
100~200万元 1.2%_x000D_
100万元以下 0.6%_x000D_
200~500万元 0.5%_x000D_
100~200万元 0.36%_x000D_
200~500万元 0.12%_x000D_
</t>
  </si>
  <si>
    <t>农银汇理物联网主题灵活混合</t>
  </si>
  <si>
    <t>农银汇理物联网主题灵活配置混合型证券投资基金</t>
  </si>
  <si>
    <t>物联网主题</t>
    <phoneticPr fontId="4" type="noConversion"/>
  </si>
  <si>
    <t>韩林</t>
  </si>
  <si>
    <t>中证800指数*65%+中证全债指数*35%</t>
  </si>
  <si>
    <t>前海开源人工智能主题灵活混合</t>
  </si>
  <si>
    <t>前海开源人工智能主题灵活配置混合型证券投资基金</t>
  </si>
  <si>
    <t>人工智能主题</t>
    <phoneticPr fontId="4" type="noConversion"/>
  </si>
  <si>
    <t>大成国家安全主题灵活混合</t>
  </si>
  <si>
    <t>大成国家安全主题灵活配置混合型证券投资基金</t>
  </si>
  <si>
    <t>大成基金</t>
  </si>
  <si>
    <t>国家安全主题</t>
    <phoneticPr fontId="4" type="noConversion"/>
  </si>
  <si>
    <t>张君孺</t>
  </si>
  <si>
    <t>中证800指数收益率*80%+中债综合指数收益率*20%</t>
  </si>
  <si>
    <t xml:space="preserve">500万元以上 1000元/笔_x000D_
100万元以下 1.5%_x000D_
200~500万元 1%_x000D_
100~200万元 0.5%_x000D_
</t>
  </si>
  <si>
    <t>南方新兴龙头灵活配置混合</t>
  </si>
  <si>
    <t>南方新兴龙头灵活配置混合型证券投资基金</t>
  </si>
  <si>
    <t>赵凤学</t>
  </si>
  <si>
    <t>海富通改革驱动灵活配置混合</t>
  </si>
  <si>
    <t>海富通改革驱动灵活配置混合型证券投资基金</t>
  </si>
  <si>
    <t>海富通基金</t>
  </si>
  <si>
    <t>周雪军</t>
  </si>
  <si>
    <t>中邮低碳经济灵活配置混合</t>
  </si>
  <si>
    <t>中邮低碳经济灵活配置混合型证券投资基金</t>
  </si>
  <si>
    <t>邓立新,张腾</t>
  </si>
  <si>
    <t>中证环保指数*60%+上证国债指数*40%</t>
  </si>
  <si>
    <t xml:space="preserve">1000万元以上 1000元/笔_x000D_
1000万元以上 1000元/笔_x000D_
100万元以下 1.5%_x000D_
100~500万元 1%_x000D_
500~1000万元 0.6%_x000D_
100万元以下 0.3%_x000D_
100~500万元 0.2%_x000D_
500~1000万元 0.12%_x000D_
</t>
  </si>
  <si>
    <t>中海沪港深价值优选灵活混合</t>
  </si>
  <si>
    <t>中海沪港深价值优选灵活配置混合型证券投资基金</t>
  </si>
  <si>
    <t>中海基金</t>
  </si>
  <si>
    <t>姚晨曦,林翠萍</t>
  </si>
  <si>
    <t>沪深300指数*45%+恒生指数*45%+中证全债指数*10%</t>
  </si>
  <si>
    <t xml:space="preserve">500万元以上 1000元/笔_x000D_
500万元以上 1000元/笔_x000D_
100万元以下 1.5%_x000D_
100~300万元 1%_x000D_
100万元以下 0.6%_x000D_
300~500万元 0.6%_x000D_
100~300万元 0.3%_x000D_
300~500万元 0.12%_x000D_
</t>
  </si>
  <si>
    <t>上投智慧生活灵活配置混合</t>
  </si>
  <si>
    <t>上投摩根智慧生活灵活配置混合型证券投资基金</t>
  </si>
  <si>
    <t>上投摩根基金</t>
  </si>
  <si>
    <t>杨景喻</t>
  </si>
  <si>
    <t>中证800指数收益率*60%+中债总指数收益率*40%</t>
  </si>
  <si>
    <t xml:space="preserve">1000万元以上 1000元/笔_x000D_
100万元以下 0.6%_x000D_
100~500万元 0.4%_x000D_
500~1000万元 0.2%_x000D_
</t>
  </si>
  <si>
    <t>泓德泓益量化混合</t>
  </si>
  <si>
    <t>泓德泓益量化混合型证券投资基金</t>
  </si>
  <si>
    <t>泓德基金</t>
  </si>
  <si>
    <t>郭堃,苏昌景</t>
  </si>
  <si>
    <t>中证800指数收益率*80%+中证综合债券指数收益率*20%</t>
  </si>
  <si>
    <t xml:space="preserve">500万元以上 1000元/笔_x000D_
500万元以上 1000元/笔_x000D_
100万元以下 1.5%_x000D_
100~300万元 1%_x000D_
100万元以下 0.6%_x000D_
100~300万元 0.4%_x000D_
300~500万元 0.3%_x000D_
300~500万元 0.12%_x000D_
</t>
  </si>
  <si>
    <t>工银沪港深股票</t>
  </si>
  <si>
    <t>工银瑞信沪港深股票型证券投资基金</t>
  </si>
  <si>
    <t>工银瑞信基金</t>
  </si>
  <si>
    <t>王筱苓,唐明君,郝康</t>
  </si>
  <si>
    <t>恒生指数收益率*40%+沪深300指数收益率*40%+中债综合财富指数收益率*20%</t>
  </si>
  <si>
    <t>前海开源沪港深优势精选灵活混合</t>
  </si>
  <si>
    <t>前海开源沪港深优势精选灵活配置混合型证券投资基金</t>
  </si>
  <si>
    <t>曲扬,史程</t>
  </si>
  <si>
    <t>博时睿远定增灵活配置混合</t>
  </si>
  <si>
    <t>博时睿远定增灵活配置混合型证券投资基金</t>
  </si>
  <si>
    <t>富国价值优势混合</t>
  </si>
  <si>
    <t>富国价值优势混合型证券投资基金</t>
  </si>
  <si>
    <t>王海军</t>
  </si>
  <si>
    <t>中证800指数收益率*80%+中债综合全价指数收益率*20%</t>
  </si>
  <si>
    <t>中信建投医改灵活配置混合</t>
  </si>
  <si>
    <t>中信建投医改灵活配置混合型证券投资基金</t>
  </si>
  <si>
    <t>中信建投基金</t>
  </si>
  <si>
    <t>刘宁</t>
  </si>
  <si>
    <t xml:space="preserve">500万元以上 1000元/笔_x000D_
100万元以下 1.2%_x000D_
100~200万元 1%_x000D_
200~500万元 0.5%_x000D_
</t>
  </si>
  <si>
    <t>东方互联网嘉混合</t>
  </si>
  <si>
    <t>东方互联网嘉混合型证券投资基金</t>
  </si>
  <si>
    <t>薛子徵</t>
  </si>
  <si>
    <t>金信新能源汽车灵活配置混合</t>
  </si>
  <si>
    <t>金信新能源汽车灵活配置混合型发起式证券投资基金</t>
  </si>
  <si>
    <t>中证新能源汽车指数收益率*50%+中证综合债指数收益率*50%</t>
  </si>
  <si>
    <t xml:space="preserve">500万元以上 通过本公司直销柜台申购本基金份额的养老金客户,1000元/笔_x000D_
500万元以上 1000元/笔_x000D_
100万元以下 1.5%_x000D_
100~250万元 1%_x000D_
250~500万元 0.6%_x000D_
100万元以下 0.375%_x000D_
100~250万元 0.25%_x000D_
250~500万元 0.15%_x000D_
</t>
  </si>
  <si>
    <t>中海魅力长三角灵活配置混合</t>
  </si>
  <si>
    <t>中海魅力长三角灵活配置混合型证券投资基金</t>
  </si>
  <si>
    <t>开文明,于航</t>
  </si>
  <si>
    <t>中证长三角龙头企业指数收益率*60%+中证全债指数收益率*40%</t>
  </si>
  <si>
    <t>农银汇理新能源主题灵活混合</t>
  </si>
  <si>
    <t>农银汇理新能源主题灵活配置混合型证券投资基金</t>
  </si>
  <si>
    <t>新能源主题</t>
    <phoneticPr fontId="4" type="noConversion"/>
  </si>
  <si>
    <t>顾旭俊</t>
  </si>
  <si>
    <t>中证新能源指数*65%+中证全债指数*35%</t>
  </si>
  <si>
    <t>平安大华睿享文娱灵活混合A</t>
  </si>
  <si>
    <t>平安大华睿享文娱灵活配置混合型证券投资基金</t>
  </si>
  <si>
    <t>黄维</t>
  </si>
  <si>
    <t xml:space="preserve">500万元以上 1000元/笔_x000D_
50万元以下 1.5%_x000D_
50~200万元 1%_x000D_
200~500万元 0.3%_x000D_
</t>
  </si>
  <si>
    <t>南方转型驱动灵活配置混合</t>
  </si>
  <si>
    <t>南方转型驱动灵活配置混合型证券投资基金</t>
  </si>
  <si>
    <t>应帅</t>
  </si>
  <si>
    <t>华夏军工安全灵活配置混合</t>
  </si>
  <si>
    <t>华夏军工安全灵活配置混合型证券投资基金</t>
  </si>
  <si>
    <t>许利明,王晓李</t>
  </si>
  <si>
    <t>中证国防指数收益率*50%+上证国债指数收益率*50%</t>
  </si>
  <si>
    <t>新华科技创新主题灵活混合</t>
  </si>
  <si>
    <t>新华科技创新主题灵活配置混合型证券投资基金</t>
  </si>
  <si>
    <t>新华基金</t>
  </si>
  <si>
    <t>科技创新主题</t>
    <phoneticPr fontId="4" type="noConversion"/>
  </si>
  <si>
    <t>李会忠</t>
  </si>
  <si>
    <t>中证800指数收益率*70%+中证综合债券指数收益率*30%</t>
  </si>
  <si>
    <t>中融产业升级灵活配置混合</t>
  </si>
  <si>
    <t>中融产业升级灵活配置混合型证券投资基金</t>
  </si>
  <si>
    <t>中融基金</t>
  </si>
  <si>
    <t>孔学兵</t>
  </si>
  <si>
    <t>招商量化精选股票</t>
  </si>
  <si>
    <t>招商量化精选股票型发起式证券投资基金</t>
  </si>
  <si>
    <t>景顺环保优势股票</t>
  </si>
  <si>
    <t>景顺长城环保优势股票型证券投资基金</t>
  </si>
  <si>
    <t>杨锐文</t>
  </si>
  <si>
    <t>中证环保产业指数收益率*40%+沪深300指数收益率*40%+中证全债指数收益率*20%</t>
  </si>
  <si>
    <t xml:space="preserve">500万元以上 1000元/笔_x000D_
50万元以下 1.5%_x000D_
50~100万元 1%_x000D_
100~200万元 0.8%_x000D_
200~500万元 0.5%_x000D_
</t>
  </si>
  <si>
    <t>华夏经济转型股票</t>
  </si>
  <si>
    <t>华夏经济转型股票型证券投资基金</t>
  </si>
  <si>
    <t>彭海伟</t>
  </si>
  <si>
    <t>沪深300指数收益率*90%+上证国债指数收益率*10%</t>
  </si>
  <si>
    <t>汇丰晋信大盘波动精选股票A</t>
  </si>
  <si>
    <t>汇丰晋信大盘波动精选股票型证券投资基金</t>
  </si>
  <si>
    <t>方磊</t>
  </si>
  <si>
    <t>沪深300指数*90%+同业存款利率(税后)*10%</t>
  </si>
  <si>
    <t xml:space="preserve">1000万元以上 1000元/笔_x000D_
100万元以下 1.5%_x000D_
100~500万元 1.2%_x000D_
500~1000万元 0.8%_x000D_
</t>
  </si>
  <si>
    <t>景顺低碳科技主题灵活混合</t>
  </si>
  <si>
    <t>景顺长城低碳科技主题灵活配置混合型证券投资基金</t>
  </si>
  <si>
    <t>低碳科技主题</t>
    <phoneticPr fontId="4" type="noConversion"/>
  </si>
  <si>
    <t>李孟海</t>
  </si>
  <si>
    <t>财通多策略升级混合</t>
  </si>
  <si>
    <t>财通多策略升级混合型证券投资基金</t>
  </si>
  <si>
    <t>华安沪港深外延增长灵活混合</t>
  </si>
  <si>
    <t>华安沪港深外延增长灵活配置混合型证券投资基金</t>
  </si>
  <si>
    <t>杨明,苏圻涵,崔莹</t>
  </si>
  <si>
    <t>中证800指数收益率*50%+中国债券总指数收益率*50%</t>
  </si>
  <si>
    <t xml:space="preserve">500万元以上 1000元/笔_x000D_
500元/笔_x000D_
100万元以下 1.5%_x000D_
100~300万元 1.2%_x000D_
300~500万元 0.8%_x000D_
</t>
  </si>
  <si>
    <t>富国研究优选沪港深灵活混合</t>
  </si>
  <si>
    <t>富国研究优选沪港深灵活配置混合型证券投资基金</t>
  </si>
  <si>
    <t>李晓铭</t>
  </si>
  <si>
    <t>沪深300指数收益率*65%+中债综合财富指数收益率*35%</t>
  </si>
  <si>
    <t xml:space="preserve">1年以下 1.8%_x000D_
1~3年 1.2%_x000D_
3~5年 0.6%_x000D_
5年以上 0%_x000D_
</t>
  </si>
  <si>
    <t>中欧明睿新常态混合</t>
  </si>
  <si>
    <t>中欧明睿新常态混合型证券投资基金</t>
  </si>
  <si>
    <t>周应波</t>
  </si>
  <si>
    <t>工银物流产业股票</t>
  </si>
  <si>
    <t>工银瑞信物流产业股票型证券投资基金</t>
  </si>
  <si>
    <t>杨柯,张宇帆</t>
  </si>
  <si>
    <t>沪深300运输指数收益率*80%+中债综合财富(总值)指数收益率*20%</t>
  </si>
  <si>
    <t>华商新兴活力灵活配置混合</t>
  </si>
  <si>
    <t>华商新兴活力灵活配置混合型证券投资基金</t>
  </si>
  <si>
    <t>何奇峰</t>
  </si>
  <si>
    <t>中证800指数收益率*65%++上证国债指数收益率*35%</t>
  </si>
  <si>
    <t>泰达同顺大数据量化优选灵活混合</t>
  </si>
  <si>
    <t>泰达宏利同顺大数据量化优选灵活配置混合型证券投资基金</t>
  </si>
  <si>
    <t>刘欣</t>
  </si>
  <si>
    <t>中证800指数收益率*50%+中证综合债指数收益率*50%</t>
  </si>
  <si>
    <t>建信现代服务业股票</t>
  </si>
  <si>
    <t>建信现代服务业股票型证券投资基金</t>
  </si>
  <si>
    <t>陶灿</t>
  </si>
  <si>
    <t>中证服务业指数收益率*85%+中债总财富(总值)指数收益率*15%</t>
  </si>
  <si>
    <t>嘉实智能汽车股票</t>
  </si>
  <si>
    <t>嘉实智能汽车股票型证券投资基金</t>
  </si>
  <si>
    <t>柏重波,姚志鹏</t>
  </si>
  <si>
    <t>中信汽车行业指数收益率*80%+中债总指数收益率*20%</t>
  </si>
  <si>
    <t>光大风格轮动混合</t>
  </si>
  <si>
    <t>光大保德信风格轮动混合型证券投资基金</t>
  </si>
  <si>
    <t>光大保德信基金</t>
  </si>
  <si>
    <t>赵大年,翟云飞</t>
  </si>
  <si>
    <t>沪深300指数收益率*25+中证500指数收益率*25+创业板指数收益率*25%+中证全债指数收益率*25%</t>
  </si>
  <si>
    <t xml:space="preserve">500万元以上 1000元/笔_x000D_
500万元以上 1000元/笔_x000D_
50万元以下 1.5%_x000D_
50~100万元 1.2%_x000D_
100~500万元 0.8%_x000D_
50万元以下 0.15%_x000D_
50~100万元 0.12%_x000D_
100~500万元 0.08%_x000D_
</t>
  </si>
  <si>
    <t>九泰锐富事件驱动混合</t>
  </si>
  <si>
    <t>九泰锐富事件驱动混合型发起式证券投资基金</t>
  </si>
  <si>
    <t>九泰基金</t>
  </si>
  <si>
    <t>刘开运</t>
  </si>
  <si>
    <t>年化收益率5.5%</t>
  </si>
  <si>
    <t xml:space="preserve">500万元以上 1000元/笔_x000D_
100万元以下 1.5%_x000D_
100~300万元 1%_x000D_
300~500万元 0.5%_x000D_
</t>
  </si>
  <si>
    <t>东方大健康混合</t>
  </si>
  <si>
    <t>东方大健康混合型证券投资基金</t>
  </si>
  <si>
    <t>邱义鹏,薛子徵</t>
  </si>
  <si>
    <t>浦银安盛睿智精选灵活混合A</t>
  </si>
  <si>
    <t>浦银安盛睿智精选灵活配置混合型证券投资基金</t>
  </si>
  <si>
    <t>浦银安盛基金</t>
  </si>
  <si>
    <t>吴勇</t>
  </si>
  <si>
    <t>沪深300指数收益率*55%+中证全债指数收益率*45%</t>
  </si>
  <si>
    <t xml:space="preserve">500万元以上 1000元/笔_x000D_
100万元以下 1.5%_x000D_
100~300万元 1%_x000D_
300~500万元 0.3%_x000D_
</t>
  </si>
  <si>
    <t>南方君选灵活配置混合</t>
  </si>
  <si>
    <t>南方君选灵活配置混合型证券投资基金</t>
  </si>
  <si>
    <t>茅炜</t>
  </si>
  <si>
    <t>人民币一年期定期存款利率(税后)+5%</t>
  </si>
  <si>
    <t>工银前沿医疗股票</t>
  </si>
  <si>
    <t>工银瑞信前沿医疗股票型证券投资基金</t>
  </si>
  <si>
    <t>赵蓓</t>
  </si>
  <si>
    <t>中证医药指数收益率*80%+中债综合指数收益率*20%</t>
  </si>
  <si>
    <t>国泰大健康股票</t>
  </si>
  <si>
    <t>国泰大健康股票型证券投资基金</t>
  </si>
  <si>
    <t>国泰基金</t>
  </si>
  <si>
    <t>杨飞</t>
  </si>
  <si>
    <t>中证健康产业指数收益率*80%+中证综合债指数收益率*20%</t>
  </si>
  <si>
    <t xml:space="preserve">500万元以上 1000元/笔_x000D_
100万元以下 1.5%_x000D_
100~300万元 1.2%_x000D_
300~500万元 0.8%_x000D_
</t>
  </si>
  <si>
    <t>华夏消费升级灵活配置混合A</t>
  </si>
  <si>
    <t>华夏消费升级灵活配置混合型证券投资基金</t>
  </si>
  <si>
    <t>黄文倩</t>
  </si>
  <si>
    <t>中证内地消费主题指数收益率*50%+上证国债指数收益率*50%</t>
  </si>
  <si>
    <t>国寿安保核心产业灵活混合</t>
  </si>
  <si>
    <t>国寿安保核心产业灵活配置混合型证券投资基金</t>
  </si>
  <si>
    <t>张琦,李丹</t>
  </si>
  <si>
    <t>博时外延增长主题灵活混合</t>
  </si>
  <si>
    <t>博时外延增长主题灵活配置混合型证券投资基金</t>
  </si>
  <si>
    <t>外延增长主题</t>
    <phoneticPr fontId="4" type="noConversion"/>
  </si>
  <si>
    <t>蔡滨</t>
  </si>
  <si>
    <t>沪深300指数收益率*60%+中国债券总指数收益率*40%</t>
  </si>
  <si>
    <t xml:space="preserve">1000万元以上 1000元/笔_x000D_
100万元以下 1.5%_x000D_
100~500万元 1%_x000D_
500~1000万元 0.8%_x000D_
</t>
  </si>
  <si>
    <t>浙商汇金转型升级灵活混合</t>
  </si>
  <si>
    <t>浙商汇金转型升级灵活配置混合型证券投资基金</t>
  </si>
  <si>
    <t>浙江浙商证券</t>
  </si>
  <si>
    <t>赵语涛</t>
  </si>
  <si>
    <t>中证800指数收益率*70%+中国债券总指数收益率*30%</t>
  </si>
  <si>
    <t>广发新兴产业精选灵活混合</t>
  </si>
  <si>
    <t>广发新兴产业精选灵活配置混合型证券投资基金</t>
  </si>
  <si>
    <t>李巍,王小松</t>
  </si>
  <si>
    <t>中证800指数收益率*65%+中债全债指数收益率*35%</t>
  </si>
  <si>
    <t xml:space="preserve">500万元以上 1000元/笔_x000D_
100万元以下 1.5%_x000D_
100~300万元 0.9%_x000D_
300~300万元 0.3%_x000D_
</t>
  </si>
  <si>
    <t>工银国家战略主题股票</t>
  </si>
  <si>
    <t>工银瑞信国家战略主题股票型证券投资基金</t>
  </si>
  <si>
    <t>国家战略主题</t>
    <phoneticPr fontId="4" type="noConversion"/>
  </si>
  <si>
    <t>黄安乐</t>
  </si>
  <si>
    <t>沪深300指数收益率*80%+中债综合财富指数收益率*20%</t>
  </si>
  <si>
    <t>海富通东财大数据灵活混合</t>
  </si>
  <si>
    <t>海富通东财大数据灵活配置混合型证券投资基金</t>
  </si>
  <si>
    <t>陈甄璞</t>
  </si>
  <si>
    <t>农银汇理现代农业加灵活混合</t>
  </si>
  <si>
    <t>农银汇理现代农业加灵活配置混合型证券投资基金</t>
  </si>
  <si>
    <t>郭世凯</t>
  </si>
  <si>
    <t>中证大农业指数*65%+中证全债指数*35%</t>
  </si>
  <si>
    <t xml:space="preserve">500万元以上 1000元/笔_x000D_
50万元以下 1.5%_x000D_
50~100万元 1%_x000D_
100~500万元 0.8%_x000D_
</t>
  </si>
  <si>
    <t>鹏华文化传媒娱乐股票</t>
  </si>
  <si>
    <t>鹏华文化传媒娱乐股票型证券投资基金</t>
  </si>
  <si>
    <t>鹏华基金</t>
  </si>
  <si>
    <t>谢书英</t>
  </si>
  <si>
    <t>中证传媒指数收益率*80%+中证综合债指数收益率*20%</t>
  </si>
  <si>
    <t xml:space="preserve">500万元以上 1000元/笔_x000D_
500万元以上 1000元/笔_x000D_
100万元以下 1.5%_x000D_
100~500万元 1%_x000D_
100万元以下 0.6%_x000D_
100~500万元 0.3%_x000D_
</t>
  </si>
  <si>
    <t>北信中国智造主题灵活混合</t>
  </si>
  <si>
    <t>北信瑞丰中国智造主题灵活配置混合型证券投资基金</t>
  </si>
  <si>
    <t>北信瑞丰基金</t>
  </si>
  <si>
    <t>中国智造主题</t>
    <phoneticPr fontId="4" type="noConversion"/>
  </si>
  <si>
    <t>高峰</t>
  </si>
  <si>
    <t>中证800指数收益率*60%+中证综合债券指数收益率*40%</t>
  </si>
  <si>
    <t xml:space="preserve">500万元以上 1000元/笔_x000D_
50万元以下 1.5%_x000D_
50~200万元 1%_x000D_
200~500万元 0.8%_x000D_
</t>
  </si>
  <si>
    <t>万家新兴蓝筹灵活配置混合</t>
  </si>
  <si>
    <t>万家新兴蓝筹灵活配置混合型证券投资基金</t>
  </si>
  <si>
    <t>万家基金</t>
  </si>
  <si>
    <t>莫海波</t>
  </si>
  <si>
    <t>沪深300指数收益率*50%+中证全债指数收益率*50%</t>
  </si>
  <si>
    <t xml:space="preserve">500万元以上 1000元/笔_x000D_
500万元以上 1000元/笔_x000D_
50万元以下 1.2%_x000D_
50~200万元 0.8%_x000D_
200~500万元 0.4%_x000D_
50万元以下 0.12%_x000D_
50~200万元 0.08%_x000D_
200~500万元 0.04%_x000D_
</t>
  </si>
  <si>
    <t>国联安科技动力股票</t>
  </si>
  <si>
    <t>国联安科技动力股票型证券投资基金</t>
  </si>
  <si>
    <t>国联安基金</t>
  </si>
  <si>
    <t>潘明</t>
  </si>
  <si>
    <t>沪深300指数*80%+上证国债指数*20%</t>
  </si>
  <si>
    <t xml:space="preserve">500万元以上 1000元/笔_x000D_
100万元以下 1.5%_x000D_
100~500万元 0.7%_x000D_
</t>
  </si>
  <si>
    <t>前海沪港深智慧生活优选灵活混合</t>
  </si>
  <si>
    <t>前海开源沪港深智慧生活优选灵活配置混合型证券投资基金</t>
  </si>
  <si>
    <t>赵雪芹,栾菲</t>
  </si>
  <si>
    <t>创金合信量化多因子股票</t>
  </si>
  <si>
    <t>创金合信量化多因子股票型证券投资基金</t>
  </si>
  <si>
    <t>程志田,庞世恩</t>
  </si>
  <si>
    <t>中证500指数收益率*90%+2%</t>
  </si>
  <si>
    <t>华宝核心优势灵活配置混合</t>
  </si>
  <si>
    <t>华宝兴业核心优势灵活配置混合型证券投资基金</t>
  </si>
  <si>
    <t>华宝兴业基金</t>
  </si>
  <si>
    <t>胡戈游</t>
  </si>
  <si>
    <t xml:space="preserve">500万元以上 1000元/笔_x000D_
50万元以下 1.5%_x000D_
50~100万元 1.2%_x000D_
100~200万元 1%_x000D_
200~500万元 0.5%_x000D_
</t>
  </si>
  <si>
    <t>富兰克林国海沪港深成长精选股票</t>
  </si>
  <si>
    <t>富兰克林国海沪港深成长精选股票型证券投资基金</t>
  </si>
  <si>
    <t>国海富兰克林基金</t>
  </si>
  <si>
    <t>卫学海</t>
  </si>
  <si>
    <t>沪深300指数收益率*85%+中债国债总指数收益率(全价)*15%</t>
  </si>
  <si>
    <t xml:space="preserve">500万元以上 1000元/笔_x000D_
100万元以下 1.5%_x000D_
100~500万元 0.6%_x000D_
</t>
  </si>
  <si>
    <t>东方红睿轩沪港深灵活混合</t>
  </si>
  <si>
    <t>东方红睿轩沪港深灵活配置混合型证券投资基金</t>
  </si>
  <si>
    <t>刚登峰</t>
  </si>
  <si>
    <t>沪深300指数*60%+恒生指数*20%+中国债券总指数收益率*20%</t>
  </si>
  <si>
    <t>鹏华健康环保灵活配置混合</t>
  </si>
  <si>
    <t>鹏华健康环保灵活配置混合型证券投资基金</t>
  </si>
  <si>
    <t>梁浩,郑川江,蒋鑫</t>
  </si>
  <si>
    <t>中证医药卫生指数收益率*40%+中证环保产业指数收益率*40%+中证综合债指数收益率*20%</t>
  </si>
  <si>
    <t>宝盈国家安全战略沪港深股票</t>
  </si>
  <si>
    <t>宝盈国家安全战略沪港深股票型证券投资基金</t>
  </si>
  <si>
    <t>张小仁,易祚兴</t>
  </si>
  <si>
    <t>沪深300指数收益率*65%+中债综合指数收益率*20%+恒生综合指数收益率*15%</t>
  </si>
  <si>
    <t>广发鑫享灵活配置混合</t>
  </si>
  <si>
    <t>广发鑫享灵活配置混合型证券投资基金</t>
  </si>
  <si>
    <t>易阳方</t>
  </si>
  <si>
    <t>嘉实环保低碳股票</t>
  </si>
  <si>
    <t>嘉实环保低碳股票型证券投资基金</t>
  </si>
  <si>
    <t>李化松</t>
  </si>
  <si>
    <t>中证内地低碳经济主题指数收益率*80%+中证综合债券指数收益率*20%</t>
  </si>
  <si>
    <t>工银文体产业股票</t>
  </si>
  <si>
    <t>工银瑞信文体产业股票型证券投资基金</t>
  </si>
  <si>
    <t>袁芳,胡文彪</t>
  </si>
  <si>
    <t>中证文体指数收益率*80%+中债综合财富(总值)指数收益率*20%</t>
  </si>
  <si>
    <t>广发安富回报灵活配置混合A</t>
  </si>
  <si>
    <t>广发安富回报灵活配置混合型证券投资基金</t>
  </si>
  <si>
    <t>张芊</t>
  </si>
  <si>
    <t xml:space="preserve">500万元以上 1000元/笔_x000D_
50万元以下 1.2%_x000D_
50~100万元 1%_x000D_
100~300万元 0.8%_x000D_
300~500万元 0.6%_x000D_
</t>
  </si>
  <si>
    <t>中邮尊享1年定开灵活混合</t>
  </si>
  <si>
    <t>中邮尊享一年定期开放灵活配置混合型发起式证券投资基金</t>
  </si>
  <si>
    <t>任泽松</t>
  </si>
  <si>
    <t>中证500指数*60%+上证国债指数*40%</t>
  </si>
  <si>
    <t>南方沪港深价值主题灵活混合</t>
  </si>
  <si>
    <t>南方沪港深价值主题灵活配置混合型证券投资基金</t>
  </si>
  <si>
    <t>沪港深价值主题</t>
    <phoneticPr fontId="4" type="noConversion"/>
  </si>
  <si>
    <t>刘霄汉</t>
  </si>
  <si>
    <t xml:space="preserve">1000万元以上 1000元/笔_x000D_
100万元以下 1.5%_x000D_
100~500万元 0.9%_x000D_
500~1000万元 0.5%_x000D_
</t>
  </si>
  <si>
    <t>东兴蓝海财富灵活配置混合</t>
  </si>
  <si>
    <t>东兴蓝海财富灵活配置混合型证券投资基金</t>
  </si>
  <si>
    <t>程远,孙继青,刘家伟</t>
  </si>
  <si>
    <t>上投摩根文体休闲灵活配置混合</t>
  </si>
  <si>
    <t>上投摩根文体休闲灵活配置混合型证券投资基金</t>
  </si>
  <si>
    <t>周战海</t>
  </si>
  <si>
    <t xml:space="preserve">1000万元以上 1000元/笔_x000D_
1000万元以上 1000元/笔,通过基金管理人直销中心对养老金客户实施特定申购费率_x000D_
100万元以下 0.6%_x000D_
100~500万元 0.3%_x000D_
100万元以下 0.18%_x000D_
500~1000万元 0.1%_x000D_
100~500万元 0.09%_x000D_
500~1000万元 0.03%_x000D_
</t>
  </si>
  <si>
    <t>光大中国制造2025灵活混合</t>
  </si>
  <si>
    <t>光大保德信中国制造2025灵活配置混合型证券投资基金</t>
  </si>
  <si>
    <t>黄兴亮,何奇</t>
  </si>
  <si>
    <t>中证工业4.0指数收益率*50%+中证全债指数收益率*50%</t>
  </si>
  <si>
    <t xml:space="preserve">500万元以上 1000元/笔_x000D_
500万元以上 1000元/笔_x000D_
100万元以下 1.5%_x000D_
100~200万元 1.2%_x000D_
200~500万元 0.8%_x000D_
100万元以下 0.15%_x000D_
100~200万元 0.12%_x000D_
200~500万元 0.08%_x000D_
</t>
  </si>
  <si>
    <t>新华积极价值灵活配置混合</t>
  </si>
  <si>
    <t>新华积极价值灵活配置混合型证券投资基金</t>
  </si>
  <si>
    <t>中证500指数收益率*60%+中国债券总指数收益率*40%</t>
  </si>
  <si>
    <t xml:space="preserve">1000万元以上 1000元/笔_x000D_
100万元以下 1.5%_x000D_
100~200万元 1.2%_x000D_
200~500万元 0.8%_x000D_
500~1000万元 0.3%_x000D_
</t>
  </si>
  <si>
    <t>富国低碳新经济混合</t>
  </si>
  <si>
    <t>富国低碳新经济混合型证券投资基金</t>
  </si>
  <si>
    <t>杨栋</t>
  </si>
  <si>
    <t>中证800指数收益率*60%+中债综合全价指数收益率*40%</t>
  </si>
  <si>
    <t>华商乐享互联灵活配置混合</t>
  </si>
  <si>
    <t>华商乐享互联灵活配置混合型证券投资基金</t>
  </si>
  <si>
    <t>高兵</t>
  </si>
  <si>
    <t>银河智联主题灵活配置混合</t>
  </si>
  <si>
    <t>银河智联主题灵活配置混合型证券投资基金</t>
  </si>
  <si>
    <t>银河基金</t>
  </si>
  <si>
    <t>智联主题</t>
    <phoneticPr fontId="4" type="noConversion"/>
  </si>
  <si>
    <t>神玉飞</t>
  </si>
  <si>
    <t>中证800指数收益率*70%+上证国债指数收益率*30%</t>
  </si>
  <si>
    <t>华宝转型升级灵活配置混合</t>
  </si>
  <si>
    <t>华宝兴业转型升级灵活配置混合型证券投资基金</t>
  </si>
  <si>
    <t>区伟良</t>
  </si>
  <si>
    <t>中证800指数收益率*55%+上证国债指数收益率*45%</t>
  </si>
  <si>
    <t>国寿安保成长优选股票</t>
  </si>
  <si>
    <t>国寿安保成长优选股票型证券投资基金</t>
  </si>
  <si>
    <t>大盘成长</t>
  </si>
  <si>
    <t>吴坚,张琦</t>
  </si>
  <si>
    <t>沪深300指数收益率*80%+中债综合指数收益率(全价)*20%</t>
  </si>
  <si>
    <t xml:space="preserve">500万元以上 1000元/笔_x000D_
500万元以上 1000元/笔_x000D_
100万元以下 1.5%_x000D_
100~300万元 1%_x000D_
300~500万元 0.6%_x000D_
100万元以下 0.45%_x000D_
100~300万元 0.3%_x000D_
300~500万元 0.18%_x000D_
</t>
  </si>
  <si>
    <t>前海强势共识100强等权重股票</t>
  </si>
  <si>
    <t>前海开源强势共识100强等权重股票型证券投资基金</t>
  </si>
  <si>
    <t>沪深300指数收益率*95%+银行活期存款利率(税后)*5%</t>
  </si>
  <si>
    <t>前海开源沪港深蓝筹精选灵活混合</t>
  </si>
  <si>
    <t>前海开源沪港深蓝筹精选灵活配置混合型证券投资基金</t>
  </si>
  <si>
    <t>嘉实腾讯自选股大数据策略股票</t>
  </si>
  <si>
    <t>嘉实腾讯自选股大数据策略股票型证券投资基金</t>
  </si>
  <si>
    <t>刘斌</t>
  </si>
  <si>
    <t>中证800指数收益率*90%+中证综合债券指数收益率*10%</t>
  </si>
  <si>
    <t>宝盈医疗健康沪港深股票</t>
  </si>
  <si>
    <t>宝盈医疗健康沪港深股票型证券投资基金</t>
  </si>
  <si>
    <t>段鹏程</t>
  </si>
  <si>
    <t>申银万国医药生物行业指数收益率*70%+恒生综合指数收益率*20%+中证综合债券指数收益率*10%</t>
  </si>
  <si>
    <t>国投国家安全灵活配置混合</t>
  </si>
  <si>
    <t>国投瑞银国家安全灵活配置混合型证券投资基金</t>
  </si>
  <si>
    <t>李轩</t>
  </si>
  <si>
    <t>汇添富新兴消费股票</t>
  </si>
  <si>
    <t>汇添富新兴消费股票型证券投资基金</t>
  </si>
  <si>
    <t>刘伟林,雷鸣</t>
  </si>
  <si>
    <t>中证主要消费行业指数*40%+中证可选消费行业指数*40%+中债综合指数*20%</t>
  </si>
  <si>
    <t>中银战略新兴产业股票</t>
  </si>
  <si>
    <t>中银战略新兴产业股票型证券投资基金</t>
  </si>
  <si>
    <t>钱亚风云</t>
  </si>
  <si>
    <t>中证800指数收益率*80%+中债综合指数收率*20%</t>
  </si>
  <si>
    <t xml:space="preserve">500万元以上 1000元/笔_x000D_
100万元以下 1.5%_x000D_
100~200万元 1.2%_x000D_
200~500万元 0.6%_x000D_
</t>
  </si>
  <si>
    <t>华夏国企改革灵活配置混合</t>
  </si>
  <si>
    <t>华夏国企改革灵活配置混合型证券投资基金</t>
  </si>
  <si>
    <t>郑晓辉</t>
  </si>
  <si>
    <t>富安达健康人生灵活配置混合</t>
  </si>
  <si>
    <t>富安达健康人生灵活配置混合型证券投资基金</t>
  </si>
  <si>
    <t>李守峰,纪青</t>
  </si>
  <si>
    <t>沪深300指数收益率*60%+中债总指数收益率*40%</t>
  </si>
  <si>
    <t>银华互联网主题灵活配置混合</t>
  </si>
  <si>
    <t>银华互联网主题灵活配置混合型证券投资基金</t>
  </si>
  <si>
    <t>互联网主题</t>
    <phoneticPr fontId="4" type="noConversion"/>
  </si>
  <si>
    <t>王浩</t>
  </si>
  <si>
    <t>中证互联网指数收益率*50%+中证全债指数收益率*50%</t>
  </si>
  <si>
    <t xml:space="preserve">500万元以上 1000元/笔_x000D_
500万元以上 1000元/笔_x000D_
50万元以下 1.5%_x000D_
50~100万元 1.2%_x000D_
100~200万元 1%_x000D_
200~500万元 0.6%_x000D_
50万元以下 0.45%_x000D_
50~100万元 0.36%_x000D_
100~200万元 0.3%_x000D_
200~500万元 0.18%_x000D_
</t>
  </si>
  <si>
    <t>中海混改红利主题精选灵活混合</t>
  </si>
  <si>
    <t>中海混改红利主题精选灵活配置混合型证券投资基金</t>
  </si>
  <si>
    <t>混改红利主题</t>
    <phoneticPr fontId="4" type="noConversion"/>
  </si>
  <si>
    <t>邱红丽</t>
  </si>
  <si>
    <t xml:space="preserve">500万元以上 1000元/笔,养老金客户_x000D_
500万元以上 1000元/笔_x000D_
100万元以下 1.5%_x000D_
100~300万元 1%_x000D_
200~500万元 0.6%_x000D_
100万元以下 0.6%_x000D_
100~300万元 0.3%_x000D_
200~500万元 0.12%_x000D_
</t>
  </si>
  <si>
    <t>九泰久盛量化先锋灵活混合</t>
  </si>
  <si>
    <t>九泰久盛量化先锋灵活配置混合型证券投资基金</t>
  </si>
  <si>
    <t>王玥晰,孟亚强</t>
  </si>
  <si>
    <t>泓德战略转型股票</t>
  </si>
  <si>
    <t>泓德战略转型股票型证券投资基金</t>
  </si>
  <si>
    <t>郭堃</t>
  </si>
  <si>
    <t>沪深300指数收益率*90%+中证综合债券指数*10%</t>
  </si>
  <si>
    <t>宝盈新锐灵活配置混合</t>
  </si>
  <si>
    <t>宝盈新锐灵活配置混合型证券投资基金</t>
  </si>
  <si>
    <t>盖俊龙</t>
  </si>
  <si>
    <t>沪深300指数收益率*65%+中债综合指数收益率*35%</t>
  </si>
  <si>
    <t>中欧时代先锋股票</t>
  </si>
  <si>
    <t>中欧时代先锋股票型发起式证券投资基金</t>
  </si>
  <si>
    <t>中证500指数收益率*90%+中证综合债券指数收益率*10%</t>
  </si>
  <si>
    <t>华泰激励动力灵活配置混合A</t>
  </si>
  <si>
    <t>华泰柏瑞激励动力灵活配置混合型证券投资基金</t>
  </si>
  <si>
    <t>华泰柏瑞基金</t>
  </si>
  <si>
    <t>徐晓杰</t>
  </si>
  <si>
    <t>沪深300指数收益率*70%+上证国债指数收益率*30%</t>
  </si>
  <si>
    <t>圆信永丰优加生活股票</t>
  </si>
  <si>
    <t>圆信永丰优加生活股票型证券投资基金</t>
  </si>
  <si>
    <t>圆信永丰基金</t>
  </si>
  <si>
    <t>洪流,范妍</t>
  </si>
  <si>
    <t>泰信国策驱动灵活配置混合</t>
  </si>
  <si>
    <t>泰信国策驱动灵活配置混合型证券投资基金</t>
  </si>
  <si>
    <t>泰信基金</t>
  </si>
  <si>
    <t>车广路</t>
  </si>
  <si>
    <t>上投医疗健康股票</t>
  </si>
  <si>
    <t>上投摩根医疗健康股票型证券投资基金</t>
  </si>
  <si>
    <t>张飞</t>
  </si>
  <si>
    <t>申银万国医药生物行业指数收益率*85%+中债总指数收益率*15%</t>
  </si>
  <si>
    <t xml:space="preserve">500万元以上 1000元/笔_x000D_
100万元以下 0.6%_x000D_
100~200万元 0.3%_x000D_
200~500万元 0.2%_x000D_
</t>
  </si>
  <si>
    <t>融通跨界成长灵活配置混合</t>
  </si>
  <si>
    <t>融通跨界成长灵活配置混合型证券投资基金</t>
  </si>
  <si>
    <t>商小虎</t>
  </si>
  <si>
    <t xml:space="preserve">养老金客户100元/笔_x000D_
500万元以上 1000元/笔_x000D_
100万元以下 1.5%_x000D_
100~200万元 1%_x000D_
200~500万元 0.5%_x000D_
</t>
  </si>
  <si>
    <t>汇丰晋信智造先锋股票A</t>
  </si>
  <si>
    <t>汇丰晋信智造先锋股票型证券投资基金</t>
  </si>
  <si>
    <t>曹庆,吴培文</t>
  </si>
  <si>
    <t>中证装备产业指数*90%+同业存款利率(税后)*10%</t>
  </si>
  <si>
    <t>中欧潜力价值灵活配置混合</t>
  </si>
  <si>
    <t>中欧潜力价值灵活配置混合型证券投资基金</t>
  </si>
  <si>
    <t>曹名长,袁维德</t>
  </si>
  <si>
    <t>中证500指数收益率*60%+中债综合指数收益率*40%</t>
  </si>
  <si>
    <t xml:space="preserve">500万元以上 1000元/笔,通过基金管理人的直销中心申购本基金份额的养老金客户申购费率_x000D_
500万元以上 1000元/笔,非养老金客户_x000D_
100万元以下 1.5%_x000D_
100~500万元 1%_x000D_
100万元以下 0.45%_x000D_
100~500万元 0.3%_x000D_
</t>
  </si>
  <si>
    <t>红土创新新兴产业灵活混合</t>
  </si>
  <si>
    <t>红土创新新兴产业灵活配置混合型证券投资基金</t>
  </si>
  <si>
    <t>红土创新基金</t>
  </si>
  <si>
    <t>侯世霞</t>
  </si>
  <si>
    <t>兴业国企改革灵活配置混合</t>
  </si>
  <si>
    <t>兴业国企改革灵活配置混合型证券投资基金</t>
  </si>
  <si>
    <t>中证国有企业改革指数收益率*55%+上证国债指数收益率*45%</t>
  </si>
  <si>
    <t>华商新动力灵活配置混合</t>
  </si>
  <si>
    <t>华商新动力灵活配置混合型证券投资基金</t>
  </si>
  <si>
    <t>周海栋,刘萌萌</t>
  </si>
  <si>
    <t xml:space="preserve">200万元以上 1000元/笔_x000D_
500万元以上 1000元/笔_x000D_
100万元以下 1.5%_x000D_
100~200万元 1.2%_x000D_
200~500万元 0.8%_x000D_
100万元以下 0.15%_x000D_
100~200万元 0.12%_x000D_
</t>
  </si>
  <si>
    <t>前海开源中国稀缺资产灵活混合A</t>
  </si>
  <si>
    <t>前海开源中国稀缺资产灵活配置混合型证券投资基金</t>
  </si>
  <si>
    <t>东兴改革精选灵活配置混合</t>
  </si>
  <si>
    <t>东兴改革精选灵活配置混合型证券投资基金</t>
  </si>
  <si>
    <t>刘家伟,孙继青</t>
  </si>
  <si>
    <t>东方红优势精选灵活配置混合</t>
  </si>
  <si>
    <t>东方红优势精选灵活配置混合型发起式证券投资基金</t>
  </si>
  <si>
    <t xml:space="preserve">500万元以上 1000元/笔_x000D_
500万元以上 1000元/笔,通过基金管理人直销中心申购本基金的养老金客户的申购费率_x000D_
100万元以下 1.5%_x000D_
100~500万元 1%_x000D_
100万元以下 0.3%_x000D_
100~500万元 0.18%_x000D_
</t>
  </si>
  <si>
    <t>东方创新科技混合</t>
  </si>
  <si>
    <t>东方创新科技混合型证券投资基金</t>
  </si>
  <si>
    <t>邱义鹏,郭瑞</t>
  </si>
  <si>
    <t>永赢量化灵活配置混合</t>
  </si>
  <si>
    <t>永赢量化灵活配置混合型发起式证券投资基金</t>
  </si>
  <si>
    <t>永赢基金</t>
  </si>
  <si>
    <t>张大木</t>
  </si>
  <si>
    <t>沪深300指数收益率*95%*+银行活期存款利率(税后)*5%</t>
  </si>
  <si>
    <t>国寿安保智慧生活股票</t>
  </si>
  <si>
    <t>国寿安保智慧生活股票型证券投资基金</t>
  </si>
  <si>
    <t>张琦,吴坚</t>
  </si>
  <si>
    <t xml:space="preserve">500万元以上 1000元/笔_x000D_
500万元以上 1000元/笔,养老金客户_x000D_
100万元以下 1.5%_x000D_
100~300万元 1%_x000D_
300~500万元 0.6%_x000D_
100万元以下 0.45%_x000D_
100~300万元 0.3%_x000D_
300~500万元 0.18%_x000D_
</t>
  </si>
  <si>
    <t>国泰央企改革股票</t>
  </si>
  <si>
    <t>国泰央企改革股票型证券投资基金</t>
  </si>
  <si>
    <t>饶玉涵,邓时锋</t>
  </si>
  <si>
    <t>中证中央企业综合指数收益率*80%+中证综合债指数收益率*20%</t>
  </si>
  <si>
    <t>南方国策动力股票</t>
  </si>
  <si>
    <t>南方国策动力股票型证券投资基金</t>
  </si>
  <si>
    <t>沪深300指数收益率*80%+上证国债指数*20%</t>
  </si>
  <si>
    <t>宝盈优势产业灵活配置混合</t>
  </si>
  <si>
    <t>宝盈优势产业灵活配置混合型证券投资基金</t>
  </si>
  <si>
    <t>泓德远见回报混合</t>
  </si>
  <si>
    <t>泓德远见回报混合型证券投资基金</t>
  </si>
  <si>
    <t>邬传雁</t>
  </si>
  <si>
    <t>沪深300指数收益率*75%+中证综合债券指数*25%</t>
  </si>
  <si>
    <t>诺安先进制造股票</t>
  </si>
  <si>
    <t>诺安先进制造股票型证券投资基金</t>
  </si>
  <si>
    <t>诺安基金</t>
  </si>
  <si>
    <t>韩冬燕</t>
  </si>
  <si>
    <t>沪深300指数*80%+中证全债指数*20%</t>
  </si>
  <si>
    <t>招商体育文化休闲股票</t>
  </si>
  <si>
    <t>招商体育文化休闲股票型证券投资基金</t>
  </si>
  <si>
    <t>王宠,李佳存</t>
  </si>
  <si>
    <t xml:space="preserve">500万元以上 1000元/笔_x000D_
500万元以上 1000元/笔_x000D_
100万元以下 1.5%_x000D_
100~200万元 1%_x000D_
200~500万元 0.6%_x000D_
100万元以下 0.6%_x000D_
100~200万元 0.4%_x000D_
200~500万元 0.24%_x000D_
</t>
  </si>
  <si>
    <t>九泰锐智定增灵活配置混合</t>
  </si>
  <si>
    <t>九泰锐智定增灵活配置混合型证券投资基金</t>
  </si>
  <si>
    <t xml:space="preserve">500万元以上 1000元/笔,转为上市开放式基金（LOF）后场内和场外的申购费率相同_x000D_
50万元以下 1.5%_x000D_
50~100万元 1%_x000D_
100~500万元 0.5%_x000D_
</t>
  </si>
  <si>
    <t>农银汇理工业4.0灵活混合</t>
  </si>
  <si>
    <t>农银汇理工业4.0灵活配置混合型证券投资基金</t>
  </si>
  <si>
    <t>颜伟鹏</t>
  </si>
  <si>
    <t>沪深300指数收益率*65%+中证全债指数*35%</t>
  </si>
  <si>
    <t>汇添富民营新动力股票</t>
  </si>
  <si>
    <t>汇添富民营新动力股票型证券投资基金</t>
  </si>
  <si>
    <t>谭志强</t>
  </si>
  <si>
    <t>中证民营企业综合指数*80%+中债综合指数*20%</t>
  </si>
  <si>
    <t>安信新常态沪港深精选股票</t>
  </si>
  <si>
    <t>安信新常态沪港深精选股票型证券投资基金</t>
  </si>
  <si>
    <t>安信基金</t>
  </si>
  <si>
    <t>蓝雁书,袁玮</t>
  </si>
  <si>
    <t>万家品质生活灵活配置混合</t>
  </si>
  <si>
    <t>万家品质生活灵活配置混合型证券投资基金</t>
  </si>
  <si>
    <t xml:space="preserve">500万元以上 1000元/笔,养老金客户申购费率_x000D_
500万元以上 1000元/笔_x000D_
100万元以下 1.5%_x000D_
100~500万元 1%_x000D_
100万元以下 0.15%_x000D_
100~500万元 0.1%_x000D_
</t>
  </si>
  <si>
    <t>上投新兴服务股票</t>
  </si>
  <si>
    <t>上投摩根新兴服务股票型证券投资基金</t>
  </si>
  <si>
    <t>杨景喻,郭晨</t>
  </si>
  <si>
    <t>中证800指数收益率*85%+中债总指数收益率*15%</t>
  </si>
  <si>
    <t xml:space="preserve">500万元以上 1000元/笔_x000D_
100万元以下 0.6%_x000D_
100~300万元 0.3%_x000D_
300~500万元 0.1%_x000D_
</t>
  </si>
  <si>
    <t>工银新蓝筹股票</t>
  </si>
  <si>
    <t>工银瑞信新蓝筹股票型证券投资基金</t>
  </si>
  <si>
    <t>王筱苓</t>
  </si>
  <si>
    <t>中银互联网+股票</t>
  </si>
  <si>
    <t>中银互联网+股票型证券投资基金</t>
  </si>
  <si>
    <t>邬炜</t>
  </si>
  <si>
    <t>永赢量化混合</t>
  </si>
  <si>
    <t>永赢量化混合型发起式证券投资基金</t>
  </si>
  <si>
    <t>一年期银行定期存款收益率(税后)</t>
  </si>
  <si>
    <t>华泰中国制造2025灵活混合A</t>
  </si>
  <si>
    <t>华泰柏瑞中国制造2025灵活配置混合型证券投资基金</t>
  </si>
  <si>
    <t>李灿</t>
  </si>
  <si>
    <t>申银万国制造业指数收益率*80%+中债综合全价指数收益率*20%</t>
  </si>
  <si>
    <t>华富健康文娱灵活配置混合</t>
  </si>
  <si>
    <t>华富健康文娱灵活配置混合型证券投资基金</t>
  </si>
  <si>
    <t>华富基金</t>
  </si>
  <si>
    <t>陈启明,高靖瑜</t>
  </si>
  <si>
    <t xml:space="preserve">500万元以上 1000元/笔_x000D_
50万元以下 1.5%_x000D_
50~200万元 1%_x000D_
200~500万元 0.6%_x000D_
</t>
  </si>
  <si>
    <t>国泰互联网+股票</t>
  </si>
  <si>
    <t>国泰互联网+股票型证券投资基金</t>
  </si>
  <si>
    <t>彭凌志</t>
  </si>
  <si>
    <t>信达澳银新能源产业股票</t>
  </si>
  <si>
    <t>信达澳银新能源产业股票型证券投资基金</t>
  </si>
  <si>
    <t>冯明远</t>
  </si>
  <si>
    <t>沪深300指数收益率*85%+上证国债指数收益率*15%</t>
  </si>
  <si>
    <t>建信大安全战略精选股票</t>
  </si>
  <si>
    <t>建信大安全战略精选股票型证券投资基金</t>
  </si>
  <si>
    <t>王东杰</t>
  </si>
  <si>
    <t>沪深300指数收益率*85%+中债总财富(总值)指数收益率*15%</t>
  </si>
  <si>
    <t>嘉实低价策略股票</t>
  </si>
  <si>
    <t>嘉实低价策略股票型证券投资基金</t>
  </si>
  <si>
    <t>李帅</t>
  </si>
  <si>
    <t>浙商汇金转型驱动灵活混合</t>
  </si>
  <si>
    <t>浙商汇金转型驱动灵活配置混合型证券投资基金</t>
  </si>
  <si>
    <t>唐光英</t>
  </si>
  <si>
    <t>中证500指数收益率*70%+中国债券总指数收益率*30%</t>
  </si>
  <si>
    <t>万家瑞兴灵活配置混合</t>
  </si>
  <si>
    <t>万家瑞兴灵活配置混合型证券投资基金</t>
  </si>
  <si>
    <t xml:space="preserve">500万元以上 1000元/笔_x000D_
500万元以上 1000元/笔,通过基金管理人的直销中心申购的养老金客户申购费率_x000D_
100万元以下 0.6%_x000D_
100~300万元 0.4%_x000D_
300~500万元 0.2%_x000D_
100万元以下 0.06%_x000D_
100~300万元 0.04%_x000D_
300~500万元 0.02%_x000D_
</t>
  </si>
  <si>
    <t>长信量化多策略股票</t>
  </si>
  <si>
    <t>长信量化多策略股票型证券投资基金</t>
  </si>
  <si>
    <t>常松,左金保</t>
  </si>
  <si>
    <t>中证500指数收益率*80%+中证综合债券指数收益率*20%</t>
  </si>
  <si>
    <t>华夏新经济灵活配置混合</t>
  </si>
  <si>
    <t>华夏新经济灵活配置混合型发起式证券投资基金</t>
  </si>
  <si>
    <t xml:space="preserve">500万元以上 1000元/笔_x000D_
50万元以下 1.2%_x000D_
50~200万元 0.9%_x000D_
200~500万元 0.6%_x000D_
</t>
  </si>
  <si>
    <t>汇添富国企创新增长股票</t>
  </si>
  <si>
    <t>汇添富国企创新增长股票型证券投资基金</t>
  </si>
  <si>
    <t>李威,劳杰男</t>
  </si>
  <si>
    <t>中证国有企业综合指数*80%+中债综合指数*20%</t>
  </si>
  <si>
    <t>前海金银珠宝主题精选灵活混合A</t>
  </si>
  <si>
    <t>前海开源金银珠宝主题精选灵活配置混合型证券投资基金</t>
  </si>
  <si>
    <t>金银珠宝主题</t>
    <phoneticPr fontId="4" type="noConversion"/>
  </si>
  <si>
    <t>上投科技前沿灵活配置混合</t>
  </si>
  <si>
    <t>上投摩根科技前沿灵活配置混合型证券投资基金</t>
  </si>
  <si>
    <t>李德辉</t>
  </si>
  <si>
    <t>大成正向回报灵活配置混合</t>
  </si>
  <si>
    <t>大成正向回报灵活配置混合型证券投资基金</t>
  </si>
  <si>
    <t>杨挺</t>
  </si>
  <si>
    <t>一年期银行定期存款利率+2%</t>
  </si>
  <si>
    <t>华商双驱优选灵活配置混合</t>
  </si>
  <si>
    <t>华商双驱优选灵活配置混合型证券投资基金</t>
  </si>
  <si>
    <t>李双全</t>
  </si>
  <si>
    <t>沪深300指数收益率*65%+上证国债指数收益率*35%</t>
  </si>
  <si>
    <t xml:space="preserve">200万元以上 1000元/笔_x000D_
500万元以上 1000元/笔_x000D_
50万元以下 1.5%_x000D_
50~200万元 1.2%_x000D_
200~500万元 0.8%_x000D_
100万元以下 0.15%_x000D_
100~200万元 0.12%_x000D_
</t>
  </si>
  <si>
    <t>国金鑫新灵活配置混合</t>
  </si>
  <si>
    <t>国金鑫新灵活配置混合型证券投资基金(LOF)</t>
  </si>
  <si>
    <t>国金基金</t>
  </si>
  <si>
    <t>宫雪</t>
  </si>
  <si>
    <t>一年期银行定期存款利率(税后)+3%</t>
  </si>
  <si>
    <t>东吴新趋势价值线灵活混合</t>
  </si>
  <si>
    <t>东吴新趋势价值线灵活配置混合型证券投资基金</t>
  </si>
  <si>
    <t>东吴基金</t>
  </si>
  <si>
    <t>戴斌</t>
  </si>
  <si>
    <t>沪深300指数*65%+中国债券综合全价指数*35%</t>
  </si>
  <si>
    <t>长信多利灵活配置混合</t>
  </si>
  <si>
    <t>长信多利灵活配置混合型证券投资基金</t>
  </si>
  <si>
    <t>谈洁颖</t>
  </si>
  <si>
    <t>华宝万物互联灵活配置混合</t>
  </si>
  <si>
    <t>华宝兴业万物互联灵活配置混合型证券投资基金</t>
  </si>
  <si>
    <t>楼鸿强</t>
  </si>
  <si>
    <t>南方量化成长股票</t>
  </si>
  <si>
    <t>南方量化成长股票型证券投资基金</t>
  </si>
  <si>
    <t>雷俊</t>
  </si>
  <si>
    <t>中证500指数收益率*90%+上证国债指数收益率*10%</t>
  </si>
  <si>
    <t>新华战略新兴产业灵活混合</t>
  </si>
  <si>
    <t>新华战略新兴产业灵活配置混合型证券投资基金</t>
  </si>
  <si>
    <t>崔建波,付伟</t>
  </si>
  <si>
    <t>中证新兴产业指数*70%+中证综合债券指数*30%</t>
  </si>
  <si>
    <t xml:space="preserve">1000万元以上 1000元/笔_x000D_
50万元以下 1.5%_x000D_
50~200万元 1.2%_x000D_
200~500万元 0.8%_x000D_
500~1000万元 0.3%_x000D_
</t>
  </si>
  <si>
    <t>财通成长优选混合</t>
  </si>
  <si>
    <t>财通成长优选混合型证券投资基金</t>
  </si>
  <si>
    <t>金梓才</t>
  </si>
  <si>
    <t>融通新能源灵活配置混合</t>
  </si>
  <si>
    <t>融通新能源灵活配置混合型证券投资基金</t>
  </si>
  <si>
    <t>付伟琦</t>
  </si>
  <si>
    <t>中证内地新能源主题指数收益率*50%+中债综合(全价)指数收益率*50%</t>
  </si>
  <si>
    <t>招商国企改革主题混合</t>
  </si>
  <si>
    <t>招商国企改革主题混合型证券投资基金</t>
  </si>
  <si>
    <t>国企改革主题</t>
    <phoneticPr fontId="4" type="noConversion"/>
  </si>
  <si>
    <t>李亚,郭锐</t>
  </si>
  <si>
    <t>中证国有企业改革指数收益率*80%+中债综合指数收益率*20%</t>
  </si>
  <si>
    <t>华商新常态灵活配置混合</t>
  </si>
  <si>
    <t>华商新常态灵活配置混合型证券投资基金</t>
  </si>
  <si>
    <t>光大一带一路战略主题混合</t>
  </si>
  <si>
    <t>光大保德信一带一路战略主题混合型证券投资基金</t>
  </si>
  <si>
    <t>一带一路战略主题</t>
    <phoneticPr fontId="4" type="noConversion"/>
  </si>
  <si>
    <t>黄兴亮</t>
  </si>
  <si>
    <t>沪深300指数*70%+中证全债指数*30%</t>
  </si>
  <si>
    <t xml:space="preserve">500万元以上 1000元/笔_x000D_
500万元以上 1000元/笔,通过直销机构申购的养老金客户_x000D_
50万元以下 1.5%_x000D_
50~100万元 1.2%_x000D_
100~500万元 0.8%_x000D_
50万元以下 0.15%_x000D_
50~100万元 0.12%_x000D_
100~500万元 0.08%_x000D_
</t>
  </si>
  <si>
    <t>易方达瑞享灵活配置混合I</t>
  </si>
  <si>
    <t>易方达瑞享灵活配置混合型证券投资基金</t>
  </si>
  <si>
    <t>梁裕宁</t>
  </si>
  <si>
    <t>一年期人民币定期存款利率(税后)+2%</t>
  </si>
  <si>
    <t xml:space="preserve">500万元以上 1000元/笔_x000D_
500万元以上 1000元/笔,通过基金管理人的直销中心申购的特定投资群体_x000D_
100万元以下 0.6%_x000D_
100~500万元 0.3%_x000D_
100万元以下 0.06%_x000D_
100~500万元 0.03%_x000D_
</t>
  </si>
  <si>
    <t>工银聚焦30股票</t>
  </si>
  <si>
    <t>工银瑞信聚焦30股票型证券投资基金</t>
  </si>
  <si>
    <t>胡文彪</t>
  </si>
  <si>
    <t>中证800指数收益率*80%+中债综合财富指数收益率*20%</t>
  </si>
  <si>
    <t>东方新思路灵活配置混合A</t>
  </si>
  <si>
    <t>东方新思路灵活配置混合型证券投资基金</t>
  </si>
  <si>
    <t>王然,姚航</t>
  </si>
  <si>
    <t>3年期银行定期存款基准利率(税后)+3%</t>
  </si>
  <si>
    <t xml:space="preserve">500万元以上 1000元/笔_x000D_
500万元以上 1000元/笔,养老金客户_x000D_
50万元以下 0.8%_x000D_
50~100万元 0.5%_x000D_
100~500万元 0.3%_x000D_
50万元以下 0.08%_x000D_
50~100万元 0.05%_x000D_
100~500万元 0.03%_x000D_
</t>
  </si>
  <si>
    <t>中金消费升级股票</t>
  </si>
  <si>
    <t>中金消费升级股票型证券投资基金</t>
  </si>
  <si>
    <t>中金基金</t>
  </si>
  <si>
    <t>郭党钰</t>
  </si>
  <si>
    <t>中证主要消费指数收益率*80%+中证全债指数收益率*20%</t>
  </si>
  <si>
    <t>富国沪港深价值精选灵活混合</t>
  </si>
  <si>
    <t>富国沪港深价值精选灵活配置混合型证券投资基金</t>
  </si>
  <si>
    <t>张峰,汪孟海</t>
  </si>
  <si>
    <t xml:space="preserve">500万元以上 1000元/笔_x000D_
500万元以上 1000元/笔,通过基金管理人的直销中心申购本基金的养老金客户._x000D_
100万元以下 1.5%_x000D_
100~500万元 1.2%_x000D_
100万元以下 0.45%_x000D_
100~500万元 0.36%_x000D_
</t>
  </si>
  <si>
    <t>农银汇理信息传媒主题股票</t>
  </si>
  <si>
    <t>农银汇理信息传媒主题股票型证券投资基金</t>
  </si>
  <si>
    <t>信息传媒主题</t>
    <phoneticPr fontId="4" type="noConversion"/>
  </si>
  <si>
    <t>凌晨</t>
  </si>
  <si>
    <t>中证TMT产业主题指数*80%+中证全债指数*20%</t>
  </si>
  <si>
    <t>建信互联网+产业升级股票</t>
  </si>
  <si>
    <t>建信互联网+产业升级股票型证券投资基金</t>
  </si>
  <si>
    <t>何珅华</t>
  </si>
  <si>
    <t>中证800指数收益率*80%+中债综合指数收益率(全价)*20%</t>
  </si>
  <si>
    <t>中银智能制造股票</t>
  </si>
  <si>
    <t>中银智能制造股票型证券投资基金</t>
  </si>
  <si>
    <t>王伟</t>
  </si>
  <si>
    <t>中证装备产业指数收益率*80%+中债综合指数收率*20%</t>
  </si>
  <si>
    <t>易方达国防军工混合</t>
  </si>
  <si>
    <t>易方达国防军工混合型证券投资基金</t>
  </si>
  <si>
    <t>陈皓</t>
  </si>
  <si>
    <t>申万国防军工指数收益率*70%+一年期人民币定期存款利率(税后)*30%</t>
  </si>
  <si>
    <t xml:space="preserve">500万元以上 1000元/笔,通过基金管理人直销中心申购的特定投资群体_x000D_
500万元以上 1000元/笔_x000D_
100万元以下 1.5%_x000D_
100~200万元 1.2%_x000D_
200~500万元 0.3%_x000D_
100万元以下 0.15%_x000D_
100~200万元 0.12%_x000D_
200~500万元 0.03%_x000D_
</t>
  </si>
  <si>
    <t>招商移动互联网产业股票</t>
  </si>
  <si>
    <t>招商移动互联网产业股票型证券投资基金</t>
  </si>
  <si>
    <t>王忠波,韩冰</t>
  </si>
  <si>
    <t>中证移动互联网指数收益率*80%+中债综合指数收益率*20%</t>
  </si>
  <si>
    <t xml:space="preserve">500万元以上 1000元/笔_x000D_
500万元以上 1000元/笔_x000D_
100万元以下 1.5%_x000D_
100~200万元 1%_x000D_
100万元以下 0.6%_x000D_
200~500万元 0.6%_x000D_
100~200万元 0.4%_x000D_
200~500万元 0.36%_x000D_
</t>
  </si>
  <si>
    <t>华泰健康生活灵活配置混合</t>
  </si>
  <si>
    <t>华泰柏瑞健康生活灵活配置混合型证券投资基金</t>
  </si>
  <si>
    <t>徐晓杰,吕慧建</t>
  </si>
  <si>
    <t>汇添富医疗服务灵活配置混合</t>
  </si>
  <si>
    <t>汇添富医疗服务灵活配置混合型证券投资基金</t>
  </si>
  <si>
    <t>刘江</t>
  </si>
  <si>
    <t>中证医药卫生指数*70%+中债综合指数*30%</t>
  </si>
  <si>
    <t xml:space="preserve">1000万元以上 1000元/笔_x000D_
100万元以下 1.5%_x000D_
100~500万元 1%_x000D_
500~1000万元 0.5%_x000D_
</t>
  </si>
  <si>
    <t>金鹰产业整合灵活配置混合</t>
  </si>
  <si>
    <t>金鹰产业整合灵活配置混合型证券投资基金</t>
  </si>
  <si>
    <t>于利强</t>
  </si>
  <si>
    <t>前海清洁能源主题精选灵活混合A</t>
  </si>
  <si>
    <t>前海开源清洁能源主题精选灵活配置混合型证券投资基金</t>
    <phoneticPr fontId="4" type="noConversion"/>
  </si>
  <si>
    <t>清洁能源主题</t>
    <phoneticPr fontId="4" type="noConversion"/>
  </si>
  <si>
    <t>邱杰</t>
  </si>
  <si>
    <t>交银国企改革灵活配置混合</t>
  </si>
  <si>
    <t>交银施罗德国企改革灵活配置混合型证券投资基金</t>
  </si>
  <si>
    <t>沈楠</t>
  </si>
  <si>
    <t xml:space="preserve">500万元以上 1000元/笔,非养老金客户_x000D_
500万元以上 1000元/笔,通过基金管理人直销柜台申购本基金基金份额的养老金客户特定申购费率_x000D_
50万元以下 1.5%_x000D_
50~100万元 1.2%_x000D_
100~200万元 0.8%_x000D_
50万元以下 0.6%_x000D_
200~500万元 0.5%_x000D_
50~100万元 0.36%_x000D_
100~200万元 0.16%_x000D_
200~500万元 0.12%_x000D_
</t>
  </si>
  <si>
    <t>九泰天富改革新动力灵活混合</t>
  </si>
  <si>
    <t>九泰天富改革新动力灵活配置混合型证券投资基金</t>
  </si>
  <si>
    <t>吴祖尧,孟亚强</t>
  </si>
  <si>
    <t>上投智慧互联股票</t>
  </si>
  <si>
    <t>上投摩根智慧互联股票型证券投资基金</t>
  </si>
  <si>
    <t>郭晨</t>
  </si>
  <si>
    <t xml:space="preserve">500万元以上 1000元/笔_x000D_
100万元以下 1%_x000D_
100~300万元 0.8%_x000D_
300~500万元 0.6%_x000D_
</t>
  </si>
  <si>
    <t>嘉实事件驱动股票</t>
  </si>
  <si>
    <t>嘉实事件驱动股票型证券投资基金</t>
  </si>
  <si>
    <t>张自力,陶羽</t>
  </si>
  <si>
    <t>长城改革红利灵活配置混合</t>
  </si>
  <si>
    <t>长城改革红利灵活配置混合型证券投资基金</t>
  </si>
  <si>
    <t>长城基金</t>
  </si>
  <si>
    <t>赵波,吴文庆</t>
  </si>
  <si>
    <t>中证800指数收益率*55%+中债综合财富指数收益率*45%</t>
  </si>
  <si>
    <t xml:space="preserve">500万元以上 1000元/笔,通过直销柜台申购的养老金客户_x000D_
500万元以上 1000元/笔_x000D_
100万元以下 1.5%_x000D_
100~300万元 1%_x000D_
300~500万元 0.5%_x000D_
100万元以下 0.3%_x000D_
100~300万元 0.2%_x000D_
300~500万元 0.1%_x000D_
</t>
  </si>
  <si>
    <t>平安大华智慧中国灵活混合</t>
  </si>
  <si>
    <t>平安大华智慧中国灵活配置混合型证券投资基金</t>
  </si>
  <si>
    <t>神爱前</t>
  </si>
  <si>
    <t>工银互联网加股票</t>
  </si>
  <si>
    <t>工银瑞信互联网加股票型证券投资基金</t>
  </si>
  <si>
    <t>刘天任,王烁杰,单文</t>
  </si>
  <si>
    <t>中欧永裕混合A</t>
  </si>
  <si>
    <t>中欧永裕混合型证券投资基金</t>
  </si>
  <si>
    <t>魏博,庄波</t>
  </si>
  <si>
    <t xml:space="preserve">500万元以上 1000元/笔,通过基金管理人的直销中心申购的养老金客户._x000D_
500万元以上 1000元/笔_x000D_
100万元以下 1.5%_x000D_
100~500万元 1%_x000D_
100万元以下 0.45%_x000D_
100~500万元 0.3%_x000D_
</t>
  </si>
  <si>
    <t>华泰量化智慧灵活配置混合</t>
  </si>
  <si>
    <t>华泰柏瑞量化智慧灵活配置混合型证券投资基金</t>
  </si>
  <si>
    <t>田汉卿</t>
  </si>
  <si>
    <t>中证500指数收益率*95%+银行活期存款利率(税后)*5%</t>
  </si>
  <si>
    <t>泰达宏利蓝筹价值混合</t>
  </si>
  <si>
    <t>泰达宏利蓝筹价值混合型证券投资基金</t>
  </si>
  <si>
    <t>陈丹琳</t>
  </si>
  <si>
    <t>沪深300指数收益率*60%+中证综合债指数收益率*40%</t>
  </si>
  <si>
    <t xml:space="preserve">500万元以上 1000元/笔,通过基金管理人的直销中心申购本基金基金份额的养老金客户。_x000D_
500万元以上 1000元/笔_x000D_
100万元以下 1.5%_x000D_
100~250万元 1%_x000D_
250~500万元 0.6%_x000D_
100万元以下 0.375%_x000D_
100~250万元 0.25%_x000D_
250~500万元 0.15%_x000D_
</t>
  </si>
  <si>
    <t>工银生态环境行业股票</t>
  </si>
  <si>
    <t>工银瑞信生态环境行业股票型证券投资基金</t>
  </si>
  <si>
    <t>生态环境行业</t>
    <phoneticPr fontId="4" type="noConversion"/>
  </si>
  <si>
    <t>梅韬,何肖颉</t>
  </si>
  <si>
    <t>中证环保产业指数收益率*80%+中债综合财富指数收益率*20%</t>
  </si>
  <si>
    <t>上投动态多因子策略灵活混合</t>
  </si>
  <si>
    <t>上投摩根动态多因子策略灵活配置混合型证券投资基金</t>
  </si>
  <si>
    <t>黄栋</t>
  </si>
  <si>
    <t>大摩量化多策略股票</t>
  </si>
  <si>
    <t>摩根士丹利华鑫量化多策略股票型证券投资基金</t>
  </si>
  <si>
    <t>杨雨龙</t>
  </si>
  <si>
    <t>沪深300指数收益率*85%+标普中国债券指数收益率*15%</t>
  </si>
  <si>
    <t xml:space="preserve">500万元以上 1000元/笔,通过基金管理人的直销中心申购本基金基金份额的养老金客户申购费率_x000D_
500万元以上 1000元/笔,非养老金_x000D_
100万元以下 1.5%_x000D_
100~500万元 1%_x000D_
100万元以下 0.6%_x000D_
100~500万元 0.4%_x000D_
</t>
  </si>
  <si>
    <t>鹏华医药科技股票</t>
  </si>
  <si>
    <t>鹏华医药科技股票型证券投资基金</t>
  </si>
  <si>
    <t>梁浩,金笑非</t>
  </si>
  <si>
    <t>中证医药卫生指数收益率*80%+中债总指数收益率*20%</t>
  </si>
  <si>
    <t xml:space="preserve">1000万元以上 1000元/笔_x000D_
1000万元以上 1000元/笔,通过基金管理人的直销柜台申购本基金基金份额的养老金客户._x000D_
100万元以下 1.5%_x000D_
100~500万元 1%_x000D_
100万元以下 0.6%_x000D_
500~1000万元 0.5%_x000D_
100~500万元 0.3%_x000D_
500~1000万元 0.1%_x000D_
</t>
  </si>
  <si>
    <t>天弘互联网灵活配置混合</t>
  </si>
  <si>
    <t>天弘互联网灵活配置混合型证券投资基金</t>
  </si>
  <si>
    <t>天弘基金</t>
  </si>
  <si>
    <t>肖志刚,田俊维,陈国光</t>
  </si>
  <si>
    <t>新华稳健回报灵活配置混合</t>
  </si>
  <si>
    <t>新华稳健回报灵活配置混合型发起式证券投资基金</t>
  </si>
  <si>
    <t>中国主动型基金</t>
    <phoneticPr fontId="4" type="noConversion"/>
  </si>
  <si>
    <t>蔡春红,崔建波</t>
  </si>
  <si>
    <t>一年期银行定期存款收益率(税后)*2</t>
  </si>
  <si>
    <t xml:space="preserve">500万元以上 1000元/笔_x000D_
100万元以下 1.2%_x000D_
100~200万元 1%_x000D_
200~500万元 0.6%_x000D_
</t>
  </si>
  <si>
    <t>中邮趋势精选灵活配置混合</t>
  </si>
  <si>
    <t>中邮趋势精选灵活配置混合型证券投资基金</t>
  </si>
  <si>
    <t>杨欢,许进财</t>
  </si>
  <si>
    <t>沪深300指数*60%+上证国债指数*40%</t>
  </si>
  <si>
    <t>易方达新丝路灵活配置混合</t>
  </si>
  <si>
    <t>易方达新丝路灵活配置混合型证券投资基金</t>
  </si>
  <si>
    <t>郭杰,樊正伟,张坤</t>
  </si>
  <si>
    <t>中证800指数收益率*65%+一年期人民币定期存款利率(税后)*35%</t>
  </si>
  <si>
    <t xml:space="preserve">500万元以上 1000元/笔_x000D_
500万元以上 1000元/笔,通过基金管理人的直销中心申购的特定投资群体。_x000D_
100万元以下 1.5%_x000D_
100~200万元 1.2%_x000D_
200~500万元 0.3%_x000D_
100万元以下 0.15%_x000D_
100~200万元 0.12%_x000D_
200~500万元 0.03%_x000D_
</t>
  </si>
  <si>
    <t>民生研究精选灵活配置混合</t>
  </si>
  <si>
    <t>民生加银研究精选灵活配置混合型证券投资基金</t>
  </si>
  <si>
    <t>民生加银基金</t>
  </si>
  <si>
    <t>中国主动型基金</t>
    <phoneticPr fontId="4" type="noConversion"/>
  </si>
  <si>
    <t>宋磊</t>
  </si>
  <si>
    <t>沪深300指数收益率*60%+中证国债指数收益率*40%</t>
  </si>
  <si>
    <t xml:space="preserve">500万元以上 500元/笔_x000D_
100万元以下 1.5%_x000D_
100~200万元 1%_x000D_
200~500万元 0.5%_x000D_
</t>
  </si>
  <si>
    <t>建信新经济灵活配置混合</t>
  </si>
  <si>
    <t>建信新经济灵活配置混合型证券投资基金</t>
  </si>
  <si>
    <t>许杰</t>
  </si>
  <si>
    <t>沪深300指数收益率*65%+中债总财富(总值)指数收益率*35%</t>
  </si>
  <si>
    <t>工银农业产业股票</t>
  </si>
  <si>
    <t>工银瑞信农业产业股票型证券投资基金</t>
  </si>
  <si>
    <t>杨柯</t>
  </si>
  <si>
    <t>中信农林牧渔一级行业指数收益率*85%+中债综合财富指数收益率*15%</t>
  </si>
  <si>
    <t>大成睿景灵活配置混合A</t>
  </si>
  <si>
    <t>大成睿景灵活配置混合型证券投资基金</t>
  </si>
  <si>
    <t>李本刚</t>
  </si>
  <si>
    <t>浦银安盛医疗健康灵活混合</t>
  </si>
  <si>
    <t>浦银安盛医疗健康灵活配置混合型证券投资基金</t>
  </si>
  <si>
    <t>陈蔚丰</t>
  </si>
  <si>
    <t>中证医药卫生指数收益率*55%+中债综合指数收益率*45%</t>
  </si>
  <si>
    <t>博时丝路主题股票A</t>
  </si>
  <si>
    <t>博时丝路主题股票型证券投资基金</t>
  </si>
  <si>
    <t>新丝路主题</t>
    <phoneticPr fontId="4" type="noConversion"/>
  </si>
  <si>
    <t>沙炜</t>
  </si>
  <si>
    <t>沪深300指数收益率*90%+中国债券总指数收益率*10%</t>
  </si>
  <si>
    <t>泓德优选成长混合</t>
  </si>
  <si>
    <t>泓德优选成长混合型证券投资基金</t>
  </si>
  <si>
    <t>王克玉</t>
  </si>
  <si>
    <t>沪深300指数收益率*80%+中证综合债券指数*20%</t>
  </si>
  <si>
    <t>富国改革动力混合</t>
  </si>
  <si>
    <t>富国改革动力混合型证券投资基金</t>
  </si>
  <si>
    <t>汪鸣,张啸伟,李晓铭</t>
  </si>
  <si>
    <t>中证800指数收益率*60%+中债综合指数收益率*40%</t>
  </si>
  <si>
    <t xml:space="preserve">500万元以上 1000元/笔,通过本公司直销柜台申购的养老金客户。_x000D_
500万元以上 1000元/笔_x000D_
100万元以下 1.5%_x000D_
100~500万元 1.2%_x000D_
100万元以下 0.45%_x000D_
100~500万元 0.36%_x000D_
</t>
  </si>
  <si>
    <t>博时国企改革主题股票</t>
  </si>
  <si>
    <t>博时国企改革主题股票型证券投资基金</t>
  </si>
  <si>
    <t>林景艺</t>
  </si>
  <si>
    <t xml:space="preserve">1000万元以上 1000元/笔_x000D_
100万元以下 1.5%_x000D_
100~500万元 1%_x000D_
500~1000万元 0.6%_x000D_
</t>
  </si>
  <si>
    <t>融通新区域新经济灵活混合</t>
  </si>
  <si>
    <t>融通新区域新经济灵活配置混合型证券投资基金</t>
  </si>
  <si>
    <t>刘格菘,杨博琳</t>
  </si>
  <si>
    <t>中证新兴产业指数收益率*50%+中债综合(全价)指数收益率*50%</t>
  </si>
  <si>
    <t xml:space="preserve">500万元以上 1000元/笔_x000D_
100元/笔,通过基金管理人的直销柜台前端申购本基金份额的养老金客户._x000D_
100万元以下 1.5%_x000D_
100~200万元 1%_x000D_
200~500万元 0.5%_x000D_
</t>
  </si>
  <si>
    <t xml:space="preserve">1年以下 1.8%_x000D_
1~2年 1.4%_x000D_
2~3年 0.8%_x000D_
3年以上 0%_x000D_
</t>
  </si>
  <si>
    <t>华泰消费成长灵活配置混合</t>
  </si>
  <si>
    <t>华泰柏瑞消费成长灵活配置混合型证券投资基金</t>
  </si>
  <si>
    <t>方纬</t>
  </si>
  <si>
    <t>申银万国消费品指数*80%+中证全债指数*20%</t>
  </si>
  <si>
    <t>中海积极增利灵活配置混合</t>
  </si>
  <si>
    <t>中海积极增利灵活配置混合型证券投资基金</t>
  </si>
  <si>
    <t>左剑</t>
  </si>
  <si>
    <t>一年期银行定期存款利率(税后)+2%</t>
  </si>
  <si>
    <t xml:space="preserve">500万元以上 1000元/笔_x000D_
500万元以上 1000元/笔,通过基金管理人的直销中心申购养老金客户等特定投资群体_x000D_
100万元以下 1.5%_x000D_
100~300万元 0.8%_x000D_
100万元以下 0.6%_x000D_
300~500万元 0.3%_x000D_
100~300万元 0.24%_x000D_
300~500万元 0.06%_x000D_
</t>
  </si>
  <si>
    <t>安信优势增长灵活配置混合A</t>
  </si>
  <si>
    <t>安信优势增长灵活配置混合型证券投资基金</t>
  </si>
  <si>
    <t>聂世林</t>
  </si>
  <si>
    <t xml:space="preserve">500万元以上 1000元/笔_x000D_
100万元以下 1%_x000D_
100~500万元 0.5%_x000D_
</t>
  </si>
  <si>
    <t>国投精选收益灵活配置混合</t>
  </si>
  <si>
    <t>国投瑞银精选收益灵活配置混合型证券投资基金</t>
  </si>
  <si>
    <t>桑俊</t>
  </si>
  <si>
    <t>国投瑞盈灵活配置混合</t>
  </si>
  <si>
    <t>国投瑞银瑞盈灵活配置混合型证券投资基金(LOF)</t>
  </si>
  <si>
    <t>杨冬冬</t>
  </si>
  <si>
    <t>南方改革机遇灵活配置混合</t>
  </si>
  <si>
    <t>南方改革机遇灵活配置混合型证券投资基金</t>
  </si>
  <si>
    <t>鹏华外延成长灵活配置混合</t>
  </si>
  <si>
    <t>鹏华外延成长灵活配置混合型证券投资基金</t>
  </si>
  <si>
    <t>张卓,陈璇淼</t>
  </si>
  <si>
    <t>沪深300指数收益率*70%+中证综合债指数收益率*30%</t>
  </si>
  <si>
    <t xml:space="preserve">500万元以上 1000元/笔,通过基金管理人的直销柜台申购本基金基金份额的养老金客户_x000D_
500万元以上 1000元/笔_x000D_
100万元以下 1.5%_x000D_
100~500万元 1%_x000D_
100万元以下 0.6%_x000D_
100~500万元 0.3%_x000D_
</t>
  </si>
  <si>
    <t>长安鑫利优选灵活配置混合A</t>
  </si>
  <si>
    <t>长安鑫利优选灵活配置混合型证券投资基金</t>
  </si>
  <si>
    <t>长安基金</t>
  </si>
  <si>
    <t>林忠晶</t>
  </si>
  <si>
    <t>一年期银行定期存款利率(税后)+1.5%</t>
  </si>
  <si>
    <t>前海开源再融资主题精选股票</t>
  </si>
  <si>
    <t>前海开源再融资主题精选股票型证券投资基金</t>
  </si>
  <si>
    <t>再融资主题</t>
    <phoneticPr fontId="4" type="noConversion"/>
  </si>
  <si>
    <t>华夏领先股票</t>
  </si>
  <si>
    <t>华夏领先股票型证券投资基金</t>
  </si>
  <si>
    <t>林峰</t>
  </si>
  <si>
    <t>沪深300指数*90%+上证国债指数*10%</t>
  </si>
  <si>
    <t>华安媒体互联网混合</t>
  </si>
  <si>
    <t>华安媒体互联网混合型证券投资基金</t>
  </si>
  <si>
    <t>胡宜斌</t>
  </si>
  <si>
    <t xml:space="preserve">500万元以上 1000元/笔_x000D_
500元/笔,通过直销机构申购的养老金客户申购费率_x000D_
100万元以下 1.5%_x000D_
100~300万元 1.2%_x000D_
300~500万元 0.8%_x000D_
</t>
  </si>
  <si>
    <t>富国国家安全主题混合</t>
  </si>
  <si>
    <t>富国国家安全主题混合型证券投资基金</t>
  </si>
  <si>
    <t xml:space="preserve">500万元以上 1000元/笔,通过直销柜台申购的养老金客户_x000D_
500万元以上 1000元/笔_x000D_
100万元以下 1.5%_x000D_
100~500万元 1.2%_x000D_
100万元以下 0.45%_x000D_
100~500万元 0.36%_x000D_
</t>
  </si>
  <si>
    <t>中邮信息产业灵活配置混合</t>
  </si>
  <si>
    <t>中邮信息产业灵活配置混合型证券投资基金</t>
  </si>
  <si>
    <t>任泽松,周楠</t>
  </si>
  <si>
    <t>中证信息技术指数*60%+上证国债指数*40%</t>
  </si>
  <si>
    <t>诺安低碳经济股票</t>
  </si>
  <si>
    <t>诺安低碳经济股票型证券投资基金</t>
  </si>
  <si>
    <t>盛震山</t>
  </si>
  <si>
    <t>中证内地低碳经济主题指数收益率*80%+中证全债指数收益率*20%</t>
  </si>
  <si>
    <t>前海开源国家比较优势灵活混合</t>
  </si>
  <si>
    <t>前海开源国家比较优势灵活配置混合型证券投资基金</t>
  </si>
  <si>
    <t>华宝国策导向混合</t>
  </si>
  <si>
    <t>华宝兴业国策导向混合型证券投资基金</t>
  </si>
  <si>
    <t>季鹏,刘自强</t>
  </si>
  <si>
    <t>富国文体健康股票</t>
  </si>
  <si>
    <t>富国文体健康股票型证券投资基金</t>
  </si>
  <si>
    <t>林庆</t>
  </si>
  <si>
    <t xml:space="preserve">500万元以上 1000元/笔,通过基金公司直销柜台申购本基金份额的养老金客户_x000D_
500万元以上 1000元/笔_x000D_
100万元以下 1.5%_x000D_
100~500万元 1.2%_x000D_
100万元以下 0.45%_x000D_
100~500万元 0.36%_x000D_
</t>
  </si>
  <si>
    <t>北信平安中国主题灵活混合</t>
  </si>
  <si>
    <t>北信瑞丰平安中国主题灵活配置混合型证券投资基金</t>
  </si>
  <si>
    <t>平安中国主题</t>
    <phoneticPr fontId="4" type="noConversion"/>
  </si>
  <si>
    <t>高峰,于军华</t>
  </si>
  <si>
    <t>易方达新常态灵活配置混合</t>
  </si>
  <si>
    <t>易方达新常态灵活配置混合型证券投资基金</t>
  </si>
  <si>
    <t>樊正伟,宋昆</t>
  </si>
  <si>
    <t xml:space="preserve">500万元以上 1000元/笔,通过基金管理人的直销中心申购的养老金客户及特定投资群体._x000D_
500万元以上 1000元/笔_x000D_
100万元以下 1.5%_x000D_
100~200万元 1.2%_x000D_
200~500万元 0.3%_x000D_
100万元以下 0.15%_x000D_
100~200万元 0.12%_x000D_
200~500万元 0.03%_x000D_
</t>
  </si>
  <si>
    <t>金鹰科技创新股票</t>
  </si>
  <si>
    <t>金鹰科技创新股票型证券投资基金</t>
  </si>
  <si>
    <t>方超</t>
  </si>
  <si>
    <t>银华中国梦30股票</t>
  </si>
  <si>
    <t>银华中国梦30股票型证券投资基金</t>
  </si>
  <si>
    <t>薄官辉</t>
  </si>
  <si>
    <t>中证800指数收益率*90%+中债总财富指数收益率*10%</t>
  </si>
  <si>
    <t xml:space="preserve">500万元以上 1000元/笔,通过基金管理人的直销机构及网上直销交易系统申购本基金基金份额的养老金客户的特定申购费率_x000D_
500万元以上 1000元/笔_x000D_
50万元以下 1.5%_x000D_
50~100万元 1.2%_x000D_
100~200万元 1%_x000D_
200~500万元 0.6%_x000D_
50万元以下 0.45%_x000D_
50~100万元 0.36%_x000D_
100~200万元 0.3%_x000D_
200~500万元 0.18%_x000D_
</t>
  </si>
  <si>
    <t>前海一带一路主题精选灵活混合A</t>
  </si>
  <si>
    <t>前海开源一带一路主题精选灵活配置混合型证券投资基金</t>
  </si>
  <si>
    <t>一带一路主题</t>
    <phoneticPr fontId="4" type="noConversion"/>
  </si>
  <si>
    <t>薛小波,徐立平</t>
  </si>
  <si>
    <t>德邦大健康灵活配置混合</t>
  </si>
  <si>
    <t>德邦大健康灵活配置混合型证券投资基金</t>
  </si>
  <si>
    <t>德邦基金</t>
  </si>
  <si>
    <t>黎莹</t>
  </si>
  <si>
    <t>中证健康产业指数*80%+中证全债指数收益率*20%</t>
  </si>
  <si>
    <t>宝盈转型动力灵活配置混合</t>
  </si>
  <si>
    <t>宝盈转型动力灵活配置混合型证券投资基金</t>
  </si>
  <si>
    <t>前海开源优势蓝筹股票A</t>
  </si>
  <si>
    <t>前海开源优势蓝筹股票型证券投资基金</t>
  </si>
  <si>
    <t>鹏华改革红利股票</t>
  </si>
  <si>
    <t>鹏华改革红利股票型证券投资基金</t>
  </si>
  <si>
    <t>伍旋</t>
  </si>
  <si>
    <t xml:space="preserve">500万元以上 1000元/笔_x000D_
500万元以上 1000元/笔,通过基金管理人的直销柜台申购本基金的养老金客户的特定申购费率_x000D_
100万元以下 1.5%_x000D_
100~500万元 1%_x000D_
100万元以下 0.6%_x000D_
100~500万元 0.3%_x000D_
</t>
  </si>
  <si>
    <t>工银养老产业股票</t>
  </si>
  <si>
    <t>工银瑞信养老产业股票型证券投资基金</t>
  </si>
  <si>
    <t>胡文彪,赵蓓</t>
  </si>
  <si>
    <t>中证养老产业指数收益率*80%+中债综合财富指数收益率*20%</t>
  </si>
  <si>
    <t>工银新材料新能源行业股票</t>
  </si>
  <si>
    <t>工银瑞信新材料新能源行业股票型证券投资基金</t>
  </si>
  <si>
    <t>新材料新能源行业</t>
    <phoneticPr fontId="4" type="noConversion"/>
  </si>
  <si>
    <t>黄安乐,孙楠,张剑峰,陈小鹭</t>
  </si>
  <si>
    <t>中证全指一级行业能源指数收益率*40%+中证全指一级行业材料指数收益率*40%+中债综合指数收益率*20%</t>
  </si>
  <si>
    <t>博时互联网主题灵活配置混合</t>
  </si>
  <si>
    <t>博时互联网主题灵活配置混合型证券投资基金</t>
  </si>
  <si>
    <t>招扬,郭晓林</t>
  </si>
  <si>
    <t>嘉实先进制造股票</t>
  </si>
  <si>
    <t>嘉实先进制造股票型证券投资基金</t>
  </si>
  <si>
    <t>张淼</t>
  </si>
  <si>
    <t>中证装备产业指数收益率*80%+上证国债指数收益率*20%</t>
  </si>
  <si>
    <t>华安智能装备主题股票</t>
  </si>
  <si>
    <t>华安智能装备主题股票型证券投资基金</t>
  </si>
  <si>
    <t>智能装备主题</t>
    <phoneticPr fontId="4" type="noConversion"/>
  </si>
  <si>
    <t>李欣</t>
  </si>
  <si>
    <t>中证800指数收益率*80%+中国债券总指数收益率*20%</t>
  </si>
  <si>
    <t xml:space="preserve">500元/笔,通过直销机构申购的养老金客户_x000D_
500万元以上 1000元/笔_x000D_
100万元以下 1.5%_x000D_
100~300万元 1.2%_x000D_
300~500万元 0.8%_x000D_
</t>
  </si>
  <si>
    <t>易方达改革红利混合</t>
  </si>
  <si>
    <t>易方达改革红利混合型证券投资基金</t>
  </si>
  <si>
    <t>郭杰</t>
  </si>
  <si>
    <t>沪深300指数收益率*70%+一年期人民币定期存款利率(税后)*30%</t>
  </si>
  <si>
    <t xml:space="preserve">500万元以上 1000元/笔,通过基金管理人的直销中心申购本基金的特定投资群体申购费率_x000D_
500万元以上 1000元/笔_x000D_
100万元以下 1.5%_x000D_
100~200万元 1.2%_x000D_
200~500万元 0.3%_x000D_
100万元以下 0.15%_x000D_
100~200万元 0.12%_x000D_
200~500万元 0.03%_x000D_
</t>
  </si>
  <si>
    <t>上投整合驱动灵活配置混合</t>
  </si>
  <si>
    <t>上投摩根整合驱动灵活配置混合型证券投资基金</t>
  </si>
  <si>
    <t>赵艰申,征茂平</t>
  </si>
  <si>
    <t xml:space="preserve">500万元以上 1000元/笔_x000D_
100万元以下 1.2%_x000D_
100~500万元 1%_x000D_
</t>
  </si>
  <si>
    <t>建信环保产业股票</t>
  </si>
  <si>
    <t>建信环保产业股票型证券投资基金</t>
  </si>
  <si>
    <t>姜锋</t>
  </si>
  <si>
    <t>中证环保产业指数收益率*80%+中债综合指数收益率(全价)*20%</t>
  </si>
  <si>
    <t>银河现代服务主题灵活混合</t>
  </si>
  <si>
    <t>银河现代服务主题灵活配置混合型证券投资基金</t>
  </si>
  <si>
    <t>现代服务主题</t>
    <phoneticPr fontId="4" type="noConversion"/>
  </si>
  <si>
    <t>钱睿南</t>
  </si>
  <si>
    <t>中证服务业指数收益率*70%+上证国债指数收益率*30%</t>
  </si>
  <si>
    <t>泰达宏利复兴伟业灵活混合</t>
  </si>
  <si>
    <t>泰达宏利复兴伟业灵活配置混合型证券投资基金</t>
  </si>
  <si>
    <t>吴华</t>
  </si>
  <si>
    <t xml:space="preserve">500万元以上 1000元/笔_x000D_
500万元以上 1000元/笔,通过基金管理人的直销中心申购本基金基金份额的养老金客户_x000D_
100万元以下 1.5%_x000D_
100~250万元 1%_x000D_
250~500万元 0.6%_x000D_
100万元以下 0.375%_x000D_
100~250万元 0.25%_x000D_
250~500万元 0.15%_x000D_
</t>
  </si>
  <si>
    <t>大成互联网思维混合</t>
  </si>
  <si>
    <t>大成互联网思维混合型证券投资基金</t>
  </si>
  <si>
    <t>李博</t>
  </si>
  <si>
    <t xml:space="preserve">500万元以上 1000元/笔_x000D_
100万元以下 1.2%_x000D_
100~300万元 0.8%_x000D_
300~500万元 0.5%_x000D_
</t>
  </si>
  <si>
    <t>工银总回报灵活配置混合</t>
  </si>
  <si>
    <t>工银瑞信总回报灵活配置混合型证券投资基金</t>
  </si>
  <si>
    <t>鄢耀,杜海涛</t>
  </si>
  <si>
    <t>沪深300指数收益率*55%+中债综合指数收益率*45%</t>
  </si>
  <si>
    <t>融通互联网传媒灵活配置混合</t>
  </si>
  <si>
    <t>融通互联网传媒灵活配置混合型证券投资基金</t>
  </si>
  <si>
    <t>伍文友,刘格菘,张鹏</t>
  </si>
  <si>
    <t>沪深300指数收益率*50%+中债综合(全价)指数收益率*50%</t>
  </si>
  <si>
    <t xml:space="preserve">100元/笔,通过基金管理人的直销柜台前端申购的养老金客户的申购费_x000D_
500万元以上 1000元/笔_x000D_
100万元以下 1.5%_x000D_
100~200万元 1%_x000D_
200~500万元 0.5%_x000D_
</t>
  </si>
  <si>
    <t>东方睿鑫热点挖掘灵活混合A</t>
  </si>
  <si>
    <t>东方睿鑫热点挖掘灵活配置混合型证券投资基金</t>
  </si>
  <si>
    <t>薛子徵,张玉坤</t>
  </si>
  <si>
    <t xml:space="preserve">1000万元以上 1000元/笔_x000D_
50万元以下 1.2%_x000D_
50~100万元 1%_x000D_
100~1000万元 0.8%_x000D_
</t>
  </si>
  <si>
    <t>景顺沪港深精选股票</t>
  </si>
  <si>
    <t>景顺长城沪港深精选股票型证券投资基金</t>
  </si>
  <si>
    <t>鲍无可</t>
  </si>
  <si>
    <t>信达澳银转型创新股票</t>
  </si>
  <si>
    <t>信达澳银转型创新股票型证券投资基金</t>
  </si>
  <si>
    <t>冯士祯</t>
  </si>
  <si>
    <t>上投卓越制造股票</t>
  </si>
  <si>
    <t>上投摩根卓越制造股票型证券投资基金</t>
  </si>
  <si>
    <t>许俊哲,吴文哲</t>
  </si>
  <si>
    <t>申万制造业指数收益率*85%+上证国债指数收益率*15%</t>
  </si>
  <si>
    <t>宝盈新兴产业灵活配置混合</t>
  </si>
  <si>
    <t>宝盈新兴产业灵活配置混合型证券投资基金</t>
  </si>
  <si>
    <t>中证新兴产业指数收益率*65%+中证综合债券指数收益率*35%</t>
  </si>
  <si>
    <t>中银宏观策略灵活配置混合</t>
  </si>
  <si>
    <t>中银宏观策略灵活配置混合型证券投资基金</t>
  </si>
  <si>
    <t>辜岚</t>
  </si>
  <si>
    <t>农银汇理主题轮动灵活混合</t>
  </si>
  <si>
    <t>农银汇理主题轮动灵活配置混合型证券投资基金</t>
  </si>
  <si>
    <t>沪深300指数*65%+中证全债指数*35%</t>
  </si>
  <si>
    <t>华安新丝路主题股票</t>
  </si>
  <si>
    <t>华安新丝路主题股票型证券投资基金</t>
  </si>
  <si>
    <t>杨鑫鑫</t>
  </si>
  <si>
    <t>华宝事件驱动混合</t>
  </si>
  <si>
    <t>华宝兴业事件驱动混合型证券投资基金</t>
  </si>
  <si>
    <t>徐林明,陈建华</t>
  </si>
  <si>
    <t>沪深300指数收益率*80%+上证国债指数收益率*20%</t>
  </si>
  <si>
    <t>东方红中国优势灵活配置混合</t>
  </si>
  <si>
    <t>东方红中国优势灵活配置混合型证券投资基金</t>
  </si>
  <si>
    <t>王延飞,秦绪文,林鹏</t>
  </si>
  <si>
    <t>国投锐意改革灵活配置混合</t>
  </si>
  <si>
    <t>国投瑞银锐意改革灵活配置混合型证券投资基金</t>
  </si>
  <si>
    <t>诺安研究精选股票</t>
  </si>
  <si>
    <t>诺安研究精选股票型证券投资基金</t>
  </si>
  <si>
    <t>王创练</t>
  </si>
  <si>
    <t>沪深300指数*90%+中证全债指数*10%</t>
  </si>
  <si>
    <t>前海开源高端装备制造灵活混合</t>
  </si>
  <si>
    <t>前海开源高端装备制造灵活配置混合型证券投资基金</t>
  </si>
  <si>
    <t>薛小波</t>
  </si>
  <si>
    <t>前海开源工业革命4.0灵活混合</t>
  </si>
  <si>
    <t>前海开源工业革命4.0灵活配置混合型证券投资基金</t>
  </si>
  <si>
    <t>北信健康生活主题灵活混合</t>
  </si>
  <si>
    <t>北信瑞丰健康生活主题灵活配置混合型证券投资基金</t>
  </si>
  <si>
    <t>健康生活主题</t>
    <phoneticPr fontId="4" type="noConversion"/>
  </si>
  <si>
    <t>高峰,吴洋</t>
  </si>
  <si>
    <t>华宝稳健回报灵活配置混合</t>
  </si>
  <si>
    <t>华宝兴业稳健回报灵活配置混合型证券投资基金</t>
  </si>
  <si>
    <t>闫旭</t>
  </si>
  <si>
    <t>华泰积极优选股票</t>
  </si>
  <si>
    <t>华泰柏瑞积极优选股票型证券投资基金</t>
  </si>
  <si>
    <t>方伦煜</t>
  </si>
  <si>
    <t>沪深300指数收益率80%*+中债国债总指数收益率*20%</t>
  </si>
  <si>
    <t>工银美丽城镇主题股票</t>
  </si>
  <si>
    <t>工银瑞信美丽城镇主题股票型证券投资基金</t>
  </si>
  <si>
    <t>美丽成长主题</t>
    <phoneticPr fontId="4" type="noConversion"/>
  </si>
  <si>
    <t>王君正,鄢耀</t>
  </si>
  <si>
    <t>光大国企改革主题股票</t>
  </si>
  <si>
    <t>光大保德信国企改革主题股票型证券投资基金</t>
  </si>
  <si>
    <t>董伟炜,魏晓雪</t>
  </si>
  <si>
    <t>中证国有企业改革指数*80%+中证全债指数*20%</t>
  </si>
  <si>
    <t xml:space="preserve">500万元以上 1000元/笔,通过直销机构申购本基金份额的养老金客户_x000D_
500万元以上 1000元/笔_x000D_
50万元以下 1.5%_x000D_
50~100万元 1.2%_x000D_
100~500万元 0.8%_x000D_
50万元以下 0.15%_x000D_
50~100万元 0.12%_x000D_
100~500万元 0.08%_x000D_
</t>
  </si>
  <si>
    <t>华泰量化驱动灵活配置混合</t>
  </si>
  <si>
    <t>华泰柏瑞量化驱动灵活配置混合型证券投资基金</t>
  </si>
  <si>
    <t>田汉卿,盛豪</t>
  </si>
  <si>
    <t>建信信息产业股票</t>
  </si>
  <si>
    <t>建信信息产业股票型证券投资基金</t>
  </si>
  <si>
    <t>邵卓</t>
  </si>
  <si>
    <t>东方主题精选混合</t>
  </si>
  <si>
    <t>东方主题精选混合型证券投资基金</t>
  </si>
  <si>
    <t>邱义鹏,王晓伟</t>
  </si>
  <si>
    <t>工银新金融股票</t>
  </si>
  <si>
    <t>工银瑞信新金融股票型证券投资基金</t>
  </si>
  <si>
    <t>鄢耀,王君正</t>
  </si>
  <si>
    <t>安信消费医药主题股票</t>
  </si>
  <si>
    <t>安信消费医药主题股票型证券投资基金</t>
  </si>
  <si>
    <t>消费医药主题</t>
    <phoneticPr fontId="4" type="noConversion"/>
  </si>
  <si>
    <t>陈一峰</t>
  </si>
  <si>
    <t>中欧精选灵活配置定开混合A</t>
  </si>
  <si>
    <t>中欧精选灵活配置定期开放混合型发起式证券投资基金</t>
  </si>
  <si>
    <t>周蔚文</t>
  </si>
  <si>
    <t xml:space="preserve">500万元以上 1000元/笔_x000D_
500万元以上 1000元/笔,通过直销柜台申购的养老金客户的特定申购费率_x000D_
100万元以下 1.5%_x000D_
100~500万元 1%_x000D_
100万元以下 0.45%_x000D_
100~500万元 0.3%_x000D_
</t>
  </si>
  <si>
    <t>华安物联网主题股票</t>
  </si>
  <si>
    <t>华安物联网主题股票型证券投资基金</t>
  </si>
  <si>
    <t>翁启森</t>
  </si>
  <si>
    <t xml:space="preserve">500万元以上 1000元/笔_x000D_
通过直销机构申购本基金的养老金客户,500元/笔._x000D_
100万元以下 1.5%_x000D_
100~300万元 1.2%_x000D_
300~500万元 0.8%_x000D_
</t>
  </si>
  <si>
    <t>天弘云端生活优选灵活混合</t>
  </si>
  <si>
    <t>天弘云端生活优选灵活配置混合型证券投资基金</t>
  </si>
  <si>
    <t>肖志刚,李宁</t>
  </si>
  <si>
    <t>中证主要消费指数收益率*60%+中证综合债指数收益率*40%</t>
  </si>
  <si>
    <t>华商健康生活灵活配置混合</t>
  </si>
  <si>
    <t>华商健康生活灵活配置混合型证券投资基金</t>
  </si>
  <si>
    <t>蔡建军</t>
  </si>
  <si>
    <t xml:space="preserve">500万元以上 1000元/笔_x000D_
200万元以上 1000元/笔,通过直销中心申购的养老金客户的特定申购费率_x000D_
50万元以下 1.5%_x000D_
50~200万元 1.2%_x000D_
200~500万元 0.8%_x000D_
50万元以下 0.15%_x000D_
50~200万元 0.12%_x000D_
</t>
  </si>
  <si>
    <t>浦银安盛增长动力灵活混合</t>
  </si>
  <si>
    <t>浦银安盛增长动力灵活配置混合型证券投资基金</t>
  </si>
  <si>
    <t>蒋建伟</t>
  </si>
  <si>
    <t>中证500指数*55%+中证全债指数*45%</t>
  </si>
  <si>
    <t>富国新兴产业股票</t>
  </si>
  <si>
    <t>富国新兴产业股票型证券投资基金</t>
  </si>
  <si>
    <t>魏伟</t>
  </si>
  <si>
    <t xml:space="preserve">500万元以上 1000元/笔_x000D_
500万元以上 1000元/笔,通过本公司直销柜台申购的养老金客户_x000D_
100万元以下 1.5%_x000D_
100~500万元 1.2%_x000D_
100万元以下 0.45%_x000D_
100~500万元 0.36%_x000D_
</t>
  </si>
  <si>
    <t>上投安全战略股票</t>
  </si>
  <si>
    <t>上投摩根安全战略股票型证券投资基金</t>
  </si>
  <si>
    <t>陈思郁</t>
  </si>
  <si>
    <t>汇添富成长多因子量化策略股票</t>
  </si>
  <si>
    <t>汇添富成长多因子量化策略股票型证券投资基金</t>
  </si>
  <si>
    <t>吴振翔,许一尊</t>
  </si>
  <si>
    <t>中证500指数收益率*90%+活期存款利率(税后)*10%</t>
  </si>
  <si>
    <t>工银战略转型主题股票</t>
  </si>
  <si>
    <t>工银瑞信战略转型主题股票型证券投资基金</t>
  </si>
  <si>
    <t>战略转型主题</t>
    <phoneticPr fontId="4" type="noConversion"/>
  </si>
  <si>
    <t>杜洋,宋炳珅</t>
  </si>
  <si>
    <t>泰达改革动力量化策略灵活混合</t>
  </si>
  <si>
    <t>泰达宏利改革动力量化策略灵活配置混合型证券投资基金</t>
  </si>
  <si>
    <t xml:space="preserve">500万元以上 1000元/笔_x000D_
500万元以上 1000元/笔,通过基金管理人的直销中心申购的养老金客户_x000D_
100万元以下 1.5%_x000D_
100~250万元 1%_x000D_
250~500万元 0.6%_x000D_
100万元以下 0.375%_x000D_
100~250万元 0.25%_x000D_
250~500万元 0.15%_x000D_
</t>
  </si>
  <si>
    <t>中银新动力股票</t>
  </si>
  <si>
    <t>中银新动力股票型证券投资基金</t>
  </si>
  <si>
    <t>史彬</t>
  </si>
  <si>
    <t>易方达创新驱动灵活配置混合</t>
  </si>
  <si>
    <t>易方达创新驱动灵活配置混合型证券投资基金</t>
  </si>
  <si>
    <t>樊正伟</t>
  </si>
  <si>
    <t>沪深300指数收益率*50%+中债总财富指数收益率*50%</t>
  </si>
  <si>
    <t xml:space="preserve">500万元以上 1000元/笔,通过直销中心申购本基金的特定投资群体即养老金客户申购费率_x000D_
500万元以上 1000元/笔_x000D_
100万元以下 1.5%_x000D_
100~200万元 1.2%_x000D_
200~500万元 0.3%_x000D_
100万元以下 0.15%_x000D_
100~200万元 0.12%_x000D_
200~500万元 0.03%_x000D_
</t>
  </si>
  <si>
    <t>易方达新经济灵活配置混合</t>
  </si>
  <si>
    <t>易方达新经济灵活配置混合型证券投资基金</t>
  </si>
  <si>
    <t xml:space="preserve">500万元以上 1000元/笔,通过直销中心申购的特定投资群体_x000D_
500万元以上 1000元/笔_x000D_
100万元以下 1.5%_x000D_
100~200万元 1.2%_x000D_
200~500万元 0.3%_x000D_
100万元以下 0.15%_x000D_
100~200万元 0.12%_x000D_
200~500万元 0.03%_x000D_
</t>
  </si>
  <si>
    <t>嘉实企业变革股票</t>
  </si>
  <si>
    <t>嘉实企业变革股票型证券投资基金</t>
  </si>
  <si>
    <t>杜毅</t>
  </si>
  <si>
    <t>中邮核心科技创新灵活混合</t>
  </si>
  <si>
    <t>中邮核心科技创新灵活配置混合型证券投资基金</t>
  </si>
  <si>
    <t>曹思</t>
  </si>
  <si>
    <t xml:space="preserve">500万元以上 1000元/笔_x000D_
500万元以上 1000元/笔,通过直销中心申购的特定投资群体申购费率_x000D_
50万元以下 1.5%_x000D_
50~200万元 1%_x000D_
200~500万元 0.5%_x000D_
50万元以下 0.3%_x000D_
50~200万元 0.2%_x000D_
200~500万元 0.1%_x000D_
</t>
  </si>
  <si>
    <t>中海合鑫灵活配置混合</t>
  </si>
  <si>
    <t>中海合鑫灵活配置混合型证券投资基金</t>
  </si>
  <si>
    <t>夏春晖</t>
  </si>
  <si>
    <t>一年期银行定期存款利率(税后)+5%</t>
  </si>
  <si>
    <t xml:space="preserve">500万元以上 1000元/笔,养老金客户等特定投资群体通过基金管理人的直销中心申购_x000D_
500万元以上 1000元/笔_x000D_
100万元以下 1.5%_x000D_
100~300万元 1%_x000D_
300~500万元 0.8%_x000D_
100万元以下 0.6%_x000D_
100~300万元 0.3%_x000D_
300~500万元 0.16%_x000D_
</t>
  </si>
  <si>
    <t>汇丰晋信新动力混合</t>
  </si>
  <si>
    <t>汇丰晋信新动力混合型证券投资基金</t>
  </si>
  <si>
    <t>陈平</t>
  </si>
  <si>
    <t>中证800指数(CSI800)*80%+银行同业存款利率*20%</t>
  </si>
  <si>
    <t>农银汇理医疗保健主题股票</t>
  </si>
  <si>
    <t>农银汇理医疗保健主题股票型证券投资基金</t>
  </si>
  <si>
    <t>医疗保健主题</t>
    <phoneticPr fontId="4" type="noConversion"/>
  </si>
  <si>
    <t>徐治彪</t>
  </si>
  <si>
    <t>中证医药卫生指数*80%+中证全债指数*20%</t>
  </si>
  <si>
    <t>中原英石灵活配置混合</t>
  </si>
  <si>
    <t>太平灵活配置混合型发起式证券投资基金</t>
  </si>
  <si>
    <t>太平基金</t>
  </si>
  <si>
    <t>翁锡赟,独孤南薰</t>
  </si>
  <si>
    <t>1年期银行定期存款利率(税后)+2%</t>
  </si>
  <si>
    <t>前海开源大安全核心精选灵活混合</t>
  </si>
  <si>
    <t>前海开源大安全核心精选灵活配置混合型证券投资基金</t>
  </si>
  <si>
    <t>华泰创新动力灵活配置混合</t>
  </si>
  <si>
    <t>华泰柏瑞创新动力灵活配置混合型证券投资基金</t>
  </si>
  <si>
    <t>张慧</t>
  </si>
  <si>
    <t>中证新兴产业指数收益率*60%+中债总指数(全价)收益率*40%</t>
  </si>
  <si>
    <t>景顺量化精选股票</t>
  </si>
  <si>
    <t>景顺长城量化精选股票型证券投资基金</t>
  </si>
  <si>
    <t>中证500指数收益率*95%+商业银行活期存款利率(税后)*5%</t>
  </si>
  <si>
    <t>华富国泰民安灵活配置混合</t>
  </si>
  <si>
    <t>华富国泰民安灵活配置混合型证券投资基金</t>
  </si>
  <si>
    <t>龚炜,刘文正,张亮</t>
  </si>
  <si>
    <t>长信量化中小盘股票</t>
  </si>
  <si>
    <t>长信量化中小盘股票型证券投资基金</t>
  </si>
  <si>
    <t>中证700指数收益率*75%+中证综合债券指数收益率*25%</t>
  </si>
  <si>
    <t>大成高新技术产业股票</t>
  </si>
  <si>
    <t>大成高新技术产业股票型证券投资基金</t>
  </si>
  <si>
    <t>刘旭,徐彦</t>
  </si>
  <si>
    <t>中证700指数收益率*80%+中证综合债指数收益率*20%</t>
  </si>
  <si>
    <t xml:space="preserve">1000万元以上 1000元/笔_x000D_
50万元以下 1.5%_x000D_
50~200万元 1.2%_x000D_
200~500万元 0.6%_x000D_
500~1000万元 0.3%_x000D_
</t>
  </si>
  <si>
    <t>建信睿盈灵活配置混合A</t>
  </si>
  <si>
    <t>建信睿盈灵活配置混合型证券投资基金</t>
  </si>
  <si>
    <t>沪深300指数收益率*65%+中债综合指数收益率(全价)*35%</t>
  </si>
  <si>
    <t>嘉实逆向策略股票</t>
  </si>
  <si>
    <t>嘉实逆向策略股票型证券投资基金</t>
  </si>
  <si>
    <t>郭东谋</t>
  </si>
  <si>
    <t>华夏医疗健康混合A</t>
  </si>
  <si>
    <t>华夏医疗健康混合型发起式证券投资基金</t>
  </si>
  <si>
    <t>中证医药卫生指数收益率*65%+上证国债指数收益率*35%</t>
  </si>
  <si>
    <t xml:space="preserve">500万元以上 1000元/笔,养老金客户_x000D_
500万元以上 1000元/笔_x000D_
50万元以下 1.2%_x000D_
50~200万元 0.9%_x000D_
200~500万元 0.6%_x000D_
50万元以下 0.24%_x000D_
50~200万元 0.18%_x000D_
200~500万元 0.12%_x000D_
</t>
  </si>
  <si>
    <t>招商医药健康产业股票</t>
  </si>
  <si>
    <t>招商医药健康产业股票型证券投资基金</t>
  </si>
  <si>
    <t>李佳存</t>
  </si>
  <si>
    <t>申万医药生物行业指数收益率*80%+中债综合指数收益率*20%</t>
  </si>
  <si>
    <t xml:space="preserve">500万元以上 500元/笔_x000D_
500万元以上 500元/笔_x000D_
100万元以下 1.5%_x000D_
100~200万元 1%_x000D_
200~500万元 0.6%_x000D_
100万元以下 0.6%_x000D_
100~200万元 0.4%_x000D_
200~500万元 0.24%_x000D_
</t>
  </si>
  <si>
    <t>中欧明睿新起点混合</t>
  </si>
  <si>
    <t>中欧明睿新起点混合型证券投资基金</t>
  </si>
  <si>
    <t xml:space="preserve">500万元以上 1000元/笔,通过基金管理人的直销中心申购本基金的养老金客户申购费率_x000D_
500万元以上 1000元/笔_x000D_
100万元以下 1.5%_x000D_
100~500万元 1%_x000D_
100万元以下 0.45%_x000D_
100~500万元 0.3%_x000D_
</t>
  </si>
  <si>
    <t>南方产业活力股票</t>
  </si>
  <si>
    <t>南方产业活力股票型证券投资基金</t>
  </si>
  <si>
    <t>工银国企改革主题股票</t>
  </si>
  <si>
    <t>工银瑞信国企改革主题股票型证券投资基金</t>
  </si>
  <si>
    <t>何肖颉,王君正</t>
  </si>
  <si>
    <t>中证国有企业综合指数收益率*80%+中债综合指数收益率*20%</t>
  </si>
  <si>
    <t>诺安新经济股票</t>
  </si>
  <si>
    <t>诺安新经济股票型证券投资基金</t>
  </si>
  <si>
    <t>史高飞</t>
  </si>
  <si>
    <t>富国中小盘精选混合</t>
  </si>
  <si>
    <t>富国中小盘精选混合型证券投资基金</t>
  </si>
  <si>
    <t>曹晋</t>
  </si>
  <si>
    <t>中证700指数收益率*80%+中债综合财富指数收益率*20%</t>
  </si>
  <si>
    <t xml:space="preserve">500万元以上 1000元/笔,通过基金管理人的直销柜台申购本基金的养老金客户。_x000D_
500万元以上 1000元/笔_x000D_
100万元以下 1.5%_x000D_
100~500万元 1.2%_x000D_
100万元以下 0.45%_x000D_
100~500万元 0.36%_x000D_
</t>
  </si>
  <si>
    <t>兴业多策略灵活配置混合</t>
  </si>
  <si>
    <t>兴业多策略灵活配置混合型发起式证券投资基金</t>
  </si>
  <si>
    <t>吴卫东</t>
  </si>
  <si>
    <t>三年期银行定期存款利率(税后)+1%</t>
  </si>
  <si>
    <t>华宝品质生活股票</t>
  </si>
  <si>
    <t>华宝兴业品质生活股票型证券投资基金</t>
  </si>
  <si>
    <t>光磊,胡戈游</t>
  </si>
  <si>
    <t>东方红睿元三年定开灵活混合</t>
  </si>
  <si>
    <t>东方红睿元三年定期开放灵活配置混合型发起式证券投资基金</t>
  </si>
  <si>
    <t>林鹏,刚登峰</t>
  </si>
  <si>
    <t>三年期银行定期存款利率(税后)</t>
  </si>
  <si>
    <t xml:space="preserve">1.5%_x000D_
</t>
  </si>
  <si>
    <t>东方红睿阳灵活配置混合</t>
  </si>
  <si>
    <t>东方红睿阳灵活配置混合型证券投资基金</t>
  </si>
  <si>
    <t>林鹏,王延飞</t>
  </si>
  <si>
    <t>融通转型三动力</t>
  </si>
  <si>
    <t>融通转型三动力灵活配置混合型证券投资基金</t>
  </si>
  <si>
    <t xml:space="preserve">100元/笔,通过本公司直销柜台申购本公司旗下开放式基金的养老金客户_x000D_
500万元以上 1000元/笔_x000D_
100万元以下 1.5%_x000D_
100~200万元 1%_x000D_
200~500万元 0.5%_x000D_
</t>
  </si>
  <si>
    <t>前海股息率100</t>
  </si>
  <si>
    <t>前海开源股息率100强等权重股票型证券投资基金</t>
  </si>
  <si>
    <t>浙商汇金转型</t>
  </si>
  <si>
    <t>浙商汇金转型成长混合型证券投资基金</t>
  </si>
  <si>
    <t>沪深300指数收益率*70%+中国债券总指数收益率*30%</t>
  </si>
  <si>
    <t>大成产业升级股票</t>
  </si>
  <si>
    <t>大成产业升级股票型证券投资基金(LOF)</t>
  </si>
  <si>
    <t>李林益</t>
  </si>
  <si>
    <t>融通健康产业</t>
  </si>
  <si>
    <t>融通健康产业灵活配置混合型证券投资基金</t>
  </si>
  <si>
    <t>万民远</t>
  </si>
  <si>
    <t>申万医药生物行业指数收益率*70%+中债综合(全价)指数收益率*30%</t>
  </si>
  <si>
    <t xml:space="preserve">100元/笔,通过本公司直销柜台申购本公司旗下开放式基金的养老金客户_x000D_
1000万元以上 1000元/笔_x000D_
100万元以下 1.5%_x000D_
100~500万元 0.9%_x000D_
500~1000万元 0.3%_x000D_
</t>
  </si>
  <si>
    <t>北信无限互联</t>
  </si>
  <si>
    <t>北信瑞丰无限互联主题灵活配置混合型发起式证券投资基金</t>
  </si>
  <si>
    <t>无限互联主题</t>
    <phoneticPr fontId="4" type="noConversion"/>
  </si>
  <si>
    <t>高峰,王洋,陈乐华</t>
  </si>
  <si>
    <t>中银研究精选</t>
  </si>
  <si>
    <t>中银研究精选灵活配置混合型证券投资基金</t>
  </si>
  <si>
    <t>民生优选股票</t>
  </si>
  <si>
    <t>民生加银优选股票型证券投资基金</t>
  </si>
  <si>
    <t>黄一明</t>
  </si>
  <si>
    <t>沪深300指数收益率*85%+中证国债指数收益率*15%</t>
  </si>
  <si>
    <t>华泰量化优选</t>
  </si>
  <si>
    <t>华泰柏瑞量化优选灵活配置混合型证券投资基金</t>
  </si>
  <si>
    <t>盛豪,田汉卿</t>
  </si>
  <si>
    <t>中海医药健康A</t>
  </si>
  <si>
    <t>中海医药健康产业精选灵活配置混合型证券投资基金</t>
  </si>
  <si>
    <t>郑磊</t>
  </si>
  <si>
    <t>中证医药卫生指数收益率*50%+中证全债指数收益率*50%</t>
  </si>
  <si>
    <t xml:space="preserve">500万元以上 1000元/笔,养老金客户等特定投资群体通过基金管理人的直销中心申购_x000D_
500万元以上 1000元/笔_x000D_
100万元以下 1.5%_x000D_
100~300万元 1%_x000D_
300~500万元 0.6%_x000D_
100万元以下 0.6%_x000D_
100~300万元 0.3%_x000D_
300~500万元 0.12%_x000D_
</t>
  </si>
  <si>
    <t>宝盈先进制造</t>
  </si>
  <si>
    <t>宝盈先进制造灵活配置混合型证券投资基金</t>
  </si>
  <si>
    <t>张小仁</t>
  </si>
  <si>
    <t>申银万国制造业指数*70%+中证综合债券指数收益率*30%</t>
  </si>
  <si>
    <t>富国消费主题</t>
  </si>
  <si>
    <t>富国消费主题混合型证券投资基金</t>
  </si>
  <si>
    <t>戴益强</t>
  </si>
  <si>
    <t xml:space="preserve">500万元以上 1000元/笔,通过基金管理人的直销中心申购的养老金客户_x000D_
500万元以上 1000元/笔,集中申购费率_x000D_
500万元以上 1000元/笔_x000D_
100万元以下 1.5%_x000D_
100~500万元 1.2%_x000D_
100万元以下 1.2%_x000D_
100~500万元 0.8%_x000D_
100万元以下 0.45%_x000D_
100~500万元 0.36%_x000D_
</t>
  </si>
  <si>
    <t>富国研究精选</t>
  </si>
  <si>
    <t>富国研究精选灵活配置混合型证券投资基金</t>
  </si>
  <si>
    <t xml:space="preserve">500万元以上 通过基金管理人的直销中心申购本基金的养老金客户,1000元/笔_x000D_
500万元以上 1000元/笔_x000D_
100万元以下 1.5%_x000D_
100~500万元 1.2%_x000D_
100万元以下 0.45%_x000D_
100~500万元 0.36%_x000D_
</t>
  </si>
  <si>
    <t>工银创新动力</t>
  </si>
  <si>
    <t>工银瑞信创新动力股票型证券投资基金</t>
  </si>
  <si>
    <t>刘天任,王烁杰,李劭钊</t>
  </si>
  <si>
    <t>华宝高端制造</t>
  </si>
  <si>
    <t>华宝兴业高端制造股票型证券投资基金</t>
  </si>
  <si>
    <t>刘自强</t>
  </si>
  <si>
    <t>申银万国制造业指数收益率*80%+上证国债指数收益率*20%</t>
  </si>
  <si>
    <t>汇添富外延增长</t>
  </si>
  <si>
    <t>汇添富外延增长主题股票型证券投资基金</t>
  </si>
  <si>
    <t>李威,韩贤旺</t>
  </si>
  <si>
    <t>沪深300指数*80%+中债综合指数*20%</t>
  </si>
  <si>
    <t>鹏华养老产业</t>
  </si>
  <si>
    <t>鹏华养老产业股票型证券投资基金</t>
  </si>
  <si>
    <t>王宗合</t>
  </si>
  <si>
    <t xml:space="preserve">500万元以上 1000元/笔,通过基金管理人的直销柜台申购的养老金客户_x000D_
500万元以上 1000元/笔_x000D_
100万元以下 1.5%_x000D_
100~500万元 1%_x000D_
100万元以下 0.6%_x000D_
100~500万元 0.3%_x000D_
</t>
  </si>
  <si>
    <t>汇丰双核策略A</t>
  </si>
  <si>
    <t>汇丰晋信双核策略混合型证券投资基金</t>
  </si>
  <si>
    <t>丘栋荣</t>
  </si>
  <si>
    <t>中证800指数*60%+中债新综合指数*40%</t>
  </si>
  <si>
    <t>长盛养老产业</t>
  </si>
  <si>
    <t>长盛养老健康产业灵活配置混合型证券投资基金</t>
  </si>
  <si>
    <t>刘旭明</t>
  </si>
  <si>
    <t>圆信永丰双红利A</t>
  </si>
  <si>
    <t>圆信永丰双红利灵活配置混合型证券投资基金</t>
  </si>
  <si>
    <t>洪流,李家亮,范妍</t>
  </si>
  <si>
    <t>沪深300指数收益率*70%+中债综合指数收益率*30%</t>
  </si>
  <si>
    <t>工银医疗保健</t>
  </si>
  <si>
    <t>工银瑞信医疗保健行业股票型证券投资基金</t>
  </si>
  <si>
    <t>医疗保健行业</t>
    <phoneticPr fontId="4" type="noConversion"/>
  </si>
  <si>
    <t>宋炳珅,赵蓓,谭冬寒</t>
  </si>
  <si>
    <t>中证医药指数收益率*85%*+中债综合指数收益率*15%</t>
  </si>
  <si>
    <t>银河康乐股票</t>
  </si>
  <si>
    <t>银河康乐股票型证券投资基金</t>
  </si>
  <si>
    <t>王海华</t>
  </si>
  <si>
    <t>申银万国医药生物行业指数收益率*80%+上证国债指数收益率*20%</t>
  </si>
  <si>
    <t>泰达转型机遇</t>
  </si>
  <si>
    <t>泰达宏利转型机遇股票型证券投资基金</t>
  </si>
  <si>
    <t>张勋</t>
  </si>
  <si>
    <t>中证800指数收益率*85%+中证综合债指数收益率*15%</t>
  </si>
  <si>
    <t xml:space="preserve">500万元以上 1000元/笔,通过基金管理人的直销中心申购基金份额的养老金客户申购费率_x000D_
500万元以上 1000元/笔_x000D_
50万元以下 1.2%_x000D_
50~100万元 1%_x000D_
100~300万元 0.8%_x000D_
300~500万元 0.6%_x000D_
50万元以下 0.3%_x000D_
50~100万元 0.25%_x000D_
100~300万元 0.2%_x000D_
300~500万元 0.15%_x000D_
</t>
  </si>
  <si>
    <t>工银研究精选</t>
  </si>
  <si>
    <t>工银瑞信研究精选股票型证券投资基金</t>
  </si>
  <si>
    <t>宋炳珅,杨柯</t>
  </si>
  <si>
    <t>中证800指数收益率*85%+中债综合指数收益率*15%</t>
  </si>
  <si>
    <t>工银高端制造</t>
  </si>
  <si>
    <t>工银瑞信高端制造行业股票型证券投资基金</t>
  </si>
  <si>
    <t>高端制造行业</t>
    <phoneticPr fontId="4" type="noConversion"/>
  </si>
  <si>
    <t>刘柯,修世宇,黄安乐</t>
  </si>
  <si>
    <t>中证中游指数收益率*85%+中债综合指数收益率*15%</t>
  </si>
  <si>
    <t>华商未来主题混合</t>
  </si>
  <si>
    <t>华商未来主题混合型证券投资基金</t>
  </si>
  <si>
    <t>未来主题</t>
    <phoneticPr fontId="4" type="noConversion"/>
  </si>
  <si>
    <t>梁永强</t>
  </si>
  <si>
    <t>沪深300指数收益率*75%+上证国债指数收益率*25%</t>
  </si>
  <si>
    <t xml:space="preserve">100万元以上 1000元/笔,通过直销中心申购的养老金客户的特定申购费率_x000D_
300万元以上 1000元/笔_x000D_
50万元以下 1.5%_x000D_
50~100万元 1.2%_x000D_
100~300万元 0.8%_x000D_
50万元以下 0.15%_x000D_
50~100万元 0.12%_x000D_
</t>
  </si>
  <si>
    <t>中银新经济</t>
  </si>
  <si>
    <t>中银新经济灵活配置混合型证券投资基金</t>
  </si>
  <si>
    <t>前海中国成长</t>
  </si>
  <si>
    <t>前海开源中国成长灵活配置混合型证券投资基金</t>
  </si>
  <si>
    <t>徐立平</t>
  </si>
  <si>
    <t>宝盈睿丰创新A/B</t>
  </si>
  <si>
    <t>宝盈睿丰创新灵活配置混合型证券投资基金</t>
  </si>
  <si>
    <t>易祚兴,朱建明</t>
  </si>
  <si>
    <t xml:space="preserve">1000万元以上 1000元/笔_x000D_
1000万元以下 1.2%_x000D_
</t>
  </si>
  <si>
    <t xml:space="preserve">365年以下 1.2%_x000D_
365~730年 1%_x000D_
730~1095年 0.6%_x000D_
1095年以上 0%_x000D_
</t>
  </si>
  <si>
    <t>国富健康优质</t>
  </si>
  <si>
    <t>富兰克林国海健康优质生活股票型证券投资基金</t>
  </si>
  <si>
    <t>王晓宁</t>
  </si>
  <si>
    <t>鹏华医疗保健</t>
  </si>
  <si>
    <t>鹏华医疗保健股票型证券投资基金</t>
  </si>
  <si>
    <t>陈鹏</t>
  </si>
  <si>
    <t xml:space="preserve">500万元以上 1000元/笔_x000D_
500万元以上 1000元/笔。通过基金管理人的直销柜台申购本基金基金份额的养老金客户的特定申购费率_x000D_
100万元以下 1.5%_x000D_
100~500万元 1%_x000D_
100万元以下 0.6%_x000D_
100~500万元 0.3%_x000D_
</t>
  </si>
  <si>
    <t>东方红睿丰灵活</t>
  </si>
  <si>
    <t>东方红睿丰灵活配置混合型证券投资基金</t>
  </si>
  <si>
    <t>林鹏,韩冬</t>
  </si>
  <si>
    <t>嘉实新兴产业</t>
  </si>
  <si>
    <t>嘉实新兴产业股票型证券投资基金</t>
  </si>
  <si>
    <t>季文华</t>
  </si>
  <si>
    <t>中证新兴产业指数收益率*95%+中国债券总指数收益率*5%</t>
  </si>
  <si>
    <t>添富环保行业</t>
  </si>
  <si>
    <t>汇添富环保行业股票型证券投资基金</t>
  </si>
  <si>
    <t>环保行业</t>
    <phoneticPr fontId="4" type="noConversion"/>
  </si>
  <si>
    <t>叶从飞</t>
  </si>
  <si>
    <t>中证环保产业指数收益率*80%+中证全债指数收益率*20%</t>
  </si>
  <si>
    <t>国泰新经济</t>
  </si>
  <si>
    <t>国泰新经济灵活配置混合型证券投资基金</t>
  </si>
  <si>
    <t xml:space="preserve">1000万元以上 1000元/笔,通过基金管理人的直销柜台申购的养老金客户_x000D_
1000万元以上 1000元/笔_x000D_
100万元以下 1.5%_x000D_
100~300万元 1.2%_x000D_
300~500万元 0.8%_x000D_
100万元以下 0.6%_x000D_
500~1000万元 0.5%_x000D_
100~300万元 0.36%_x000D_
300~500万元 0.16%_x000D_
500~1000万元 0.05%_x000D_
</t>
  </si>
  <si>
    <t>国泰金鑫</t>
  </si>
  <si>
    <t>国泰金鑫股票型证券投资基金</t>
  </si>
  <si>
    <t>申坤</t>
  </si>
  <si>
    <t>沪深300指数收益率*90%+中证综合债指数收益率*10%</t>
  </si>
  <si>
    <t xml:space="preserve">500万元以上 1000元/笔,集中申购费率照此执行_x000D_
500万元以上 1000元/笔,养老金客户通过直销柜台申购的集中申购费率照此执行_x000D_
100万元以下 1.5%_x000D_
100~300万元 1.2%_x000D_
300~500万元 0.8%_x000D_
100万元以下 0.6%_x000D_
100~300万元 0.36%_x000D_
300~500万元 0.16%_x000D_
</t>
  </si>
  <si>
    <t>富安达新兴成长</t>
  </si>
  <si>
    <t>富安达新兴成长灵活配置混合型证券投资基金</t>
  </si>
  <si>
    <t>孙绍冰</t>
  </si>
  <si>
    <t>建信潜力新蓝筹</t>
  </si>
  <si>
    <t>建信潜力新蓝筹股票型证券投资基金</t>
  </si>
  <si>
    <t>长盛生态环境</t>
  </si>
  <si>
    <t>长盛生态环境主题灵活配置混合型证券投资基金</t>
  </si>
  <si>
    <t>生态环境主题</t>
    <phoneticPr fontId="4" type="noConversion"/>
  </si>
  <si>
    <t>中证环保产业指数收益率*50%+中证综合债指数收益率*50%</t>
  </si>
  <si>
    <t>招商行业精选</t>
  </si>
  <si>
    <t>招商行业精选股票型证券投资基金</t>
  </si>
  <si>
    <t>王忠波,贾成东</t>
  </si>
  <si>
    <t>汇添富移动互联</t>
  </si>
  <si>
    <t>汇添富移动互联股票型证券投资基金</t>
  </si>
  <si>
    <t>欧阳沁春</t>
  </si>
  <si>
    <t>中证移动互联网指数*80%+中债综合指数*20%</t>
  </si>
  <si>
    <t>前海新经济</t>
  </si>
  <si>
    <t>前海开源新经济灵活配置混合型证券投资基金</t>
  </si>
  <si>
    <t>建信中小盘</t>
  </si>
  <si>
    <t>建信中小盘先锋股票型证券投资基金</t>
  </si>
  <si>
    <t>顾中汉</t>
  </si>
  <si>
    <t>中证500指数收益率*85%+中债综合全价(总值)指数收益率*15%</t>
  </si>
  <si>
    <t>华润医疗保健量化混合</t>
  </si>
  <si>
    <t>华润元大医疗保健量化混合型证券投资基金</t>
  </si>
  <si>
    <t>华润元大基金</t>
  </si>
  <si>
    <t>袁华涛,石武斌</t>
  </si>
  <si>
    <t>中证医药卫生指数收益率*80%+中债综合指数收益率*20%</t>
  </si>
  <si>
    <t>嘉实医疗保健</t>
  </si>
  <si>
    <t>嘉实医疗保健股票型证券投资基金</t>
  </si>
  <si>
    <t>齐海滔</t>
  </si>
  <si>
    <t>中证医药卫生指数收益率*95%+中国债券总指数收益率*5%</t>
  </si>
  <si>
    <t>宝盈科技30</t>
  </si>
  <si>
    <t>宝盈科技30灵活配置混合型证券投资基金</t>
  </si>
  <si>
    <t>张仲维</t>
  </si>
  <si>
    <t>景顺研究精选</t>
  </si>
  <si>
    <t>景顺长城研究精选股票型证券投资基金</t>
  </si>
  <si>
    <t>江科宏</t>
  </si>
  <si>
    <t xml:space="preserve">500万元以上 1000元/笔_x000D_
50万元以下 1.5%_x000D_
50~100万元 1%_x000D_
100~500万元 0.3%_x000D_
</t>
  </si>
  <si>
    <t>广发主题领先</t>
  </si>
  <si>
    <t>广发主题领先灵活配置混合型证券投资基金</t>
  </si>
  <si>
    <t>李巍</t>
  </si>
  <si>
    <t>沪深300指数*50%+中证全债指数*50%</t>
  </si>
  <si>
    <t xml:space="preserve">500万元以上 1000元/笔_x000D_
500万元以上 1000元/笔。通过基金管理人的直销中心申购本基金的特定投资群体_x000D_
100万元以下 1.5%_x000D_
100~300万元 0.9%_x000D_
100万元以下 0.6%_x000D_
100~300万元 0.36%_x000D_
300~500万元 0.3%_x000D_
300~500万元 0.12%_x000D_
</t>
  </si>
  <si>
    <t>前海大海洋</t>
  </si>
  <si>
    <t>前海开源大海洋战略经济灵活配置混合型证券投资基金</t>
  </si>
  <si>
    <t>吴国清</t>
  </si>
  <si>
    <t>华商新锐产业</t>
  </si>
  <si>
    <t>华商新锐产业灵活配置混合型证券投资基金</t>
  </si>
  <si>
    <t>梁永强,鲁宁,童立</t>
  </si>
  <si>
    <t xml:space="preserve">200万元以上 1000元/笔,通过直销中心申购的养老金客户的特定申购费率_x000D_
500万元以上 1000元/笔_x000D_
100万元以下 1.5%_x000D_
100~200万元 1.2%_x000D_
200~500万元 0.8%_x000D_
100万元以下 0.15%_x000D_
100~200万元 0.12%_x000D_
</t>
  </si>
  <si>
    <t>南方高端装备</t>
  </si>
  <si>
    <t>南方高端装备灵活配置混合型证券投资基金</t>
  </si>
  <si>
    <t>骆帅</t>
  </si>
  <si>
    <t>中证装备产业指数*80%+上证国债指数*20%</t>
  </si>
  <si>
    <t xml:space="preserve">1年以下 1.8%_x000D_
1~2年 1.5%_x000D_
2~3年 1.2%_x000D_
3~4年 0.8%_x000D_
4~5年 0.4%_x000D_
5年以上 0%_x000D_
</t>
  </si>
  <si>
    <t>南方天元</t>
  </si>
  <si>
    <t>南方天元新产业股票型证券投资基金</t>
  </si>
  <si>
    <t>蒋秋洁</t>
  </si>
  <si>
    <t xml:space="preserve">1000万元以上 1000元/笔_x000D_
1000万元以上 1000元/笔,集中申购费率_x000D_
100万元以下 1.5%_x000D_
100万元以下 1.2%_x000D_
100~500万元 0.9%_x000D_
100~500万元 0.8%_x000D_
500~1000万元 0.3%_x000D_
500~1000万元 0.2%_x000D_
</t>
  </si>
  <si>
    <t>国投美丽中国混合</t>
  </si>
  <si>
    <t>国投瑞银美丽中国灵活配置混合型证券投资基金</t>
  </si>
  <si>
    <t>董晗,陈小玲</t>
  </si>
  <si>
    <t>富国高端制造</t>
  </si>
  <si>
    <t>富国高端制造行业股票型证券投资基金</t>
  </si>
  <si>
    <t>厉叶淼,毕天宇</t>
  </si>
  <si>
    <t xml:space="preserve">500万元以上 1000元/笔,养老金客户通过本公司直销柜台申购_x000D_
500万元以上 1000元/笔_x000D_
100万元以下 1.5%_x000D_
100~500万元 1.2%_x000D_
100万元以下 0.45%_x000D_
100~500万元 0.36%_x000D_
</t>
  </si>
  <si>
    <t>华宝生态中国混合</t>
  </si>
  <si>
    <t>华宝兴业生态中国混合型证券投资基金</t>
  </si>
  <si>
    <t>区伟良,夏林锋</t>
  </si>
  <si>
    <t>中证800指数收益率*80%+上证国债指数收益率*20%</t>
  </si>
  <si>
    <t>南方中国梦</t>
  </si>
  <si>
    <t>中国梦灵活配置混合型证券投资基金</t>
  </si>
  <si>
    <t>蔡望鹏</t>
  </si>
  <si>
    <t>东方红产业升级混合</t>
  </si>
  <si>
    <t>东方红产业升级灵活配置混合型证券投资基金</t>
  </si>
  <si>
    <t>王延飞</t>
  </si>
  <si>
    <t xml:space="preserve">100万元以上 1000元/笔_x000D_
50万元以下 1.5%_x000D_
50~100万元 1%_x000D_
</t>
  </si>
  <si>
    <t>博时裕隆混合</t>
  </si>
  <si>
    <t>博时裕隆灵活配置混合型证券投资基金</t>
  </si>
  <si>
    <t>沪深300指数收益率*75%+中证全债指数收益率*25%</t>
  </si>
  <si>
    <t xml:space="preserve">1000万元以上 1000元/笔_x000D_
1000万元以上 1000元/笔,集中申购费率_x000D_
100万元以下 1.5%_x000D_
100万元以下 1.2%_x000D_
100~500万元 1%_x000D_
100~500万元 0.8%_x000D_
500~1000万元 0.6%_x000D_
500~1000万元 0.5%_x000D_
</t>
  </si>
  <si>
    <t>华夏兴和混合</t>
  </si>
  <si>
    <t>华夏兴和混合型证券投资基金</t>
  </si>
  <si>
    <t>佟巍</t>
  </si>
  <si>
    <t xml:space="preserve">500万元以上 1000元/笔,集中申购_x000D_
500万元以上 1000元/笔_x000D_
50万元以下 1.5%_x000D_
50万元以下 1.2%_x000D_
50~200万元 1.2%_x000D_
50~200万元 0.9%_x000D_
200~500万元 0.8%_x000D_
200~500万元 0.6%_x000D_
</t>
  </si>
  <si>
    <t>浦银新经济</t>
  </si>
  <si>
    <t>浦银安盛新经济结构灵活配置混合型证券投资基金</t>
  </si>
  <si>
    <t>褚艳辉</t>
  </si>
  <si>
    <t>中证500指数(000905)*55%+中证全债指数*45%</t>
  </si>
  <si>
    <t>中银健康生活混合</t>
  </si>
  <si>
    <t>中银健康生活混合型证券投资基金</t>
  </si>
  <si>
    <t>建信改革红利股票</t>
  </si>
  <si>
    <t>建信改革红利股票型证券投资基金</t>
  </si>
  <si>
    <t>大成灵活配置混合</t>
  </si>
  <si>
    <t>大成灵活配置混合型证券投资基金</t>
  </si>
  <si>
    <t>孙蓓琳</t>
  </si>
  <si>
    <t>年化收益率6%</t>
  </si>
  <si>
    <t>华宝创新优选混合</t>
  </si>
  <si>
    <t>华宝兴业创新优选混合型证券投资基金</t>
  </si>
  <si>
    <t>华安安顺灵活配置混合</t>
  </si>
  <si>
    <t>华安安顺灵活配置混合型证券投资基金</t>
  </si>
  <si>
    <t>谢振东</t>
  </si>
  <si>
    <t xml:space="preserve">500万元以上 1000元/笔,集中申购期_x000D_
500元/笔,通过基金管理人的直销中心（集中）申购本基金份额的养老金客户_x000D_
500万元以上 1000元/笔_x000D_
100万元以下 1.5%_x000D_
100万元以下 1.2%_x000D_
100~300万元 1.2%_x000D_
100~300万元 1%_x000D_
300~500万元 0.8%_x000D_
300~500万元 0.6%_x000D_
</t>
  </si>
  <si>
    <t>交银新成长混合</t>
  </si>
  <si>
    <t>交银施罗德新成长混合型证券投资基金</t>
  </si>
  <si>
    <t>王崇</t>
  </si>
  <si>
    <t>富时中国A600成长指数*75%+中证综合债券指数*25%</t>
  </si>
  <si>
    <t xml:space="preserve">1000万元以上 1000元/笔,通过基金管理人直销柜台申购本基金前端基金份额的养老金客户特定申购费率_x000D_
1000万元以上 1000元/笔_x000D_
100万元以下 1.5%_x000D_
100~300万元 1.2%_x000D_
300~500万元 0.8%_x000D_
100万元以下 0.6%_x000D_
500~1000万元 0.5%_x000D_
100~300万元 0.36%_x000D_
300~500万元 0.16%_x000D_
500~1000万元 0.12%_x000D_
</t>
  </si>
  <si>
    <t>长安产业精选混合A</t>
  </si>
  <si>
    <t>长安产业精选灵活配置混合型发起式证券投资基金</t>
  </si>
  <si>
    <t>林忠晶,栾绍菲</t>
  </si>
  <si>
    <t>沪深300指数收益率*65%+中证全债指数收益率*35%</t>
  </si>
  <si>
    <t>华泰柏瑞创新升级</t>
  </si>
  <si>
    <t>华泰柏瑞创新升级混合型证券投资基金</t>
  </si>
  <si>
    <t>中证新兴产业指数收益率*40%+中债总指数(全价)收益率*40%+中证TMT产业主题指数收益率*20%</t>
  </si>
  <si>
    <t xml:space="preserve">500万元以上 1000元/笔_x000D_
100万元以下 1.2%_x000D_
100~200万元 0.8%_x000D_
200~500万元 0.6%_x000D_
</t>
  </si>
  <si>
    <t>上银新兴价值成长混合</t>
  </si>
  <si>
    <t>上银新兴价值成长混合型证券投资基金</t>
  </si>
  <si>
    <t>上银基金</t>
  </si>
  <si>
    <t>赵治烨</t>
  </si>
  <si>
    <t xml:space="preserve">500万元以上 1000元/笔_x000D_
50万元以下 1.5%_x000D_
50~100万元 1%_x000D_
100~500万元 0.5%_x000D_
</t>
  </si>
  <si>
    <t>富国天盛</t>
  </si>
  <si>
    <t>富国天盛灵活配置混合型证券投资基金</t>
  </si>
  <si>
    <t>袁宜</t>
  </si>
  <si>
    <t xml:space="preserve">500万元以上 1000元/笔,集中申购费率_x000D_
500万元以上 1000元/笔,养老金客户通过本公司直销柜台申购_x000D_
500万元以上 1000元/笔_x000D_
100万元以下 1.5%_x000D_
100~500万元 1.2%_x000D_
100万元以下 1.2%_x000D_
100~500万元 0.8%_x000D_
100万元以下 0.45%_x000D_
100~500万元 0.36%_x000D_
</t>
  </si>
  <si>
    <t xml:space="preserve">1年以下 1.8%_x000D_
1年以下 1.6%_x000D_
1~3年 1.2%_x000D_
1~3年 0.8%_x000D_
3~5年 0.6%_x000D_
3~5年 0.4%_x000D_
5年以上 0%_x000D_
5年以上 0%_x000D_
</t>
  </si>
  <si>
    <t>景顺中小创业板</t>
  </si>
  <si>
    <t>景顺长城中小板创业板精选股票型证券投资基金</t>
  </si>
  <si>
    <t>创业板综合指数*45%+中小板综合指数*45%+中证全债指数*10%</t>
  </si>
  <si>
    <t xml:space="preserve">1000万元以上 1000元/笔_x000D_
50万元以下 1.5%_x000D_
50~200万元 1%_x000D_
200~500万元 0.8%_x000D_
500~1000万元 0.3%_x000D_
</t>
  </si>
  <si>
    <t>光大银发商机主题混合</t>
  </si>
  <si>
    <t>光大保德信银发商机主题混合型证券投资基金</t>
  </si>
  <si>
    <t>银发商机主题</t>
    <phoneticPr fontId="4" type="noConversion"/>
  </si>
  <si>
    <t>陈栋</t>
  </si>
  <si>
    <t xml:space="preserve">500万元以上 1000元/笔_x000D_
500万元以上 1000元/笔。通过直销机构申购本基金份额的养老金客户申购费率_x000D_
50万元以下 1.5%_x000D_
50~100万元 0.8%_x000D_
100~500万元 0.6%_x000D_
50万元以下 0.15%_x000D_
50~100万元 0.08%_x000D_
100~500万元 0.06%_x000D_
</t>
  </si>
  <si>
    <t>信诚幸福消费混合</t>
  </si>
  <si>
    <t>信诚幸福消费混合型证券投资基金</t>
  </si>
  <si>
    <t>张光成,闾志刚</t>
  </si>
  <si>
    <t>中邮核心竞争力混合</t>
  </si>
  <si>
    <t>中邮核心竞争力灵活配置混合型证券投资基金</t>
  </si>
  <si>
    <t>金融机构人民币一年期定期存款基准利率(税后)+2%</t>
  </si>
  <si>
    <t>新华鑫利</t>
  </si>
  <si>
    <t>新华鑫利灵活配置混合型证券投资基金</t>
  </si>
  <si>
    <t>安信价值精选股票</t>
  </si>
  <si>
    <t>安信价值精选股票型证券投资基金</t>
  </si>
  <si>
    <t>沪深300指数收益率*80%+中债总指数收益率*20%</t>
  </si>
  <si>
    <t>新华鑫益灵活</t>
  </si>
  <si>
    <t>新华鑫益灵活配置混合型证券投资基金</t>
  </si>
  <si>
    <t>崔建波,李会忠</t>
  </si>
  <si>
    <t>年化收益率10%</t>
  </si>
  <si>
    <t>华安大国新经济股票</t>
  </si>
  <si>
    <t>华安大国新经济股票型证券投资基金</t>
  </si>
  <si>
    <t>中证800指数收益率*90%+中国债券总指数收益率*10%</t>
  </si>
  <si>
    <t xml:space="preserve">500万元以上 1000元/笔_x000D_
500元/笔,通过基金管理人的直销中心申购的养老金客户申购费率_x000D_
100万元以下 1.5%_x000D_
100~300万元 1.2%_x000D_
300~500万元 0.8%_x000D_
</t>
  </si>
  <si>
    <t>宝盈新价值混合</t>
  </si>
  <si>
    <t>宝盈新价值灵活配置混合型证券投资基金</t>
  </si>
  <si>
    <t>嘉实泰和混合</t>
  </si>
  <si>
    <t>嘉实泰和混合型证券投资基金</t>
  </si>
  <si>
    <t>归凯</t>
  </si>
  <si>
    <t>沪深300指数*70%+上证国债指数*30%</t>
  </si>
  <si>
    <t xml:space="preserve">500万元以上 1000元/笔_x000D_
500万元以上 1000元/笔。集中申购费率_x000D_
50万元以下 1.5%_x000D_
50万元以下 1.2%_x000D_
50~200万元 1.2%_x000D_
50~200万元 0.9%_x000D_
200~500万元 0.8%_x000D_
200~500万元 0.6%_x000D_
</t>
  </si>
  <si>
    <t>华润信息传媒科技混合</t>
  </si>
  <si>
    <t>华润元大信息传媒科技混合型证券投资基金</t>
  </si>
  <si>
    <t>袁华涛</t>
  </si>
  <si>
    <t>中证TMT产业主题指数收益率*80%+中债综合指数收益率*20%</t>
  </si>
  <si>
    <t>长盛高端装备混合</t>
  </si>
  <si>
    <t>长盛高端装备制造灵活配置混合型证券投资基金</t>
  </si>
  <si>
    <t>冯雨生</t>
  </si>
  <si>
    <t>上证高端装备60指数收益率*50%+中证综合债指数收益率*50%</t>
  </si>
  <si>
    <t>建信健康民生混合</t>
  </si>
  <si>
    <t>建信健康民生混合型证券投资基金</t>
  </si>
  <si>
    <t>姜锋,孙晟</t>
  </si>
  <si>
    <t>沪深300指数收益率*70%+中债综合全价(总值)指数收益率*30%</t>
  </si>
  <si>
    <t>广发聚祥灵活混合</t>
  </si>
  <si>
    <t>广发聚祥灵活配置混合型证券投资基金</t>
  </si>
  <si>
    <t>沪深300指数*55%+中证全债指数*45%</t>
  </si>
  <si>
    <t xml:space="preserve">500万元以上 1000元/笔_x000D_
500万元以上 1000元/笔,通过基金管理人的直销中心集中申购的特定投资群体集中申购费率(仅限直销柜台)_x000D_
500万元以上 1000元/笔,特定投资群体申购费率(仅限直销柜台)_x000D_
500万元以上 1000元/笔,集中申购费率_x000D_
100万元以下 1.5%_x000D_
100万元以下 1.2%_x000D_
100~300万元 0.9%_x000D_
100~300万元 0.8%_x000D_
100万元以下 0.6%_x000D_
100万元以下 0.48%_x000D_
100~300万元 0.36%_x000D_
100~300万元 0.32%_x000D_
300~500万元 0.3%_x000D_
300~500万元 0.2%_x000D_
300~500万元 0.12%_x000D_
300~500万元 0.08%_x000D_
</t>
  </si>
  <si>
    <t>东吴阿尔法</t>
  </si>
  <si>
    <t>东吴阿尔法灵活配置混合型证券投资基金</t>
  </si>
  <si>
    <t>王立立,张能进</t>
  </si>
  <si>
    <t>广发新动力混合</t>
  </si>
  <si>
    <t>广发新动力混合型证券投资基金</t>
  </si>
  <si>
    <t>刘晓龙,马文文</t>
  </si>
  <si>
    <t xml:space="preserve">1000万元以上 1000元/笔,通过基金管理人的直销柜台申购的特定投资群体申购费率_x000D_
1000万元以上 1000元/笔_x000D_
100万元以下 1.5%_x000D_
100~300万元 0.9%_x000D_
100万元以下 0.6%_x000D_
100~300万元 0.36%_x000D_
300~500万元 0.3%_x000D_
300~500万元 0.12%_x000D_
500~1000万元 0.1%_x000D_
500~1000万元 0.04%_x000D_
</t>
  </si>
  <si>
    <t>华商创新成长</t>
  </si>
  <si>
    <t>华商创新成长灵活配置混合型发起式证券投资基金</t>
  </si>
  <si>
    <t>刘宏,高兵</t>
  </si>
  <si>
    <t xml:space="preserve">500万元以上 1000元/笔_x000D_
200万元以上 1000元/笔,通过直销中心申购的养老金客户的特定申购费率_x000D_
100万元以下 1.5%_x000D_
100~200万元 1.2%_x000D_
200~500万元 0.8%_x000D_
100万元以下 0.15%_x000D_
100~200万元 0.12%_x000D_
</t>
  </si>
  <si>
    <t>民生需求</t>
  </si>
  <si>
    <t>上投摩根民生需求股票型证券投资基金</t>
  </si>
  <si>
    <t>帅虎</t>
  </si>
  <si>
    <t>沪深300指数收益率*85%+中债总指数收益率*15%</t>
  </si>
  <si>
    <t xml:space="preserve">500万元以上 1000元/笔_x000D_
50万元以下 1.2%_x000D_
50~200万元 0.8%_x000D_
200~500万元 0.4%_x000D_
</t>
  </si>
  <si>
    <t>广发竞争优势混合</t>
  </si>
  <si>
    <t>广发竞争优势灵活配置混合型证券投资基金</t>
  </si>
  <si>
    <t>苗宇</t>
  </si>
  <si>
    <t xml:space="preserve">500万元以上 1000元/笔_x000D_
500万元以上 1000元/笔。通过基金管理人的直销柜台申购本基金的特定投资群体申购费率。_x000D_
100万元以下 1.5%_x000D_
100~300万元 0.9%_x000D_
100万元以下 0.6%_x000D_
100~300万元 0.36%_x000D_
300~500万元 0.3%_x000D_
300~500万元 0.12%_x000D_
</t>
  </si>
  <si>
    <t>航天海工装备混合</t>
  </si>
  <si>
    <t>长盛航天海工装备灵活配置混合型证券投资基金</t>
  </si>
  <si>
    <t>王超</t>
  </si>
  <si>
    <t>巨潮航天军工指数收益率*50%+中证综合债指数收益率*50%</t>
  </si>
  <si>
    <t>鹏华环保产业股票</t>
  </si>
  <si>
    <t>鹏华环保产业股票型证券投资基金</t>
  </si>
  <si>
    <t>郑川江</t>
  </si>
  <si>
    <t>中证环保产业指数收益率*80%+中证综合债指数收益率*20%</t>
  </si>
  <si>
    <t xml:space="preserve">500万元以上 1000元/笔,通过基金管理人的直销柜台申购的养老金客户特定申购费率_x000D_
500万元以上 1000元/笔_x000D_
100万元以下 1.5%_x000D_
100~500万元 1%_x000D_
100万元以下 0.6%_x000D_
100~500万元 0.3%_x000D_
</t>
  </si>
  <si>
    <t>英大领先回报</t>
  </si>
  <si>
    <t>英大领先回报混合型发起式证券投资基金</t>
  </si>
  <si>
    <t>袁忠伟,刘杰</t>
  </si>
  <si>
    <t>沪深300指数*50%+上证国债指数*50%</t>
  </si>
  <si>
    <t xml:space="preserve">500万元以上 1000元/笔_x000D_
100万元以下 1.2%_x000D_
100~300万元 0.8%_x000D_
300~500万元 0.6%_x000D_
</t>
  </si>
  <si>
    <t xml:space="preserve">1年以下 1.5%_x000D_
1~2年 1%_x000D_
2~3年 0.8%_x000D_
3年以上 0%_x000D_
</t>
  </si>
  <si>
    <t>国投医疗保健混合</t>
  </si>
  <si>
    <t>国投瑞银医疗保健行业灵活配置混合型证券投资基金</t>
  </si>
  <si>
    <t>张佳荣</t>
  </si>
  <si>
    <t>中证医药卫生指数收益率*60%+中国债券总指数收益率*40%</t>
  </si>
  <si>
    <t>银河灵活配置A</t>
  </si>
  <si>
    <t>银河灵活配置混合型证券投资基金</t>
  </si>
  <si>
    <t>祝建辉</t>
  </si>
  <si>
    <t>三年期定期存款利率(税后)+2.5%</t>
  </si>
  <si>
    <t>上投核心成长</t>
  </si>
  <si>
    <t>上投摩根核心成长股票型证券投资基金</t>
  </si>
  <si>
    <t>富国城镇发展</t>
  </si>
  <si>
    <t>富国城镇发展股票型证券投资基金</t>
  </si>
  <si>
    <t>汪鸣,毕天宇</t>
  </si>
  <si>
    <t>鹏华品牌传承混合</t>
  </si>
  <si>
    <t>鹏华品牌传承灵活配置混合型证券投资基金</t>
  </si>
  <si>
    <t>王宗合,李君</t>
  </si>
  <si>
    <t xml:space="preserve">1000万元以上 1000元/笔_x000D_
1000万元以上 1000元/笔。通过基金管理人的直销柜台申购本基金基金份额的养老金客户_x000D_
100万元以下 1.5%_x000D_
100~500万元 1%_x000D_
100万元以下 0.6%_x000D_
100~500万元 0.3%_x000D_
500~1000万元 0.3%_x000D_
500~1000万元 0.06%_x000D_
</t>
  </si>
  <si>
    <t>中银优秀企业混合</t>
  </si>
  <si>
    <t>中银优秀企业混合型证券投资基金</t>
  </si>
  <si>
    <t>万家新利灵活配置混合</t>
  </si>
  <si>
    <t>万家新利灵活配置混合型证券投资基金</t>
  </si>
  <si>
    <t>莫海波,高翰昆</t>
  </si>
  <si>
    <t xml:space="preserve">500万元以上 1000元/笔。通过基金管理人的直销中心申购本基金的养老金客户申购费率_x000D_
500万元以上 1000元/笔_x000D_
100万元以下 0.6%_x000D_
100~300万元 0.4%_x000D_
300~500万元 0.2%_x000D_
100万元以下 0.06%_x000D_
100~300万元 0.04%_x000D_
300~500万元 0.02%_x000D_
</t>
  </si>
  <si>
    <t>景顺优质成长基金</t>
  </si>
  <si>
    <t>景顺长城优质成长股票型证券投资基金</t>
  </si>
  <si>
    <t>丁丹</t>
  </si>
  <si>
    <t>安信鑫发优选混合</t>
  </si>
  <si>
    <t>安信鑫发优选灵活配置混合型证券投资基金</t>
  </si>
  <si>
    <t>蓝雁书</t>
  </si>
  <si>
    <t>1年期人民币定期存款基准利率+3.00%</t>
  </si>
  <si>
    <t>鹏华消费领先混合</t>
  </si>
  <si>
    <t>鹏华消费领先灵活配置混合型证券投资基金</t>
  </si>
  <si>
    <t xml:space="preserve">500万元以上 1000元/笔,集中申购费率_x000D_
500万元以上 1000元/笔_x000D_
500万元以上 1000元/笔,养老金客户特定申购费率_x000D_
500万元以上 1000元/笔,养老金客户特定集中申购费率_x000D_
100万元以下 1.5%_x000D_
100万元以下 1.2%_x000D_
100~500万元 1%_x000D_
100~500万元 0.7%_x000D_
100万元以下 0.6%_x000D_
100万元以下 0.48%_x000D_
100~500万元 0.3%_x000D_
100~500万元 0.21%_x000D_
</t>
  </si>
  <si>
    <t>海富通内需热点混合</t>
  </si>
  <si>
    <t>海富通内需热点混合型证券投资基金</t>
  </si>
  <si>
    <t>黄峰</t>
  </si>
  <si>
    <t>MSCI中国A股指数*80%+上证国债指数*20%</t>
  </si>
  <si>
    <t>前海开源事件驱动混合A</t>
  </si>
  <si>
    <t>前海开源事件驱动灵活配置混合型发起式证券投资基金</t>
  </si>
  <si>
    <t>王霞</t>
  </si>
  <si>
    <t xml:space="preserve">500万元以上 1000元/笔_x000D_
50万元以下 1.5%_x000D_
50~250万元 1.2%_x000D_
250~500万元 0.8%_x000D_
</t>
  </si>
  <si>
    <t>景顺长城成长之星股票型证券投资基金</t>
  </si>
  <si>
    <t>刘晓明</t>
  </si>
  <si>
    <t>华商优势行业</t>
  </si>
  <si>
    <t>华商优势行业灵活配置混合型证券投资基金</t>
  </si>
  <si>
    <t>周海栋</t>
  </si>
  <si>
    <t xml:space="preserve">200万元以上 1000元/笔,通过直销中心申购的养老金客户的特定申购费率_x000D_
500万元以上 1000元/笔_x000D_
50万元以下 1.5%_x000D_
50~200万元 1.2%_x000D_
200~500万元 0.8%_x000D_
50万元以下 0.15%_x000D_
50~200万元 0.12%_x000D_
</t>
  </si>
  <si>
    <t>浦银消费A</t>
  </si>
  <si>
    <t>浦银安盛消费升级灵活配置混合型证券投资基金</t>
  </si>
  <si>
    <t>中证内地消费主题指数*55%+中证全债指数*45%</t>
  </si>
  <si>
    <t>易方达新兴成长灵活配置混合</t>
  </si>
  <si>
    <t>易方达新兴成长灵活配置混合型证券投资基金</t>
  </si>
  <si>
    <t>宋昆</t>
  </si>
  <si>
    <t>中证新兴产业指数收益率*50%+中债总财富指数收益率*50%</t>
  </si>
  <si>
    <t xml:space="preserve">500万元以上 1000元/笔_x000D_
500万元以上 1000元/笔,通过基金管理人的直销中心申购的特定投资群体申购费率_x000D_
100万元以下 1.5%_x000D_
100~200万元 1.2%_x000D_
200~500万元 0.3%_x000D_
100万元以下 0.15%_x000D_
100~200万元 0.12%_x000D_
200~500万元 0.03%_x000D_
</t>
  </si>
  <si>
    <t>华安生态优先混合</t>
  </si>
  <si>
    <t>华安生态优先混合型证券投资基金</t>
  </si>
  <si>
    <t xml:space="preserve">500元/笔,通过基金管理人的直销中心申购的养老金客户申购费率_x000D_
500万元以上 1000元/笔_x000D_
100万元以下 1.5%_x000D_
100~300万元 1.2%_x000D_
300~500万元 0.8%_x000D_
</t>
  </si>
  <si>
    <t>上投转型动力</t>
  </si>
  <si>
    <t>上投摩根转型动力灵活配置混合型证券投资基金</t>
  </si>
  <si>
    <t>孟亮</t>
  </si>
  <si>
    <t>工银信息产业混合</t>
  </si>
  <si>
    <t>工银瑞信信息产业混合型证券投资基金</t>
  </si>
  <si>
    <t>王烁杰,刘天任</t>
  </si>
  <si>
    <t>中证TMT产业主题指数收益率*80%+上证国债指数收益率*20%</t>
  </si>
  <si>
    <t>农银研究精选</t>
  </si>
  <si>
    <t>农银汇理研究精选灵活配置混合型证券投资基金</t>
  </si>
  <si>
    <t>大摩品质生活精选股票</t>
  </si>
  <si>
    <t>摩根士丹利华鑫品质生活精选股票型证券投资基金</t>
  </si>
  <si>
    <t>袁斌</t>
  </si>
  <si>
    <t xml:space="preserve">500万元以上 1000元/笔,通过基金管理人直销中心申购的养老金客户申购费率_x000D_
500万元以上 1000元/笔_x000D_
100万元以下 1.5%_x000D_
100~500万元 1%_x000D_
100万元以下 0.6%_x000D_
100~500万元 0.4%_x000D_
</t>
  </si>
  <si>
    <t>建信创新中国混合</t>
  </si>
  <si>
    <t>建信创新中国混合型证券投资基金</t>
  </si>
  <si>
    <t>沪深300指数收益率*75%+中国债券总指数收益率*25%</t>
  </si>
  <si>
    <t>新华趋势领航混合</t>
  </si>
  <si>
    <t>新华趋势领航混合型证券投资基金</t>
  </si>
  <si>
    <t>崔建波,蔡春红</t>
  </si>
  <si>
    <t>广发聚优灵活配置A</t>
  </si>
  <si>
    <t>广发聚优灵活配置混合型证券投资基金</t>
  </si>
  <si>
    <t>唐晓斌,张东一</t>
  </si>
  <si>
    <t>华润安鑫灵活</t>
  </si>
  <si>
    <t>华润元大安鑫灵活配置混合型证券投资基金</t>
  </si>
  <si>
    <t>中债综合指数收益率*65%+沪深300指数收益率*35%</t>
  </si>
  <si>
    <t xml:space="preserve">500万元以上 1000元/笔_x000D_
50万元以下 1.2%_x000D_
50~100万元 0.8%_x000D_
100~500万元 0.4%_x000D_
</t>
  </si>
  <si>
    <t>工银金融地产行业混合</t>
  </si>
  <si>
    <t>工银瑞信金融地产行业混合型证券投资基金</t>
  </si>
  <si>
    <t>金融地产行业</t>
    <phoneticPr fontId="4" type="noConversion"/>
  </si>
  <si>
    <t>鄢耀,王君正,甘宗卫</t>
  </si>
  <si>
    <t>沪深300金融地产行业指数收益率*80%+上证国债指数收益率*20%</t>
  </si>
  <si>
    <t>国泰策略收益灵活配置混合</t>
  </si>
  <si>
    <t>国泰策略收益灵活配置混合型证券投资基金</t>
  </si>
  <si>
    <t>邱晓华</t>
  </si>
  <si>
    <t>富国医疗保健行业混合</t>
  </si>
  <si>
    <t>富国医疗保健行业混合型证券投资基金</t>
  </si>
  <si>
    <t xml:space="preserve">500万元以上 1000元/笔_x000D_
500万元以上 1000元/笔,养老金客户通过本公司直销柜台申购_x000D_
100万元以下 1.5%_x000D_
100~500万元 1.2%_x000D_
100万元以下 0.45%_x000D_
100~500万元 0.36%_x000D_
</t>
  </si>
  <si>
    <t>华泰柏瑞量化增强混合A</t>
  </si>
  <si>
    <t>华泰柏瑞量化增强混合型证券投资基金</t>
  </si>
  <si>
    <t>沪深300指数收益率*95%+2.5%(指年收益率,评价时按期间折算)</t>
  </si>
  <si>
    <t xml:space="preserve">500万元以上 1000元/笔_x000D_
100万元以下 1.3%_x000D_
100~200万元 0.9%_x000D_
200~500万元 0.8%_x000D_
</t>
  </si>
  <si>
    <t>博时裕益混合</t>
  </si>
  <si>
    <t>博时裕益灵活配置混合型证券投资基金</t>
  </si>
  <si>
    <t>招扬</t>
  </si>
  <si>
    <t>年化收益率7%</t>
  </si>
  <si>
    <t>信诚新兴产业混合</t>
  </si>
  <si>
    <t>信诚新兴产业混合型证券投资基金</t>
  </si>
  <si>
    <t>郑伟</t>
  </si>
  <si>
    <t>中证新兴产业指数收益率*80%+中证综合债指数收益率*20%</t>
  </si>
  <si>
    <t>博时内需增长混合</t>
  </si>
  <si>
    <t>博时内需增长灵活配置混合型证券投资基金</t>
  </si>
  <si>
    <t>刘阳</t>
  </si>
  <si>
    <t>华宝服务优选混合</t>
  </si>
  <si>
    <t>华宝兴业服务优选混合型证券投资基金</t>
  </si>
  <si>
    <t>中证服务业指数收益率*80%+上证国债指数收益率*20%</t>
  </si>
  <si>
    <t>汇添富美丽30混合</t>
  </si>
  <si>
    <t>汇添富美丽30混合型证券投资基金</t>
  </si>
  <si>
    <t>王栩</t>
  </si>
  <si>
    <t>农银汇理行业领先混合</t>
  </si>
  <si>
    <t>农银汇理行业领先混合型证券投资基金</t>
  </si>
  <si>
    <t>沪深300指数*75%+中证全债指数*25%</t>
  </si>
  <si>
    <t>建信消费升级混合</t>
  </si>
  <si>
    <t>建信消费升级混合型证券投资基金</t>
  </si>
  <si>
    <t>邱宇航</t>
  </si>
  <si>
    <t>中银美丽中国混合</t>
  </si>
  <si>
    <t>中银美丽中国混合型证券投资基金</t>
  </si>
  <si>
    <t>王伟,严菲</t>
  </si>
  <si>
    <t>交银成长30混合</t>
  </si>
  <si>
    <t>交银施罗德成长30混合型证券投资基金</t>
  </si>
  <si>
    <t>王少成</t>
  </si>
  <si>
    <t>富时中国A600成长指数收益率*75%+中证综合债券指数收益率*25%</t>
  </si>
  <si>
    <t xml:space="preserve">500万元以上 1000元/笔_x000D_
50万元以下 1.5%_x000D_
50~100万元 1.2%_x000D_
100~200万元 0.8%_x000D_
200~500万元 0.5%_x000D_
</t>
  </si>
  <si>
    <t>广发轮动配置混合</t>
  </si>
  <si>
    <t>广发轮动配置混合型证券投资基金</t>
  </si>
  <si>
    <t>吴兴武</t>
  </si>
  <si>
    <t xml:space="preserve">500万元以上 1000元/笔。特定投资群体申购费率（仅限直销柜台）_x000D_
500万元以上 1000元/笔_x000D_
100万元以下 1.5%_x000D_
100~300万元 0.9%_x000D_
100万元以下 0.6%_x000D_
100~300万元 0.36%_x000D_
300~500万元 0.3%_x000D_
300~500万元 0.12%_x000D_
</t>
  </si>
  <si>
    <t>嘉实研究阿尔法股票</t>
  </si>
  <si>
    <t>嘉实研究阿尔法股票型证券投资基金</t>
  </si>
  <si>
    <t>赵宇</t>
  </si>
  <si>
    <t>MSCI中国A股指数收益率*95%+银行活期存款利率(税后)*5%</t>
  </si>
  <si>
    <t>华安安信消费服务混合</t>
  </si>
  <si>
    <t>华安安信消费服务混合型证券投资基金</t>
  </si>
  <si>
    <t>饶晓鹏</t>
  </si>
  <si>
    <t>中证消费服务领先指数收益率</t>
  </si>
  <si>
    <t xml:space="preserve">500元/笔,通过基金管理人的直销中心申购的养老金客户申购费率_x000D_
500万元以上 1000元/笔,集中申购费率_x000D_
500万元以上 1000元/笔_x000D_
500元/笔,通过基金管理人的直销中心集中申购的养老金客户申购费率_x000D_
100万元以下 1.5%_x000D_
100~300万元 1.2%_x000D_
100万元以下 1.2%_x000D_
100~300万元 1%_x000D_
300~500万元 0.8%_x000D_
300~500万元 0.6%_x000D_
</t>
  </si>
  <si>
    <t>银华量化智慧动力灵活混合</t>
  </si>
  <si>
    <t>银华量化智慧动力灵活配置混合型证券投资基金</t>
  </si>
  <si>
    <t>张凯</t>
  </si>
  <si>
    <t xml:space="preserve">500万元以上 1000元/笔_x000D_
500万元以上 1000元/笔,养老金客户_x000D_
50万元以下 1.5%_x000D_
50~100万元 1.2%_x000D_
100~200万元 1%_x000D_
200~500万元 0.6%_x000D_
50万元以下 0.45%_x000D_
50~100万元 0.36%_x000D_
100~200万元 0.3%_x000D_
200~500万元 0.18%_x000D_
</t>
  </si>
  <si>
    <t>成长动力</t>
  </si>
  <si>
    <t>上投摩根成长动力混合型证券投资基金</t>
  </si>
  <si>
    <t>刘辉</t>
  </si>
  <si>
    <t xml:space="preserve">500万元以上 1000元/笔_x000D_
100万元以下 0.6%_x000D_
100~200万元 0.3%_x000D_
200~500万元 0.1%_x000D_
</t>
  </si>
  <si>
    <t>中欧智选A</t>
  </si>
  <si>
    <t>中欧价值智选回报混合型证券投资基金</t>
  </si>
  <si>
    <t>张跃鹏,吴鹏飞</t>
  </si>
  <si>
    <t>金融机构人民币三年期定期存款基准利率(税后)</t>
  </si>
  <si>
    <t xml:space="preserve">500万元以上 1000元/笔,养老金客户_x000D_
100万元以下 0.45%_x000D_
100~500万元 0.3%_x000D_
</t>
  </si>
  <si>
    <t>长盛电子主题</t>
  </si>
  <si>
    <t>长盛电子信息主题灵活配置混合型证券投资基金</t>
  </si>
  <si>
    <t>电子信息主题</t>
    <phoneticPr fontId="4" type="noConversion"/>
  </si>
  <si>
    <t>赵宏宇</t>
  </si>
  <si>
    <t>中证TMT产业主题指数收益率*50%+中证综合债指数收益率*50%</t>
  </si>
  <si>
    <t>汇添富消费行业混合</t>
  </si>
  <si>
    <t>汇添富消费行业混合型证券投资基金</t>
  </si>
  <si>
    <t>消费行业</t>
    <phoneticPr fontId="4" type="noConversion"/>
  </si>
  <si>
    <t>胡昕炜</t>
  </si>
  <si>
    <t>中证主要消费行业指数*40%+中证可选消费行业指数*40%+上证国债指数*20%</t>
  </si>
  <si>
    <t>中银消费主题混合</t>
  </si>
  <si>
    <t>中银消费主题混合型证券投资基金</t>
  </si>
  <si>
    <t>中证内地消费主题指数收益率*75%+上证国债指数收益率*25%</t>
  </si>
  <si>
    <t>富国宏观策略</t>
  </si>
  <si>
    <t>富国宏观策略灵活配置混合型证券投资基金</t>
  </si>
  <si>
    <t>华夏兴华混合A</t>
  </si>
  <si>
    <t>华夏兴华混合型证券投资基金</t>
  </si>
  <si>
    <t>阳琨</t>
  </si>
  <si>
    <t xml:space="preserve">500万元以上 1000元/笔_x000D_
100万元以下 1.2%_x000D_
100~300万元 0.8%_x000D_
300~500万元 0.4%_x000D_
</t>
  </si>
  <si>
    <t>华商大盘量化</t>
  </si>
  <si>
    <t>华商大盘量化精选灵活配置混合型证券投资基金</t>
  </si>
  <si>
    <t>邓默,王东旋</t>
  </si>
  <si>
    <t>财通可持续发展主题混合</t>
  </si>
  <si>
    <t>财通可持续发展主题混合型证券投资基金</t>
  </si>
  <si>
    <t>可持续发展主题</t>
    <phoneticPr fontId="4" type="noConversion"/>
  </si>
  <si>
    <t>金梓才,夏钦</t>
  </si>
  <si>
    <t>农银汇理低估值高增长混合</t>
  </si>
  <si>
    <t>农银汇理低估值高增长混合型证券投资基金</t>
  </si>
  <si>
    <t>浦银新兴产业</t>
  </si>
  <si>
    <t>浦银安盛战略新兴产业混合型证券投资基金</t>
  </si>
  <si>
    <t>中证新兴产业指数*55%+中证全债指数*45%</t>
  </si>
  <si>
    <t>建信优势动力混合</t>
  </si>
  <si>
    <t>建信优势动力混合型证券投资基金</t>
  </si>
  <si>
    <t>景顺品质投资混合</t>
  </si>
  <si>
    <t>景顺长城品质投资混合型证券投资基金</t>
  </si>
  <si>
    <t>詹成,余广</t>
  </si>
  <si>
    <t>华商价值共享</t>
  </si>
  <si>
    <t>华商价值共享灵活配置混合型发起式证券投资基金</t>
  </si>
  <si>
    <t>何奇峰,童立</t>
  </si>
  <si>
    <t>上投智选30混合</t>
  </si>
  <si>
    <t>上投摩根智选30混合型证券投资基金</t>
  </si>
  <si>
    <t xml:space="preserve">500万元以上 1000元/笔_x000D_
500万元以上 1000元/笔_x000D_
100万元以下 0.6%_x000D_
100~500万元 0.4%_x000D_
100万元以下 0.18%_x000D_
100~500万元 0.12%_x000D_
</t>
  </si>
  <si>
    <t>国泰估值优势混合</t>
  </si>
  <si>
    <t>国泰估值优势混合型证券投资基金(LOF)</t>
  </si>
  <si>
    <t>工银优质精选混合</t>
  </si>
  <si>
    <t>工银瑞信优质精选混合型证券投资基金</t>
  </si>
  <si>
    <t>欧阳凯,李敏</t>
  </si>
  <si>
    <t xml:space="preserve">500万元以上 1000元/笔_x000D_
500万元以上 1000元/笔_x000D_
100万元以下 1.2%_x000D_
100~300万元 0.8%_x000D_
100万元以下 0.48%_x000D_
300~500万元 0.4%_x000D_
100~300万元 0.32%_x000D_
300~500万元 0.16%_x000D_
</t>
  </si>
  <si>
    <t>广发新经济混合</t>
  </si>
  <si>
    <t>广发新经济混合型发起式证券投资基金</t>
  </si>
  <si>
    <t>李险峰</t>
  </si>
  <si>
    <t>民生加银积极成长发起式</t>
  </si>
  <si>
    <t>民生加银积极成长混合型发起式证券投资基金</t>
  </si>
  <si>
    <t>沪深300成长指数*60%+中证国债指数收益率*40%</t>
  </si>
  <si>
    <t>东方启明量化先锋混合</t>
  </si>
  <si>
    <t>东方启明量化先锋混合型证券投资基金</t>
  </si>
  <si>
    <t>刘志刚</t>
  </si>
  <si>
    <t xml:space="preserve">1000万元以上 1000元/笔_x000D_
50万元以下 1.5%_x000D_
50~500万元 1%_x000D_
500~1000万元 0.5%_x000D_
</t>
  </si>
  <si>
    <t>兴全商业模式优选混合</t>
  </si>
  <si>
    <t>兴全商业模式优选混合型证券投资基金(LOF)</t>
  </si>
  <si>
    <t>兴业全球基金</t>
  </si>
  <si>
    <t>吴圣涛</t>
  </si>
  <si>
    <t>沪深300指数*80%+中证国债指数*20%</t>
  </si>
  <si>
    <t xml:space="preserve">500万元以上 1000元/笔_x000D_
50万元以下 1.5%_x000D_
50~200万元 0.8%_x000D_
200~500万元 0.4%_x000D_
</t>
  </si>
  <si>
    <t xml:space="preserve">1年以下 1.8%_x000D_
1~2年 1%_x000D_
2~3年 0.6%_x000D_
3年以上 0%_x000D_
</t>
  </si>
  <si>
    <t>大摩量化配置混合</t>
  </si>
  <si>
    <t>摩根士丹利华鑫量化配置混合型证券投资基金</t>
  </si>
  <si>
    <t>杨雨龙,吴国雄</t>
  </si>
  <si>
    <t>沪深300指数收益率*80%+标普中国债券指数收益率*20%</t>
  </si>
  <si>
    <t xml:space="preserve">500万元以上 1000元/笔_x000D_
500万元以上 1000元/笔,特定投资群体(养老金客户)特定申购费率_x000D_
100万元以下 1.5%_x000D_
100~500万元 1%_x000D_
100万元以下 0.6%_x000D_
100~500万元 0.4%_x000D_
</t>
  </si>
  <si>
    <t>上投核心优选混合</t>
  </si>
  <si>
    <t>上投摩根核心优选混合型证券投资基金</t>
  </si>
  <si>
    <t>孙芳</t>
  </si>
  <si>
    <t>农银汇理行业轮动混合</t>
  </si>
  <si>
    <t>农银汇理行业轮动混合型证券投资基金</t>
  </si>
  <si>
    <t>交银消费新驱动股票</t>
  </si>
  <si>
    <t>交银施罗德消费新驱动股票型证券投资基金</t>
  </si>
  <si>
    <t>盖婷婷</t>
  </si>
  <si>
    <t>中证内地消费主题指数*85%+中证综合债券指数*15%</t>
  </si>
  <si>
    <t xml:space="preserve">500万元以上 1000元/笔,通过本公司直销柜台对养老金客户实施特定申购费率_x000D_
50万元以下 0.6%_x000D_
50~100万元 0.36%_x000D_
100~200万元 0.16%_x000D_
200~500万元 0.12%_x000D_
</t>
  </si>
  <si>
    <t>银河主题策略混合</t>
  </si>
  <si>
    <t>银河主题策略混合型证券投资基金</t>
  </si>
  <si>
    <t>张杨</t>
  </si>
  <si>
    <t>华商500(母)</t>
  </si>
  <si>
    <t>华商新趋势优选灵活配置混合型证券投资基金</t>
  </si>
  <si>
    <t>信达澳银消费优选混合</t>
  </si>
  <si>
    <t>信达澳银消费优选混合型证券投资基金</t>
  </si>
  <si>
    <t>冯士祯,张培培</t>
  </si>
  <si>
    <t>沪深300指数收益率*80%+中债总财富指数收益率*20%</t>
  </si>
  <si>
    <t>博时医疗保健行业混合</t>
  </si>
  <si>
    <t>博时医疗保健行业混合型证券投资基金</t>
  </si>
  <si>
    <t>苏永超</t>
  </si>
  <si>
    <t>中证医药卫生指数*80%+中债指数*20%</t>
  </si>
  <si>
    <t>大成健康产业混合</t>
  </si>
  <si>
    <t>大成健康产业混合型证券投资基金</t>
  </si>
  <si>
    <t>申万医药生物行业指数*80%+中证综合债券指数*20%</t>
  </si>
  <si>
    <t>华宝资源优选混合</t>
  </si>
  <si>
    <t>华宝兴业资源优选混合型证券投资基金</t>
  </si>
  <si>
    <t>蔡目荣</t>
  </si>
  <si>
    <t>中证内地资源主题指数收益率*80%+上证国债指数收益率*20%</t>
  </si>
  <si>
    <t>华安逆向策略混合</t>
  </si>
  <si>
    <t>华安逆向策略混合型证券投资基金</t>
  </si>
  <si>
    <t>崔莹</t>
  </si>
  <si>
    <t xml:space="preserve">500元/笔(养老金特定申购费率)_x000D_
500万元以上 1000元/笔_x000D_
100万元以下 1.5%_x000D_
100~300万元 1.2%_x000D_
300~500万元 0.8%_x000D_
</t>
  </si>
  <si>
    <t>益民核心增长</t>
  </si>
  <si>
    <t>益民核心增长灵活配置混合型证券投资基金</t>
  </si>
  <si>
    <t>益民基金</t>
  </si>
  <si>
    <t>吕伟</t>
  </si>
  <si>
    <t>中证700指数收益率*60%+中证全债指数收益率*40%</t>
  </si>
  <si>
    <t>建信社会责任混合</t>
  </si>
  <si>
    <t>建信社会责任混合型证券投资基金</t>
  </si>
  <si>
    <t>交银阿尔法核心混合</t>
  </si>
  <si>
    <t>交银施罗德阿尔法核心混合型证券投资基金</t>
  </si>
  <si>
    <t>何帅</t>
  </si>
  <si>
    <t>沪深300指数收益率*75%+中证综合债券指数收益率*25%</t>
  </si>
  <si>
    <t xml:space="preserve">500万元以上 1000元/笔,通过本公司直销柜台对养老金客户实施特定申购费率_x000D_
500万元以上 1000元/笔_x000D_
50万元以下 1.5%_x000D_
50~100万元 1.2%_x000D_
100~200万元 0.8%_x000D_
50万元以下 0.6%_x000D_
200~500万元 0.5%_x000D_
50~100万元 0.48%_x000D_
100~200万元 0.32%_x000D_
200~500万元 0.2%_x000D_
</t>
  </si>
  <si>
    <t>金元顺安新经济主题混合</t>
  </si>
  <si>
    <t>金元顺安新经济主题混合型证券投资基金</t>
  </si>
  <si>
    <t>金元顺安基金</t>
  </si>
  <si>
    <t>新经济主题</t>
    <phoneticPr fontId="4" type="noConversion"/>
  </si>
  <si>
    <t>闵杭</t>
  </si>
  <si>
    <t>大成优选混合</t>
  </si>
  <si>
    <t>大成优选混合型证券投资基金(LOF)</t>
  </si>
  <si>
    <t>戴军</t>
  </si>
  <si>
    <t xml:space="preserve">500万元以上 1000元/笔,集中申购费率_x000D_
500万元以上 1000元/笔_x000D_
50万元以下 1.5%_x000D_
50万元以下 1.2%_x000D_
50~200万元 1%_x000D_
50~200万元 0.8%_x000D_
200~500万元 0.6%_x000D_
200~500万元 0.5%_x000D_
</t>
  </si>
  <si>
    <t>融通医疗保健行业混合A</t>
  </si>
  <si>
    <t>融通医疗保健行业混合型证券投资基金</t>
  </si>
  <si>
    <t>申万医药生物行业指数收益率*80%+中债综合全价(总值)指数收益率*20%</t>
  </si>
  <si>
    <t xml:space="preserve">500万元以上 1000元/笔,包括过渡期_x000D_
100万元以下 1%_x000D_
100~300万元 0.8%_x000D_
300~500万元 0.6%_x000D_
</t>
  </si>
  <si>
    <t>中银主题策略混合</t>
  </si>
  <si>
    <t>中银主题策略混合型证券投资基金</t>
  </si>
  <si>
    <t>富国高新技术产业混合</t>
  </si>
  <si>
    <t>富国高新技术产业混合型证券投资基金</t>
  </si>
  <si>
    <t>嘉实优化红利混合</t>
  </si>
  <si>
    <t>嘉实优化红利混合型证券投资基金</t>
  </si>
  <si>
    <t>中证红利指数收益率*95%+上证国债指数收益率*5%</t>
  </si>
  <si>
    <t xml:space="preserve">1年以下 1.8%_x000D_
1~3年 1%_x000D_
3年以上 0%_x000D_
</t>
  </si>
  <si>
    <t>银华中小盘精选混合</t>
  </si>
  <si>
    <t>银华中小盘精选混合型证券投资基金</t>
  </si>
  <si>
    <t>天相中盘指数收益率*40%+天相小盘指数收益率*40%+中债总指数收益率*20%</t>
  </si>
  <si>
    <t xml:space="preserve">500万元以上 1000元/笔_x000D_
500万元以上 1000元/笔,面向养老金客户实施的特定申购费率_x000D_
50万元以下 1.5%_x000D_
50~100万元 1.2%_x000D_
100~200万元 1%_x000D_
200~500万元 0.6%_x000D_
50万元以下 0.45%_x000D_
50~100万元 0.36%_x000D_
100~200万元 0.3%_x000D_
200~500万元 0.18%_x000D_
</t>
  </si>
  <si>
    <t>交银策略回报灵活配置混合</t>
  </si>
  <si>
    <t>交银施罗德策略回报灵活配置混合型证券投资基金</t>
  </si>
  <si>
    <t>王少成,韩威俊</t>
  </si>
  <si>
    <t xml:space="preserve">500万元以上 1000元/笔,通过直销柜台申购的养老金客户特定申购费率_x000D_
500万元以上 1000元/笔_x000D_
50万元以下 1.5%_x000D_
50~100万元 1.2%_x000D_
100~200万元 0.8%_x000D_
50万元以下 0.6%_x000D_
200~500万元 0.5%_x000D_
50~100万元 0.36%_x000D_
100~200万元 0.16%_x000D_
200~500万元 0.12%_x000D_
</t>
  </si>
  <si>
    <t>安信灵活配置混合</t>
  </si>
  <si>
    <t>安信策略精选灵活配置混合型证券投资基金</t>
  </si>
  <si>
    <t>占冠良</t>
  </si>
  <si>
    <t>中邮战略新兴产业混合</t>
  </si>
  <si>
    <t>中邮战略新兴产业混合型证券投资基金</t>
  </si>
  <si>
    <t>中证新兴产业指数*75%+上证国债指数*25%</t>
  </si>
  <si>
    <t>广发消费品精选混合</t>
  </si>
  <si>
    <t>广发消费品精选混合型证券投资基金</t>
  </si>
  <si>
    <t>李琛</t>
  </si>
  <si>
    <t>华商主题精选混合</t>
  </si>
  <si>
    <t>华商主题精选混合型证券投资基金</t>
  </si>
  <si>
    <t>平安大华策略先锋混合</t>
  </si>
  <si>
    <t>平安大华策略先锋混合型证券投资基金</t>
  </si>
  <si>
    <t>乔海英,神爱前</t>
  </si>
  <si>
    <t>泰达宏利逆向策略混合</t>
  </si>
  <si>
    <t>泰达宏利逆向策略混合型证券投资基金</t>
  </si>
  <si>
    <t xml:space="preserve">500万元以上 1000元/笔_x000D_
500万元以上 1000元/笔,养老金客户通过直销柜台实施特定申购费率_x000D_
100万元以下 1.5%_x000D_
100~250万元 1.2%_x000D_
250~500万元 0.8%_x000D_
100万元以下 0.375%_x000D_
100~250万元 0.3%_x000D_
250~500万元 0.2%_x000D_
</t>
  </si>
  <si>
    <t>金鹰核心资源混合</t>
  </si>
  <si>
    <t>金鹰核心资源混合型证券投资基金</t>
  </si>
  <si>
    <t>冼鸿鹏</t>
  </si>
  <si>
    <t>国富研究精选混合</t>
  </si>
  <si>
    <t>富兰克林国海研究精选混合型证券投资基金</t>
  </si>
  <si>
    <t>何景风,徐荔蓉</t>
  </si>
  <si>
    <t>沪深300指数收益率*80%+中债国债总指数(全价)收益率*20%</t>
  </si>
  <si>
    <t>工银基本面量化策略混合</t>
  </si>
  <si>
    <t>工银瑞信基本面量化策略混合型证券投资基金</t>
  </si>
  <si>
    <t>游凛峰</t>
  </si>
  <si>
    <t>中证800指数收益率*80%+上证国债指数指数收益率*20%</t>
  </si>
  <si>
    <t>农银汇理消费主题混合A</t>
  </si>
  <si>
    <t>农银汇理消费主题混合型证券投资基金</t>
  </si>
  <si>
    <t>付娟</t>
  </si>
  <si>
    <t xml:space="preserve">500万元以上 1000元/笔_x000D_
100万元以下 1.2%_x000D_
100~200万元 0.8%_x000D_
200~500万元 0.4%_x000D_
</t>
  </si>
  <si>
    <t>长城优化升级混合</t>
  </si>
  <si>
    <t>长城优化升级混合型证券投资基金</t>
  </si>
  <si>
    <t>郑帮强</t>
  </si>
  <si>
    <t xml:space="preserve">500万元以上 1000元/笔,通过本公司直销柜台申购的养老金客户_x000D_
500万元以上 1000元/笔_x000D_
50万元以下 1.5%_x000D_
50~200万元 1%_x000D_
200~500万元 0.5%_x000D_
50万元以下 0.3%_x000D_
50~200万元 0.2%_x000D_
200~500万元 0.1%_x000D_
</t>
  </si>
  <si>
    <t>鹏华价值精选</t>
  </si>
  <si>
    <t>鹏华价值精选股票型证券投资基金</t>
  </si>
  <si>
    <t>胡东健</t>
  </si>
  <si>
    <t xml:space="preserve">500万元以上 1000元/笔,养老金客户通过直销柜台实施特定申购费率_x000D_
500万元以上 1000元/笔_x000D_
100万元以下 1.5%_x000D_
100~500万元 1%_x000D_
500万元以下 0.6%_x000D_
</t>
  </si>
  <si>
    <t>兴全轻资产混合</t>
  </si>
  <si>
    <t>兴全轻资产投资混合型证券投资基金(LOF)</t>
  </si>
  <si>
    <t>谢治宇</t>
  </si>
  <si>
    <t>中欧盛世成长混合A</t>
  </si>
  <si>
    <t>中欧盛世成长混合型证券投资基金(LOF)</t>
  </si>
  <si>
    <t>魏博</t>
  </si>
  <si>
    <t xml:space="preserve">50~100万元 0.3%_x000D_
500万元以上 1000元/笔,养老金客户_x000D_
100~500万元 0.15%_x000D_
50万元以下 0.45%_x000D_
</t>
  </si>
  <si>
    <t>诺德周期策略混合</t>
  </si>
  <si>
    <t>诺德周期策略混合型证券投资基金</t>
  </si>
  <si>
    <t>诺德基金</t>
  </si>
  <si>
    <t>罗世锋</t>
  </si>
  <si>
    <t>沪深300指数*80%+金融同业存款利率*20%</t>
  </si>
  <si>
    <t>大成新锐产业混合</t>
  </si>
  <si>
    <t>大成新锐产业混合型证券投资基金</t>
  </si>
  <si>
    <t>周德昕</t>
  </si>
  <si>
    <t>沪深300指数*80%+中证综合债券指数*20%</t>
  </si>
  <si>
    <t>国泰成长优选混合</t>
  </si>
  <si>
    <t>国泰成长优选混合型证券投资基金</t>
  </si>
  <si>
    <t>南方新兴消费增长(母)</t>
  </si>
  <si>
    <t>南方新兴消费增长分级股票型证券投资基金</t>
  </si>
  <si>
    <t>分级基金</t>
    <phoneticPr fontId="4" type="noConversion"/>
  </si>
  <si>
    <t>蒋秋洁,李佳亮</t>
  </si>
  <si>
    <t>中证内地消费主题指数*80%+上证国债指数*20%</t>
  </si>
  <si>
    <t>大摩主题优选混合</t>
  </si>
  <si>
    <t>摩根士丹利华鑫主题优选混合型证券投资基金</t>
  </si>
  <si>
    <t>王增财</t>
  </si>
  <si>
    <t xml:space="preserve">500万元以上 1000元/笔,特定投资群体(养老金客户)特定申购费率_x000D_
500万元以上 1000元/笔_x000D_
100万元以下 1.5%_x000D_
100~500万元 1%_x000D_
100万元以下 0.6%_x000D_
100~500万元 0.4%_x000D_
</t>
  </si>
  <si>
    <t>汇添富逆向投资混合</t>
  </si>
  <si>
    <t>汇添富逆向投资混合型证券投资基金</t>
  </si>
  <si>
    <t>顾耀强</t>
  </si>
  <si>
    <t>长安宏观策略混合</t>
  </si>
  <si>
    <t>长安宏观策略混合型证券投资基金</t>
  </si>
  <si>
    <t>栾绍菲</t>
  </si>
  <si>
    <t>浙商新思维</t>
  </si>
  <si>
    <t>浙商聚潮新思维混合型证券投资基金</t>
  </si>
  <si>
    <t>浙商基金</t>
  </si>
  <si>
    <t>倪权生</t>
  </si>
  <si>
    <t>中海医疗保健主题股票</t>
  </si>
  <si>
    <t>中海医疗保健主题股票型证券投资基金</t>
  </si>
  <si>
    <t>医疗保健主题</t>
    <phoneticPr fontId="4" type="noConversion"/>
  </si>
  <si>
    <t>中证医药卫生指数收益率*80%+中证全债指数收益率*20%</t>
  </si>
  <si>
    <t xml:space="preserve">500万元以上 1000元/笔,通过基金管理人的直销中心申购的养老金客户_x000D_
500万元以上 1000元/笔_x000D_
100万元以下 1.5%_x000D_
100~300万元 1%_x000D_
300~500万元 0.6%_x000D_
100万元以下 0.6%_x000D_
100~300万元 0.3%_x000D_
300~500万元 0.12%_x000D_
</t>
  </si>
  <si>
    <t>华宝医药生物优选混合</t>
  </si>
  <si>
    <t>华宝兴业医药生物优选混合型证券投资基金</t>
  </si>
  <si>
    <t>光磊</t>
  </si>
  <si>
    <t>中证医药卫生指数*80%+上证国债指数*20%</t>
  </si>
  <si>
    <t>光大行业轮动混合</t>
  </si>
  <si>
    <t>光大保德信行业轮动混合型证券投资基金</t>
  </si>
  <si>
    <t xml:space="preserve">500万元以上 1000元/笔_x000D_
50万元以下 1.5%_x000D_
50~100万元 0.8%_x000D_
100~500万元 0.6%_x000D_
</t>
  </si>
  <si>
    <t>上投健康品质生活混合</t>
  </si>
  <si>
    <t>上投摩根健康品质生活混合型证券投资基金</t>
  </si>
  <si>
    <t xml:space="preserve">500万元以上 1000元/笔_x000D_
100万元以下 0.9%_x000D_
100~300万元 0.6%_x000D_
300~500万元 0.08%_x000D_
</t>
  </si>
  <si>
    <t>东方增长</t>
  </si>
  <si>
    <t>东方增长中小盘混合型开放式证券投资基金</t>
  </si>
  <si>
    <t>中证700指数收益率*60%+中证综合债券指数收益率*40%</t>
  </si>
  <si>
    <t>方正富邦创新动力混合</t>
  </si>
  <si>
    <t>方正富邦创新动力混合型证券投资基金</t>
  </si>
  <si>
    <t>方正富邦基金</t>
  </si>
  <si>
    <t>沈毅,巩显峰</t>
  </si>
  <si>
    <t>景顺核心竞争力混合A</t>
  </si>
  <si>
    <t>景顺长城核心竞争力混合型证券投资基金</t>
  </si>
  <si>
    <t>余广</t>
  </si>
  <si>
    <t xml:space="preserve">1000万元以上 1000元/笔_x000D_
1000万元以上 1000元/笔,面向养老金客户实施的特定申购费率_x000D_
100万元以下 1.5%_x000D_
100~500万元 1%_x000D_
500~1000万元 0.3%_x000D_
100万元以下 0.15%_x000D_
100~500万元 0.1%_x000D_
500~1000万元 0.03%_x000D_
</t>
  </si>
  <si>
    <t>华安科技动力混合</t>
  </si>
  <si>
    <t>华安科技动力混合型证券投资基金</t>
  </si>
  <si>
    <t>嘉实周期优选混合</t>
  </si>
  <si>
    <t>嘉实周期优选混合型证券投资基金</t>
  </si>
  <si>
    <t>沪深300指数收益率*95%+上证国债指数收益率*5%</t>
  </si>
  <si>
    <t>财通价值</t>
  </si>
  <si>
    <t>财通价值动量混合型证券投资基金</t>
  </si>
  <si>
    <t>中银中小盘成长混合</t>
  </si>
  <si>
    <t>中银中小盘成长混合型证券投资基金</t>
  </si>
  <si>
    <t>中证700指数*80%+上证国债指数*20%</t>
  </si>
  <si>
    <t>海富通国策导向混合</t>
  </si>
  <si>
    <t>海富通国策导向混合型证券投资基金</t>
  </si>
  <si>
    <t>施敏佳</t>
  </si>
  <si>
    <t>中海消费主题精选混合</t>
  </si>
  <si>
    <t>中海消费主题精选混合型证券投资基金</t>
  </si>
  <si>
    <t>姚晨曦</t>
  </si>
  <si>
    <t>中证内地消费指数涨跌幅*80%+中国债券总指数涨跌幅*20%</t>
  </si>
  <si>
    <t xml:space="preserve">500万元以上 1000元/笔,养老金客户通过本公司直销中心实施特定申购费率_x000D_
500万元以上 1000元/笔_x000D_
100万元以下 1.5%_x000D_
100~300万元 1%_x000D_
300~500万元 0.6%_x000D_
100万元以下 0.6%_x000D_
100~300万元 0.3%_x000D_
300~500万元 0.06%_x000D_
</t>
  </si>
  <si>
    <t>大成消费主题混合</t>
  </si>
  <si>
    <t>大成消费主题混合型证券投资基金</t>
  </si>
  <si>
    <t>中证内地消费主题指数*80%+中证综合债券指数*20%</t>
  </si>
  <si>
    <t>工银主题策略混合</t>
  </si>
  <si>
    <t>工银瑞信主题策略混合型证券投资基金</t>
  </si>
  <si>
    <t>长信内需成长混合</t>
  </si>
  <si>
    <t>长信内需成长混合型证券投资基金</t>
  </si>
  <si>
    <t>东吴新产业精选混合</t>
  </si>
  <si>
    <t>东吴新产业精选混合型证券投资基金</t>
  </si>
  <si>
    <t>中证新兴产业指数*75%+中国债券综合全价指数*25%</t>
  </si>
  <si>
    <t>银华消费主题(母)</t>
  </si>
  <si>
    <t>银华消费主题分级混合型证券投资基金</t>
  </si>
  <si>
    <t>中证内地消费主题指数收益率*80%+中国债券总指数收益率*20%</t>
  </si>
  <si>
    <t>富安达优势成长混合</t>
  </si>
  <si>
    <t>富安达优势成长混合型证券投资基金</t>
  </si>
  <si>
    <t>吴战峰</t>
  </si>
  <si>
    <t>广发制造业精选混合</t>
  </si>
  <si>
    <t>广发制造业精选混合型证券投资基金</t>
  </si>
  <si>
    <t>申银万国制造业指数*80%+中证全债指数*20%</t>
  </si>
  <si>
    <t>平安大华行业先锋混合</t>
  </si>
  <si>
    <t>平安大华行业先锋混合型证券投资基金</t>
  </si>
  <si>
    <t>傅浩</t>
  </si>
  <si>
    <t>沪深300指数收益率*85%+中证全债指数收益率*15%</t>
  </si>
  <si>
    <t>农银汇理策略精选混合</t>
  </si>
  <si>
    <t>农银汇理策略精选混合型证券投资基金</t>
  </si>
  <si>
    <t>金鹰策略配置混合</t>
  </si>
  <si>
    <t>金鹰策略配置混合型证券投资基金</t>
  </si>
  <si>
    <t>沪深300指数增长率*75%+中证全债指数增长率*25%</t>
  </si>
  <si>
    <t>国泰事件驱动策略混合</t>
  </si>
  <si>
    <t>国泰事件驱动策略混合型证券投资基金</t>
  </si>
  <si>
    <t>易方达资源行业混合</t>
  </si>
  <si>
    <t>易方达资源行业混合型证券投资基金</t>
  </si>
  <si>
    <t>资源行业</t>
    <phoneticPr fontId="4" type="noConversion"/>
  </si>
  <si>
    <t>中证内地资源主题指数收益率*80%+中债总指数收益率*20%</t>
  </si>
  <si>
    <t xml:space="preserve">1000万元以上 1000元/笔_x000D_
100万元以下 1.5%_x000D_
100~500万元 1.2%_x000D_
500~1000万元 0.3%_x000D_
</t>
  </si>
  <si>
    <t>富国环保</t>
  </si>
  <si>
    <t>富国低碳环保混合型证券投资基金</t>
  </si>
  <si>
    <t>诺安多策略混合</t>
  </si>
  <si>
    <t>诺安多策略混合型证券投资基金</t>
  </si>
  <si>
    <t>李玉良</t>
  </si>
  <si>
    <t>沪深300指数*75%+上证国债指数*25%</t>
  </si>
  <si>
    <t>天治新消费灵活配置混合</t>
  </si>
  <si>
    <t>天治新消费灵活配置混合型证券投资基金</t>
  </si>
  <si>
    <t>天治基金</t>
  </si>
  <si>
    <t>尹维国</t>
  </si>
  <si>
    <t>申银万国消费品指数收益率*50%+中证全债指数收益率*50%</t>
  </si>
  <si>
    <t>国富策略</t>
  </si>
  <si>
    <t>富兰克林国海策略回报灵活配置混合型证券投资基金</t>
  </si>
  <si>
    <t>沪深300指数收益率*60%+中债国债总指数收益率(全价)*40%</t>
  </si>
  <si>
    <t xml:space="preserve">500万元以上 1000元/笔_x000D_
100万元以下 1.5%_x000D_
100~500万元 0.75%_x000D_
</t>
  </si>
  <si>
    <t>信诚新机遇混合</t>
  </si>
  <si>
    <t>信诚新机遇混合型证券投资基金(LOF)</t>
  </si>
  <si>
    <t>聂炜,吴昊</t>
  </si>
  <si>
    <t>银河消费驱动混合</t>
  </si>
  <si>
    <t>银河消费驱动混合型证券投资基金</t>
  </si>
  <si>
    <t>卢轶乔</t>
  </si>
  <si>
    <t>汇丰科技</t>
  </si>
  <si>
    <t>汇丰晋信科技先锋股票型证券投资基金</t>
  </si>
  <si>
    <t>中证TMT指数*90%+同业存款利率(税后)*10%</t>
  </si>
  <si>
    <t>上投新兴动力混合A</t>
  </si>
  <si>
    <t>上投摩根新兴动力混合型证券投资基金</t>
  </si>
  <si>
    <t>杜猛</t>
  </si>
  <si>
    <t xml:space="preserve">500万元以上 1000元/笔,面向养老金客户实施的特定申购费率_x000D_
500万元以上 1000元/笔_x000D_
50万元以下 1.2%_x000D_
50~100万元 1%_x000D_
100~200万元 0.8%_x000D_
200~500万元 0.6%_x000D_
50万元以下 0.36%_x000D_
50~100万元 0.3%_x000D_
100~200万元 0.24%_x000D_
200~500万元 0.18%_x000D_
</t>
  </si>
  <si>
    <t>新华灵活主题混合</t>
  </si>
  <si>
    <t>新华灵活主题混合型证券投资基金</t>
  </si>
  <si>
    <t>交银先进制造混合</t>
  </si>
  <si>
    <t>交银施罗德先进制造混合型证券投资基金</t>
  </si>
  <si>
    <t>申银万国装备制造指数收益率*75%+中证综合债券指数收益率*25%</t>
  </si>
  <si>
    <t>申万量化</t>
  </si>
  <si>
    <t>申万菱信量化小盘股票型证券投资基金(LOF)</t>
  </si>
  <si>
    <t>申万菱信基金</t>
  </si>
  <si>
    <t>金昉毅</t>
  </si>
  <si>
    <t>中证500指数收益率*90%+银行同业存款收益率(税后)*10%</t>
  </si>
  <si>
    <t xml:space="preserve">100~500万元 1%_x000D_
500~1000万元 0.5%_x000D_
100万元以下 1.5%_x000D_
1000万元以上 1000元/笔_x000D_
</t>
  </si>
  <si>
    <t>鹏华产业</t>
  </si>
  <si>
    <t>鹏华新兴产业混合型证券投资基金</t>
  </si>
  <si>
    <t>梁浩</t>
  </si>
  <si>
    <t>中证新兴产业指数收益率*75%+中证综合债指数收益率*25%</t>
  </si>
  <si>
    <t xml:space="preserve">500万元以上 1000元/笔_x000D_
500万元以上 1000元/笔,养老金客户通过直销柜台实施特定申购费率_x000D_
100万元以下 1.5%_x000D_
100~500万元 1%_x000D_
500万元以下 0.6%_x000D_
</t>
  </si>
  <si>
    <t>大成内需增长混合A</t>
  </si>
  <si>
    <t>大成内需增长混合型证券投资基金</t>
  </si>
  <si>
    <t>李本刚,李博</t>
  </si>
  <si>
    <t>信达澳银产业升级混合</t>
  </si>
  <si>
    <t>信达澳银产业升级混合型证券投资基金</t>
  </si>
  <si>
    <t>曾国富</t>
  </si>
  <si>
    <t>金鹰技术领先灵活配置混合A</t>
  </si>
  <si>
    <t>金鹰技术领先灵活配置混合型证券投资基金</t>
  </si>
  <si>
    <t>王喆,吴德瑄</t>
  </si>
  <si>
    <t xml:space="preserve">500万元以上 1000元/笔_x000D_
100万元以下 1.5%_x000D_
100~300万元 0.6%_x000D_
300~500万元 0.2%_x000D_
</t>
  </si>
  <si>
    <t>嘉实领先成长混合</t>
  </si>
  <si>
    <t>嘉实领先成长混合型证券投资基金</t>
  </si>
  <si>
    <t>邵秋涛</t>
  </si>
  <si>
    <t>华商价值精选混合</t>
  </si>
  <si>
    <t>华商价值精选混合型证券投资基金</t>
  </si>
  <si>
    <t>刘宏,刘萌萌,蔡建军</t>
  </si>
  <si>
    <t>国联安优选行业混合</t>
  </si>
  <si>
    <t>国联安优选行业混合型证券投资基金</t>
  </si>
  <si>
    <t xml:space="preserve">1000万元以上 1000元/笔,养老金客户通过本公司直销柜台实施特定申购费率_x000D_
1000万元以上 1000元/笔_x000D_
50万元以下 1.5%_x000D_
50~100万元 1.2%_x000D_
100~500万元 0.8%_x000D_
50万元以下 0.6%_x000D_
50~100万元 0.48%_x000D_
100~500万元 0.32%_x000D_
500~1000万元 0.3%_x000D_
500~1000万元 0.12%_x000D_
</t>
  </si>
  <si>
    <t>浙商聚潮产业成长混合</t>
  </si>
  <si>
    <t>浙商聚潮产业成长混合型证券投资基金</t>
  </si>
  <si>
    <t>唐桦,倪权生</t>
  </si>
  <si>
    <t>大摩策略</t>
  </si>
  <si>
    <t>摩根士丹利华鑫多因子精选策略混合型证券投资基金</t>
  </si>
  <si>
    <t>中证500指数*80%+中证综合债券指数*20%</t>
  </si>
  <si>
    <t>中邮中小盘</t>
  </si>
  <si>
    <t>中邮中小盘灵活配置混合型证券投资基金</t>
  </si>
  <si>
    <t>许进财,杨欢</t>
  </si>
  <si>
    <t>中证700指数*60%+中国债券总指数*40%</t>
  </si>
  <si>
    <t>兴全绿色投资混合</t>
  </si>
  <si>
    <t>兴全绿色投资混合型证券投资基金(LOF)</t>
  </si>
  <si>
    <t>杨岳斌</t>
  </si>
  <si>
    <t>建信双利策略主题(母)</t>
  </si>
  <si>
    <t>建信双利策略主题分级股票型证券投资基金</t>
  </si>
  <si>
    <t>梁洪昀</t>
  </si>
  <si>
    <t>沪深300指数收益率*95%+商业银行活期存款利率*5%</t>
  </si>
  <si>
    <t>华安升级主题混合</t>
  </si>
  <si>
    <t>华安升级主题混合型证券投资基金</t>
  </si>
  <si>
    <t>升级主题</t>
    <phoneticPr fontId="4" type="noConversion"/>
  </si>
  <si>
    <t>博时卓越品牌混合</t>
  </si>
  <si>
    <t>博时卓越品牌混合型证券投资基金(LOF)</t>
  </si>
  <si>
    <t>兰乔,周志超</t>
  </si>
  <si>
    <t>工银消费服务行业混合</t>
  </si>
  <si>
    <t>工银瑞信消费服务行业混合型证券投资基金</t>
  </si>
  <si>
    <t>消费服务行业</t>
    <phoneticPr fontId="4" type="noConversion"/>
  </si>
  <si>
    <t>大成竞争优势混合</t>
  </si>
  <si>
    <t>大成竞争优势混合型证券投资基金</t>
  </si>
  <si>
    <t>徐彦</t>
  </si>
  <si>
    <t>沪深300指数*75%+中债综合指数*25%</t>
  </si>
  <si>
    <t>华富量子生命力混合</t>
  </si>
  <si>
    <t>华富量子生命力混合型证券投资基金</t>
  </si>
  <si>
    <t>朱蓓,孔庆卿</t>
  </si>
  <si>
    <t xml:space="preserve">500万元以上 1000元/笔_x000D_
50万元以下 1.5%_x000D_
50~200万元 1%_x000D_
200~500万元 0.4%_x000D_
</t>
  </si>
  <si>
    <t>汇添富社会责任混合</t>
  </si>
  <si>
    <t>汇添富社会责任混合型证券投资基金</t>
  </si>
  <si>
    <t>景顺中小盘混合</t>
  </si>
  <si>
    <t>景顺长城中小盘混合型证券投资基金</t>
  </si>
  <si>
    <t>杨鹏</t>
  </si>
  <si>
    <t>中证700指数*80%+中证全债指数*20%</t>
  </si>
  <si>
    <t>中欧新动力混合A</t>
  </si>
  <si>
    <t>中欧新动力混合型证券投资基金(LOF)</t>
  </si>
  <si>
    <t xml:space="preserve">50~100万元 0.3%_x000D_
50万元以下 0.45%_x000D_
500万元以上 1000元/笔,养老金客户_x000D_
100~500万元 0.15%_x000D_
</t>
  </si>
  <si>
    <t>新华中小市值优选混合</t>
  </si>
  <si>
    <t>新华中小市值优选混合型证券投资基金</t>
  </si>
  <si>
    <t>付伟</t>
  </si>
  <si>
    <t>中证700指数收益率*80%+上证国债指数收益率*20%</t>
  </si>
  <si>
    <t>民生内需增长混合</t>
  </si>
  <si>
    <t>民生加银内需增长混合型证券投资基金</t>
  </si>
  <si>
    <t>宋磊,柳世庆</t>
  </si>
  <si>
    <t>易方达医疗保健行业混合</t>
  </si>
  <si>
    <t>易方达医疗保健行业混合型证券投资基金</t>
  </si>
  <si>
    <t>王勇,杨桢霄</t>
  </si>
  <si>
    <t>申万医药生物行业指数收益率*80%+中债总指数收益率*20%</t>
  </si>
  <si>
    <t>长城中小盘成长混合</t>
  </si>
  <si>
    <t>长城中小盘成长混合型证券投资基金</t>
  </si>
  <si>
    <t>何以广</t>
  </si>
  <si>
    <t>中证700指数收益率*80%+中证全债指数收益率*20%</t>
  </si>
  <si>
    <t>泰达中小盘</t>
  </si>
  <si>
    <t>泰达宏利领先中小盘混合型证券投资基金</t>
  </si>
  <si>
    <t>李泉霖,庄腾飞</t>
  </si>
  <si>
    <t xml:space="preserve">500万元以上 1000元/笔,养老金客户通过直销柜台实施特定申购费率_x000D_
500万元以上 1000元/笔_x000D_
100万元以下 1.5%_x000D_
100~250万元 1.2%_x000D_
250~500万元 0.8%_x000D_
100万元以下 0.375%_x000D_
100~250万元 0.3%_x000D_
250~500万元 0.2%_x000D_
</t>
  </si>
  <si>
    <t>银河创新成长混合</t>
  </si>
  <si>
    <t>银河创新成长混合型证券投资基金</t>
  </si>
  <si>
    <t>神玉飞,袁曦</t>
  </si>
  <si>
    <t>中证500指数收益率*75%+上证国债指数收益率*25%</t>
  </si>
  <si>
    <t>鹏华消费</t>
  </si>
  <si>
    <t>鹏华消费优选混合型证券投资基金</t>
  </si>
  <si>
    <t>上投大盘</t>
  </si>
  <si>
    <t>上投摩根大盘蓝筹股票型证券投资基金</t>
  </si>
  <si>
    <t>征茂平</t>
  </si>
  <si>
    <t xml:space="preserve">1000万元以上 1000元/笔_x000D_
1000万元以上 100元/笔,特定投资群体（指依法设立的基本养老保险基金、依法制定的企业年金计划筹集的资金及其投资运营收益形成的企业补充养老保险基金（包括全国社会保障基金、经监管部门批准可以投资基金的地方社会保险基金、企业年金单一计划以及集合计划））申购_x000D_
100万元以下 0.8%_x000D_
100~500万元 0.5%_x000D_
500~1000万元 0.3%_x000D_
100万元以下 0.08%_x000D_
100~500万元 0.05%_x000D_
500~1000万元 0.03%_x000D_
</t>
  </si>
  <si>
    <t>金鹰主题优势混合</t>
  </si>
  <si>
    <t>金鹰主题优势混合型证券投资基金</t>
  </si>
  <si>
    <t>陈立</t>
  </si>
  <si>
    <t>泰信发展主题混合</t>
  </si>
  <si>
    <t>泰信发展主题混合型证券投资基金</t>
  </si>
  <si>
    <t>发展主题</t>
    <phoneticPr fontId="4" type="noConversion"/>
  </si>
  <si>
    <t>钱鑫</t>
  </si>
  <si>
    <t xml:space="preserve">500万元以上 1000元/笔_x000D_
50万元以下 1.5%_x000D_
50~200万元 1.2%_x000D_
200~500万元 0.3%_x000D_
</t>
  </si>
  <si>
    <t>汇丰红利</t>
  </si>
  <si>
    <t>汇丰晋信消费红利股票型证券投资基金</t>
  </si>
  <si>
    <t>是星涛</t>
  </si>
  <si>
    <t>中证消费服务领先指数*90%+同业存款利率(税后)*10%</t>
  </si>
  <si>
    <t>嘉实主题新动力混合</t>
  </si>
  <si>
    <t>嘉实主题新动力混合型证券投资基金</t>
  </si>
  <si>
    <t>沪深300指数*95%+上证国债指数*5%</t>
  </si>
  <si>
    <t>华宝新兴产业混合</t>
  </si>
  <si>
    <t>华宝兴业新兴产业混合型证券投资基金</t>
  </si>
  <si>
    <t>易镜明</t>
  </si>
  <si>
    <t>大摩消费</t>
  </si>
  <si>
    <t>摩根士丹利华鑫消费领航混合型证券投资基金</t>
  </si>
  <si>
    <t>司巍</t>
  </si>
  <si>
    <t>沪深300指数*55%+中证综合债券指数*45%</t>
  </si>
  <si>
    <t>国富小盘</t>
  </si>
  <si>
    <t>富兰克林国海中小盘股票型证券投资基金</t>
  </si>
  <si>
    <t>赵晓东</t>
  </si>
  <si>
    <t>中证700指数收益率*90%+银行同业存款利率*10%</t>
  </si>
  <si>
    <t xml:space="preserve">1000万元以上 1000元/笔_x000D_
50万元以下 1.5%_x000D_
50~100万元 1.2%_x000D_
100~500万元 0.8%_x000D_
500~1000万元 0.3%_x000D_
</t>
  </si>
  <si>
    <t>广发行业领先混合</t>
  </si>
  <si>
    <t>广发行业领先混合型证券投资基金</t>
  </si>
  <si>
    <t>刘晓龙</t>
  </si>
  <si>
    <t>长信量化先锋混合</t>
  </si>
  <si>
    <t>长信量化先锋混合型证券投资基金</t>
  </si>
  <si>
    <t>建信内生动力混合</t>
  </si>
  <si>
    <t>建信内生动力混合型证券投资基金</t>
  </si>
  <si>
    <t>吴尚伟</t>
  </si>
  <si>
    <t>华商策略</t>
  </si>
  <si>
    <t>华商策略精选灵活配置混合型证券投资基金</t>
  </si>
  <si>
    <t>周海栋,孙祺</t>
  </si>
  <si>
    <t>汇添富医药保健混合A</t>
  </si>
  <si>
    <t>汇添富医药保健混合型证券投资基金</t>
  </si>
  <si>
    <t>周睿</t>
  </si>
  <si>
    <t xml:space="preserve">500万元以上 1000元/笔_x000D_
100万元以下 1.2%_x000D_
100~500万元 0.75%_x000D_
</t>
  </si>
  <si>
    <t>诺安主题精选混合</t>
  </si>
  <si>
    <t>诺安主题精选混合型证券投资基金</t>
  </si>
  <si>
    <t>罗春蕾</t>
  </si>
  <si>
    <t>金元顺安消费主题混合</t>
  </si>
  <si>
    <t>金元顺安消费主题混合型证券投资基金</t>
  </si>
  <si>
    <t xml:space="preserve">500万元以上 1000元/笔_x000D_
100万元以下 1.5%_x000D_
100~500万元 0.9%_x000D_
</t>
  </si>
  <si>
    <t>农银汇理大盘蓝筹混合</t>
  </si>
  <si>
    <t>农银汇理大盘蓝筹混合型证券投资基金</t>
  </si>
  <si>
    <t>宋永安</t>
  </si>
  <si>
    <t>易方达消费行业</t>
  </si>
  <si>
    <t>易方达消费行业股票型证券投资基金</t>
  </si>
  <si>
    <t>消费行业</t>
    <phoneticPr fontId="4" type="noConversion"/>
  </si>
  <si>
    <t>萧楠</t>
  </si>
  <si>
    <t>中证内地消费主题指数收益率*85%+中债总指数收益率*15%</t>
  </si>
  <si>
    <t>国泰价值经典混合</t>
  </si>
  <si>
    <t>国泰价值经典混合型证券投资基金(LOF)</t>
  </si>
  <si>
    <t>周伟锋</t>
  </si>
  <si>
    <t>信诚深度价值混合</t>
  </si>
  <si>
    <t>信诚深度价值混合型证券投资基金(LOF)</t>
  </si>
  <si>
    <t>上证180指数收益率*80%+中证综合债指数收益率*20%</t>
  </si>
  <si>
    <t>信达澳银红利回报混合</t>
  </si>
  <si>
    <t>信达澳银红利回报混合型证券投资基金</t>
  </si>
  <si>
    <t>王辉良</t>
  </si>
  <si>
    <t>中证红利指数收益率*80%+中国债券总指数收益率*20%</t>
  </si>
  <si>
    <t>新华行业周期轮换混合</t>
  </si>
  <si>
    <t>新华行业周期轮换混合型证券投资基金</t>
  </si>
  <si>
    <t>路文韬,蔡春红</t>
  </si>
  <si>
    <t>银河蓝筹精选混合</t>
  </si>
  <si>
    <t>银河蓝筹精选混合型证券投资基金</t>
  </si>
  <si>
    <t>袁曦</t>
  </si>
  <si>
    <t xml:space="preserve">50万元以下 1.5%_x000D_
500万元以上 1000元/笔_x000D_
200~500万元 0.8%_x000D_
50~200万元 1.2%_x000D_
</t>
  </si>
  <si>
    <t>民生稳健成长混合</t>
  </si>
  <si>
    <t>民生加银稳健成长混合型证券投资基金</t>
  </si>
  <si>
    <t>宋磊,蒯学章</t>
  </si>
  <si>
    <t>诺德中小盘混合</t>
  </si>
  <si>
    <t>诺德中小盘混合型证券投资基金</t>
  </si>
  <si>
    <t>罗世锋,王赟</t>
  </si>
  <si>
    <t xml:space="preserve">500万元以上 1000元/笔_x000D_
50万元以下 1.5%_x000D_
50~500万元 1.2%_x000D_
</t>
  </si>
  <si>
    <t>华泰柏瑞量化先行混合</t>
  </si>
  <si>
    <t>华泰柏瑞量化先行混合型证券投资基金</t>
  </si>
  <si>
    <t>华商产业升级混合</t>
  </si>
  <si>
    <t>华商产业升级混合型证券投资基金</t>
  </si>
  <si>
    <t>高兵,彭欣杨</t>
  </si>
  <si>
    <t>汇丰先锋</t>
  </si>
  <si>
    <t>汇丰晋信低碳先锋股票型证券投资基金</t>
  </si>
  <si>
    <t>中证环保指数*90%+同业存款利率(税后)*10%</t>
  </si>
  <si>
    <t>嘉实价值优势混合</t>
  </si>
  <si>
    <t>嘉实价值优势混合型证券投资基金</t>
  </si>
  <si>
    <t>翟琳琳</t>
  </si>
  <si>
    <t>博时创业成长混合A</t>
  </si>
  <si>
    <t>博时创业成长混合型证券投资基金</t>
  </si>
  <si>
    <t>韩茂华</t>
  </si>
  <si>
    <t>中证700指数收益率*75%+中国债券总指数收益率*25%</t>
  </si>
  <si>
    <t xml:space="preserve">1年以下 1.6%_x000D_
1~2年 0.9%_x000D_
2~3年 0.6%_x000D_
3年以上 0%_x000D_
</t>
  </si>
  <si>
    <t>中邮核心主题混合</t>
  </si>
  <si>
    <t>中邮核心主题混合型证券投资基金</t>
  </si>
  <si>
    <t>陈梁</t>
  </si>
  <si>
    <t>大摩成长</t>
  </si>
  <si>
    <t>摩根士丹利华鑫卓越成长混合型证券投资基金</t>
  </si>
  <si>
    <t>富国通胀通缩主题轮动混合</t>
  </si>
  <si>
    <t>富国通胀通缩主题轮动混合型证券投资基金</t>
  </si>
  <si>
    <t>通胀通缩主题</t>
    <phoneticPr fontId="4" type="noConversion"/>
  </si>
  <si>
    <t>毕天宇,章旭峰</t>
  </si>
  <si>
    <t>华安行业轮动混合</t>
  </si>
  <si>
    <t>华安行业轮动混合型证券投资基金</t>
  </si>
  <si>
    <t>吴丰树</t>
  </si>
  <si>
    <t xml:space="preserve">500万元以上 1000元/笔_x000D_
500元/笔(养老金特定申购费率)_x000D_
100万元以下 1.5%_x000D_
100~300万元 1.2%_x000D_
300~500万元 0.8%_x000D_
</t>
  </si>
  <si>
    <t>汇添富民营活力混合A</t>
  </si>
  <si>
    <t>汇添富民营活力混合型证券投资基金</t>
  </si>
  <si>
    <t>马翔</t>
  </si>
  <si>
    <t>中证民营企业综合指数*80%+上证国债指数*20%</t>
  </si>
  <si>
    <t>诺安中小盘精选混合</t>
  </si>
  <si>
    <t>诺安中小盘精选混合型证券投资基金</t>
  </si>
  <si>
    <t>兴全合润(母)</t>
  </si>
  <si>
    <t>兴全合润分级混合型证券投资基金</t>
  </si>
  <si>
    <t xml:space="preserve">50万元以下 1.2%_x000D_
50~200万元 0.8%_x000D_
500万元以上 1000元/笔_x000D_
200~500万元 0.5%_x000D_
</t>
  </si>
  <si>
    <t>广发内需增长</t>
  </si>
  <si>
    <t>广发内需增长灵活配置混合型证券投资基金</t>
  </si>
  <si>
    <t>王小松</t>
  </si>
  <si>
    <t>海富通中小盘混合</t>
  </si>
  <si>
    <t>海富通中小盘混合型证券投资基金</t>
  </si>
  <si>
    <t>金鹰稳健成长混合</t>
  </si>
  <si>
    <t>金鹰稳健成长混合型证券投资基金</t>
  </si>
  <si>
    <t>陈颖</t>
  </si>
  <si>
    <t>南方策略优化混合</t>
  </si>
  <si>
    <t>南方策略优化混合型证券投资基金</t>
  </si>
  <si>
    <t>长信医疗保健行业灵活混合</t>
  </si>
  <si>
    <t>长信医疗保健行业灵活配置混合型证券投资基金(LOF)</t>
  </si>
  <si>
    <t>医疗保健行业</t>
    <phoneticPr fontId="4" type="noConversion"/>
  </si>
  <si>
    <t>农银汇理中小盘混合</t>
  </si>
  <si>
    <t>农银汇理中小盘混合型证券投资基金</t>
  </si>
  <si>
    <t>中证700指数收益率*75%+中证全债指数收益率*25%</t>
  </si>
  <si>
    <t>中银蓝筹混合</t>
  </si>
  <si>
    <t>中银蓝筹精选灵活配置混合型证券投资基金</t>
  </si>
  <si>
    <t>王帅</t>
  </si>
  <si>
    <t>工银中小盘成长混合</t>
  </si>
  <si>
    <t>工银瑞信中小盘成长混合型证券投资基金</t>
  </si>
  <si>
    <t>王筱苓,胡文彪</t>
  </si>
  <si>
    <t>信诚中小盘混合</t>
  </si>
  <si>
    <t>信诚中小盘混合型证券投资基金</t>
  </si>
  <si>
    <t>天相中盘指数收益率*40%+天相小盘指数收益率*40%+中证综合债指数收益率*20%</t>
  </si>
  <si>
    <t>新华钻石品质企业混合</t>
  </si>
  <si>
    <t>新华钻石品质企业混合型证券投资基金</t>
  </si>
  <si>
    <t>上投行业轮动混合A</t>
  </si>
  <si>
    <t>上投摩根行业轮动混合型证券投资基金</t>
  </si>
  <si>
    <t xml:space="preserve">500万元以上 1000元/笔,通过基金管理人的直销柜台申购的养老金客户_x000D_
500万元以上 1000元/笔_x000D_
50万元以下 0.8%_x000D_
50~200万元 0.5%_x000D_
50万元以下 0.32%_x000D_
200~500万元 0.3%_x000D_
50~200万元 0.2%_x000D_
200~500万元 0.12%_x000D_
</t>
  </si>
  <si>
    <t>东吴新经济混合</t>
  </si>
  <si>
    <t>东吴新经济混合型证券投资基金</t>
  </si>
  <si>
    <t>徐嶒</t>
  </si>
  <si>
    <t>中欧行业成长混合A</t>
  </si>
  <si>
    <t>中欧行业成长混合型证券投资基金(LOF)</t>
  </si>
  <si>
    <t xml:space="preserve">500万元以上 1000元/笔,养老金客户_x000D_
50万元以下 0.45%_x000D_
50~100万元 0.3%_x000D_
100~500万元 0.15%_x000D_
</t>
  </si>
  <si>
    <t>招商中小盘精选混合</t>
  </si>
  <si>
    <t>招商中小盘精选混合型证券投资基金</t>
  </si>
  <si>
    <t>孙振峰,韩冰</t>
  </si>
  <si>
    <t>天相中盘指数收益率*40%+天相小盘指数收益率*40%+中债综合全价(总值)指数收益率*20%</t>
  </si>
  <si>
    <t xml:space="preserve">1000万元以上 1000元/笔_x000D_
1000万元以上 1000元/笔_x000D_
100万元以下 1.5%_x000D_
100~500万元 1%_x000D_
100万元以下 0.6%_x000D_
100~500万元 0.4%_x000D_
500~1000万元 0.3%_x000D_
500~1000万元 0.12%_x000D_
</t>
  </si>
  <si>
    <t>汇添富策略回报混合</t>
  </si>
  <si>
    <t>汇添富策略回报混合型证券投资基金</t>
  </si>
  <si>
    <t>华安动态</t>
  </si>
  <si>
    <t>华安动态灵活配置混合型证券投资基金</t>
  </si>
  <si>
    <t>蒋璆</t>
  </si>
  <si>
    <t xml:space="preserve">1000万元以上 1000元/笔_x000D_
500元/笔(养老金特定申购费率)_x000D_
100万元以下 1.5%_x000D_
100~500万元 1.2%_x000D_
500~1000万元 0.3%_x000D_
</t>
  </si>
  <si>
    <t>天弘周期策略混合</t>
  </si>
  <si>
    <t>天弘周期策略混合型证券投资基金</t>
  </si>
  <si>
    <t>陈国光</t>
  </si>
  <si>
    <t>沪深300指数收益率*75%+中债总全价指数收益率*25%</t>
  </si>
  <si>
    <t>汇丰中小盘</t>
  </si>
  <si>
    <t>汇丰晋信中小盘股票型证券投资基金</t>
  </si>
  <si>
    <t>侯玉琦</t>
  </si>
  <si>
    <t>中证700(中小盘)指数*90%+同业存款利率*10%</t>
  </si>
  <si>
    <t>华夏盛世精选混合</t>
  </si>
  <si>
    <t>华夏盛世精选混合型证券投资基金</t>
  </si>
  <si>
    <t>泰达宏利红利先锋混合</t>
  </si>
  <si>
    <t>泰达宏利红利先锋混合型证券投资基金</t>
  </si>
  <si>
    <t>邓艺颖</t>
  </si>
  <si>
    <t>标普中国A股红利机会指数收益率*75%+上证国债指数收益率*25%</t>
  </si>
  <si>
    <t xml:space="preserve">1000万元以上 1000元/笔_x000D_
1000万元以上 1000元/笔,养老金客户通过直销柜台实施特定申购费率_x000D_
50万元以下 1.5%_x000D_
50~250万元 1.2%_x000D_
250~500万元 0.75%_x000D_
500~1000万元 0.5%_x000D_
50万元以下 0.375%_x000D_
50~250万元 0.3%_x000D_
250~500万元 0.1875%_x000D_
500~1000万元 0.125%_x000D_
</t>
  </si>
  <si>
    <t>浦银安盛红利精选混合</t>
  </si>
  <si>
    <t>浦银安盛红利精选混合型证券投资基金</t>
  </si>
  <si>
    <t>中证红利指数*75%+中证全债指数*25%</t>
  </si>
  <si>
    <t>信达澳银中小盘混合</t>
  </si>
  <si>
    <t>信达澳银中小盘混合型证券投资基金</t>
  </si>
  <si>
    <t>中证700指数收益率*80%+中国债券总指数收益率*20%</t>
  </si>
  <si>
    <t>长盛量化红利策略混合</t>
  </si>
  <si>
    <t>长盛量化红利策略混合型证券投资基金</t>
  </si>
  <si>
    <t>中证红利指数*75%+中证综合债指数*25%</t>
  </si>
  <si>
    <t>华商阿尔法</t>
  </si>
  <si>
    <t>华商动态阿尔法灵活配置混合型证券投资基金</t>
  </si>
  <si>
    <t>中邮优势</t>
  </si>
  <si>
    <t>中邮核心优势灵活配置混合型证券投资基金</t>
  </si>
  <si>
    <t>张腾,邓立新</t>
  </si>
  <si>
    <t>国泰中小盘成长混合</t>
  </si>
  <si>
    <t>国泰中小盘成长混合型证券投资基金(LOF)</t>
  </si>
  <si>
    <t>天相小盘成长指数*45%+天相中盘成长指数*35%+中证全债指数*20%</t>
  </si>
  <si>
    <t xml:space="preserve">500万元以上 1000元/笔_x000D_
50万元以下 1.5%_x000D_
50~100万元 1.2%_x000D_
100~200万元 1%_x000D_
200~500万元 0.6%_x000D_
</t>
  </si>
  <si>
    <t>农银策略价值</t>
  </si>
  <si>
    <t>农银汇理策略价值混合型证券投资基金</t>
  </si>
  <si>
    <t>陈富权</t>
  </si>
  <si>
    <t>大摩领先优势混合</t>
  </si>
  <si>
    <t>摩根士丹利华鑫领先优势混合型证券投资基金</t>
  </si>
  <si>
    <t>金元顺安价值增长混合</t>
  </si>
  <si>
    <t>金元顺安价值增长混合型证券投资基金</t>
  </si>
  <si>
    <t>缪玮彬</t>
  </si>
  <si>
    <t>沪深300指数收益率*80%+中证国债指数收益率*20%</t>
  </si>
  <si>
    <t>鹏华精选</t>
  </si>
  <si>
    <t>鹏华精选成长混合型证券投资基金</t>
  </si>
  <si>
    <t>吴印</t>
  </si>
  <si>
    <t>大成行业轮动混合</t>
  </si>
  <si>
    <t>大成行业轮动混合型证券投资基金</t>
  </si>
  <si>
    <t>王磊</t>
  </si>
  <si>
    <t>国联安主题驱动混合</t>
  </si>
  <si>
    <t>国联安主题驱动混合型证券投资基金</t>
  </si>
  <si>
    <t>潘明,张汉毅</t>
  </si>
  <si>
    <t xml:space="preserve">500万元以上 1000元/笔,养老金客户通过本公司直销柜台实施特定申购费率_x000D_
500万元以上 1000元/笔_x000D_
50万元以下 1.5%_x000D_
50~150万元 1%_x000D_
50万元以下 0.6%_x000D_
150~500万元 0.6%_x000D_
50~150万元 0.4%_x000D_
150~500万元 0.24%_x000D_
</t>
  </si>
  <si>
    <t>博时策略</t>
  </si>
  <si>
    <t>博时策略灵活配置混合型证券投资基金</t>
  </si>
  <si>
    <t>孙少锋</t>
  </si>
  <si>
    <t>华泰柏瑞行业领先混合</t>
  </si>
  <si>
    <t>华泰柏瑞行业领先混合型证券投资基金</t>
  </si>
  <si>
    <t>吕慧建,徐晓杰</t>
  </si>
  <si>
    <t>沪深300指数*80%+上证国债指数*15%+同业存款利率*5%</t>
  </si>
  <si>
    <t xml:space="preserve">500万元以上 1000元/笔_x000D_
100万元以下 1.5%_x000D_
100~300万元 1.2%_x000D_
300~500万元 0.6%_x000D_
</t>
  </si>
  <si>
    <t>长信恒利优势混合</t>
  </si>
  <si>
    <t>长信恒利优势混合型证券投资基金</t>
  </si>
  <si>
    <t>黄韵,叶松</t>
  </si>
  <si>
    <t>中欧价值发现混合A</t>
  </si>
  <si>
    <t>中欧价值发现混合型证券投资基金</t>
  </si>
  <si>
    <t>曹名长</t>
  </si>
  <si>
    <t>华富价值增长</t>
  </si>
  <si>
    <t>华富价值增长灵活配置混合型证券投资基金</t>
  </si>
  <si>
    <t>陈启明</t>
  </si>
  <si>
    <t>新华泛资源</t>
  </si>
  <si>
    <t>新华泛资源优势灵活配置混合型证券投资基金</t>
  </si>
  <si>
    <t>栾江伟</t>
  </si>
  <si>
    <t>金鹰行业优势混合</t>
  </si>
  <si>
    <t>金鹰行业优势混合型证券投资基金</t>
  </si>
  <si>
    <t>倪超</t>
  </si>
  <si>
    <t>银华内需精选混合</t>
  </si>
  <si>
    <t>银华内需精选混合型证券投资基金(LOF)</t>
  </si>
  <si>
    <t>倪明</t>
  </si>
  <si>
    <t>长城景气</t>
  </si>
  <si>
    <t>长城景气行业龙头灵活配置混合型证券投资基金</t>
  </si>
  <si>
    <t>赵波</t>
  </si>
  <si>
    <t>沪深300指数收益率*55%+中债总财富指数收益率*45%</t>
  </si>
  <si>
    <t>汇丰大盘A</t>
  </si>
  <si>
    <t>汇丰晋信大盘股票型证券投资基金</t>
  </si>
  <si>
    <t>沪深300指数*90%+同业存款利率*10%</t>
  </si>
  <si>
    <t>东方核心动力混合</t>
  </si>
  <si>
    <t>东方核心动力混合型证券投资基金</t>
  </si>
  <si>
    <t xml:space="preserve">1年以下 1.8%_x000D_
1~3年 1%_x000D_
3~5年 0.6%_x000D_
5年以上 0%_x000D_
</t>
  </si>
  <si>
    <t>中海量化策略混合</t>
  </si>
  <si>
    <t>中海量化策略混合型证券投资基金</t>
  </si>
  <si>
    <t>彭海平</t>
  </si>
  <si>
    <t>沪深300指数涨跌幅*80%+中国债券总指数涨跌幅*20%</t>
  </si>
  <si>
    <t xml:space="preserve">500万元以上 1000元/笔_x000D_
500万元以上 1000元/笔,养老金客户通过本公司直销中心实施特定申购费率_x000D_
100万元以下 1.5%_x000D_
100~500万元 1%_x000D_
100万元以下 0.6%_x000D_
100~500万元 0.3%_x000D_
</t>
  </si>
  <si>
    <t>招商行业领先混合A</t>
  </si>
  <si>
    <t>招商行业领先混合型证券投资基金</t>
  </si>
  <si>
    <t>吴昊</t>
  </si>
  <si>
    <t>沪深300指数收益率*75%+中债综合全价(总值)指数收益率*25%</t>
  </si>
  <si>
    <t xml:space="preserve">500万元以上 1000元/笔_x000D_
500万元以上 1000元/笔_x000D_
50万元以下 0.8%_x000D_
50~100万元 0.6%_x000D_
100~200万元 0.5%_x000D_
50万元以下 0.32%_x000D_
200~500万元 0.3%_x000D_
50~100万元 0.18%_x000D_
100~200万元 0.1%_x000D_
200~500万元 0.06%_x000D_
</t>
  </si>
  <si>
    <t>广发聚瑞混合</t>
  </si>
  <si>
    <t>广发聚瑞混合型证券投资基金</t>
  </si>
  <si>
    <t>申万菱信消费增长混合</t>
  </si>
  <si>
    <t>申万菱信消费增长混合型证券投资基金</t>
  </si>
  <si>
    <t>高源</t>
  </si>
  <si>
    <t>沪深300指数收益率*80%+中债总指数(全价)收益率*20%</t>
  </si>
  <si>
    <t xml:space="preserve">1000万元以上 500元/笔,通过本公司直销中心对养老金客户实施特定申购费率和特定赎回费率_x000D_
1000万元以上 1000元/笔_x000D_
100万元以下 1.5%_x000D_
100~500万元 1%_x000D_
100万元以下 0.6%_x000D_
500~1000万元 0.5%_x000D_
100~500万元 0.2%_x000D_
500~1000万元 0.05%_x000D_
</t>
  </si>
  <si>
    <t>浦银生活</t>
  </si>
  <si>
    <t>浦银安盛精致生活灵活配置混合型证券投资基金</t>
  </si>
  <si>
    <t>标普中国A股综合指数*55%+中证全债指数*45%</t>
  </si>
  <si>
    <t>国泰区位优势混合</t>
  </si>
  <si>
    <t>国泰区位优势混合型证券投资基金</t>
  </si>
  <si>
    <t>万家精选混合</t>
  </si>
  <si>
    <t>万家精选混合型证券投资基金</t>
  </si>
  <si>
    <t xml:space="preserve">100~500万元 1.2%_x000D_
1000万元以上 1000元/笔_x000D_
500~1000万元 0.8%_x000D_
100万元以下 1.5%_x000D_
</t>
  </si>
  <si>
    <t>海富通领先成长混合</t>
  </si>
  <si>
    <t>海富通领先成长混合型证券投资基金</t>
  </si>
  <si>
    <t>张金涛,黄峰</t>
  </si>
  <si>
    <t>MSCI China A指数*80%+上证国债指数*20%</t>
  </si>
  <si>
    <t xml:space="preserve">50~100万元 1.2%_x000D_
500万元以上 1000元/笔_x000D_
200~500万元 0.6%_x000D_
50万元以下 1.5%_x000D_
100~200万元 1%_x000D_
</t>
  </si>
  <si>
    <t>银华和谐主题</t>
  </si>
  <si>
    <t>银华和谐主题灵活配置混合型证券投资基金</t>
  </si>
  <si>
    <t>唐能,周可彦</t>
  </si>
  <si>
    <t>沪深300指数收益率*55%+中国债券总指数收益率*45%</t>
  </si>
  <si>
    <t>银河行业优选混合</t>
  </si>
  <si>
    <t>银河行业优选混合型证券投资基金</t>
  </si>
  <si>
    <t xml:space="preserve">50万元以下 1.5%_x000D_
200~500万元 0.8%_x000D_
50~200万元 1.2%_x000D_
500万元以上 1000元/笔_x000D_
</t>
  </si>
  <si>
    <t>泰信蓝筹精选混合</t>
  </si>
  <si>
    <t>泰信蓝筹精选混合型证券投资基金</t>
  </si>
  <si>
    <t>融通内需驱动混合</t>
  </si>
  <si>
    <t>融通内需驱动混合型证券投资基金</t>
  </si>
  <si>
    <t>林清源</t>
  </si>
  <si>
    <t>沪深300指数收益率*80%+中债综合全价(总值)指数收益率*20%</t>
  </si>
  <si>
    <t>交银先锋混合</t>
  </si>
  <si>
    <t>交银施罗德先锋混合型证券投资基金</t>
  </si>
  <si>
    <t>中证700指数*75%+中证综合债券指数*25%</t>
  </si>
  <si>
    <t xml:space="preserve">100~200万元 0.8%_x000D_
50~100万元 1.2%_x000D_
50万元以下 1.5%_x000D_
200~500万元 0.5%_x000D_
500万元以上 1000元/笔_x000D_
</t>
  </si>
  <si>
    <t>农银平衡</t>
  </si>
  <si>
    <t>农银汇理平衡双利混合型证券投资基金</t>
  </si>
  <si>
    <t>中银优选</t>
  </si>
  <si>
    <t>中银行业优选灵活配置混合型证券投资基金</t>
  </si>
  <si>
    <t>沪深300指数*65%+中证国债指数*35%</t>
  </si>
  <si>
    <t>易方达行业领先企业混合</t>
  </si>
  <si>
    <t>易方达行业领先企业混合型证券投资基金</t>
  </si>
  <si>
    <t>冯波</t>
  </si>
  <si>
    <t>国富成长动力混合</t>
  </si>
  <si>
    <t>富兰克林国海成长动力混合型证券投资基金</t>
  </si>
  <si>
    <t>杜飞,卫学海</t>
  </si>
  <si>
    <t>沪深300指数*85%+中债国债总指数(全价)*10%+同业存款息率*5%</t>
  </si>
  <si>
    <t xml:space="preserve">1000万元以上 1000元/笔_x000D_
100万元以下 1.5%_x000D_
100~500万元 1.2%_x000D_
500~1000万元 1%_x000D_
</t>
  </si>
  <si>
    <t>兴全有机增长</t>
  </si>
  <si>
    <t>兴全有机增长灵活配置混合型证券投资基金</t>
  </si>
  <si>
    <t>季侃乐</t>
  </si>
  <si>
    <t>沪深300指数*50%+中证国债指数*45%+同业存款利率*5%</t>
  </si>
  <si>
    <t>嘉实量化阿尔法混合</t>
  </si>
  <si>
    <t>嘉实量化阿尔法混合型证券投资基金</t>
  </si>
  <si>
    <t>陶羽</t>
  </si>
  <si>
    <t>宝盈核心优势混合A</t>
  </si>
  <si>
    <t>宝盈核心优势灵活配置混合型证券投资基金</t>
  </si>
  <si>
    <t>沪深300指数*65%+上证国债指数*35%</t>
  </si>
  <si>
    <t>诺安成长混合</t>
  </si>
  <si>
    <t>诺安成长混合型证券投资基金</t>
  </si>
  <si>
    <t>史高飞,刘红辉</t>
  </si>
  <si>
    <t>标普中国A股综合指数*80%+上证国债指数*20%</t>
  </si>
  <si>
    <t xml:space="preserve">1000万元以上 1000元/笔_x000D_
100万元以下 1.5%_x000D_
100~500万元 1.2%_x000D_
500~1000万元 0.6%_x000D_
</t>
  </si>
  <si>
    <t>汇添富价值精选混合A</t>
  </si>
  <si>
    <t>汇添富价值精选混合型证券投资基金</t>
  </si>
  <si>
    <t>劳杰男</t>
  </si>
  <si>
    <t xml:space="preserve">500万元以上 1000元/笔_x000D_
500万元以上 1000元/笔_x000D_
100万元以下 1.2%_x000D_
100~300万元 0.8%_x000D_
300~500万元 0.4%_x000D_
100万元以下 0.24%_x000D_
100~300万元 0.16%_x000D_
300~500万元 0.08%_x000D_
</t>
  </si>
  <si>
    <t>上投中小盘混合</t>
  </si>
  <si>
    <t>上投摩根中小盘混合型证券投资基金</t>
  </si>
  <si>
    <t>天相中盘指数收益率*40%+天相小盘指数收益率*40%+上证国债指数收益率*20%</t>
  </si>
  <si>
    <t>交银行业</t>
  </si>
  <si>
    <t>交银施罗德优势行业灵活配置混合型证券投资基金</t>
  </si>
  <si>
    <t xml:space="preserve">500万元以上 1000元/笔,通过本公司直销柜台对养老金客户实施特定申购费率_x000D_
500万元以上 1000元/笔_x000D_
100万元以下 1.5%_x000D_
100~500万元 1%_x000D_
100万元以下 0.6%_x000D_
100~500万元 0.4%_x000D_
</t>
  </si>
  <si>
    <t>长城双动力混合</t>
  </si>
  <si>
    <t>长城双动力混合型证券投资基金</t>
  </si>
  <si>
    <t>吴文庆</t>
  </si>
  <si>
    <t>标普中国A股300指数收益率*75%+中证综合债指数收益率*25%</t>
  </si>
  <si>
    <t xml:space="preserve">500万元以上 1000元/笔_x000D_
500万元以上 1000元/笔,通过本公司直销柜台申购的养老金客户_x000D_
50万元以下 1.5%_x000D_
50~200万元 1%_x000D_
200~500万元 0.5%_x000D_
50万元以下 0.3%_x000D_
50~200万元 0.2%_x000D_
200~500万元 0.1%_x000D_
</t>
  </si>
  <si>
    <t>中海蓝筹</t>
  </si>
  <si>
    <t>中海蓝筹灵活配置混合型证券投资基金</t>
  </si>
  <si>
    <t>沪深300指数*60%+中债国债指数*40%</t>
  </si>
  <si>
    <t xml:space="preserve">500万元以上 1000元/笔_x000D_
500万元以上 1000元/笔,养老金客户通过本公司直销中心实施特定申购费率_x000D_
100万元以下 1.5%_x000D_
100~300万元 1%_x000D_
300~500万元 0.6%_x000D_
100万元以下 0.6%_x000D_
100~300万元 0.3%_x000D_
300~500万元 0.06%_x000D_
</t>
  </si>
  <si>
    <t>天弘永定价值成长混合</t>
  </si>
  <si>
    <t>天弘永定价值成长混合型证券投资基金</t>
  </si>
  <si>
    <t>肖志刚</t>
  </si>
  <si>
    <t xml:space="preserve">1000万元以上 1000元/笔_x000D_
50万元以下 1.5%_x000D_
50~500万元 1%_x000D_
500~1000万元 0.8%_x000D_
</t>
  </si>
  <si>
    <t>大成策略回报混合</t>
  </si>
  <si>
    <t>大成策略回报混合型证券投资基金</t>
  </si>
  <si>
    <t>建信核心精选混合</t>
  </si>
  <si>
    <t>建信核心精选混合型证券投资基金</t>
  </si>
  <si>
    <t>顾中汉,潘龙玲</t>
  </si>
  <si>
    <t>沪深300指数*75%+中国债券总指数*25%</t>
  </si>
  <si>
    <t>易方达科翔混合</t>
  </si>
  <si>
    <t>易方达科翔混合型证券投资基金</t>
  </si>
  <si>
    <t>中证红利指数收益率*80%+中债总指数收益率*20%</t>
  </si>
  <si>
    <t>诺德主题</t>
  </si>
  <si>
    <t>诺德主题灵活配置混合型证券投资基金</t>
  </si>
  <si>
    <t>朱红</t>
  </si>
  <si>
    <t>华夏策略</t>
  </si>
  <si>
    <t>华夏策略精选灵活配置混合型证券投资基金</t>
  </si>
  <si>
    <t>景顺公司治理混合</t>
  </si>
  <si>
    <t>景顺长城公司治理混合型证券投资基金</t>
  </si>
  <si>
    <t>国联安德盛红利混合</t>
  </si>
  <si>
    <t>国联安德盛红利混合型证券投资基金</t>
  </si>
  <si>
    <t>潘明,郑青</t>
  </si>
  <si>
    <t xml:space="preserve">1年以下 1.6%_x000D_
1~3年 1.3%_x000D_
3~5年 0.6%_x000D_
5年以上 0%_x000D_
</t>
  </si>
  <si>
    <t>鹏华盛世创新混合</t>
  </si>
  <si>
    <t>鹏华盛世创新混合型证券投资基金(LOF)</t>
  </si>
  <si>
    <t>沪深300指数收益率*75%+中证综合债指数收益率*25%</t>
  </si>
  <si>
    <t>华宝大盘精选混合</t>
  </si>
  <si>
    <t>华宝兴业大盘精选混合型证券投资基金</t>
  </si>
  <si>
    <t>夏林锋</t>
  </si>
  <si>
    <t>银华领先策略混合</t>
  </si>
  <si>
    <t>银华领先策略混合型证券投资基金</t>
  </si>
  <si>
    <t xml:space="preserve">500万元以上 1000元/笔,面向养老金客户实施的特定申购费率_x000D_
500万元以上 1000元/笔_x000D_
50万元以下 1.5%_x000D_
50~100万元 1.2%_x000D_
100~200万元 1%_x000D_
200~500万元 0.6%_x000D_
50万元以下 0.45%_x000D_
50~100万元 0.36%_x000D_
100~200万元 0.3%_x000D_
200~500万元 0.18%_x000D_
</t>
  </si>
  <si>
    <t>工银大盘蓝筹混合</t>
  </si>
  <si>
    <t>工银瑞信大盘蓝筹混合型证券投资基金</t>
  </si>
  <si>
    <t>胡文彪,王筱苓</t>
  </si>
  <si>
    <t>农银汇理行业成长混合A</t>
  </si>
  <si>
    <t>农银汇理行业成长混合型证券投资基金</t>
  </si>
  <si>
    <t xml:space="preserve">1000万元以上 1000元/笔_x000D_
100万元以下 1.2%_x000D_
100~500万元 0.8%_x000D_
500~1000万元 0.3%_x000D_
</t>
  </si>
  <si>
    <t>新华优选成长混合</t>
  </si>
  <si>
    <t>新华优选成长混合型证券投资基金</t>
  </si>
  <si>
    <t>华泰柏瑞价值增长混合</t>
  </si>
  <si>
    <t>华泰柏瑞价值增长混合型证券投资基金</t>
  </si>
  <si>
    <t>广发核心精选混合</t>
  </si>
  <si>
    <t>广发核心精选混合型证券投资基金</t>
  </si>
  <si>
    <t>申万菱信竞争优势混合</t>
  </si>
  <si>
    <t>申万菱信竞争优势混合型证券投资基金</t>
  </si>
  <si>
    <t>孙琳</t>
  </si>
  <si>
    <t>沪深300股票指数收益率*80%+中债总指数(全价)收益率*20%</t>
  </si>
  <si>
    <t xml:space="preserve">1000万元以上 1000元/笔_x000D_
1000万元以上 500元/笔,通过本公司直销中心对养老金客户实施特定申购费率和特定赎回费率_x000D_
100万元以下 1.5%_x000D_
100~500万元 1%_x000D_
100万元以下 0.6%_x000D_
500~1000万元 0.5%_x000D_
100~500万元 0.2%_x000D_
500~1000万元 0.05%_x000D_
</t>
  </si>
  <si>
    <t>国富深化价值混合</t>
  </si>
  <si>
    <t>富兰克林国海深化价值混合型证券投资基金</t>
  </si>
  <si>
    <t>沪深300指数*85%+中债国债总指数(全价)*15%</t>
  </si>
  <si>
    <t>泰信优势</t>
  </si>
  <si>
    <t>泰信优势增长灵活配置混合型证券投资基金</t>
  </si>
  <si>
    <t>朱志权</t>
  </si>
  <si>
    <t>易方达中小盘混合</t>
  </si>
  <si>
    <t>易方达中小盘混合型证券投资基金</t>
  </si>
  <si>
    <t>张坤</t>
  </si>
  <si>
    <t>天相中盘指数收益率*45%+天相小盘指数收益率*35%+中债总指数收益率*20%</t>
  </si>
  <si>
    <t>招商大盘蓝筹混合</t>
  </si>
  <si>
    <t>招商大盘蓝筹混合型证券投资基金</t>
  </si>
  <si>
    <t>郭锐</t>
  </si>
  <si>
    <t>沪深300指数收益率*75%+中债固定利率国债全价(总值)指数收益率*25%</t>
  </si>
  <si>
    <t>南方优选价值混合A</t>
  </si>
  <si>
    <t>南方优选价值混合型证券投资基金</t>
  </si>
  <si>
    <t>骆帅,罗安安</t>
  </si>
  <si>
    <t xml:space="preserve">1000万元以上 1000元/笔_x000D_
100万元以下 1.8%_x000D_
100~500万元 1.2%_x000D_
500~1000万元 0.6%_x000D_
</t>
  </si>
  <si>
    <t xml:space="preserve">1年以下 2%_x000D_
1~2年 1.6%_x000D_
2~3年 1.2%_x000D_
3~4年 0.8%_x000D_
4~5年 0.4%_x000D_
5年以上 0%_x000D_
</t>
  </si>
  <si>
    <t>长盛创新</t>
  </si>
  <si>
    <t>长盛创新先锋灵活配置混合型证券投资基金</t>
  </si>
  <si>
    <t xml:space="preserve">500万元以上 1000元/笔_x000D_
50万元以下 1.5%_x000D_
50~200万元 1.2%_x000D_
200~500万元 1%_x000D_
</t>
  </si>
  <si>
    <t>信诚盛世蓝筹混合</t>
  </si>
  <si>
    <t>信诚盛世蓝筹混合型证券投资基金</t>
  </si>
  <si>
    <t>吴昊,聂炜</t>
  </si>
  <si>
    <t>中信标普50指数收益率*80%+中证综合债指数收益率*20%</t>
  </si>
  <si>
    <t>博时特许价值混合A</t>
  </si>
  <si>
    <t>博时特许价值混合型证券投资基金</t>
  </si>
  <si>
    <t>黄瑞庆</t>
  </si>
  <si>
    <t xml:space="preserve">1年以下 1.6%_x000D_
1~2年 1.3%_x000D_
2~3年 1%_x000D_
3~4年 0.8%_x000D_
4~5年 0.5%_x000D_
5年以上 0%_x000D_
</t>
  </si>
  <si>
    <t>嘉实研究精选混合A</t>
  </si>
  <si>
    <t>嘉实研究精选混合型证券投资基金</t>
  </si>
  <si>
    <t>银河竞争优势成长混合</t>
  </si>
  <si>
    <t>银河竞争优势成长混合型证券投资基金</t>
  </si>
  <si>
    <t>钱睿南,祝建辉</t>
  </si>
  <si>
    <t>天治中国制造2025灵活混合</t>
  </si>
  <si>
    <t>天治中国制造2025灵活配置混合型证券投资基金</t>
  </si>
  <si>
    <t>胡耀文</t>
  </si>
  <si>
    <t>申银万国制造业指数收益率*50%+中证全债指数收益率*50%</t>
  </si>
  <si>
    <t xml:space="preserve">500万元以上 1200元/笔_x000D_
25万元以下 1.5%_x000D_
25~100万元 1%_x000D_
100~500万元 0.5%_x000D_
</t>
  </si>
  <si>
    <t>兴全社会</t>
  </si>
  <si>
    <t>兴全社会责任混合型证券投资基金</t>
  </si>
  <si>
    <t>傅鹏博</t>
  </si>
  <si>
    <t>东吴行业轮动混合</t>
  </si>
  <si>
    <t>东吴行业轮动混合型证券投资基金</t>
  </si>
  <si>
    <t>王立立</t>
  </si>
  <si>
    <t>浦银安盛价值成长混合A</t>
  </si>
  <si>
    <t>浦银安盛价值成长混合型证券投资基金</t>
  </si>
  <si>
    <t xml:space="preserve">500万元以上 1000元/笔_x000D_
100万元以下 0.6%_x000D_
100~500万元 0.3%_x000D_
</t>
  </si>
  <si>
    <t>宝盈资源优选混合</t>
  </si>
  <si>
    <t>宝盈资源优选混合型证券投资基金</t>
  </si>
  <si>
    <t>彭敢,易祚兴</t>
  </si>
  <si>
    <t>中银动态策略混合</t>
  </si>
  <si>
    <t>中银动态策略混合型证券投资基金</t>
  </si>
  <si>
    <t>沪深300指数*75%+中证国债指数*25%</t>
  </si>
  <si>
    <t>南方盛元红利混合</t>
  </si>
  <si>
    <t>南方盛元红利混合型证券投资基金</t>
  </si>
  <si>
    <t>上证红利指数*90%+上证国债指数*10%</t>
  </si>
  <si>
    <t>国投成长优选混合</t>
  </si>
  <si>
    <t>国投瑞银成长优选混合型证券投资基金</t>
  </si>
  <si>
    <t>董晗,綦缚鹏</t>
  </si>
  <si>
    <t xml:space="preserve">1000万元以上 2000元/笔_x000D_
100万元以下 1.5%_x000D_
100~500万元 1%_x000D_
500~1000万元 0.3%_x000D_
</t>
  </si>
  <si>
    <t xml:space="preserve">1年以下 1.8%_x000D_
1~2年 1.6%_x000D_
2~3年 1.2%_x000D_
3~4年 0.8%_x000D_
4~5年 0.4%_x000D_
5年以上 0%_x000D_
</t>
  </si>
  <si>
    <t>易方达科讯混合</t>
  </si>
  <si>
    <t>易方达科讯混合型证券投资基金</t>
  </si>
  <si>
    <t>大成景阳领先混合</t>
  </si>
  <si>
    <t>大成景阳领先混合型证券投资基金</t>
  </si>
  <si>
    <t>嘉实优质企业混合</t>
  </si>
  <si>
    <t>嘉实优质企业混合型证券投资基金</t>
  </si>
  <si>
    <t>胡涛</t>
  </si>
  <si>
    <t>华夏行业精选混合</t>
  </si>
  <si>
    <t>华夏行业精选混合型证券投资基金(LOF)</t>
  </si>
  <si>
    <t>孙彬</t>
  </si>
  <si>
    <t>南方隆元产业主题混合</t>
  </si>
  <si>
    <t>南方隆元产业主题混合型证券投资基金</t>
  </si>
  <si>
    <t>产业主题</t>
    <phoneticPr fontId="4" type="noConversion"/>
  </si>
  <si>
    <t>沪深300指数*85%+上证国债指数*15%</t>
  </si>
  <si>
    <t>长盛同德主题增长混合</t>
  </si>
  <si>
    <t>长盛同德主题增长混合型证券投资基金</t>
  </si>
  <si>
    <t>乔林建</t>
  </si>
  <si>
    <t>华夏复兴混合</t>
  </si>
  <si>
    <t>华夏复兴混合型证券投资基金</t>
  </si>
  <si>
    <t>赵航,刘金玉</t>
  </si>
  <si>
    <t>光大优势配置混合</t>
  </si>
  <si>
    <t>光大保德信优势配置混合型证券投资基金</t>
  </si>
  <si>
    <t>何奇,王维诚</t>
  </si>
  <si>
    <t xml:space="preserve">500万元以上 1000元/笔_x000D_
50万元以下 1.5%_x000D_
50~500万元 0.9%_x000D_
</t>
  </si>
  <si>
    <t>中邮核心成长混合</t>
  </si>
  <si>
    <t>中邮核心成长混合型证券投资基金</t>
  </si>
  <si>
    <t>邓立新,刘田</t>
  </si>
  <si>
    <t>沪深300指数*80%+中国债券总指数*20%</t>
  </si>
  <si>
    <t>交银蓝筹混合</t>
  </si>
  <si>
    <t>交银施罗德蓝筹混合型证券投资基金</t>
  </si>
  <si>
    <t>陈孜铎</t>
  </si>
  <si>
    <t>中证100指数*75%+中证综合债券指数*25%</t>
  </si>
  <si>
    <t xml:space="preserve">500万元以上 1000元/笔_x000D_
500万元以上 1000元/笔,通过本公司直销柜台对养老金客户实施特定申购费率_x000D_
50万元以下 1.5%_x000D_
50~100万元 1.2%_x000D_
100~200万元 0.8%_x000D_
50万元以下 0.6%_x000D_
200~500万元 0.5%_x000D_
50~100万元 0.48%_x000D_
100~200万元 0.32%_x000D_
200~500万元 0.2%_x000D_
</t>
  </si>
  <si>
    <t>长城品牌优选混合</t>
  </si>
  <si>
    <t>长城品牌优选混合型证券投资基金</t>
  </si>
  <si>
    <t>杨建华</t>
  </si>
  <si>
    <t>标普中国A股300指数收益率*75%+同业存款利率*25%</t>
  </si>
  <si>
    <t>泰达市值</t>
  </si>
  <si>
    <t>泰达宏利市值优选混合型证券投资基金</t>
  </si>
  <si>
    <t>李坤元,张勋</t>
  </si>
  <si>
    <t xml:space="preserve">1000万元以上 1000元/笔,养老金客户通过直销柜台实施特定申购费率_x000D_
1000万元以上 1000元/笔_x000D_
50万元以下 1.5%_x000D_
50~250万元 1.2%_x000D_
250~500万元 0.75%_x000D_
500~1000万元 0.5%_x000D_
50万元以下 0.375%_x000D_
50~250万元 0.3%_x000D_
250~500万元 0.1875%_x000D_
500~1000万元 0.125%_x000D_
</t>
  </si>
  <si>
    <t>华安策略优选混合</t>
  </si>
  <si>
    <t>华安策略优选混合型证券投资基金</t>
  </si>
  <si>
    <t>杨明</t>
  </si>
  <si>
    <t>沪深300指数收益率*80%+中债国债总财富指数收益率*20%</t>
  </si>
  <si>
    <t xml:space="preserve">500元/笔(养老金特定申购费率)_x000D_
500万元以上 1000元/笔_x000D_
100万元以下 1.5%_x000D_
100~500万元 1%_x000D_
</t>
  </si>
  <si>
    <t xml:space="preserve">1年以下 1.8%_x000D_
1~2年 1.5%_x000D_
2~3年 1.2%_x000D_
3~4年 1%_x000D_
4~5年 0.5%_x000D_
5年以上 0%_x000D_
</t>
  </si>
  <si>
    <t>工银红利混合</t>
  </si>
  <si>
    <t>工银瑞信红利混合型证券投资基金</t>
  </si>
  <si>
    <t>宋炳珅,杨柯,林念</t>
  </si>
  <si>
    <t>中证红利指数收益率</t>
  </si>
  <si>
    <t>博时新兴成长混合</t>
  </si>
  <si>
    <t>博时新兴成长混合型证券投资基金</t>
  </si>
  <si>
    <t>曾鹏</t>
  </si>
  <si>
    <t>景顺精选蓝筹混合</t>
  </si>
  <si>
    <t>景顺长城精选蓝筹混合型证券投资基金</t>
  </si>
  <si>
    <t>华宝行业精选混合</t>
  </si>
  <si>
    <t>华宝兴业行业精选混合型证券投资基金</t>
  </si>
  <si>
    <t>沪深300指数收益率</t>
  </si>
  <si>
    <t>广发大盘</t>
  </si>
  <si>
    <t>广发大盘成长混合型证券投资基金</t>
  </si>
  <si>
    <t>程琨,李琛</t>
  </si>
  <si>
    <t xml:space="preserve">1年以下 1.8%_x000D_
1~2年 1.5%_x000D_
2~3年 1.2%_x000D_
3~4年 0.9%_x000D_
4~5年 0.5%_x000D_
5年以上 0%_x000D_
</t>
  </si>
  <si>
    <t>大成创新</t>
  </si>
  <si>
    <t>大成创新成长混合型证券投资基金(LOF)</t>
  </si>
  <si>
    <t>石国武,刘旭</t>
  </si>
  <si>
    <t>沪深300指数*70%+中国债券总指数*30%</t>
  </si>
  <si>
    <t>华泰成长A</t>
  </si>
  <si>
    <t>华泰柏瑞积极成长混合型证券投资基金</t>
  </si>
  <si>
    <t>沪深300指数*60%+中债国债总指数*40%</t>
  </si>
  <si>
    <t>国泰金牛创新成长混合</t>
  </si>
  <si>
    <t>国泰金牛创新成长混合型证券投资基金</t>
  </si>
  <si>
    <t>程洲</t>
  </si>
  <si>
    <t>南方成份精选混合</t>
  </si>
  <si>
    <t>南方成份精选混合型证券投资基金</t>
  </si>
  <si>
    <t>黄春逢,张原</t>
  </si>
  <si>
    <t>融通领先成长混合</t>
  </si>
  <si>
    <t>融通领先成长混合型证券投资基金(LOF)</t>
  </si>
  <si>
    <t>伍文友,刘格菘</t>
  </si>
  <si>
    <t>富国天博创新主题混合</t>
  </si>
  <si>
    <t>富国天博创新主题混合型证券投资基金</t>
  </si>
  <si>
    <t>创新主题</t>
    <phoneticPr fontId="4" type="noConversion"/>
  </si>
  <si>
    <t>毕天宇</t>
  </si>
  <si>
    <t>沪深300指数收益率*80%+中债综合全价指数收益率*15%+同业存款利率*5%</t>
  </si>
  <si>
    <t xml:space="preserve">100万元以下 1.5%_x000D_
100~500万元 1.2%_x000D_
500万元以上 1000元/笔_x000D_
</t>
  </si>
  <si>
    <t>鹏华优质治理</t>
  </si>
  <si>
    <t>鹏华优质治理混合型证券投资基金(LOF)</t>
  </si>
  <si>
    <t>胡东健,吴印</t>
  </si>
  <si>
    <t>华夏蓝筹</t>
  </si>
  <si>
    <t>华夏蓝筹核心混合型证券投资基金</t>
  </si>
  <si>
    <t>王怡欢,董阳阳</t>
  </si>
  <si>
    <t>诺德价值优势混合</t>
  </si>
  <si>
    <t>诺德价值优势混合型证券投资基金</t>
  </si>
  <si>
    <t>胡洋,罗世锋</t>
  </si>
  <si>
    <t>上投内需动力混合</t>
  </si>
  <si>
    <t>上投摩根内需动力混合型证券投资基金</t>
  </si>
  <si>
    <t>刘辉,杜猛</t>
  </si>
  <si>
    <t>博时第三产业成长混合</t>
  </si>
  <si>
    <t>博时第三产业成长混合型证券投资基金</t>
  </si>
  <si>
    <t>国泰金鼎</t>
  </si>
  <si>
    <t>国泰金鼎价值精选混合型证券投资基金</t>
  </si>
  <si>
    <t>邓时锋</t>
  </si>
  <si>
    <t>上证综合指数收益率*65%+上证国债指数收益率*35%</t>
  </si>
  <si>
    <t>华安中小盘成长混合</t>
  </si>
  <si>
    <t>华安中小盘成长混合型证券投资基金</t>
  </si>
  <si>
    <t>天相中盘成长指数*40%+天相小盘成长指数*40%+中债-国债总指数*20%</t>
  </si>
  <si>
    <t xml:space="preserve">500万元以上 1000元/笔_x000D_
500元/笔(养老金特定申购费率)_x000D_
100万元以下 1.5%_x000D_
100~500万元 1%_x000D_
</t>
  </si>
  <si>
    <t>汇丰策略A</t>
  </si>
  <si>
    <t>汇丰晋信动态策略混合型证券投资基金</t>
  </si>
  <si>
    <t>郭敏</t>
  </si>
  <si>
    <t>MSCI中国A股指数收益率*50%+中债新综合指数收益率(全价)*50%</t>
  </si>
  <si>
    <t>海富精选2</t>
  </si>
  <si>
    <t>海富通精选贰号混合型证券投资基金</t>
  </si>
  <si>
    <t>王智慧</t>
  </si>
  <si>
    <t>MSCI中国A指数*65%+上证国债指数*35%</t>
  </si>
  <si>
    <t xml:space="preserve">1000万元以上 1000元/笔_x000D_
100万元以下 2%_x000D_
100~500万元 1.6%_x000D_
500~1000万元 1%_x000D_
</t>
  </si>
  <si>
    <t>易方达价值成长</t>
  </si>
  <si>
    <t>易方达价值成长混合型证券投资基金</t>
  </si>
  <si>
    <t>王义克</t>
  </si>
  <si>
    <t>招商核心</t>
  </si>
  <si>
    <t>招商核心价值混合型证券投资基金</t>
  </si>
  <si>
    <t>沪深300指数收益率*65%+中债固定利率国债全价(总值)指数收益率*35%</t>
  </si>
  <si>
    <t>国富潜力组合混合A</t>
  </si>
  <si>
    <t>富兰克林国海潜力组合混合型证券投资基金</t>
  </si>
  <si>
    <t>徐荔蓉</t>
  </si>
  <si>
    <t>MSCI中国A股指数*85%+中债国债总指数(全价)*10%+同业存款息率*5%</t>
  </si>
  <si>
    <t>华富成长趋势混合</t>
  </si>
  <si>
    <t>华富成长趋势混合型证券投资基金</t>
  </si>
  <si>
    <t>王翔,龚炜</t>
  </si>
  <si>
    <t>标普中国A股300指数*80%+中证全债指数*20%</t>
  </si>
  <si>
    <t xml:space="preserve">500万元以上 1000元/笔_x000D_
50万元以下 1.5%_x000D_
50~200万元 1%_x000D_
200~500万元 0.7%_x000D_
</t>
  </si>
  <si>
    <t>中海能源</t>
  </si>
  <si>
    <t>中海能源策略混合型证券投资基金</t>
  </si>
  <si>
    <t>沪深300指数涨跌幅*65%+上证国债指数涨跌幅*35%</t>
  </si>
  <si>
    <t xml:space="preserve">500万元以上 1000元/笔_x000D_
500万元以上 1000元/笔,养老金客户通过本公司直销中心实施特定申购费率_x000D_
100万元以下 1.5%_x000D_
100~300万元 1%_x000D_
100万元以下 0.6%_x000D_
300~500万元 0.6%_x000D_
100~300万元 0.3%_x000D_
300~500万元 0.06%_x000D_
</t>
  </si>
  <si>
    <t>汇添富成长焦点混合</t>
  </si>
  <si>
    <t>汇添富成长焦点混合型证券投资基金</t>
  </si>
  <si>
    <t>雷鸣</t>
  </si>
  <si>
    <t xml:space="preserve">100万元以下 1.5%_x000D_
1000万元以上 1000元/笔_x000D_
100~500万元 1%_x000D_
500~1000万元 0.3%_x000D_
</t>
  </si>
  <si>
    <t xml:space="preserve">1年以下 1.8%_x000D_
1~2年 1.5%_x000D_
2~3年 1.2%_x000D_
3~4年 0.8%_x000D_
4~5年 0.6%_x000D_
5年以上 0%_x000D_
</t>
  </si>
  <si>
    <t>建信优化</t>
  </si>
  <si>
    <t>建信优化配置混合型证券投资基金</t>
  </si>
  <si>
    <t>富时中国A600指数*60%+中国债券总指数*40%</t>
  </si>
  <si>
    <t>长城久富核心成长混合</t>
  </si>
  <si>
    <t>长城久富核心成长混合型证券投资基金(LOF)</t>
  </si>
  <si>
    <t xml:space="preserve">50万元以下 1.5%_x000D_
200~500万元 0.5%_x000D_
50~200万元 1%_x000D_
500万元以上 1000元/笔_x000D_
</t>
  </si>
  <si>
    <t>中欧新趋势混合A</t>
  </si>
  <si>
    <t>中欧新趋势混合型证券投资基金(LOF)</t>
  </si>
  <si>
    <t>富时中国A600指数*80%+富时中国国债全价指数*20%</t>
  </si>
  <si>
    <t xml:space="preserve">500万元以上 1000元/笔,养老金客户_x000D_
50~100万元 0.3%_x000D_
50万元以下 0.45%_x000D_
100~500万元 0.15%_x000D_
</t>
  </si>
  <si>
    <t>国联安德盛优势混合</t>
  </si>
  <si>
    <t>国联安德盛优势混合型证券投资基金</t>
  </si>
  <si>
    <t xml:space="preserve">500万元以上 1000元/笔_x000D_
500万元以上 1000元/笔,养老金客户通过本公司直销柜台实施特定申购费率_x000D_
50万元以下 1.5%_x000D_
50~150万元 1%_x000D_
150~500万元 0.6%_x000D_
50万元以下 0.6%_x000D_
50~150万元 0.4%_x000D_
150~500万元 0.24%_x000D_
</t>
  </si>
  <si>
    <t>宝盈策略增长混合</t>
  </si>
  <si>
    <t>宝盈策略增长混合型证券投资基金</t>
  </si>
  <si>
    <t>彭敢,李进,朱建明</t>
  </si>
  <si>
    <t>上证A股指数*75%+上证国债指数*20%+同期银行一年定期存款利率*5%</t>
  </si>
  <si>
    <t xml:space="preserve">1000万元以上 1000元/笔_x000D_
500万元以下 1.5%_x000D_
500~1000万元 0.9%_x000D_
</t>
  </si>
  <si>
    <t>大成积极成长混合</t>
  </si>
  <si>
    <t>大成积极成长混合型证券投资基金</t>
  </si>
  <si>
    <t>东吴价值成长双动力混合</t>
  </si>
  <si>
    <t>东吴价值成长双动力混合型证券投资基金</t>
  </si>
  <si>
    <t>富时中国A600指数*75%+中证全债指数*25%</t>
  </si>
  <si>
    <t xml:space="preserve">1年以下 1.8%_x000D_
1~3年 1.5%_x000D_
3~5年 0.8%_x000D_
5年以上 0%_x000D_
</t>
  </si>
  <si>
    <t>泰信优质生活混合</t>
  </si>
  <si>
    <t>泰信优质生活混合型证券投资基金</t>
  </si>
  <si>
    <t>刘杰</t>
  </si>
  <si>
    <t>富时中国A600指数*75%+富时中国国债指数*25%</t>
  </si>
  <si>
    <t>嘉实策略</t>
  </si>
  <si>
    <t>嘉实策略增长混合型证券投资基金</t>
  </si>
  <si>
    <t>丁杰人,谢泽林</t>
  </si>
  <si>
    <t>工银稳健成长混合A</t>
  </si>
  <si>
    <t>工银瑞信稳健成长混合型证券投资基金</t>
  </si>
  <si>
    <t>杨柯,胡文彪</t>
  </si>
  <si>
    <t>泰达首选</t>
  </si>
  <si>
    <t>泰达宏利首选企业股票型证券投资基金</t>
  </si>
  <si>
    <t>富时中国A200指数收益率*90%+同业存款利率*10%</t>
  </si>
  <si>
    <t>万家和谐</t>
  </si>
  <si>
    <t>万家和谐增长混合型证券投资基金</t>
  </si>
  <si>
    <t>沪深300指数*65%+中证全债指数*30%+同业存款利率*5%</t>
  </si>
  <si>
    <t xml:space="preserve">100~500万元 0.6%_x000D_
50~100万元 0.9%_x000D_
500万元以上 1000元/笔_x000D_
50万元以下 1.5%_x000D_
</t>
  </si>
  <si>
    <t xml:space="preserve">1年以下 1.6%_x000D_
1~2年 1%_x000D_
2~5年 0.3%_x000D_
5年以上 0%_x000D_
</t>
  </si>
  <si>
    <t>信诚精萃成长混合</t>
  </si>
  <si>
    <t>信诚精萃成长混合型证券投资基金</t>
  </si>
  <si>
    <t>王睿</t>
  </si>
  <si>
    <t>中信标普300指数收益率*80%+中证国债指数收益率*15%+金融同业存款利率*5%</t>
  </si>
  <si>
    <t>华夏优势增长混合</t>
  </si>
  <si>
    <t>华夏优势增长混合型证券投资基金</t>
  </si>
  <si>
    <t>刘平,孙轶佳,郑晓辉</t>
  </si>
  <si>
    <t>富时中国A600指数收益率*80%+中债综合指数(财富)收益率*20%</t>
  </si>
  <si>
    <t>诺安价值增长混合</t>
  </si>
  <si>
    <t>诺安价值增长混合型证券投资基金</t>
  </si>
  <si>
    <t>刘红辉</t>
  </si>
  <si>
    <t>益民红利</t>
  </si>
  <si>
    <t>益民红利成长混合型证券投资基金</t>
  </si>
  <si>
    <t>南方绩优成长混合A</t>
  </si>
  <si>
    <t>南方绩优成长混合型证券投资基金</t>
  </si>
  <si>
    <t>史博,骆帅</t>
  </si>
  <si>
    <t xml:space="preserve">1000万元以上 1000元/笔_x000D_
100万元以下 1.5%_x000D_
100~500万元 0.8%_x000D_
500~1000万元 0.6%_x000D_
</t>
  </si>
  <si>
    <t>银华富裕主题混合</t>
  </si>
  <si>
    <t>银华富裕主题混合型证券投资基金</t>
  </si>
  <si>
    <t>富裕主题</t>
    <phoneticPr fontId="4" type="noConversion"/>
  </si>
  <si>
    <t xml:space="preserve">500万元以上 1000元/笔,面向养老金客户实施的特定申购费率_x000D_
500万元以上 1000元/笔_x000D_
50万元以下 1.5%_x000D_
50~200万元 1.2%_x000D_
200~500万元 0.8%_x000D_
50万元以下 0.45%_x000D_
50~200万元 0.36%_x000D_
200~500万元 0.24%_x000D_
</t>
  </si>
  <si>
    <t>国投创新动力混合</t>
  </si>
  <si>
    <t>国投瑞银创新动力混合型证券投资基金</t>
  </si>
  <si>
    <t>董晗,孙文龙</t>
  </si>
  <si>
    <t xml:space="preserve">1年以下 1.8%_x000D_
1~2年 1.6%_x000D_
2~3年 0.5%_x000D_
3年以上 0%_x000D_
</t>
  </si>
  <si>
    <t>富国天合稳健优选混合</t>
  </si>
  <si>
    <t>富国天合稳健优选混合型证券投资基金</t>
  </si>
  <si>
    <t>杨栋,张啸伟,汪鸣</t>
  </si>
  <si>
    <t>融通动力先锋混合</t>
  </si>
  <si>
    <t>融通动力先锋混合型证券投资基金</t>
  </si>
  <si>
    <t>朱丹</t>
  </si>
  <si>
    <t xml:space="preserve">1000万元以上 1000元/笔_x000D_
100元/笔,通过本公司直销柜台申购本公司旗下开放式基金的养老金客户_x000D_
100万元以下 1.5%_x000D_
100~500万元 0.9%_x000D_
500~1000万元 0.3%_x000D_
</t>
  </si>
  <si>
    <t>长信增利动态策略混合</t>
  </si>
  <si>
    <t>长信增利动态策略混合型证券投资基金</t>
  </si>
  <si>
    <t>华宝先进成长混合</t>
  </si>
  <si>
    <t>华宝兴业先进成长混合型证券投资基金</t>
  </si>
  <si>
    <t>季鹏</t>
  </si>
  <si>
    <t>新上证综合指数收益率</t>
  </si>
  <si>
    <t>交银成长混合A</t>
  </si>
  <si>
    <t>交银施罗德成长混合型证券投资基金</t>
  </si>
  <si>
    <t>富时中国A600成长指数*75%+富时中国国债指数*25%</t>
  </si>
  <si>
    <t xml:space="preserve">50万元以下 1.5%_x000D_
100~200万元 0.8%_x000D_
50~100万元 1.2%_x000D_
200~500万元 0.5%_x000D_
500万元以上 1000元/笔_x000D_
</t>
  </si>
  <si>
    <t>中银收益A</t>
  </si>
  <si>
    <t>中银收益混合型证券投资基金</t>
  </si>
  <si>
    <t>陈军</t>
  </si>
  <si>
    <t>富时中国A股红利150指数*60%+中证国债指数*30%+同业存款利率*10%</t>
  </si>
  <si>
    <t xml:space="preserve">500万元以上 1000元/笔_x000D_
100~200万元 1.2%_x000D_
100万元以下 1.5%_x000D_
200~500万元 0.6%_x000D_
</t>
  </si>
  <si>
    <t>景顺内需增长贰号混合</t>
  </si>
  <si>
    <t>景顺长城内需增长贰号混合型证券投资基金</t>
  </si>
  <si>
    <t>沪深综合指数总市值加权指数*80%+中国债券总指数*20%</t>
  </si>
  <si>
    <t>国泰金鹏</t>
  </si>
  <si>
    <t>国泰金鹏蓝筹价值混合型证券投资基金</t>
  </si>
  <si>
    <t>饶玉涵</t>
  </si>
  <si>
    <t>富时中国A股蓝筹价值100指数*60%+中证全债指数*40%</t>
  </si>
  <si>
    <t>中邮核心优选混合</t>
  </si>
  <si>
    <t>中邮核心优选混合型证券投资基金</t>
  </si>
  <si>
    <t>刘涛</t>
  </si>
  <si>
    <t>汇丰晋信龙腾混合</t>
  </si>
  <si>
    <t>汇丰晋信龙腾混合型证券投资基金</t>
  </si>
  <si>
    <t>曹庆</t>
  </si>
  <si>
    <t>MSCI中国A股指数*75%+一年期银行定期存款利率(税后)*25%</t>
  </si>
  <si>
    <t>博时增长2</t>
  </si>
  <si>
    <t>博时价值增长贰号证券投资基金</t>
  </si>
  <si>
    <t>周志超</t>
  </si>
  <si>
    <t xml:space="preserve">1000万元以上 1000元/笔_x000D_
100万元以下 2%_x000D_
100~500万元 1.6%_x000D_
500~1000万元 1.2%_x000D_
</t>
  </si>
  <si>
    <t xml:space="preserve">1年以下 2%_x000D_
1~2年 1.6%_x000D_
2~3年 1.2%_x000D_
3~5年 0.6%_x000D_
5年以上 0%_x000D_
</t>
  </si>
  <si>
    <t>兴全全球</t>
  </si>
  <si>
    <t>兴全全球视野股票型证券投资基金</t>
  </si>
  <si>
    <t>吴圣涛,申庆</t>
  </si>
  <si>
    <t>沪深300指数*80%+中证国债指数*15%+同业存款利率*5%</t>
  </si>
  <si>
    <t xml:space="preserve">1000万元以上 1000元/笔_x000D_
50万元以下 1.5%_x000D_
50~100万元 1.2%_x000D_
100~1000万元 0.6%_x000D_
</t>
  </si>
  <si>
    <t>上投成长先锋混合</t>
  </si>
  <si>
    <t>上投摩根成长先锋混合型证券投资基金</t>
  </si>
  <si>
    <t>吴文哲</t>
  </si>
  <si>
    <t xml:space="preserve">500万元以上 1000元/笔_x000D_
100万元以下 0.8%_x000D_
100~500万元 0.5%_x000D_
</t>
  </si>
  <si>
    <t>光大新增长混合</t>
  </si>
  <si>
    <t>光大保德信新增长混合型证券投资基金</t>
  </si>
  <si>
    <t>魏晓雪</t>
  </si>
  <si>
    <t>沪深300指数*75%+中证全债指数*20%+银行同业存款利率*5%</t>
  </si>
  <si>
    <t>建信优选成长混合A</t>
  </si>
  <si>
    <t>建信优选成长混合型证券投资基金</t>
  </si>
  <si>
    <t>姚锦</t>
  </si>
  <si>
    <t>富时中国600成长指数*75%+中国债券总指数*20%+一年定期存款利率*5%</t>
  </si>
  <si>
    <t xml:space="preserve">500万元以上 1000元/笔_x000D_
100万元以下 1.3%_x000D_
100~300万元 0.8%_x000D_
300~500万元 0.4%_x000D_
</t>
  </si>
  <si>
    <t>华安宏利混合</t>
  </si>
  <si>
    <t>华安宏利混合型证券投资基金</t>
  </si>
  <si>
    <t>王春</t>
  </si>
  <si>
    <t>沪深300指数收益率*90%+同业存款利率*10%</t>
  </si>
  <si>
    <t xml:space="preserve">1000万元以上 1000元/笔_x000D_
500元/笔(养老金特定申购费率)_x000D_
100万元以下 1.5%_x000D_
100~1000万元 1%_x000D_
</t>
  </si>
  <si>
    <t xml:space="preserve">1年以下 1.5%_x000D_
1~2年 1.3%_x000D_
2~3年 1.2%_x000D_
3~4年 1%_x000D_
4~5年 0.5%_x000D_
5年以上 0%_x000D_
</t>
  </si>
  <si>
    <t>易方达策略二号</t>
  </si>
  <si>
    <t>易方达策略成长二号混合型证券投资基金</t>
  </si>
  <si>
    <t>王勇</t>
  </si>
  <si>
    <t>上证A股指数收益率*75%+上证国债指数收益率*25%</t>
  </si>
  <si>
    <t>华夏增长</t>
  </si>
  <si>
    <t>华夏平稳增长混合型证券投资基金</t>
  </si>
  <si>
    <t>富时中国A600指数收益率*50%+中债综合指数(财富)收益率*50%</t>
  </si>
  <si>
    <t xml:space="preserve">1000万元以上 500元/笔_x000D_
100万元以下 1.5%_x000D_
100~500万元 1.2%_x000D_
500~1000万元 0.8%_x000D_
</t>
  </si>
  <si>
    <t>汇添富均衡增长混合</t>
  </si>
  <si>
    <t>汇添富均衡增长混合型证券投资基金</t>
  </si>
  <si>
    <t>佘中强</t>
  </si>
  <si>
    <t>南稳贰号</t>
  </si>
  <si>
    <t>南方稳健成长贰号证券投资基金</t>
  </si>
  <si>
    <t>上证综合指数*80%+上证国债指数*20%</t>
  </si>
  <si>
    <t>鹏华价值优势混合</t>
  </si>
  <si>
    <t>鹏华价值优势混合型证券投资基金(LOF)</t>
  </si>
  <si>
    <t xml:space="preserve">1000万元以上 1000元/笔_x000D_
50万元以下 1.5%_x000D_
50~250万元 1.2%_x000D_
250~500万元 0.75%_x000D_
500~1000万元 0.5%_x000D_
</t>
  </si>
  <si>
    <t>工银平衡</t>
  </si>
  <si>
    <t>工银瑞信精选平衡混合型证券投资基金</t>
  </si>
  <si>
    <t>胡文彪,黄安乐</t>
  </si>
  <si>
    <t>沪深300指数收益率*60%+中债-新综合指数(财富)收益率*40%</t>
  </si>
  <si>
    <t>景顺新兴成长混合</t>
  </si>
  <si>
    <t>景顺长城新兴成长混合型证券投资基金</t>
  </si>
  <si>
    <t>刘彦春</t>
  </si>
  <si>
    <t>富时中国A600成长指数*80%+同业存款利率*20%</t>
  </si>
  <si>
    <t>华宝收益</t>
  </si>
  <si>
    <t>华宝兴业收益增长混合型证券投资基金</t>
  </si>
  <si>
    <t>闫旭,毛文博</t>
  </si>
  <si>
    <t>上证红利指数收益率*65%+上证国债指数收益率*35%</t>
  </si>
  <si>
    <t>交银稳健</t>
  </si>
  <si>
    <t>交银施罗德稳健配置混合型证券投资基金</t>
  </si>
  <si>
    <t>唐倩</t>
  </si>
  <si>
    <t>MSCI中国A股指数*65%+中证综合债券指数*35%</t>
  </si>
  <si>
    <t>国富弹性市值混合</t>
  </si>
  <si>
    <t>富兰克林国海弹性市值混合型证券投资基金</t>
  </si>
  <si>
    <t>MSCI中国A股指数*70%+中债国债总指数(全价)*25%+同业存款利率*5%</t>
  </si>
  <si>
    <t>易方达价值精选混合</t>
  </si>
  <si>
    <t>易方达价值精选混合型证券投资基金</t>
  </si>
  <si>
    <t>陈皓,郑希</t>
  </si>
  <si>
    <t>银华优质增长混合</t>
  </si>
  <si>
    <t>银华优质增长混合型证券投资基金</t>
  </si>
  <si>
    <t>王华,贲兴振</t>
  </si>
  <si>
    <t>广发优选</t>
  </si>
  <si>
    <t>广发策略优选混合型证券投资基金</t>
  </si>
  <si>
    <t>长信金利趋势混合</t>
  </si>
  <si>
    <t>长信金利趋势混合型证券投资基金</t>
  </si>
  <si>
    <t>常松</t>
  </si>
  <si>
    <t>上证A股指数*70%+中证综合债指数*30%</t>
  </si>
  <si>
    <t xml:space="preserve">1年以下 1.5%_x000D_
1~3年 1.2%_x000D_
3~5年 0.8%_x000D_
5年以上 0%_x000D_
</t>
  </si>
  <si>
    <t>信诚四季红</t>
  </si>
  <si>
    <t>信诚四季红混合型证券投资基金</t>
  </si>
  <si>
    <t>闾志刚</t>
  </si>
  <si>
    <t>富时中国全A指数收益率*62.5%+中证国债指数收益率*32.5%+金融同业存款利率*5%</t>
  </si>
  <si>
    <t xml:space="preserve">500万元以上 1000元/笔_x000D_
100万元以下 1.2%_x000D_
100~200万元 1%_x000D_
200~500万元 0.7%_x000D_
</t>
  </si>
  <si>
    <t>国投核心企业混合</t>
  </si>
  <si>
    <t>国投瑞银核心企业混合型证券投资基金</t>
  </si>
  <si>
    <t>于雷</t>
  </si>
  <si>
    <t>标普中国A股300指数收益率*95%+金融同业存款利率*5%</t>
  </si>
  <si>
    <t>长城消费增值混合</t>
  </si>
  <si>
    <t>长城消费增值混合型证券投资基金</t>
  </si>
  <si>
    <t>标普中国A股300指数收益率*80%+中证综合债指数收益率*15%+同业存款利率*5%</t>
  </si>
  <si>
    <t xml:space="preserve">500万元以上 500元/笔,通过本公司直销柜台申购的养老金客户_x000D_
500万元以上 500元/笔_x000D_
100万元以下 1.2%_x000D_
100~200万元 1%_x000D_
200~500万元 0.5%_x000D_
100万元以下 0.24%_x000D_
100~200万元 0.2%_x000D_
200~500万元 0.1%_x000D_
</t>
  </si>
  <si>
    <t>中银持续增长混合A</t>
  </si>
  <si>
    <t>中银持续增长混合型证券投资基金</t>
  </si>
  <si>
    <t>MSCI中国A股指数*85%+上证国债指数*15%</t>
  </si>
  <si>
    <t xml:space="preserve">50万元以下 1.5%_x000D_
200~500万元 0.6%_x000D_
500万元以上 1000元/笔_x000D_
50~100万元 1.2%_x000D_
100~200万元 1%_x000D_
</t>
  </si>
  <si>
    <t>景顺资源垄断混合</t>
  </si>
  <si>
    <t>景顺长城资源垄断混合型证券投资基金(LOF)</t>
  </si>
  <si>
    <t>富时中国A200指数*80%+中国债券总指数*20%</t>
  </si>
  <si>
    <t xml:space="preserve">1000万元以上 1000元/笔_x000D_
50万元以下 1.5%_x000D_
50~500万元 1.2%_x000D_
500~1000万元 1%_x000D_
</t>
  </si>
  <si>
    <t>天治核心</t>
  </si>
  <si>
    <t>天治核心成长混合型证券投资基金(LOF)</t>
  </si>
  <si>
    <t>许家涵</t>
  </si>
  <si>
    <t>富时中国A全指*75%+富时中国国债指数*25%</t>
  </si>
  <si>
    <t>东方精选</t>
  </si>
  <si>
    <t>东方精选混合型开放式证券投资基金</t>
  </si>
  <si>
    <t>邱义鹏,朱晓栋</t>
  </si>
  <si>
    <t>标普中国A股300成长指数*60%+中证综合债指数*40%</t>
  </si>
  <si>
    <t>国联安德盛精选混合</t>
  </si>
  <si>
    <t>国联安德盛精选混合型证券投资基金</t>
  </si>
  <si>
    <t>魏东</t>
  </si>
  <si>
    <t>广发聚丰混合</t>
  </si>
  <si>
    <t>广发聚丰混合型证券投资基金</t>
  </si>
  <si>
    <t>诺安先锋混合</t>
  </si>
  <si>
    <t>诺安先锋混合型证券投资基金</t>
  </si>
  <si>
    <t>杨谷</t>
  </si>
  <si>
    <t xml:space="preserve">1000万元以上 1000元/笔_x000D_
50万元以下 1.5%_x000D_
50~500万元 1.2%_x000D_
500~1000万元 0.6%_x000D_
</t>
  </si>
  <si>
    <t>建信恒久价值混合</t>
  </si>
  <si>
    <t>建信恒久价值混合型证券投资基金</t>
  </si>
  <si>
    <t>MSCI中国A股指数*75%+中债综合指数(全价)*20%+一年定期存款利率*5%</t>
  </si>
  <si>
    <t xml:space="preserve">1000万元以上 1000元/笔_x000D_
50万元以下 1.5%_x000D_
50~100万元 1.2%_x000D_
100~500万元 0.8%_x000D_
500~1000万元 0.5%_x000D_
</t>
  </si>
  <si>
    <t>华夏收入混合</t>
  </si>
  <si>
    <t>华夏收入混合型证券投资基金</t>
  </si>
  <si>
    <t>富时中国A股红利150指数*80%+富时中国国债指数*20%</t>
  </si>
  <si>
    <t xml:space="preserve">500万元以上 500元/笔_x000D_
100万元以下 1.5%_x000D_
100~200万元 1.2%_x000D_
200~500万元 0.8%_x000D_
</t>
  </si>
  <si>
    <t>富国天惠</t>
  </si>
  <si>
    <t>富国天惠精选成长混合型证券投资基金(LOF)</t>
  </si>
  <si>
    <t>朱少醒</t>
  </si>
  <si>
    <t>沪深300指数收益率*70%+中债综合全价指数收益率*25%+同业存款利率*5%</t>
  </si>
  <si>
    <t xml:space="preserve">1000万元以上 1000元/笔_x000D_
100万元以下 1.5%_x000D_
100~1000万元 1.2%_x000D_
</t>
  </si>
  <si>
    <t>兴全趋势</t>
  </si>
  <si>
    <t>兴全趋势投资混合型证券投资基金</t>
  </si>
  <si>
    <t>董承非,邹欣</t>
  </si>
  <si>
    <t xml:space="preserve">1000万元以上 1000元/笔_x000D_
50万元以下 1.5%_x000D_
50~100万元 1%_x000D_
100~1000万元 0.5%_x000D_
</t>
  </si>
  <si>
    <t xml:space="preserve">1年以下 1.8%_x000D_
1~2年 1%_x000D_
2~3年 0.5%_x000D_
3年以上 0%_x000D_
</t>
  </si>
  <si>
    <t>上投阿尔法混合</t>
  </si>
  <si>
    <t>上投摩根阿尔法混合型证券投资基金</t>
  </si>
  <si>
    <t xml:space="preserve">500万元以上 1000元/笔_x000D_
50万元以下 1.2%_x000D_
50~200万元 0.8%_x000D_
200~500万元 0.3%_x000D_
</t>
  </si>
  <si>
    <t>天弘精选</t>
  </si>
  <si>
    <t>天弘精选混合型证券投资基金</t>
  </si>
  <si>
    <t>钱文成,程桯,姜晓丽</t>
  </si>
  <si>
    <t>上证180指数收益率*55%+上证国债指数收益率*45%</t>
  </si>
  <si>
    <t xml:space="preserve">1000万元以上 1000元/笔_x000D_
100万元以下 1.5%_x000D_
100~500万元 1.2%_x000D_
500~1000万元 0.7%_x000D_
</t>
  </si>
  <si>
    <t>银华核心价值优选混合</t>
  </si>
  <si>
    <t>银华核心价值优选混合型证券投资基金</t>
  </si>
  <si>
    <t xml:space="preserve">1000万元以上 1500元/笔_x000D_
100~1000万元 1.2%_x000D_
100万元以下 1.5%_x000D_
</t>
  </si>
  <si>
    <t>大摩资源</t>
  </si>
  <si>
    <t>摩根士丹利华鑫资源优选混合型证券投资基金(LOF)</t>
  </si>
  <si>
    <t>王大鹏,徐达</t>
  </si>
  <si>
    <t>沪深300指数收益率*70%+标普中国债券指数收益率*30%</t>
  </si>
  <si>
    <t>工银核心价值混合A</t>
  </si>
  <si>
    <t>工银瑞信核心价值混合型证券投资基金</t>
  </si>
  <si>
    <t>何肖颉,宋炳珅</t>
  </si>
  <si>
    <t>添富优势</t>
  </si>
  <si>
    <t>汇添富优势精选混合型证券投资基金</t>
  </si>
  <si>
    <t>海富通股票混合</t>
  </si>
  <si>
    <t>海富通股票混合型证券投资基金</t>
  </si>
  <si>
    <t>黄峰,吕越超</t>
  </si>
  <si>
    <t>万家行业优选混合</t>
  </si>
  <si>
    <t>万家行业优选混合型证券投资基金(LOF)</t>
  </si>
  <si>
    <t>孙远慧</t>
  </si>
  <si>
    <t xml:space="preserve">500万元以上 1000元/笔,养老金客户特定申购费率_x000D_
500万元以上 1000元/笔_x000D_
50万元以下 1.5%_x000D_
50~500万元 0.8%_x000D_
50万元以下 0.15%_x000D_
50~500万元 0.08%_x000D_
</t>
  </si>
  <si>
    <t>南方高增长混合</t>
  </si>
  <si>
    <t>南方高增长混合型证券投资基金</t>
  </si>
  <si>
    <t>张原</t>
  </si>
  <si>
    <t>上证综合指数*90%+上证国债指数*10%</t>
  </si>
  <si>
    <t xml:space="preserve">500~1000万元 0.6%_x000D_
100~500万元 0.9%_x000D_
1000万元以上 1000元/笔_x000D_
10~100万元 1.2%_x000D_
10万元以下 1.5%_x000D_
</t>
  </si>
  <si>
    <t xml:space="preserve">1年以下 2%_x000D_
1~2年 1.5%_x000D_
2~3年 1.2%_x000D_
3~4年 0.8%_x000D_
4~5年 0.4%_x000D_
5年以上 0%_x000D_
</t>
  </si>
  <si>
    <t>华夏红利</t>
  </si>
  <si>
    <t>华夏红利混合型证券投资基金</t>
  </si>
  <si>
    <t>赵航,陈虎,刘金玉,蔡向阳</t>
  </si>
  <si>
    <t>富时中国A股红利150指数收益率*60%+富时中国国债指数收益率*40%</t>
  </si>
  <si>
    <t xml:space="preserve">1年以下 1.8%_x000D_
1~2年 1.5%_x000D_
2~3年 1.2%_x000D_
3~4年 1%_x000D_
4~8年 0.5%_x000D_
8年以上 0%_x000D_
</t>
  </si>
  <si>
    <t>中海红利</t>
  </si>
  <si>
    <t>中海分红增利混合型证券投资基金</t>
  </si>
  <si>
    <t>上证红利指数*70%+上证国债指数*25%+一年期银行定期存款利率*5%</t>
  </si>
  <si>
    <t xml:space="preserve">500万元以上 1000元/笔,养老金客户通过本公司直销中心实施特定申购费率_x000D_
500万元以上 1000元/笔_x000D_
100万元以下 1.5%_x000D_
100~500万元 1%_x000D_
100万元以下 0.6%_x000D_
100~500万元 0.3%_x000D_
</t>
  </si>
  <si>
    <t xml:space="preserve">1年以下 1.7%_x000D_
1~3年 1.2%_x000D_
3~5年 0.6%_x000D_
5年以上 0%_x000D_
</t>
  </si>
  <si>
    <t>华泰柏瑞盛世中国混合</t>
  </si>
  <si>
    <t>华泰柏瑞盛世中国混合型证券投资基金</t>
  </si>
  <si>
    <t>标普中国A股300指数*70%+中证全债指数*30%</t>
  </si>
  <si>
    <t>富国天瑞</t>
  </si>
  <si>
    <t>富国天瑞强势地区精选混合型证券投资基金</t>
  </si>
  <si>
    <t>厉叶淼</t>
  </si>
  <si>
    <t>上证A股指数收益率*70%+上证国债指数收益率*25%+同业存款利率*5%</t>
  </si>
  <si>
    <t>景顺鼎益混合</t>
  </si>
  <si>
    <t>景顺长城鼎益混合型证券投资基金(LOF)</t>
  </si>
  <si>
    <t>富时中国A200指数*80%+同业存款利率*20%</t>
  </si>
  <si>
    <t xml:space="preserve">1000万元以上 1000元/笔_x000D_
500~1000万元 1%_x000D_
50万元以下 1.5%_x000D_
50~500万元 1.2%_x000D_
</t>
  </si>
  <si>
    <t xml:space="preserve">1年以下 1%_x000D_
1~2年 0.8%_x000D_
2~3年 0.5%_x000D_
3年以上 0%_x000D_
</t>
  </si>
  <si>
    <t>宝盈泛沿海区域增长混合</t>
  </si>
  <si>
    <t>宝盈泛沿海区域增长混合型证券投资基金</t>
  </si>
  <si>
    <t>上证A股指数*80%+上证国债指数*20%</t>
  </si>
  <si>
    <t xml:space="preserve">1000万元以上 1000元/笔_x000D_
100万元以下 1.5%_x000D_
100~500万元 1.3%_x000D_
500~1000万元 0.8%_x000D_
</t>
  </si>
  <si>
    <t>华富竞争力</t>
  </si>
  <si>
    <t>华富竞争力优选混合型证券投资基金</t>
  </si>
  <si>
    <t>陈启明,龚炜</t>
  </si>
  <si>
    <t>标普中国A股300指数*60%+中证全债指数*35%+同业存款利率*5%</t>
  </si>
  <si>
    <t>广发小盘成长混合</t>
  </si>
  <si>
    <t>广发小盘成长混合型证券投资基金(LOF)</t>
  </si>
  <si>
    <t>天相小市值指数</t>
  </si>
  <si>
    <t xml:space="preserve">100万元以下 1.5%_x000D_
100~500万元 0.7%_x000D_
500万元以上 1000元/笔_x000D_
</t>
  </si>
  <si>
    <t>东吴嘉禾</t>
  </si>
  <si>
    <t>东吴嘉禾优势精选混合型开放式证券投资基金</t>
  </si>
  <si>
    <t>(上证180指数*60%+深证100指数*40%)*65%+中证全债指数*35%</t>
  </si>
  <si>
    <t>长信银利精选混合</t>
  </si>
  <si>
    <t>长信银利精选混合型证券投资基金</t>
  </si>
  <si>
    <t>毛楠</t>
  </si>
  <si>
    <t>标普中国A股100指数*80%+中证综合债指数*20%</t>
  </si>
  <si>
    <t>天治低碳经济灵活配置混合</t>
  </si>
  <si>
    <t>天治低碳经济灵活配置混合型证券投资基金</t>
  </si>
  <si>
    <t>曾海</t>
  </si>
  <si>
    <t>中证内地低碳经济主题指数收益率*50%+中证全债指数收益率*50%</t>
  </si>
  <si>
    <t>中银中国</t>
  </si>
  <si>
    <t>中银中国精选混合型开放式证券投资基金</t>
  </si>
  <si>
    <t>沪深300指数*70%+中证国债指数*20%+1年期银行存款利率*10%</t>
  </si>
  <si>
    <t xml:space="preserve">100万元以下 1.5%_x000D_
100~500万元 1%_x000D_
500~1000万元 0.2%_x000D_
1000万元以上 0.02%_x000D_
</t>
  </si>
  <si>
    <t>大成精选</t>
  </si>
  <si>
    <t>大成精选增值混合型证券投资基金</t>
  </si>
  <si>
    <t>东方龙</t>
  </si>
  <si>
    <t>东方龙混合型开放式证券投资基金</t>
  </si>
  <si>
    <t>朱晓栋</t>
  </si>
  <si>
    <t>标普中国A股300价值指数*45%+标普中国A股300成长指数*30%+中证综合债指数*25%</t>
  </si>
  <si>
    <t>南方积极配置混合</t>
  </si>
  <si>
    <t>南方积极配置混合型证券投资基金</t>
  </si>
  <si>
    <t>上证综合指数*85%+上证国债指数*15%</t>
  </si>
  <si>
    <t xml:space="preserve">100~1000万元 1.2%_x000D_
100万元以下 1.5%_x000D_
1000万元以上 1000元/笔_x000D_
</t>
  </si>
  <si>
    <t>中海成长</t>
  </si>
  <si>
    <t>中海优质成长证券投资基金</t>
  </si>
  <si>
    <t>于航</t>
  </si>
  <si>
    <t xml:space="preserve">500万元以上 1000元/笔_x000D_
500万元以上 1000元/笔,养老金客户通过本公司直销中心实施特定申购费率_x000D_
100万元以下 1.2%_x000D_
100~500万元 1%_x000D_
100万元以下 0.48%_x000D_
100~500万元 0.3%_x000D_
</t>
  </si>
  <si>
    <t xml:space="preserve">1年以下 1.5%_x000D_
1~2年 1.2%_x000D_
2~3年 1%_x000D_
3~4年 0.8%_x000D_
4~5年 0.6%_x000D_
5年以上 0%_x000D_
</t>
  </si>
  <si>
    <t>上投优势</t>
  </si>
  <si>
    <t>上投摩根中国优势证券投资基金</t>
  </si>
  <si>
    <t>沪深300指数收益率*70%+中债总指数收益率*30%</t>
  </si>
  <si>
    <t>易方达积极成长</t>
  </si>
  <si>
    <t>易方达积极成长证券投资基金</t>
  </si>
  <si>
    <t>上证A股指数</t>
  </si>
  <si>
    <t>光大量化</t>
  </si>
  <si>
    <t>光大保德信量化核心证券投资基金</t>
  </si>
  <si>
    <t>田大伟,赵大年,翟云飞</t>
  </si>
  <si>
    <t xml:space="preserve">1000万元以上 1000元/笔_x000D_
1000万元以下 1.5%_x000D_
</t>
  </si>
  <si>
    <t>华安配置</t>
  </si>
  <si>
    <t>华安宝利配置证券投资基金</t>
  </si>
  <si>
    <t>天相转债指数收益率*35%+天相280指数收益率*30%+天相国债全价指数收益率*30%+金融同业存款利率*5%</t>
  </si>
  <si>
    <t xml:space="preserve">1000万元以上 1000元/笔_x000D_
500元/笔(养老金特定申购费率)_x000D_
100万元以下 1.2%_x000D_
100~1000万元 1.1%_x000D_
</t>
  </si>
  <si>
    <t xml:space="preserve">1年以下 1.5%_x000D_
1~2年 1.2%_x000D_
2~3年 1%_x000D_
3~4年 0.8%_x000D_
4~5年 0.4%_x000D_
5年以上 0%_x000D_
</t>
  </si>
  <si>
    <t>泰达宏利行业精选混合</t>
  </si>
  <si>
    <t>泰达宏利行业精选混合型证券投资基金</t>
  </si>
  <si>
    <t>富时中国A600指数收益率*70%+中债国债总指数(财富)*30%</t>
  </si>
  <si>
    <t>泰信策略</t>
  </si>
  <si>
    <t>泰信先行策略开放式证券投资基金</t>
  </si>
  <si>
    <t>袁园,王博强</t>
  </si>
  <si>
    <t>富时中国A600指数*65%+富时中国国债指数*35%</t>
  </si>
  <si>
    <t xml:space="preserve">500万元以上 1000元/笔_x000D_
50万元以下 1.5%_x000D_
50~100万元 1.2%_x000D_
100~250万元 0.75%_x000D_
250~500万元 0.5%_x000D_
</t>
  </si>
  <si>
    <t>景顺内需增长混合</t>
  </si>
  <si>
    <t>景顺长城内需增长混合型证券投资基金</t>
  </si>
  <si>
    <t>博时精选混合</t>
  </si>
  <si>
    <t>博时精选混合型证券投资基金</t>
  </si>
  <si>
    <t>李权胜</t>
  </si>
  <si>
    <t>富时中国A600指数*75%+富时中国国债指数*20%+现金收益率*5%</t>
  </si>
  <si>
    <t xml:space="preserve">1000万元以上 1000元/笔_x000D_
50万元以下 1.5%_x000D_
50~500万元 1.2%_x000D_
500万元以上 0.6%_x000D_
</t>
  </si>
  <si>
    <t>国泰回报</t>
  </si>
  <si>
    <t>国泰金马稳健回报证券投资基金</t>
  </si>
  <si>
    <t>(上证A股指数和深圳A股指数的总市值加权平均)*60%+(上证国债指数)*40%</t>
  </si>
  <si>
    <t xml:space="preserve">1000万元以上 1000元/笔_x000D_
50万元以下 1.5%_x000D_
50~500万元 1%_x000D_
500~1000万元 0.6%_x000D_
</t>
  </si>
  <si>
    <t>富国天益价值混合</t>
  </si>
  <si>
    <t>富国天益价值混合型证券投资基金</t>
  </si>
  <si>
    <t>李晓铭,许炎</t>
  </si>
  <si>
    <t>沪深300指数收益率*95%+中债综合全价指数收益率*5%</t>
  </si>
  <si>
    <t xml:space="preserve">500万元以上 1000元/笔_x000D_
500万元以上 1000元/笔,养老金客户通过本公司直销柜台申购_x000D_
100万元以下 1.5%_x000D_
100~500万元 1.3%_x000D_
100万元以下 0.45%_x000D_
100~500万元 0.39%_x000D_
</t>
  </si>
  <si>
    <t xml:space="preserve">1年以下 1.8%_x000D_
1~2年 1.44%_x000D_
2~3年 1.08%_x000D_
3~4年 0.72%_x000D_
4~5年 0.36%_x000D_
5年以上 0%_x000D_
</t>
  </si>
  <si>
    <t>大成稳健</t>
  </si>
  <si>
    <t>大成蓝筹稳健证券投资基金</t>
  </si>
  <si>
    <t>侯春燕</t>
  </si>
  <si>
    <t>天相280指数*70%+中债综合指数*30%</t>
  </si>
  <si>
    <t xml:space="preserve">1年以下 2%_x000D_
1~2年 1.5%_x000D_
2~3年 1%_x000D_
3~5年 0.5%_x000D_
5年以上 0%_x000D_
</t>
  </si>
  <si>
    <t>长盛精选</t>
  </si>
  <si>
    <t>长盛动态精选证券投资基金</t>
  </si>
  <si>
    <t>标普中国A股综合指数收益率*95%+金融同业存款利率*5%</t>
  </si>
  <si>
    <t xml:space="preserve">100万元以下 1.5%_x000D_
100~500万元 1.2%_x000D_
500~1000万元 0.6%_x000D_
1000万元以上 0.2%_x000D_
</t>
  </si>
  <si>
    <t>鹏华50</t>
  </si>
  <si>
    <t>鹏华中国50开放式证券投资基金</t>
  </si>
  <si>
    <t>上证180指数涨跌幅*65%+深证100指数涨跌幅*30%+金融同业存款利率*5%</t>
  </si>
  <si>
    <t xml:space="preserve">100~500万元 0.5%_x000D_
500万元以上 0.02%_x000D_
0.1~10万元 1.5%_x000D_
10~100万元 1%_x000D_
</t>
  </si>
  <si>
    <t>华宝增长</t>
  </si>
  <si>
    <t>华宝兴业多策略增长开放式证券投资基金</t>
  </si>
  <si>
    <t>上证180指数和深证100指数的复合指数*80%+上证国债指数*20%</t>
  </si>
  <si>
    <t>融通景气</t>
  </si>
  <si>
    <t>融通行业景气证券投资基金</t>
  </si>
  <si>
    <t>邹曦</t>
  </si>
  <si>
    <t xml:space="preserve">1年以下 1.9%_x000D_
1~2年 1.425%_x000D_
2~3年 0.95%_x000D_
3~4年 0.475%_x000D_
4年以上 0%_x000D_
</t>
  </si>
  <si>
    <t>国投景气</t>
  </si>
  <si>
    <t>国投瑞银景气行业证券投资基金</t>
  </si>
  <si>
    <t>伍智勇,綦缚鹏</t>
  </si>
  <si>
    <t>沪深300指数收益率*75%+中债综合指数收益率*20%+同业存款利率*5%</t>
  </si>
  <si>
    <t>国联安小盘</t>
  </si>
  <si>
    <t>国联安德盛小盘精选证券投资基金</t>
  </si>
  <si>
    <t>邹新进</t>
  </si>
  <si>
    <t>(天相小盘股指数*60%+天相中盘股指数*40%)*60%+上证国债指数*40%</t>
  </si>
  <si>
    <t xml:space="preserve">500万元以上 1000元/笔,养老金客户通过本公司直销柜台实施特定申购费率_x000D_
500万元以上 1000元/笔_x000D_
100万元以下 1.5%_x000D_
100~500万元 1%_x000D_
100万元以下 0.6%_x000D_
100~500万元 0.4%_x000D_
</t>
  </si>
  <si>
    <t>盛利精选</t>
  </si>
  <si>
    <t>申万菱信盛利精选证券投资基金</t>
  </si>
  <si>
    <t>高源,孙琳</t>
  </si>
  <si>
    <t>沪深300指数*75%+中债总指数(全价)*20%+1年定期存款利率*5%</t>
  </si>
  <si>
    <t xml:space="preserve">1000万元以上 500元/笔,通过本公司直销中心对养老金客户实施特定申购费率_x000D_
1000万元以上 1000元/笔_x000D_
100万元以下 1.5%_x000D_
100~500万元 1.2%_x000D_
500~1000万元 0.9%_x000D_
100万元以下 0.6%_x000D_
100~500万元 0.24%_x000D_
500~1000万元 0.09%_x000D_
</t>
  </si>
  <si>
    <t>嘉实服务</t>
  </si>
  <si>
    <t>嘉实服务增值行业证券投资基金</t>
  </si>
  <si>
    <t>服务行业</t>
    <phoneticPr fontId="4" type="noConversion"/>
  </si>
  <si>
    <t>焦云</t>
  </si>
  <si>
    <t>沪深300*80%+中债总指数*20%</t>
  </si>
  <si>
    <t>银河银泰</t>
  </si>
  <si>
    <t>银河银泰理财分红证券投资基金</t>
  </si>
  <si>
    <t>中证全债指数*55%+上证A股指数*40%+金融同业存款利率*5%</t>
  </si>
  <si>
    <t xml:space="preserve">1年以下 1%_x000D_
1~2年 0.6%_x000D_
2~3年 0.3%_x000D_
3年以上 0%_x000D_
</t>
  </si>
  <si>
    <t>海富通收益</t>
  </si>
  <si>
    <t>海富通收益增长证券投资基金</t>
  </si>
  <si>
    <t>上证国债指数*60%+MSCI China A指数*40%</t>
  </si>
  <si>
    <t xml:space="preserve">500万元以上 1000元/笔_x000D_
50~100万元 1.2%_x000D_
50万元以下 1.5%_x000D_
100~200万元 1%_x000D_
200~500万元 0.6%_x000D_
</t>
  </si>
  <si>
    <t>易方达策略成长</t>
  </si>
  <si>
    <t>易方达策略成长证券投资基金</t>
  </si>
  <si>
    <t>王勇,武阳</t>
  </si>
  <si>
    <t>上证A指收益率*75%+上证国债指数收益率*25%</t>
  </si>
  <si>
    <t>国泰金龙行业混合</t>
  </si>
  <si>
    <t>国泰金龙行业精选证券投资基金</t>
  </si>
  <si>
    <t>(上证A股指数和深圳A股指数的总市值加权平均)*75%+(上证国债指数)*25%</t>
  </si>
  <si>
    <t xml:space="preserve">500万元以上 1000元/笔_x000D_
50万元以下 1.2%_x000D_
50~200万元 0.8%_x000D_
200~500万元 0.6%_x000D_
</t>
  </si>
  <si>
    <t>广发聚富</t>
  </si>
  <si>
    <t>广发聚富开放式证券投资基金</t>
  </si>
  <si>
    <t>景顺优选混合</t>
  </si>
  <si>
    <t>景顺长城优选混合型证券投资基金</t>
  </si>
  <si>
    <t>上证综合指数和深证综合指数的加权复合指数*80%+中国债券总指数*20%</t>
  </si>
  <si>
    <t xml:space="preserve">500万元以上 500元/笔_x000D_
50万元以下 1.5%_x000D_
50~100万元 1.2%_x000D_
100~200万元 1%_x000D_
200~500万元 0.6%_x000D_
</t>
  </si>
  <si>
    <t>海富通精选</t>
  </si>
  <si>
    <t>海富通精选证券投资基金</t>
  </si>
  <si>
    <t>MSCI China A指数*65%+上证国债指数*35%</t>
  </si>
  <si>
    <t xml:space="preserve">100~200万元 1%_x000D_
500万元以上 1000元/笔_x000D_
200~500万元 0.6%_x000D_
50万元以下 1.5%_x000D_
50~100万元 1.2%_x000D_
</t>
  </si>
  <si>
    <t>鹏华收益</t>
  </si>
  <si>
    <t>普天收益证券投资基金</t>
  </si>
  <si>
    <t>张卓</t>
  </si>
  <si>
    <t xml:space="preserve">0.1~10万元 1.4%_x000D_
10~100万元 1%_x000D_
100~500万元 0.5%_x000D_
500万元以上 0.02%_x000D_
</t>
  </si>
  <si>
    <t>嘉实稳健</t>
  </si>
  <si>
    <t>嘉实稳健开放式证券投资基金</t>
  </si>
  <si>
    <t>张淼,翟琳琳</t>
  </si>
  <si>
    <t>巨潮200(大盘)指数收益率*60%+中债总指数收益率*40%</t>
  </si>
  <si>
    <t>嘉实增长</t>
  </si>
  <si>
    <t>嘉实增长开放式证券投资基金</t>
  </si>
  <si>
    <t>巨潮500(小盘)指数收益率*60%+中债总指数收益率*40%</t>
  </si>
  <si>
    <t>泰达宏利价值优化型成长行业混合</t>
  </si>
  <si>
    <t>泰达宏利价值优化型成长类行业混合型证券投资基金</t>
  </si>
  <si>
    <t>邓艺颖,周琦凯</t>
  </si>
  <si>
    <t>富时中国A600成长行业指数*65%+上证国债指数*35%</t>
  </si>
  <si>
    <t>泰达宏利价值优化型稳定行业混合</t>
  </si>
  <si>
    <t>泰达宏利价值优化型稳定类行业混合型证券投资基金</t>
  </si>
  <si>
    <t>庄腾飞</t>
  </si>
  <si>
    <t>富时中国A600稳定行业指数*65%+上证国债指数*35%</t>
  </si>
  <si>
    <t>泰达宏利价值优化型周期行业混合</t>
  </si>
  <si>
    <t>泰达宏利价值优化型周期类行业混合型证券投资基金</t>
  </si>
  <si>
    <t>富时中国A600周期行业指数*65%+上证国债指数*35%</t>
  </si>
  <si>
    <t>大成价值</t>
  </si>
  <si>
    <t>大成价值增长证券投资基金</t>
  </si>
  <si>
    <t>石国武</t>
  </si>
  <si>
    <t>嘉实成长A</t>
  </si>
  <si>
    <t>嘉实成长收益证券投资基金</t>
  </si>
  <si>
    <t>邵秋涛,谢泽林</t>
  </si>
  <si>
    <t>博时增长</t>
  </si>
  <si>
    <t>博时价值增长证券投资基金</t>
  </si>
  <si>
    <t xml:space="preserve">1000万元以上 1000元/笔_x000D_
5万元以下 1.8%_x000D_
5~1000万元 1.5%_x000D_
</t>
  </si>
  <si>
    <t xml:space="preserve">1年以下 1.8%_x000D_
1~3年 1.5%_x000D_
3~5年 1%_x000D_
5~8年 0.5%_x000D_
8年以上 0%_x000D_
</t>
  </si>
  <si>
    <t>宝盈鸿利收益灵活配置混合</t>
  </si>
  <si>
    <t>宝盈鸿利收益灵活配置混合型证券投资基金</t>
  </si>
  <si>
    <t>李进</t>
  </si>
  <si>
    <t>长盛成长</t>
  </si>
  <si>
    <t>长盛成长价值证券投资基金</t>
  </si>
  <si>
    <t>标普中国A股综合指数收益率*80%+中证国债指数收益率*20%</t>
  </si>
  <si>
    <t>融通新蓝筹</t>
  </si>
  <si>
    <t>融通新蓝筹证券投资基金</t>
  </si>
  <si>
    <t>何龙</t>
  </si>
  <si>
    <t xml:space="preserve">1年以下 1.6%_x000D_
1~2年 1.2%_x000D_
2~3年 0.8%_x000D_
3~4年 0.4%_x000D_
4年以上 0%_x000D_
</t>
  </si>
  <si>
    <t>富国天源沪港深平衡混合</t>
  </si>
  <si>
    <t>富国天源沪港深平衡混合型证券投资基金</t>
  </si>
  <si>
    <t>沪深300指数收益率*65%+中债综合全价指数收益率*30%+同业存款利率*5%</t>
  </si>
  <si>
    <t>国泰金鹰增长混合</t>
  </si>
  <si>
    <t>国泰金鹰增长混合型证券投资基金</t>
  </si>
  <si>
    <t>南方稳健</t>
  </si>
  <si>
    <t>南方稳健成长证券投资基金</t>
  </si>
  <si>
    <t xml:space="preserve">1000万元以上 1000元/笔_x000D_
100万元以下 1.6%_x000D_
100~1000万元 1.3%_x000D_
</t>
  </si>
  <si>
    <t>诺德优选30混合</t>
  </si>
  <si>
    <t>诺德优选30混合型证券投资基金</t>
  </si>
  <si>
    <t>沪深300指数*80%+同业存款利率*20%</t>
  </si>
  <si>
    <t>银河美丽优萃混合A</t>
  </si>
  <si>
    <t>银河美丽优萃混合型证券投资基金</t>
  </si>
  <si>
    <t xml:space="preserve">500万元以上 1000元/笔_x000D_
50万元以下 1.5%_x000D_
50~100万元 1.2%_x000D_
100~200万元 1%_x000D_
200~500万元 0.8%_x000D_
</t>
  </si>
  <si>
    <t>中邮风格轮动灵活配置混合</t>
  </si>
  <si>
    <t>中邮风格轮动灵活配置混合型证券投资基金</t>
  </si>
  <si>
    <t>邓立新,王曼</t>
  </si>
  <si>
    <t xml:space="preserve">500万元以上 1000元/笔_x000D_
500万元以上 1000元/笔_x000D_
50万元以下 1.5%_x000D_
50~200万元 1%_x000D_
200~500万元 0.5%_x000D_
50万元以下 0.3%_x000D_
50~200万元 0.2%_x000D_
200~500万元 0.1%_x000D_
</t>
  </si>
  <si>
    <t>嘉实新消费股票</t>
  </si>
  <si>
    <t>嘉实新消费股票型证券投资基金</t>
  </si>
  <si>
    <t>颜媛</t>
  </si>
  <si>
    <t>中证内地消费主题指数收益率*95%+中债总指数收益率*5%</t>
  </si>
  <si>
    <t>长盛城镇化主题混合</t>
  </si>
  <si>
    <t>长盛城镇化主题混合型证券投资基金</t>
  </si>
  <si>
    <t>城镇化主题</t>
    <phoneticPr fontId="4" type="noConversion"/>
  </si>
  <si>
    <t>王宁</t>
  </si>
  <si>
    <t>广发改革先锋灵活配置混合</t>
  </si>
  <si>
    <t>广发改革先锋灵活配置混合型证券投资基金</t>
  </si>
  <si>
    <t>白金</t>
  </si>
  <si>
    <t>申万新经济</t>
  </si>
  <si>
    <t>申万菱信新经济混合型证券投资基金</t>
  </si>
  <si>
    <t>沪深300指数*85%+金融同业存款利率*15%</t>
  </si>
  <si>
    <t>华夏精选</t>
  </si>
  <si>
    <t>华夏大盘精选证券投资基金</t>
  </si>
  <si>
    <t>佟巍,阳琨</t>
  </si>
  <si>
    <t>富时中国A200指数*80%+富时中国国债指数*20%</t>
  </si>
  <si>
    <t xml:space="preserve">100万元以下 1.5%_x000D_
100~500万元 1.2%_x000D_
500万元以上 1%_x000D_
</t>
  </si>
  <si>
    <t>华富策略</t>
  </si>
  <si>
    <t>华富策略精选灵活配置混合型证券投资基金</t>
  </si>
  <si>
    <t>翁海波</t>
  </si>
  <si>
    <t xml:space="preserve">500万元以上 1000元/笔_x000D_
100万元以下 1.5%_x000D_
100~200万元 1%_x000D_
200~500万元 0.4%_x000D_
</t>
  </si>
  <si>
    <t>新华策略精选股票</t>
  </si>
  <si>
    <t>新华策略精选股票型证券投资基金</t>
  </si>
  <si>
    <t>崔建波,栾江伟</t>
  </si>
  <si>
    <t>长盛中小盘精选混合</t>
  </si>
  <si>
    <t>长盛中小盘精选混合型证券投资基金</t>
  </si>
  <si>
    <t>中证500指数*60%+中证全债指数*40%</t>
  </si>
  <si>
    <t xml:space="preserve">500万元以上 1000元/笔_x000D_
500万元以上 1000元/笔_x000D_
50万元以下 1.2%_x000D_
50~200万元 0.8%_x000D_
200~500万元 0.4%_x000D_
50万元以下 0.36%_x000D_
50~200万元 0.24%_x000D_
200~500万元 0.12%_x000D_
</t>
  </si>
  <si>
    <t>长盛医疗行业量化配置股票</t>
  </si>
  <si>
    <t>长盛医疗行业量化配置股票型证券投资基金</t>
  </si>
  <si>
    <t>中证全指医药卫生指数收益率*80%+中证综合债指数收益率*20%</t>
  </si>
  <si>
    <t>摩根进取优选股票</t>
  </si>
  <si>
    <t>摩根士丹利华鑫进取优选股票型证券投资基金</t>
  </si>
  <si>
    <t>孙海波</t>
  </si>
  <si>
    <t xml:space="preserve">500万元以上 1000元/笔_x000D_
500万元以上 1000元/笔,通过基金管理人的直销中心申购本基金基金份额的养老金客户申购费率_x000D_
100万元以下 1.5%_x000D_
100~500万元 1%_x000D_
100万元以下 0.6%_x000D_
100~500万元 0.4%_x000D_
</t>
  </si>
  <si>
    <t>大摩基础</t>
  </si>
  <si>
    <t>摩根士丹利华鑫基础行业证券投资基金</t>
  </si>
  <si>
    <t>基础行业</t>
    <phoneticPr fontId="4" type="noConversion"/>
  </si>
  <si>
    <t>招商优质成长混合</t>
  </si>
  <si>
    <t>招商优质成长混合型证券投资基金(LOF)</t>
  </si>
  <si>
    <t>孙振峰,王忠波</t>
  </si>
  <si>
    <t>沪深300指数*95%+同业存款利率*5%</t>
  </si>
  <si>
    <t xml:space="preserve">50万元以下 1.5%_x000D_
500万元以上 500元/笔_x000D_
200~500万元 0.6%_x000D_
50~200万元 1.2%_x000D_
</t>
  </si>
  <si>
    <t xml:space="preserve">1年以下 1.7%_x000D_
1~2年 1.5%_x000D_
2~3年 1.2%_x000D_
3~5年 0.6%_x000D_
5年以上 0%_x000D_
</t>
  </si>
  <si>
    <t>总排名</t>
    <phoneticPr fontId="2" type="noConversion"/>
  </si>
  <si>
    <t>coe_alpha</t>
    <phoneticPr fontId="2" type="noConversion"/>
  </si>
  <si>
    <t>新组内排名</t>
    <phoneticPr fontId="2" type="noConversion"/>
  </si>
  <si>
    <t>新组内排名%</t>
    <phoneticPr fontId="2" type="noConversion"/>
  </si>
  <si>
    <t>新组内%</t>
    <phoneticPr fontId="2" type="noConversion"/>
  </si>
  <si>
    <t>data_point</t>
    <phoneticPr fontId="2" type="noConversion"/>
  </si>
  <si>
    <t>p_value_alpha</t>
    <phoneticPr fontId="2" type="noConversion"/>
  </si>
  <si>
    <t>NA</t>
  </si>
  <si>
    <t>序号</t>
    <phoneticPr fontId="2" type="noConversion"/>
  </si>
  <si>
    <t>简称</t>
    <phoneticPr fontId="4" type="noConversion"/>
  </si>
  <si>
    <t>基金全称</t>
    <phoneticPr fontId="4" type="noConversion"/>
  </si>
  <si>
    <t>2016年年末（亿）</t>
    <phoneticPr fontId="4" type="noConversion"/>
  </si>
  <si>
    <t>2016年三季度末（亿）</t>
    <phoneticPr fontId="4" type="noConversion"/>
  </si>
  <si>
    <t>鹏华三级分类</t>
    <phoneticPr fontId="4" type="noConversion"/>
  </si>
  <si>
    <t>备注</t>
    <phoneticPr fontId="4" type="noConversion"/>
  </si>
  <si>
    <t>新鹏华二级分类</t>
    <phoneticPr fontId="2" type="noConversion"/>
  </si>
  <si>
    <t>新鹏华三级分类</t>
    <phoneticPr fontId="2" type="noConversion"/>
  </si>
  <si>
    <t>17Q1股票仓位</t>
    <phoneticPr fontId="2" type="noConversion"/>
  </si>
  <si>
    <t>2016Q4股票仓位</t>
    <phoneticPr fontId="4" type="noConversion"/>
  </si>
  <si>
    <t>现任基金经理</t>
    <phoneticPr fontId="4" type="noConversion"/>
  </si>
  <si>
    <t>现任管理年限</t>
    <phoneticPr fontId="4" type="noConversion"/>
  </si>
  <si>
    <t>YTD收益</t>
    <phoneticPr fontId="4" type="noConversion"/>
  </si>
  <si>
    <t>3年平均收益</t>
    <phoneticPr fontId="4" type="noConversion"/>
  </si>
  <si>
    <t>5年平均收益</t>
    <phoneticPr fontId="4" type="noConversion"/>
  </si>
  <si>
    <t>3年夏普</t>
    <phoneticPr fontId="4" type="noConversion"/>
  </si>
  <si>
    <t>5年夏普</t>
    <phoneticPr fontId="4" type="noConversion"/>
  </si>
  <si>
    <t>业绩基准</t>
    <phoneticPr fontId="4" type="noConversion"/>
  </si>
  <si>
    <t>银河3年评级</t>
    <phoneticPr fontId="4" type="noConversion"/>
  </si>
  <si>
    <t>万得3年评级</t>
    <phoneticPr fontId="4" type="noConversion"/>
  </si>
  <si>
    <t>市场综合评级</t>
    <phoneticPr fontId="4" type="noConversion"/>
  </si>
  <si>
    <t>前端费用</t>
    <phoneticPr fontId="4" type="noConversion"/>
  </si>
  <si>
    <t>后端费用</t>
    <phoneticPr fontId="4" type="noConversion"/>
  </si>
  <si>
    <t>管理费</t>
    <phoneticPr fontId="4" type="noConversion"/>
  </si>
  <si>
    <t>销售服务费</t>
    <phoneticPr fontId="4" type="noConversion"/>
  </si>
  <si>
    <t>-</t>
    <phoneticPr fontId="4" type="noConversion"/>
  </si>
  <si>
    <t>电子信息行业</t>
    <phoneticPr fontId="4" type="noConversion"/>
  </si>
  <si>
    <t>消费主题</t>
    <phoneticPr fontId="4" type="noConversion"/>
  </si>
  <si>
    <t>沪港深农业主题</t>
    <phoneticPr fontId="4" type="noConversion"/>
  </si>
  <si>
    <t>中国主动型基金</t>
    <phoneticPr fontId="4" type="noConversion"/>
  </si>
  <si>
    <t>工业4.0主题</t>
    <phoneticPr fontId="4" type="noConversion"/>
  </si>
  <si>
    <t>中国主动型基金</t>
    <phoneticPr fontId="4" type="noConversion"/>
  </si>
  <si>
    <t>物联网主题</t>
    <phoneticPr fontId="4" type="noConversion"/>
  </si>
  <si>
    <t>人工智能主题</t>
    <phoneticPr fontId="4" type="noConversion"/>
  </si>
  <si>
    <t>国家安全主题</t>
    <phoneticPr fontId="4" type="noConversion"/>
  </si>
  <si>
    <t>-</t>
    <phoneticPr fontId="4" type="noConversion"/>
  </si>
  <si>
    <t>新能源主题</t>
    <phoneticPr fontId="4" type="noConversion"/>
  </si>
  <si>
    <t>科技创新主题</t>
    <phoneticPr fontId="4" type="noConversion"/>
  </si>
  <si>
    <t>低碳科技主题</t>
    <phoneticPr fontId="4" type="noConversion"/>
  </si>
  <si>
    <t>外延增长主题</t>
    <phoneticPr fontId="4" type="noConversion"/>
  </si>
  <si>
    <t>国家战略主题</t>
    <phoneticPr fontId="4" type="noConversion"/>
  </si>
  <si>
    <t>中国智造主题</t>
    <phoneticPr fontId="4" type="noConversion"/>
  </si>
  <si>
    <t>中国主动型基金</t>
    <phoneticPr fontId="4" type="noConversion"/>
  </si>
  <si>
    <t>沪港深价值主题</t>
    <phoneticPr fontId="4" type="noConversion"/>
  </si>
  <si>
    <t>智联主题</t>
    <phoneticPr fontId="4" type="noConversion"/>
  </si>
  <si>
    <t>互联网主题</t>
    <phoneticPr fontId="4" type="noConversion"/>
  </si>
  <si>
    <t>混改红利主题</t>
    <phoneticPr fontId="4" type="noConversion"/>
  </si>
  <si>
    <t>金银珠宝主题</t>
    <phoneticPr fontId="4" type="noConversion"/>
  </si>
  <si>
    <t>国企改革主题</t>
    <phoneticPr fontId="4" type="noConversion"/>
  </si>
  <si>
    <t>一带一路战略主题</t>
    <phoneticPr fontId="4" type="noConversion"/>
  </si>
  <si>
    <t>信息传媒主题</t>
    <phoneticPr fontId="4" type="noConversion"/>
  </si>
  <si>
    <t>前海开源清洁能源主题精选灵活配置混合型证券投资基金</t>
    <phoneticPr fontId="4" type="noConversion"/>
  </si>
  <si>
    <t>清洁能源主题</t>
    <phoneticPr fontId="4" type="noConversion"/>
  </si>
  <si>
    <t>生态环境行业</t>
    <phoneticPr fontId="4" type="noConversion"/>
  </si>
  <si>
    <t>新丝路主题</t>
    <phoneticPr fontId="4" type="noConversion"/>
  </si>
  <si>
    <t>国企改革主题</t>
    <phoneticPr fontId="4" type="noConversion"/>
  </si>
  <si>
    <t>再融资主题</t>
    <phoneticPr fontId="4" type="noConversion"/>
  </si>
  <si>
    <t>国家安全主题</t>
    <phoneticPr fontId="4" type="noConversion"/>
  </si>
  <si>
    <t>平安中国主题</t>
    <phoneticPr fontId="4" type="noConversion"/>
  </si>
  <si>
    <t>一带一路主题</t>
    <phoneticPr fontId="4" type="noConversion"/>
  </si>
  <si>
    <t>新材料新能源行业</t>
    <phoneticPr fontId="4" type="noConversion"/>
  </si>
  <si>
    <t>智能装备主题</t>
    <phoneticPr fontId="4" type="noConversion"/>
  </si>
  <si>
    <t>现代服务主题</t>
    <phoneticPr fontId="4" type="noConversion"/>
  </si>
  <si>
    <t>健康生活主题</t>
    <phoneticPr fontId="4" type="noConversion"/>
  </si>
  <si>
    <t>美丽成长主题</t>
    <phoneticPr fontId="4" type="noConversion"/>
  </si>
  <si>
    <t>国企改革主题</t>
    <phoneticPr fontId="4" type="noConversion"/>
  </si>
  <si>
    <t>消费医药主题</t>
    <phoneticPr fontId="4" type="noConversion"/>
  </si>
  <si>
    <t>战略转型主题</t>
    <phoneticPr fontId="4" type="noConversion"/>
  </si>
  <si>
    <t>医疗保健主题</t>
    <phoneticPr fontId="4" type="noConversion"/>
  </si>
  <si>
    <t>国企改革主题</t>
    <phoneticPr fontId="4" type="noConversion"/>
  </si>
  <si>
    <t>无限互联主题</t>
    <phoneticPr fontId="4" type="noConversion"/>
  </si>
  <si>
    <t>消费主题</t>
    <phoneticPr fontId="4" type="noConversion"/>
  </si>
  <si>
    <t>外延增长主题</t>
    <phoneticPr fontId="4" type="noConversion"/>
  </si>
  <si>
    <t>医疗保健行业</t>
    <phoneticPr fontId="4" type="noConversion"/>
  </si>
  <si>
    <t>高端制造行业</t>
    <phoneticPr fontId="4" type="noConversion"/>
  </si>
  <si>
    <t>未来主题</t>
    <phoneticPr fontId="4" type="noConversion"/>
  </si>
  <si>
    <t>环保行业</t>
    <phoneticPr fontId="4" type="noConversion"/>
  </si>
  <si>
    <t>生态环境主题</t>
    <phoneticPr fontId="4" type="noConversion"/>
  </si>
  <si>
    <t>银发商机主题</t>
    <phoneticPr fontId="4" type="noConversion"/>
  </si>
  <si>
    <t>金融地产行业</t>
    <phoneticPr fontId="4" type="noConversion"/>
  </si>
  <si>
    <t>电子信息主题</t>
    <phoneticPr fontId="4" type="noConversion"/>
  </si>
  <si>
    <t>消费行业</t>
    <phoneticPr fontId="4" type="noConversion"/>
  </si>
  <si>
    <t>可持续发展主题</t>
    <phoneticPr fontId="4" type="noConversion"/>
  </si>
  <si>
    <t>医疗保健行业</t>
    <phoneticPr fontId="4" type="noConversion"/>
  </si>
  <si>
    <t>新经济主题</t>
    <phoneticPr fontId="4" type="noConversion"/>
  </si>
  <si>
    <t>分级基金</t>
    <phoneticPr fontId="4" type="noConversion"/>
  </si>
  <si>
    <t>医疗保健主题</t>
    <phoneticPr fontId="4" type="noConversion"/>
  </si>
  <si>
    <t>资源行业</t>
    <phoneticPr fontId="4" type="noConversion"/>
  </si>
  <si>
    <t>分级基金</t>
    <phoneticPr fontId="4" type="noConversion"/>
  </si>
  <si>
    <t>升级主题</t>
    <phoneticPr fontId="4" type="noConversion"/>
  </si>
  <si>
    <t>消费服务行业</t>
    <phoneticPr fontId="4" type="noConversion"/>
  </si>
  <si>
    <t>发展主题</t>
    <phoneticPr fontId="4" type="noConversion"/>
  </si>
  <si>
    <t>通胀通缩主题</t>
    <phoneticPr fontId="4" type="noConversion"/>
  </si>
  <si>
    <t>富裕主题</t>
    <phoneticPr fontId="4" type="noConversion"/>
  </si>
  <si>
    <t>服务行业</t>
    <phoneticPr fontId="4" type="noConversion"/>
  </si>
  <si>
    <t>城镇化主题</t>
    <phoneticPr fontId="4" type="noConversion"/>
  </si>
  <si>
    <t>基础行业</t>
    <phoneticPr fontId="4" type="noConversion"/>
  </si>
  <si>
    <t>17Q1SR新分类</t>
    <phoneticPr fontId="2" type="noConversion"/>
  </si>
  <si>
    <t>17Q1SR新分类</t>
    <phoneticPr fontId="2" type="noConversion"/>
  </si>
  <si>
    <t>时间顺序</t>
    <phoneticPr fontId="2" type="noConversion"/>
  </si>
  <si>
    <t>/</t>
    <phoneticPr fontId="2" type="noConversion"/>
  </si>
  <si>
    <t>乔海英,神爱前</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</si>
</sst>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76" formatCode="0.00_ "/>
    <numFmt numFmtId="177" formatCode="0_);[Red]\(0\)"/>
    <numFmt numFmtId="178" formatCode="0.00_ ;[Red]\-0.00\ "/>
    <numFmt numFmtId="179" formatCode="000000"/>
    <numFmt numFmtId="180" formatCode="0.00_);[Red]\(0.00\)"/>
    <numFmt numFmtId="181" formatCode="###,###,##0.0000"/>
    <numFmt numFmtId="182" formatCode="###,###,##0.00"/>
    <numFmt numFmtId="183" formatCode="#,##0.00_ "/>
  </numFmts>
  <fonts count="12" x14ac:knownFonts="1">
    <font>
      <sz val="11"/>
      <color theme="1"/>
      <name val="宋体"/>
      <family val="2"/>
      <charset val="134"/>
      <scheme val="minor"/>
    </font>
    <font>
      <sz val="11"/>
      <color theme="1"/>
      <name val="宋体"/>
      <family val="2"/>
      <charset val="134"/>
      <scheme val="minor"/>
    </font>
    <font>
      <sz val="9"/>
      <name val="宋体"/>
      <family val="2"/>
      <charset val="134"/>
      <scheme val="minor"/>
    </font>
    <font>
      <sz val="10"/>
      <color indexed="8"/>
      <name val="宋体"/>
      <family val="2"/>
    </font>
    <font>
      <sz val="9"/>
      <name val="宋体"/>
      <family val="3"/>
      <charset val="134"/>
      <scheme val="minor"/>
    </font>
    <font>
      <sz val="10"/>
      <color indexed="8"/>
      <name val="宋体"/>
      <family val="3"/>
      <charset val="134"/>
    </font>
    <font>
      <sz val="10"/>
      <color theme="1"/>
      <name val="宋体"/>
      <family val="3"/>
      <charset val="134"/>
      <scheme val="minor"/>
    </font>
    <font>
      <sz val="9"/>
      <color indexed="8"/>
      <name val="宋体"/>
      <family val="2"/>
      <charset val="134"/>
    </font>
    <font>
      <sz val="10"/>
      <color theme="1"/>
      <name val="宋体"/>
      <family val="2"/>
      <scheme val="minor"/>
    </font>
    <font>
      <b/>
      <sz val="8"/>
      <color theme="1"/>
      <name val="宋体"/>
      <family val="3"/>
      <charset val="134"/>
      <scheme val="minor"/>
    </font>
    <font>
      <sz val="10"/>
      <color theme="1"/>
      <name val="宋体"/>
      <family val="2"/>
      <charset val="134"/>
      <scheme val="minor"/>
    </font>
    <font>
      <sz val="11"/>
      <color theme="1"/>
      <name val="宋体"/>
      <family val="2"/>
      <scheme val="minor"/>
    </font>
  </fonts>
  <fills count="14">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0"/>
        <bgColor indexed="64"/>
      </patternFill>
    </fill>
    <fill>
      <patternFill patternType="solid">
        <fgColor theme="7" tint="0.39997558519241921"/>
        <bgColor indexed="64"/>
      </patternFill>
    </fill>
    <fill>
      <patternFill patternType="solid">
        <fgColor rgb="FFFF000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2"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alignment vertical="center"/>
    </xf>
    <xf numFmtId="9" fontId="1" fillId="0" borderId="0" applyFont="0" applyFill="0" applyBorder="0" applyAlignment="0" applyProtection="0">
      <alignment vertical="center"/>
    </xf>
    <xf numFmtId="0" fontId="11" fillId="0" borderId="0"/>
  </cellStyleXfs>
  <cellXfs count="70">
    <xf numFmtId="0" fontId="0" fillId="0" borderId="0" xfId="0">
      <alignment vertical="center"/>
    </xf>
    <xf numFmtId="176" fontId="3" fillId="2" borderId="1" xfId="0" applyNumberFormat="1" applyFont="1" applyFill="1" applyBorder="1" applyAlignment="1">
      <alignment horizontal="center" vertical="center"/>
    </xf>
    <xf numFmtId="49" fontId="5" fillId="2" borderId="1" xfId="0" applyNumberFormat="1" applyFont="1" applyFill="1" applyBorder="1" applyAlignment="1">
      <alignment horizontal="center" vertical="center"/>
    </xf>
    <xf numFmtId="177"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4" borderId="2" xfId="0" applyFont="1" applyFill="1" applyBorder="1" applyAlignment="1">
      <alignment horizontal="center" vertical="center"/>
    </xf>
    <xf numFmtId="10" fontId="5" fillId="4" borderId="2" xfId="0" applyNumberFormat="1" applyFont="1" applyFill="1" applyBorder="1" applyAlignment="1">
      <alignment horizontal="center" vertical="center"/>
    </xf>
    <xf numFmtId="178" fontId="5" fillId="4" borderId="2" xfId="0" applyNumberFormat="1" applyFont="1" applyFill="1" applyBorder="1" applyAlignment="1">
      <alignment horizontal="center" vertical="center"/>
    </xf>
    <xf numFmtId="0" fontId="5" fillId="4" borderId="2" xfId="0" applyFont="1" applyFill="1" applyBorder="1" applyAlignment="1">
      <alignment vertical="center"/>
    </xf>
    <xf numFmtId="0" fontId="5" fillId="4" borderId="2" xfId="0" applyNumberFormat="1" applyFont="1" applyFill="1" applyBorder="1" applyAlignment="1">
      <alignment horizontal="center" vertical="center"/>
    </xf>
    <xf numFmtId="179" fontId="6" fillId="0" borderId="1" xfId="0" applyNumberFormat="1" applyFont="1" applyFill="1" applyBorder="1" applyAlignment="1">
      <alignment horizontal="center"/>
    </xf>
    <xf numFmtId="0" fontId="7" fillId="0" borderId="1" xfId="0" applyFont="1" applyBorder="1" applyAlignment="1">
      <alignment horizontal="center"/>
    </xf>
    <xf numFmtId="0" fontId="8" fillId="0" borderId="1" xfId="0" applyFont="1" applyBorder="1" applyAlignment="1">
      <alignment horizontal="center"/>
    </xf>
    <xf numFmtId="180" fontId="8" fillId="0" borderId="1" xfId="0" applyNumberFormat="1" applyFont="1" applyBorder="1" applyAlignment="1">
      <alignment horizontal="center"/>
    </xf>
    <xf numFmtId="180" fontId="6" fillId="0" borderId="1" xfId="0" applyNumberFormat="1" applyFont="1" applyBorder="1" applyAlignment="1">
      <alignment horizontal="center"/>
    </xf>
    <xf numFmtId="0" fontId="6" fillId="0" borderId="1" xfId="0" applyFont="1" applyBorder="1" applyAlignment="1"/>
    <xf numFmtId="0" fontId="6" fillId="0" borderId="1" xfId="0" applyFont="1" applyBorder="1" applyAlignment="1">
      <alignment horizontal="center"/>
    </xf>
    <xf numFmtId="0" fontId="6" fillId="5" borderId="1" xfId="0" applyFont="1" applyFill="1" applyBorder="1" applyAlignment="1">
      <alignment horizontal="center"/>
    </xf>
    <xf numFmtId="0" fontId="8" fillId="5" borderId="1" xfId="0" applyFont="1" applyFill="1" applyBorder="1" applyAlignment="1">
      <alignment horizontal="center"/>
    </xf>
    <xf numFmtId="181" fontId="6" fillId="5" borderId="1" xfId="0" applyNumberFormat="1" applyFont="1" applyFill="1" applyBorder="1" applyAlignment="1">
      <alignment horizontal="center"/>
    </xf>
    <xf numFmtId="182" fontId="6" fillId="5" borderId="1" xfId="0" applyNumberFormat="1" applyFont="1" applyFill="1" applyBorder="1" applyAlignment="1">
      <alignment horizontal="center"/>
    </xf>
    <xf numFmtId="10" fontId="6" fillId="6" borderId="1" xfId="0" applyNumberFormat="1" applyFont="1" applyFill="1" applyBorder="1" applyAlignment="1">
      <alignment horizontal="center"/>
    </xf>
    <xf numFmtId="0" fontId="8" fillId="0" borderId="0" xfId="0" applyFont="1" applyAlignment="1"/>
    <xf numFmtId="176" fontId="6" fillId="0" borderId="0" xfId="0" applyNumberFormat="1" applyFont="1" applyFill="1" applyAlignment="1">
      <alignment horizontal="center"/>
    </xf>
    <xf numFmtId="10" fontId="8" fillId="0" borderId="0" xfId="0" applyNumberFormat="1" applyFont="1" applyAlignment="1"/>
    <xf numFmtId="10" fontId="6" fillId="0" borderId="0" xfId="0" applyNumberFormat="1" applyFont="1" applyFill="1" applyAlignment="1">
      <alignment horizontal="center"/>
    </xf>
    <xf numFmtId="183" fontId="6" fillId="0" borderId="0" xfId="0" applyNumberFormat="1" applyFont="1" applyFill="1" applyAlignment="1">
      <alignment horizontal="center"/>
    </xf>
    <xf numFmtId="0" fontId="6" fillId="0" borderId="0" xfId="0" applyFont="1" applyFill="1" applyAlignment="1">
      <alignment horizontal="center"/>
    </xf>
    <xf numFmtId="0" fontId="6" fillId="0" borderId="0" xfId="0" applyNumberFormat="1" applyFont="1" applyFill="1" applyAlignment="1">
      <alignment horizontal="center"/>
    </xf>
    <xf numFmtId="0" fontId="8" fillId="0" borderId="0" xfId="0" applyFont="1" applyAlignment="1">
      <alignment horizontal="center"/>
    </xf>
    <xf numFmtId="10" fontId="8" fillId="0" borderId="0" xfId="0" applyNumberFormat="1" applyFont="1" applyAlignment="1">
      <alignment horizontal="center"/>
    </xf>
    <xf numFmtId="0" fontId="7" fillId="0" borderId="1" xfId="0" applyFont="1" applyBorder="1" applyAlignment="1">
      <alignment horizontal="center" vertical="center"/>
    </xf>
    <xf numFmtId="0" fontId="6" fillId="0" borderId="0" xfId="0" applyFont="1" applyFill="1" applyAlignment="1"/>
    <xf numFmtId="0" fontId="6" fillId="0" borderId="1" xfId="0" applyFont="1" applyFill="1" applyBorder="1" applyAlignment="1">
      <alignment horizontal="center"/>
    </xf>
    <xf numFmtId="0" fontId="7" fillId="7" borderId="1" xfId="0" applyFont="1" applyFill="1" applyBorder="1" applyAlignment="1">
      <alignment horizontal="center" vertical="center"/>
    </xf>
    <xf numFmtId="0" fontId="8" fillId="7" borderId="1" xfId="0" applyFont="1" applyFill="1" applyBorder="1" applyAlignment="1">
      <alignment horizontal="center"/>
    </xf>
    <xf numFmtId="180" fontId="8" fillId="7" borderId="1" xfId="0" applyNumberFormat="1" applyFont="1" applyFill="1" applyBorder="1" applyAlignment="1">
      <alignment horizontal="center"/>
    </xf>
    <xf numFmtId="0" fontId="6" fillId="7" borderId="1" xfId="0" applyFont="1" applyFill="1" applyBorder="1" applyAlignment="1"/>
    <xf numFmtId="0" fontId="6" fillId="7" borderId="1" xfId="0" applyFont="1" applyFill="1" applyBorder="1" applyAlignment="1">
      <alignment horizontal="center"/>
    </xf>
    <xf numFmtId="0" fontId="6" fillId="7" borderId="0" xfId="0" applyFont="1" applyFill="1" applyAlignment="1"/>
    <xf numFmtId="0" fontId="6" fillId="7" borderId="0" xfId="0" applyNumberFormat="1" applyFont="1" applyFill="1" applyAlignment="1">
      <alignment horizontal="center"/>
    </xf>
    <xf numFmtId="0" fontId="8" fillId="7" borderId="0" xfId="0" applyFont="1" applyFill="1" applyAlignment="1"/>
    <xf numFmtId="0" fontId="8" fillId="7" borderId="0" xfId="0" applyFont="1" applyFill="1" applyAlignment="1">
      <alignment horizontal="center"/>
    </xf>
    <xf numFmtId="10" fontId="8" fillId="7" borderId="0" xfId="0" applyNumberFormat="1" applyFont="1" applyFill="1" applyAlignment="1">
      <alignment horizontal="center"/>
    </xf>
    <xf numFmtId="176" fontId="6" fillId="0" borderId="1" xfId="0" applyNumberFormat="1" applyFont="1" applyFill="1" applyBorder="1" applyAlignment="1">
      <alignment horizontal="center"/>
    </xf>
    <xf numFmtId="2" fontId="6" fillId="0" borderId="1" xfId="0" applyNumberFormat="1" applyFont="1" applyFill="1" applyBorder="1" applyAlignment="1">
      <alignment horizontal="center"/>
    </xf>
    <xf numFmtId="181" fontId="6" fillId="0" borderId="0" xfId="0" applyNumberFormat="1" applyFont="1" applyFill="1" applyAlignment="1">
      <alignment horizontal="center"/>
    </xf>
    <xf numFmtId="176" fontId="6" fillId="7" borderId="1" xfId="0" applyNumberFormat="1" applyFont="1" applyFill="1" applyBorder="1" applyAlignment="1">
      <alignment horizontal="center"/>
    </xf>
    <xf numFmtId="0" fontId="6" fillId="3" borderId="1" xfId="0" applyFont="1" applyFill="1" applyBorder="1" applyAlignment="1">
      <alignment horizontal="center"/>
    </xf>
    <xf numFmtId="181" fontId="6" fillId="7" borderId="0" xfId="0" applyNumberFormat="1" applyFont="1" applyFill="1" applyAlignment="1">
      <alignment horizontal="center"/>
    </xf>
    <xf numFmtId="0" fontId="6" fillId="7" borderId="0" xfId="0" applyFont="1" applyFill="1" applyAlignment="1">
      <alignment horizontal="center"/>
    </xf>
    <xf numFmtId="10" fontId="6" fillId="7" borderId="0" xfId="0" applyNumberFormat="1" applyFont="1" applyFill="1" applyAlignment="1">
      <alignment horizontal="center"/>
    </xf>
    <xf numFmtId="0" fontId="6" fillId="0" borderId="3" xfId="0" applyFont="1" applyFill="1" applyBorder="1" applyAlignment="1">
      <alignment horizontal="center"/>
    </xf>
    <xf numFmtId="0" fontId="6" fillId="5" borderId="3" xfId="0" applyFont="1" applyFill="1" applyBorder="1" applyAlignment="1">
      <alignment horizontal="center"/>
    </xf>
    <xf numFmtId="0" fontId="6" fillId="8" borderId="1" xfId="0" applyFont="1" applyFill="1" applyBorder="1" applyAlignment="1">
      <alignment horizontal="center"/>
    </xf>
    <xf numFmtId="10" fontId="6" fillId="5" borderId="1" xfId="0" applyNumberFormat="1" applyFont="1" applyFill="1" applyBorder="1" applyAlignment="1">
      <alignment horizontal="center"/>
    </xf>
    <xf numFmtId="0" fontId="9" fillId="9" borderId="4" xfId="0" applyFont="1" applyFill="1" applyBorder="1">
      <alignment vertical="center"/>
    </xf>
    <xf numFmtId="0" fontId="6" fillId="10" borderId="1" xfId="0" applyFont="1" applyFill="1" applyBorder="1" applyAlignment="1">
      <alignment horizontal="center"/>
    </xf>
    <xf numFmtId="0" fontId="8" fillId="10" borderId="1" xfId="0" applyFont="1" applyFill="1" applyBorder="1" applyAlignment="1">
      <alignment horizontal="center"/>
    </xf>
    <xf numFmtId="0" fontId="6" fillId="10" borderId="3" xfId="0" applyFont="1" applyFill="1" applyBorder="1" applyAlignment="1">
      <alignment horizontal="center"/>
    </xf>
    <xf numFmtId="0" fontId="8" fillId="11" borderId="1" xfId="0" applyFont="1" applyFill="1" applyBorder="1" applyAlignment="1">
      <alignment horizontal="center"/>
    </xf>
    <xf numFmtId="0" fontId="8" fillId="6" borderId="1" xfId="0" applyFont="1" applyFill="1" applyBorder="1" applyAlignment="1">
      <alignment horizontal="center"/>
    </xf>
    <xf numFmtId="0" fontId="10" fillId="0" borderId="0" xfId="0" applyFont="1">
      <alignment vertical="center"/>
    </xf>
    <xf numFmtId="0" fontId="6" fillId="0" borderId="0" xfId="0" applyFont="1">
      <alignment vertical="center"/>
    </xf>
    <xf numFmtId="10" fontId="8" fillId="6" borderId="1" xfId="1" applyNumberFormat="1" applyFont="1" applyFill="1" applyBorder="1" applyAlignment="1">
      <alignment horizontal="center"/>
    </xf>
    <xf numFmtId="0" fontId="8" fillId="12" borderId="1" xfId="0" applyFont="1" applyFill="1" applyBorder="1" applyAlignment="1">
      <alignment horizontal="center"/>
    </xf>
    <xf numFmtId="179" fontId="6" fillId="12" borderId="1" xfId="0" applyNumberFormat="1" applyFont="1" applyFill="1" applyBorder="1" applyAlignment="1">
      <alignment horizontal="center"/>
    </xf>
    <xf numFmtId="10" fontId="8" fillId="12" borderId="1" xfId="1" applyNumberFormat="1" applyFont="1" applyFill="1" applyBorder="1" applyAlignment="1">
      <alignment horizontal="center"/>
    </xf>
    <xf numFmtId="176" fontId="3" fillId="13" borderId="1" xfId="0" applyNumberFormat="1" applyFont="1" applyFill="1" applyBorder="1" applyAlignment="1">
      <alignment horizontal="center" vertical="center"/>
    </xf>
  </cellXfs>
  <cellStyles count="3">
    <cellStyle name="百分比" xfId="1" builtinId="5"/>
    <cellStyle name="常规" xfId="0" builtinId="0"/>
    <cellStyle name="常规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nd/Wind.NET.Client/WindNET/DataBrowse/XLA/WindFunc.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definedNames>
      <definedName name="f_info_fundmanager"/>
      <definedName name="f_prt_stocktonav"/>
    </definedNames>
    <sheetDataSet>
      <sheetData sheetId="0"/>
      <sheetData sheetId="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967"/>
  <sheetViews>
    <sheetView workbookViewId="0">
      <selection activeCell="L934" sqref="L1:L934"/>
    </sheetView>
  </sheetViews>
  <sheetFormatPr defaultRowHeight="13.5" x14ac:dyDescent="0.15"/>
  <cols>
    <col min="1" max="1" width="5.75" customWidth="1"/>
    <col min="15" max="15" width="12.25" bestFit="1" customWidth="1"/>
    <col min="27" max="27" width="5" customWidth="1"/>
  </cols>
  <sheetData>
    <row r="1" spans="1:44" ht="14.25" thickBot="1" x14ac:dyDescent="0.2">
      <c r="A1" t="s">
        <v>0</v>
      </c>
      <c r="B1" s="1" t="s">
        <v>1</v>
      </c>
      <c r="C1" s="1" t="s">
        <v>3738</v>
      </c>
      <c r="D1" s="1" t="s">
        <v>3739</v>
      </c>
      <c r="E1" s="1" t="s">
        <v>3743</v>
      </c>
      <c r="F1" s="1" t="s">
        <v>3744</v>
      </c>
      <c r="G1" s="57" t="s">
        <v>3740</v>
      </c>
      <c r="H1" s="57" t="s">
        <v>3741</v>
      </c>
      <c r="I1" s="57" t="s">
        <v>3742</v>
      </c>
      <c r="J1" s="5" t="s">
        <v>14</v>
      </c>
      <c r="K1" s="5" t="s">
        <v>15</v>
      </c>
      <c r="L1" s="5" t="s">
        <v>3844</v>
      </c>
      <c r="M1" s="5" t="s">
        <v>16</v>
      </c>
      <c r="N1" s="5" t="s">
        <v>17</v>
      </c>
      <c r="O1" s="5" t="s">
        <v>18</v>
      </c>
      <c r="P1" s="1" t="s">
        <v>2</v>
      </c>
      <c r="Q1" s="1" t="s">
        <v>3</v>
      </c>
      <c r="R1" s="2" t="s">
        <v>4</v>
      </c>
      <c r="S1" s="3" t="s">
        <v>5</v>
      </c>
      <c r="T1" s="4" t="s">
        <v>6</v>
      </c>
      <c r="U1" s="4" t="s">
        <v>7</v>
      </c>
      <c r="V1" s="5" t="s">
        <v>8</v>
      </c>
      <c r="W1" s="5" t="s">
        <v>9</v>
      </c>
      <c r="X1" s="5" t="s">
        <v>10</v>
      </c>
      <c r="Y1" s="5" t="s">
        <v>11</v>
      </c>
      <c r="Z1" s="5" t="s">
        <v>12</v>
      </c>
      <c r="AA1" s="5" t="s">
        <v>13</v>
      </c>
      <c r="AB1" s="5" t="s">
        <v>19</v>
      </c>
      <c r="AC1" s="6" t="s">
        <v>20</v>
      </c>
      <c r="AD1" s="6" t="s">
        <v>21</v>
      </c>
      <c r="AE1" s="7" t="s">
        <v>22</v>
      </c>
      <c r="AF1" s="7" t="s">
        <v>23</v>
      </c>
      <c r="AG1" s="7" t="s">
        <v>24</v>
      </c>
      <c r="AH1" s="8" t="s">
        <v>25</v>
      </c>
      <c r="AI1" s="8" t="s">
        <v>26</v>
      </c>
      <c r="AJ1" s="8" t="s">
        <v>27</v>
      </c>
      <c r="AK1" s="9" t="s">
        <v>28</v>
      </c>
      <c r="AL1" s="10" t="s">
        <v>29</v>
      </c>
      <c r="AM1" s="10" t="s">
        <v>30</v>
      </c>
      <c r="AN1" s="10" t="s">
        <v>31</v>
      </c>
      <c r="AO1" s="6" t="s">
        <v>32</v>
      </c>
      <c r="AP1" s="6" t="s">
        <v>33</v>
      </c>
      <c r="AQ1" s="7" t="s">
        <v>34</v>
      </c>
      <c r="AR1" s="7" t="s">
        <v>35</v>
      </c>
    </row>
    <row r="2" spans="1:44" x14ac:dyDescent="0.15">
      <c r="A2">
        <v>947</v>
      </c>
      <c r="B2" s="11">
        <v>3581</v>
      </c>
      <c r="C2" s="32"/>
      <c r="D2" s="32">
        <v>9.2438063218708603E-4</v>
      </c>
      <c r="E2" s="32">
        <v>14</v>
      </c>
      <c r="F2" s="32">
        <v>0.77077886289693398</v>
      </c>
      <c r="G2" s="11"/>
      <c r="H2" s="11"/>
      <c r="I2" s="11"/>
      <c r="J2" s="18" t="s">
        <v>44</v>
      </c>
      <c r="K2" s="19" t="s">
        <v>45</v>
      </c>
      <c r="L2" s="58" t="s">
        <v>65</v>
      </c>
      <c r="M2" s="18">
        <f>[1]!f_prt_stocktonav(B2,"2017/03/31")</f>
        <v>70.614837646484375</v>
      </c>
      <c r="N2" s="20" t="str">
        <f>[1]!f_info_fundmanager(B2)</f>
        <v>林材</v>
      </c>
      <c r="O2" s="21">
        <v>0.25205479452054796</v>
      </c>
      <c r="P2" s="12" t="s">
        <v>36</v>
      </c>
      <c r="Q2" s="13" t="s">
        <v>37</v>
      </c>
      <c r="R2" s="13" t="s">
        <v>38</v>
      </c>
      <c r="S2" s="13">
        <v>20161229</v>
      </c>
      <c r="T2" s="14">
        <v>2.0948294130999998</v>
      </c>
      <c r="U2" s="15" t="s">
        <v>39</v>
      </c>
      <c r="V2" s="16" t="s">
        <v>40</v>
      </c>
      <c r="W2" s="17" t="s">
        <v>41</v>
      </c>
      <c r="X2" s="17" t="s">
        <v>42</v>
      </c>
      <c r="Y2" s="17" t="s">
        <v>43</v>
      </c>
      <c r="Z2" s="13"/>
      <c r="AA2" s="13"/>
      <c r="AB2" s="22">
        <v>0</v>
      </c>
      <c r="AC2" s="23" t="s">
        <v>46</v>
      </c>
      <c r="AD2" s="24">
        <v>2.1917808219178082E-2</v>
      </c>
      <c r="AE2" s="25">
        <v>0</v>
      </c>
      <c r="AF2" s="26">
        <v>0</v>
      </c>
      <c r="AG2" s="26">
        <v>0</v>
      </c>
      <c r="AH2" s="27">
        <v>0</v>
      </c>
      <c r="AI2" s="27">
        <v>0</v>
      </c>
      <c r="AJ2" s="27">
        <v>0</v>
      </c>
      <c r="AK2" s="28" t="s">
        <v>47</v>
      </c>
      <c r="AL2" s="29" t="s">
        <v>48</v>
      </c>
      <c r="AM2" s="29" t="s">
        <v>48</v>
      </c>
      <c r="AN2" s="29" t="s">
        <v>48</v>
      </c>
      <c r="AO2" s="23" t="s">
        <v>49</v>
      </c>
      <c r="AP2" s="30">
        <v>0</v>
      </c>
      <c r="AQ2" s="31">
        <v>1.4999999999999999E-2</v>
      </c>
      <c r="AR2" s="31">
        <v>0</v>
      </c>
    </row>
    <row r="3" spans="1:44" x14ac:dyDescent="0.15">
      <c r="A3">
        <v>791</v>
      </c>
      <c r="B3" s="11">
        <v>3580</v>
      </c>
      <c r="C3" s="32"/>
      <c r="D3" s="32">
        <v>3.3725975839462002E-4</v>
      </c>
      <c r="E3" s="32">
        <v>14</v>
      </c>
      <c r="F3" s="32">
        <v>0.90401604617853304</v>
      </c>
      <c r="G3" s="11"/>
      <c r="H3" s="11"/>
      <c r="I3" s="11"/>
      <c r="J3" s="18" t="s">
        <v>44</v>
      </c>
      <c r="K3" s="19" t="s">
        <v>45</v>
      </c>
      <c r="L3" s="58" t="s">
        <v>65</v>
      </c>
      <c r="M3" s="18">
        <f>[1]!f_prt_stocktonav(B3,"2017/03/31")</f>
        <v>77.049247741699219</v>
      </c>
      <c r="N3" s="20" t="str">
        <f>[1]!f_info_fundmanager(B3)</f>
        <v>彭一博,刘伟</v>
      </c>
      <c r="O3" s="21">
        <v>0.25479452054794521</v>
      </c>
      <c r="P3" s="12" t="s">
        <v>50</v>
      </c>
      <c r="Q3" s="13" t="s">
        <v>51</v>
      </c>
      <c r="R3" s="13" t="s">
        <v>52</v>
      </c>
      <c r="S3" s="13">
        <v>20161228</v>
      </c>
      <c r="T3" s="14">
        <v>2.2286771803000001</v>
      </c>
      <c r="U3" s="15" t="s">
        <v>39</v>
      </c>
      <c r="V3" s="16" t="s">
        <v>40</v>
      </c>
      <c r="W3" s="17" t="s">
        <v>41</v>
      </c>
      <c r="X3" s="17" t="s">
        <v>42</v>
      </c>
      <c r="Y3" s="17" t="s">
        <v>43</v>
      </c>
      <c r="Z3" s="13"/>
      <c r="AA3" s="13"/>
      <c r="AB3" s="22">
        <v>0</v>
      </c>
      <c r="AC3" s="23" t="s">
        <v>53</v>
      </c>
      <c r="AD3" s="24">
        <v>2.4657534246575342E-2</v>
      </c>
      <c r="AE3" s="25">
        <v>-9.5551801602476547E-2</v>
      </c>
      <c r="AF3" s="26">
        <v>0</v>
      </c>
      <c r="AG3" s="26">
        <v>0</v>
      </c>
      <c r="AH3" s="27">
        <v>0</v>
      </c>
      <c r="AI3" s="27">
        <v>0</v>
      </c>
      <c r="AJ3" s="27">
        <v>0</v>
      </c>
      <c r="AK3" s="28" t="s">
        <v>54</v>
      </c>
      <c r="AL3" s="29" t="s">
        <v>48</v>
      </c>
      <c r="AM3" s="29" t="s">
        <v>48</v>
      </c>
      <c r="AN3" s="29" t="s">
        <v>48</v>
      </c>
      <c r="AO3" s="23">
        <v>0</v>
      </c>
      <c r="AP3" s="30">
        <v>0</v>
      </c>
      <c r="AQ3" s="31">
        <v>1.4999999999999999E-2</v>
      </c>
      <c r="AR3" s="31">
        <v>0</v>
      </c>
    </row>
    <row r="4" spans="1:44" x14ac:dyDescent="0.15">
      <c r="A4">
        <v>471</v>
      </c>
      <c r="B4" s="11">
        <v>3940</v>
      </c>
      <c r="C4" s="32"/>
      <c r="D4" s="32">
        <v>7.4533755184627796E-3</v>
      </c>
      <c r="E4" s="32">
        <v>15</v>
      </c>
      <c r="F4" s="32">
        <v>2.8772384344277899E-2</v>
      </c>
      <c r="G4" s="11"/>
      <c r="H4" s="11"/>
      <c r="I4" s="11"/>
      <c r="J4" s="18" t="s">
        <v>44</v>
      </c>
      <c r="K4" s="19" t="s">
        <v>45</v>
      </c>
      <c r="L4" s="58" t="s">
        <v>65</v>
      </c>
      <c r="M4" s="18">
        <f>[1]!f_prt_stocktonav(B4,"2017/03/31")</f>
        <v>85.825592041015625</v>
      </c>
      <c r="N4" s="20" t="str">
        <f>[1]!f_info_fundmanager(B4)</f>
        <v>李晓星</v>
      </c>
      <c r="O4" s="21">
        <v>0.27123287671232876</v>
      </c>
      <c r="P4" s="12" t="s">
        <v>55</v>
      </c>
      <c r="Q4" s="13" t="s">
        <v>56</v>
      </c>
      <c r="R4" s="13" t="s">
        <v>57</v>
      </c>
      <c r="S4" s="13">
        <v>20161222</v>
      </c>
      <c r="T4" s="14">
        <v>0.21753142810000001</v>
      </c>
      <c r="U4" s="15" t="s">
        <v>58</v>
      </c>
      <c r="V4" s="16" t="s">
        <v>40</v>
      </c>
      <c r="W4" s="17" t="s">
        <v>41</v>
      </c>
      <c r="X4" s="17" t="s">
        <v>42</v>
      </c>
      <c r="Y4" s="17" t="s">
        <v>43</v>
      </c>
      <c r="Z4" s="13"/>
      <c r="AA4" s="13"/>
      <c r="AB4" s="22">
        <v>0</v>
      </c>
      <c r="AC4" s="23" t="s">
        <v>59</v>
      </c>
      <c r="AD4" s="24">
        <v>4.1095890410958902E-2</v>
      </c>
      <c r="AE4" s="25">
        <v>-8.0611671872241608E-2</v>
      </c>
      <c r="AF4" s="26">
        <v>0</v>
      </c>
      <c r="AG4" s="26">
        <v>0</v>
      </c>
      <c r="AH4" s="27">
        <v>0</v>
      </c>
      <c r="AI4" s="27">
        <v>0</v>
      </c>
      <c r="AJ4" s="27">
        <v>0</v>
      </c>
      <c r="AK4" s="28" t="s">
        <v>60</v>
      </c>
      <c r="AL4" s="29" t="s">
        <v>48</v>
      </c>
      <c r="AM4" s="29" t="s">
        <v>48</v>
      </c>
      <c r="AN4" s="29" t="s">
        <v>48</v>
      </c>
      <c r="AO4" s="23">
        <v>0</v>
      </c>
      <c r="AP4" s="30">
        <v>0</v>
      </c>
      <c r="AQ4" s="31">
        <v>1.4999999999999999E-2</v>
      </c>
      <c r="AR4" s="31">
        <v>0</v>
      </c>
    </row>
    <row r="5" spans="1:44" x14ac:dyDescent="0.15">
      <c r="A5">
        <v>713</v>
      </c>
      <c r="B5" s="11">
        <v>2179</v>
      </c>
      <c r="C5" s="32"/>
      <c r="D5" s="32">
        <v>3.2771703924030501E-4</v>
      </c>
      <c r="E5" s="32">
        <v>16</v>
      </c>
      <c r="F5" s="32">
        <v>0.89214680916392497</v>
      </c>
      <c r="G5" s="11"/>
      <c r="H5" s="11"/>
      <c r="I5" s="11"/>
      <c r="J5" s="18" t="s">
        <v>44</v>
      </c>
      <c r="K5" s="19" t="s">
        <v>64</v>
      </c>
      <c r="L5" s="58" t="s">
        <v>65</v>
      </c>
      <c r="M5" s="18">
        <f>[1]!f_prt_stocktonav(B5,"2017/03/31")</f>
        <v>79.605606079101563</v>
      </c>
      <c r="N5" s="20" t="str">
        <f>[1]!f_info_fundmanager(B5)</f>
        <v>牛勇,孙晨进</v>
      </c>
      <c r="O5" s="21">
        <v>0.29315068493150687</v>
      </c>
      <c r="P5" s="32" t="s">
        <v>61</v>
      </c>
      <c r="Q5" s="13" t="s">
        <v>62</v>
      </c>
      <c r="R5" s="13" t="s">
        <v>63</v>
      </c>
      <c r="S5" s="13">
        <v>20161214</v>
      </c>
      <c r="T5" s="14">
        <v>7.4166625800999997</v>
      </c>
      <c r="U5" s="15" t="s">
        <v>39</v>
      </c>
      <c r="V5" s="16" t="s">
        <v>40</v>
      </c>
      <c r="W5" s="17" t="s">
        <v>44</v>
      </c>
      <c r="X5" s="17" t="s">
        <v>64</v>
      </c>
      <c r="Y5" s="17" t="s">
        <v>65</v>
      </c>
      <c r="Z5" s="13"/>
      <c r="AA5" s="13"/>
      <c r="AB5" s="22">
        <v>0</v>
      </c>
      <c r="AC5" s="23" t="s">
        <v>66</v>
      </c>
      <c r="AD5" s="24">
        <v>6.3013698630136991E-2</v>
      </c>
      <c r="AE5" s="25">
        <v>2.0474429014387452E-2</v>
      </c>
      <c r="AF5" s="26">
        <v>0</v>
      </c>
      <c r="AG5" s="26">
        <v>0</v>
      </c>
      <c r="AH5" s="27">
        <v>2.1787043221480915</v>
      </c>
      <c r="AI5" s="27">
        <v>2.1787043221480915</v>
      </c>
      <c r="AJ5" s="27">
        <v>2.1787043221480915</v>
      </c>
      <c r="AK5" s="28" t="s">
        <v>67</v>
      </c>
      <c r="AL5" s="29" t="s">
        <v>48</v>
      </c>
      <c r="AM5" s="29" t="s">
        <v>48</v>
      </c>
      <c r="AN5" s="29" t="s">
        <v>48</v>
      </c>
      <c r="AO5" s="23" t="s">
        <v>68</v>
      </c>
      <c r="AP5" s="30">
        <v>0</v>
      </c>
      <c r="AQ5" s="31">
        <v>1.4999999999999999E-2</v>
      </c>
      <c r="AR5" s="31">
        <v>0</v>
      </c>
    </row>
    <row r="6" spans="1:44" x14ac:dyDescent="0.15">
      <c r="A6">
        <v>647</v>
      </c>
      <c r="B6" s="11">
        <v>3717</v>
      </c>
      <c r="C6" s="32"/>
      <c r="D6" s="32">
        <v>2.6817890176867899E-3</v>
      </c>
      <c r="E6" s="32">
        <v>16</v>
      </c>
      <c r="F6" s="32">
        <v>0.107554927570752</v>
      </c>
      <c r="G6" s="11"/>
      <c r="H6" s="11"/>
      <c r="I6" s="11"/>
      <c r="J6" s="18" t="s">
        <v>44</v>
      </c>
      <c r="K6" s="19" t="s">
        <v>64</v>
      </c>
      <c r="L6" s="58" t="s">
        <v>274</v>
      </c>
      <c r="M6" s="18">
        <f>[1]!f_prt_stocktonav(B6,"2017/03/31")</f>
        <v>81.543319702148438</v>
      </c>
      <c r="N6" s="20" t="str">
        <f>[1]!f_info_fundmanager(B6)</f>
        <v>赵志华</v>
      </c>
      <c r="O6" s="21">
        <v>0.29589041095890412</v>
      </c>
      <c r="P6" s="32" t="s">
        <v>69</v>
      </c>
      <c r="Q6" s="13" t="s">
        <v>70</v>
      </c>
      <c r="R6" s="13" t="s">
        <v>71</v>
      </c>
      <c r="S6" s="13">
        <v>20161213</v>
      </c>
      <c r="T6" s="14">
        <v>9.2105014099999991</v>
      </c>
      <c r="U6" s="15" t="s">
        <v>72</v>
      </c>
      <c r="V6" s="16" t="s">
        <v>40</v>
      </c>
      <c r="W6" s="17" t="s">
        <v>44</v>
      </c>
      <c r="X6" s="17" t="s">
        <v>64</v>
      </c>
      <c r="Y6" s="17" t="s">
        <v>65</v>
      </c>
      <c r="Z6" s="13"/>
      <c r="AA6" s="13"/>
      <c r="AB6" s="22">
        <v>0</v>
      </c>
      <c r="AC6" s="23" t="s">
        <v>73</v>
      </c>
      <c r="AD6" s="24">
        <v>6.575342465753424E-2</v>
      </c>
      <c r="AE6" s="25">
        <v>2.7240343173987824E-2</v>
      </c>
      <c r="AF6" s="26">
        <v>0</v>
      </c>
      <c r="AG6" s="26">
        <v>0</v>
      </c>
      <c r="AH6" s="27">
        <v>26.945716349141062</v>
      </c>
      <c r="AI6" s="27">
        <v>26.945716349141062</v>
      </c>
      <c r="AJ6" s="27">
        <v>26.945716349141062</v>
      </c>
      <c r="AK6" s="28" t="s">
        <v>74</v>
      </c>
      <c r="AL6" s="29" t="s">
        <v>48</v>
      </c>
      <c r="AM6" s="29" t="s">
        <v>48</v>
      </c>
      <c r="AN6" s="29" t="s">
        <v>48</v>
      </c>
      <c r="AO6" s="23" t="s">
        <v>75</v>
      </c>
      <c r="AP6" s="30">
        <v>0</v>
      </c>
      <c r="AQ6" s="31">
        <v>1.4999999999999999E-2</v>
      </c>
      <c r="AR6" s="31">
        <v>0</v>
      </c>
    </row>
    <row r="7" spans="1:44" x14ac:dyDescent="0.15">
      <c r="A7">
        <v>728</v>
      </c>
      <c r="B7" s="11">
        <v>3993</v>
      </c>
      <c r="C7" s="32"/>
      <c r="D7" s="32">
        <v>5.4018590066471099E-4</v>
      </c>
      <c r="E7" s="32">
        <v>16</v>
      </c>
      <c r="F7" s="32">
        <v>0.88458092259435805</v>
      </c>
      <c r="G7" s="11"/>
      <c r="H7" s="11"/>
      <c r="I7" s="11"/>
      <c r="J7" s="18" t="s">
        <v>44</v>
      </c>
      <c r="K7" s="19" t="s">
        <v>45</v>
      </c>
      <c r="L7" s="58" t="s">
        <v>65</v>
      </c>
      <c r="M7" s="18">
        <f>[1]!f_prt_stocktonav(B7,"2017/03/31")</f>
        <v>79.214019775390625</v>
      </c>
      <c r="N7" s="20" t="str">
        <f>[1]!f_info_fundmanager(B7)</f>
        <v>丁骏</v>
      </c>
      <c r="O7" s="21">
        <v>0.29589041095890412</v>
      </c>
      <c r="P7" s="32" t="s">
        <v>76</v>
      </c>
      <c r="Q7" s="13" t="s">
        <v>77</v>
      </c>
      <c r="R7" s="13" t="s">
        <v>78</v>
      </c>
      <c r="S7" s="13">
        <v>20161213</v>
      </c>
      <c r="T7" s="14">
        <v>2.5102016794000002</v>
      </c>
      <c r="U7" s="15" t="s">
        <v>79</v>
      </c>
      <c r="V7" s="16" t="s">
        <v>40</v>
      </c>
      <c r="W7" s="17" t="s">
        <v>41</v>
      </c>
      <c r="X7" s="17" t="s">
        <v>42</v>
      </c>
      <c r="Y7" s="17" t="s">
        <v>43</v>
      </c>
      <c r="Z7" s="13"/>
      <c r="AA7" s="13"/>
      <c r="AB7" s="22">
        <v>0</v>
      </c>
      <c r="AC7" s="23" t="s">
        <v>80</v>
      </c>
      <c r="AD7" s="24">
        <v>6.575342465753424E-2</v>
      </c>
      <c r="AE7" s="25">
        <v>7.3525159311644162E-2</v>
      </c>
      <c r="AF7" s="26">
        <v>0</v>
      </c>
      <c r="AG7" s="26">
        <v>0</v>
      </c>
      <c r="AH7" s="27">
        <v>4.1141587910608264</v>
      </c>
      <c r="AI7" s="27">
        <v>4.1141587910608264</v>
      </c>
      <c r="AJ7" s="27">
        <v>4.1141587910608264</v>
      </c>
      <c r="AK7" s="28" t="s">
        <v>81</v>
      </c>
      <c r="AL7" s="29" t="s">
        <v>48</v>
      </c>
      <c r="AM7" s="29" t="s">
        <v>48</v>
      </c>
      <c r="AN7" s="29" t="s">
        <v>48</v>
      </c>
      <c r="AO7" s="23" t="s">
        <v>82</v>
      </c>
      <c r="AP7" s="30">
        <v>0</v>
      </c>
      <c r="AQ7" s="31">
        <v>1.4999999999999999E-2</v>
      </c>
      <c r="AR7" s="31">
        <v>0</v>
      </c>
    </row>
    <row r="8" spans="1:44" x14ac:dyDescent="0.15">
      <c r="A8">
        <v>753</v>
      </c>
      <c r="B8" s="11">
        <v>3284</v>
      </c>
      <c r="C8" s="32"/>
      <c r="D8" s="32">
        <v>1.9645230118552101E-3</v>
      </c>
      <c r="E8" s="32">
        <v>16</v>
      </c>
      <c r="F8" s="32">
        <v>0.50016244617342698</v>
      </c>
      <c r="G8" s="11"/>
      <c r="H8" s="11"/>
      <c r="I8" s="11"/>
      <c r="J8" s="18" t="s">
        <v>44</v>
      </c>
      <c r="K8" s="19" t="s">
        <v>87</v>
      </c>
      <c r="L8" s="58" t="s">
        <v>65</v>
      </c>
      <c r="M8" s="18">
        <f>[1]!f_prt_stocktonav(B8,"2017/03/31")</f>
        <v>78.219024658203125</v>
      </c>
      <c r="N8" s="20" t="str">
        <f>[1]!f_info_fundmanager(B8)</f>
        <v>王曼</v>
      </c>
      <c r="O8" s="21">
        <v>0.29589041095890412</v>
      </c>
      <c r="P8" s="32" t="s">
        <v>83</v>
      </c>
      <c r="Q8" s="13" t="s">
        <v>84</v>
      </c>
      <c r="R8" s="13" t="s">
        <v>85</v>
      </c>
      <c r="S8" s="13">
        <v>20161213</v>
      </c>
      <c r="T8" s="14">
        <v>6.7612327177999996</v>
      </c>
      <c r="U8" s="15" t="s">
        <v>39</v>
      </c>
      <c r="V8" s="16" t="s">
        <v>40</v>
      </c>
      <c r="W8" s="17" t="s">
        <v>44</v>
      </c>
      <c r="X8" s="17" t="s">
        <v>86</v>
      </c>
      <c r="Y8" s="17" t="s">
        <v>65</v>
      </c>
      <c r="Z8" s="13"/>
      <c r="AA8" s="13"/>
      <c r="AB8" s="22">
        <v>0</v>
      </c>
      <c r="AC8" s="23" t="s">
        <v>88</v>
      </c>
      <c r="AD8" s="24">
        <v>6.575342465753424E-2</v>
      </c>
      <c r="AE8" s="25">
        <v>1.9226103682947748E-3</v>
      </c>
      <c r="AF8" s="26">
        <v>0</v>
      </c>
      <c r="AG8" s="26">
        <v>0</v>
      </c>
      <c r="AH8" s="27">
        <v>-1.8227916473552361</v>
      </c>
      <c r="AI8" s="27">
        <v>-1.8227916473552361</v>
      </c>
      <c r="AJ8" s="27">
        <v>-1.8227916473552361</v>
      </c>
      <c r="AK8" s="33" t="s">
        <v>89</v>
      </c>
      <c r="AL8" s="29" t="s">
        <v>48</v>
      </c>
      <c r="AM8" s="29" t="s">
        <v>48</v>
      </c>
      <c r="AN8" s="29" t="s">
        <v>48</v>
      </c>
      <c r="AO8" s="23">
        <v>0</v>
      </c>
      <c r="AP8" s="30">
        <v>0</v>
      </c>
      <c r="AQ8" s="31">
        <v>1.4999999999999999E-2</v>
      </c>
      <c r="AR8" s="31">
        <v>0</v>
      </c>
    </row>
    <row r="9" spans="1:44" x14ac:dyDescent="0.15">
      <c r="A9">
        <v>399</v>
      </c>
      <c r="B9" s="11">
        <v>3634</v>
      </c>
      <c r="C9" s="32"/>
      <c r="D9" s="32">
        <v>2.88283857639087E-5</v>
      </c>
      <c r="E9" s="32">
        <v>17</v>
      </c>
      <c r="F9" s="32">
        <v>0.98931491883731904</v>
      </c>
      <c r="G9" s="11"/>
      <c r="H9" s="11"/>
      <c r="I9" s="11"/>
      <c r="J9" s="18" t="s">
        <v>44</v>
      </c>
      <c r="K9" s="19" t="s">
        <v>86</v>
      </c>
      <c r="L9" s="58" t="s">
        <v>65</v>
      </c>
      <c r="M9" s="18">
        <f>[1]!f_prt_stocktonav(B9,"2017/03/31")</f>
        <v>87.545936584472656</v>
      </c>
      <c r="N9" s="20" t="str">
        <f>[1]!f_info_fundmanager(B9)</f>
        <v>姚爽</v>
      </c>
      <c r="O9" s="21">
        <v>0.31232876712328766</v>
      </c>
      <c r="P9" s="32" t="s">
        <v>90</v>
      </c>
      <c r="Q9" s="13" t="s">
        <v>91</v>
      </c>
      <c r="R9" s="13" t="s">
        <v>92</v>
      </c>
      <c r="S9" s="13">
        <v>20161207</v>
      </c>
      <c r="T9" s="14">
        <v>12.6865965662</v>
      </c>
      <c r="U9" s="15" t="s">
        <v>58</v>
      </c>
      <c r="V9" s="16" t="s">
        <v>40</v>
      </c>
      <c r="W9" s="17" t="s">
        <v>44</v>
      </c>
      <c r="X9" s="17" t="s">
        <v>86</v>
      </c>
      <c r="Y9" s="17" t="s">
        <v>65</v>
      </c>
      <c r="Z9" s="13"/>
      <c r="AA9" s="13"/>
      <c r="AB9" s="22">
        <v>0</v>
      </c>
      <c r="AC9" s="23" t="s">
        <v>93</v>
      </c>
      <c r="AD9" s="24">
        <v>8.2191780821917804E-2</v>
      </c>
      <c r="AE9" s="25">
        <v>-0.11065470164254233</v>
      </c>
      <c r="AF9" s="26">
        <v>0</v>
      </c>
      <c r="AG9" s="26">
        <v>0</v>
      </c>
      <c r="AH9" s="27">
        <v>-13.295543042566932</v>
      </c>
      <c r="AI9" s="27">
        <v>-13.295543042566932</v>
      </c>
      <c r="AJ9" s="27">
        <v>-13.295543042566932</v>
      </c>
      <c r="AK9" s="33" t="s">
        <v>94</v>
      </c>
      <c r="AL9" s="29" t="s">
        <v>48</v>
      </c>
      <c r="AM9" s="29" t="s">
        <v>48</v>
      </c>
      <c r="AN9" s="29" t="s">
        <v>48</v>
      </c>
      <c r="AO9" s="23" t="s">
        <v>95</v>
      </c>
      <c r="AP9" s="30">
        <v>0</v>
      </c>
      <c r="AQ9" s="31">
        <v>1.4999999999999999E-2</v>
      </c>
      <c r="AR9" s="31">
        <v>0</v>
      </c>
    </row>
    <row r="10" spans="1:44" x14ac:dyDescent="0.15">
      <c r="A10">
        <v>897</v>
      </c>
      <c r="B10" s="11">
        <v>1659</v>
      </c>
      <c r="C10" s="32"/>
      <c r="D10" s="32">
        <v>1.7131967856716199E-3</v>
      </c>
      <c r="E10" s="32">
        <v>17</v>
      </c>
      <c r="F10" s="32">
        <v>0.29467482593469502</v>
      </c>
      <c r="G10" s="11"/>
      <c r="H10" s="11"/>
      <c r="I10" s="11"/>
      <c r="J10" s="18" t="s">
        <v>44</v>
      </c>
      <c r="K10" s="19" t="s">
        <v>87</v>
      </c>
      <c r="L10" s="58" t="s">
        <v>65</v>
      </c>
      <c r="M10" s="18">
        <f>[1]!f_prt_stocktonav(B10,"2017/03/31")</f>
        <v>72.632537841796875</v>
      </c>
      <c r="N10" s="20" t="str">
        <f>[1]!f_info_fundmanager(B10)</f>
        <v>毛矛</v>
      </c>
      <c r="O10" s="21">
        <v>0.31232876712328766</v>
      </c>
      <c r="P10" s="32" t="s">
        <v>96</v>
      </c>
      <c r="Q10" s="13" t="s">
        <v>97</v>
      </c>
      <c r="R10" s="13" t="s">
        <v>98</v>
      </c>
      <c r="S10" s="13">
        <v>20161207</v>
      </c>
      <c r="T10" s="14">
        <v>3.5124520277000002</v>
      </c>
      <c r="U10" s="15" t="s">
        <v>39</v>
      </c>
      <c r="V10" s="16" t="s">
        <v>40</v>
      </c>
      <c r="W10" s="17" t="s">
        <v>41</v>
      </c>
      <c r="X10" s="17" t="s">
        <v>42</v>
      </c>
      <c r="Y10" s="17" t="s">
        <v>43</v>
      </c>
      <c r="Z10" s="13"/>
      <c r="AA10" s="13"/>
      <c r="AB10" s="22">
        <v>0</v>
      </c>
      <c r="AC10" s="23" t="s">
        <v>99</v>
      </c>
      <c r="AD10" s="24">
        <v>8.2191780821917804E-2</v>
      </c>
      <c r="AE10" s="25">
        <v>2.0635737641342855E-2</v>
      </c>
      <c r="AF10" s="26">
        <v>0</v>
      </c>
      <c r="AG10" s="26">
        <v>0</v>
      </c>
      <c r="AH10" s="27">
        <v>18.388800133646992</v>
      </c>
      <c r="AI10" s="27">
        <v>18.388800133646992</v>
      </c>
      <c r="AJ10" s="27">
        <v>18.388800133646992</v>
      </c>
      <c r="AK10" s="28" t="s">
        <v>100</v>
      </c>
      <c r="AL10" s="29" t="s">
        <v>48</v>
      </c>
      <c r="AM10" s="29" t="s">
        <v>48</v>
      </c>
      <c r="AN10" s="29" t="s">
        <v>48</v>
      </c>
      <c r="AO10" s="23" t="s">
        <v>101</v>
      </c>
      <c r="AP10" s="30">
        <v>0</v>
      </c>
      <c r="AQ10" s="31">
        <v>1.4999999999999999E-2</v>
      </c>
      <c r="AR10" s="31">
        <v>0</v>
      </c>
    </row>
    <row r="11" spans="1:44" x14ac:dyDescent="0.15">
      <c r="A11">
        <v>114</v>
      </c>
      <c r="B11" s="11">
        <v>1758</v>
      </c>
      <c r="C11" s="32"/>
      <c r="D11" s="32">
        <v>2.98562270989972E-3</v>
      </c>
      <c r="E11" s="32">
        <v>18</v>
      </c>
      <c r="F11" s="32">
        <v>0.33073282726319397</v>
      </c>
      <c r="G11" s="11"/>
      <c r="H11" s="11"/>
      <c r="I11" s="11"/>
      <c r="J11" s="18" t="s">
        <v>44</v>
      </c>
      <c r="K11" s="19" t="s">
        <v>45</v>
      </c>
      <c r="L11" s="58" t="s">
        <v>65</v>
      </c>
      <c r="M11" s="18">
        <f>[1]!f_prt_stocktonav(B11,"2017/03/31")</f>
        <v>93.351608276367188</v>
      </c>
      <c r="N11" s="20" t="str">
        <f>[1]!f_info_fundmanager(B11)</f>
        <v>陈少平</v>
      </c>
      <c r="O11" s="21">
        <v>0.32876712328767121</v>
      </c>
      <c r="P11" s="32" t="s">
        <v>102</v>
      </c>
      <c r="Q11" s="13" t="s">
        <v>103</v>
      </c>
      <c r="R11" s="13" t="s">
        <v>92</v>
      </c>
      <c r="S11" s="13">
        <v>20161201</v>
      </c>
      <c r="T11" s="14">
        <v>7.3771804841000002</v>
      </c>
      <c r="U11" s="15" t="s">
        <v>58</v>
      </c>
      <c r="V11" s="16" t="s">
        <v>40</v>
      </c>
      <c r="W11" s="17" t="s">
        <v>41</v>
      </c>
      <c r="X11" s="17" t="s">
        <v>42</v>
      </c>
      <c r="Y11" s="17" t="s">
        <v>43</v>
      </c>
      <c r="Z11" s="13"/>
      <c r="AA11" s="13"/>
      <c r="AB11" s="22">
        <v>0</v>
      </c>
      <c r="AC11" s="23" t="s">
        <v>104</v>
      </c>
      <c r="AD11" s="24">
        <v>9.8630136986301367E-2</v>
      </c>
      <c r="AE11" s="25">
        <v>-0.1630164789474452</v>
      </c>
      <c r="AF11" s="26">
        <v>0</v>
      </c>
      <c r="AG11" s="26">
        <v>0</v>
      </c>
      <c r="AH11" s="27">
        <v>-8.1238440159700733</v>
      </c>
      <c r="AI11" s="27">
        <v>-8.1238440159700733</v>
      </c>
      <c r="AJ11" s="27">
        <v>-8.1238440159700733</v>
      </c>
      <c r="AK11" s="28" t="s">
        <v>105</v>
      </c>
      <c r="AL11" s="29" t="s">
        <v>48</v>
      </c>
      <c r="AM11" s="29" t="s">
        <v>48</v>
      </c>
      <c r="AN11" s="29" t="s">
        <v>48</v>
      </c>
      <c r="AO11" s="23" t="s">
        <v>106</v>
      </c>
      <c r="AP11" s="30">
        <v>0</v>
      </c>
      <c r="AQ11" s="31">
        <v>1.4999999999999999E-2</v>
      </c>
      <c r="AR11" s="31">
        <v>0</v>
      </c>
    </row>
    <row r="12" spans="1:44" x14ac:dyDescent="0.15">
      <c r="A12">
        <v>907</v>
      </c>
      <c r="B12" s="11">
        <v>3292</v>
      </c>
      <c r="C12" s="32"/>
      <c r="D12" s="32">
        <v>-2.9735982040050399E-3</v>
      </c>
      <c r="E12" s="32">
        <v>18</v>
      </c>
      <c r="F12" s="32">
        <v>0.31830757105302998</v>
      </c>
      <c r="G12" s="11"/>
      <c r="H12" s="11"/>
      <c r="I12" s="11"/>
      <c r="J12" s="18" t="s">
        <v>44</v>
      </c>
      <c r="K12" s="19" t="s">
        <v>45</v>
      </c>
      <c r="L12" s="58" t="s">
        <v>65</v>
      </c>
      <c r="M12" s="18">
        <f>[1]!f_prt_stocktonav(B12,"2017/03/31")</f>
        <v>72.217605590820313</v>
      </c>
      <c r="N12" s="20" t="str">
        <f>[1]!f_info_fundmanager(B12)</f>
        <v>刘美玲</v>
      </c>
      <c r="O12" s="21">
        <v>0.32876712328767121</v>
      </c>
      <c r="P12" s="32" t="s">
        <v>107</v>
      </c>
      <c r="Q12" s="13" t="s">
        <v>108</v>
      </c>
      <c r="R12" s="13" t="s">
        <v>92</v>
      </c>
      <c r="S12" s="13">
        <v>20161201</v>
      </c>
      <c r="T12" s="14">
        <v>4.9461114543000004</v>
      </c>
      <c r="U12" s="15" t="s">
        <v>39</v>
      </c>
      <c r="V12" s="16" t="s">
        <v>40</v>
      </c>
      <c r="W12" s="17" t="s">
        <v>41</v>
      </c>
      <c r="X12" s="17" t="s">
        <v>42</v>
      </c>
      <c r="Y12" s="17" t="s">
        <v>43</v>
      </c>
      <c r="Z12" s="13"/>
      <c r="AA12" s="13"/>
      <c r="AB12" s="22">
        <v>0</v>
      </c>
      <c r="AC12" s="23" t="s">
        <v>109</v>
      </c>
      <c r="AD12" s="24">
        <v>9.8630136986301367E-2</v>
      </c>
      <c r="AE12" s="25">
        <v>-0.15295670037036591</v>
      </c>
      <c r="AF12" s="26">
        <v>0</v>
      </c>
      <c r="AG12" s="26">
        <v>0</v>
      </c>
      <c r="AH12" s="27">
        <v>-3.7372485157669222</v>
      </c>
      <c r="AI12" s="27">
        <v>-3.7372485157669222</v>
      </c>
      <c r="AJ12" s="27">
        <v>-3.7372485157669222</v>
      </c>
      <c r="AK12" s="28" t="s">
        <v>110</v>
      </c>
      <c r="AL12" s="29" t="s">
        <v>48</v>
      </c>
      <c r="AM12" s="29" t="s">
        <v>48</v>
      </c>
      <c r="AN12" s="29" t="s">
        <v>48</v>
      </c>
      <c r="AO12" s="23" t="s">
        <v>49</v>
      </c>
      <c r="AP12" s="30">
        <v>0</v>
      </c>
      <c r="AQ12" s="31">
        <v>1.4999999999999999E-2</v>
      </c>
      <c r="AR12" s="31">
        <v>0</v>
      </c>
    </row>
    <row r="13" spans="1:44" x14ac:dyDescent="0.15">
      <c r="A13">
        <v>252</v>
      </c>
      <c r="B13" s="11">
        <v>3446</v>
      </c>
      <c r="C13" s="32"/>
      <c r="D13" s="32">
        <v>2.6455339717430799E-3</v>
      </c>
      <c r="E13" s="32">
        <v>19</v>
      </c>
      <c r="F13" s="32">
        <v>0.21795579593122699</v>
      </c>
      <c r="G13" s="11"/>
      <c r="H13" s="11"/>
      <c r="I13" s="11"/>
      <c r="J13" s="18" t="s">
        <v>44</v>
      </c>
      <c r="K13" s="19" t="s">
        <v>45</v>
      </c>
      <c r="L13" s="58" t="s">
        <v>65</v>
      </c>
      <c r="M13" s="18">
        <f>[1]!f_prt_stocktonav(B13,"2017/03/31")</f>
        <v>90.500236511230469</v>
      </c>
      <c r="N13" s="20" t="str">
        <f>[1]!f_info_fundmanager(B13)</f>
        <v>袁忠伟,管瑞龙</v>
      </c>
      <c r="O13" s="21">
        <v>0.35068493150684932</v>
      </c>
      <c r="P13" s="12" t="s">
        <v>111</v>
      </c>
      <c r="Q13" s="13" t="s">
        <v>112</v>
      </c>
      <c r="R13" s="13" t="s">
        <v>113</v>
      </c>
      <c r="S13" s="13">
        <v>20161123</v>
      </c>
      <c r="T13" s="14">
        <v>0.77369439309999999</v>
      </c>
      <c r="U13" s="15" t="s">
        <v>58</v>
      </c>
      <c r="V13" s="16" t="s">
        <v>40</v>
      </c>
      <c r="W13" s="17" t="s">
        <v>41</v>
      </c>
      <c r="X13" s="17" t="s">
        <v>42</v>
      </c>
      <c r="Y13" s="17" t="s">
        <v>43</v>
      </c>
      <c r="Z13" s="13"/>
      <c r="AA13" s="13"/>
      <c r="AB13" s="22">
        <v>0</v>
      </c>
      <c r="AC13" s="23" t="s">
        <v>114</v>
      </c>
      <c r="AD13" s="24">
        <v>0.12054794520547946</v>
      </c>
      <c r="AE13" s="25">
        <v>-0.2904592077209166</v>
      </c>
      <c r="AF13" s="26">
        <v>0</v>
      </c>
      <c r="AG13" s="26">
        <v>0</v>
      </c>
      <c r="AH13" s="27">
        <v>-2.7719913120438191</v>
      </c>
      <c r="AI13" s="27">
        <v>-2.7719913120438191</v>
      </c>
      <c r="AJ13" s="27">
        <v>-2.7719913120438191</v>
      </c>
      <c r="AK13" s="28" t="s">
        <v>115</v>
      </c>
      <c r="AL13" s="29" t="s">
        <v>48</v>
      </c>
      <c r="AM13" s="29" t="s">
        <v>48</v>
      </c>
      <c r="AN13" s="29" t="s">
        <v>48</v>
      </c>
      <c r="AO13" s="23" t="s">
        <v>116</v>
      </c>
      <c r="AP13" s="30">
        <v>0</v>
      </c>
      <c r="AQ13" s="31">
        <v>7.4999999999999997E-3</v>
      </c>
      <c r="AR13" s="31">
        <v>0</v>
      </c>
    </row>
    <row r="14" spans="1:44" x14ac:dyDescent="0.15">
      <c r="A14">
        <v>115</v>
      </c>
      <c r="B14" s="11">
        <v>1874</v>
      </c>
      <c r="C14" s="32"/>
      <c r="D14" s="32">
        <v>3.1927772298999098E-3</v>
      </c>
      <c r="E14" s="32">
        <v>19</v>
      </c>
      <c r="F14" s="32">
        <v>0.315122807769183</v>
      </c>
      <c r="G14" s="11"/>
      <c r="H14" s="11"/>
      <c r="I14" s="11"/>
      <c r="J14" s="18" t="s">
        <v>44</v>
      </c>
      <c r="K14" s="19" t="s">
        <v>45</v>
      </c>
      <c r="L14" s="58" t="s">
        <v>65</v>
      </c>
      <c r="M14" s="18">
        <f>[1]!f_prt_stocktonav(B14,"2017/03/31")</f>
        <v>93.346549987792969</v>
      </c>
      <c r="N14" s="20" t="str">
        <f>[1]!f_info_fundmanager(B14)</f>
        <v>曲扬</v>
      </c>
      <c r="O14" s="21">
        <v>0.36438356164383562</v>
      </c>
      <c r="P14" s="32" t="s">
        <v>117</v>
      </c>
      <c r="Q14" s="13" t="s">
        <v>118</v>
      </c>
      <c r="R14" s="13" t="s">
        <v>78</v>
      </c>
      <c r="S14" s="13">
        <v>20161118</v>
      </c>
      <c r="T14" s="14">
        <v>20.1199028658</v>
      </c>
      <c r="U14" s="15" t="s">
        <v>39</v>
      </c>
      <c r="V14" s="16" t="s">
        <v>40</v>
      </c>
      <c r="W14" s="17" t="s">
        <v>41</v>
      </c>
      <c r="X14" s="17" t="s">
        <v>42</v>
      </c>
      <c r="Y14" s="17" t="s">
        <v>43</v>
      </c>
      <c r="Z14" s="13"/>
      <c r="AA14" s="13"/>
      <c r="AB14" s="22">
        <v>0</v>
      </c>
      <c r="AC14" s="23" t="s">
        <v>119</v>
      </c>
      <c r="AD14" s="24">
        <v>0.13424657534246576</v>
      </c>
      <c r="AE14" s="25">
        <v>-0.18943417461030498</v>
      </c>
      <c r="AF14" s="26">
        <v>0</v>
      </c>
      <c r="AG14" s="26">
        <v>0</v>
      </c>
      <c r="AH14" s="27">
        <v>-2.3353508650111099</v>
      </c>
      <c r="AI14" s="27">
        <v>-2.3353508650111099</v>
      </c>
      <c r="AJ14" s="27">
        <v>-2.3353508650111099</v>
      </c>
      <c r="AK14" s="28" t="s">
        <v>120</v>
      </c>
      <c r="AL14" s="29" t="s">
        <v>48</v>
      </c>
      <c r="AM14" s="29" t="s">
        <v>48</v>
      </c>
      <c r="AN14" s="29" t="s">
        <v>48</v>
      </c>
      <c r="AO14" s="23" t="s">
        <v>121</v>
      </c>
      <c r="AP14" s="30">
        <v>0</v>
      </c>
      <c r="AQ14" s="31">
        <v>1.4999999999999999E-2</v>
      </c>
      <c r="AR14" s="31">
        <v>0</v>
      </c>
    </row>
    <row r="15" spans="1:44" x14ac:dyDescent="0.15">
      <c r="A15">
        <v>51</v>
      </c>
      <c r="B15" s="11">
        <v>3492</v>
      </c>
      <c r="C15" s="32"/>
      <c r="D15" s="32">
        <v>2.0787557982986202E-3</v>
      </c>
      <c r="E15" s="32">
        <v>20</v>
      </c>
      <c r="F15" s="32">
        <v>0.21048378647274801</v>
      </c>
      <c r="G15" s="11"/>
      <c r="H15" s="11"/>
      <c r="I15" s="11"/>
      <c r="J15" s="18" t="s">
        <v>44</v>
      </c>
      <c r="K15" s="19" t="s">
        <v>45</v>
      </c>
      <c r="L15" s="58" t="s">
        <v>65</v>
      </c>
      <c r="M15" s="18">
        <f>[1]!f_prt_stocktonav(B15,"2017/03/31")</f>
        <v>94.323104858398438</v>
      </c>
      <c r="N15" s="20" t="str">
        <f>[1]!f_info_fundmanager(B15)</f>
        <v>苏天杉</v>
      </c>
      <c r="O15" s="21">
        <v>0.36712328767123287</v>
      </c>
      <c r="P15" s="12" t="s">
        <v>122</v>
      </c>
      <c r="Q15" s="13" t="s">
        <v>123</v>
      </c>
      <c r="R15" s="13" t="s">
        <v>78</v>
      </c>
      <c r="S15" s="13">
        <v>20161117</v>
      </c>
      <c r="T15" s="14">
        <v>2.2625246313999998</v>
      </c>
      <c r="U15" s="15" t="s">
        <v>39</v>
      </c>
      <c r="V15" s="16" t="s">
        <v>40</v>
      </c>
      <c r="W15" s="34" t="s">
        <v>41</v>
      </c>
      <c r="X15" s="17" t="s">
        <v>42</v>
      </c>
      <c r="Y15" s="17" t="s">
        <v>43</v>
      </c>
      <c r="Z15" s="13"/>
      <c r="AA15" s="13"/>
      <c r="AB15" s="22">
        <v>0</v>
      </c>
      <c r="AC15" s="23" t="s">
        <v>124</v>
      </c>
      <c r="AD15" s="24">
        <v>0.13698630136986301</v>
      </c>
      <c r="AE15" s="25">
        <v>-0.11682816077895254</v>
      </c>
      <c r="AF15" s="26">
        <v>0</v>
      </c>
      <c r="AG15" s="26">
        <v>0</v>
      </c>
      <c r="AH15" s="27">
        <v>-3.4038117806244914</v>
      </c>
      <c r="AI15" s="27">
        <v>-3.4038117806244914</v>
      </c>
      <c r="AJ15" s="27">
        <v>-3.4038117806244914</v>
      </c>
      <c r="AK15" s="28" t="s">
        <v>125</v>
      </c>
      <c r="AL15" s="29" t="s">
        <v>48</v>
      </c>
      <c r="AM15" s="29" t="s">
        <v>48</v>
      </c>
      <c r="AN15" s="29" t="s">
        <v>48</v>
      </c>
      <c r="AO15" s="23">
        <v>0</v>
      </c>
      <c r="AP15" s="30">
        <v>0</v>
      </c>
      <c r="AQ15" s="31">
        <v>1.4999999999999999E-2</v>
      </c>
      <c r="AR15" s="31">
        <v>0</v>
      </c>
    </row>
    <row r="16" spans="1:44" x14ac:dyDescent="0.15">
      <c r="A16">
        <v>928</v>
      </c>
      <c r="B16" s="11">
        <v>3397</v>
      </c>
      <c r="C16" s="32"/>
      <c r="D16" s="32">
        <v>-8.6334557323721004E-4</v>
      </c>
      <c r="E16" s="32">
        <v>20</v>
      </c>
      <c r="F16" s="32">
        <v>0.58682525678334196</v>
      </c>
      <c r="G16" s="11"/>
      <c r="H16" s="11"/>
      <c r="I16" s="11"/>
      <c r="J16" s="18" t="s">
        <v>44</v>
      </c>
      <c r="K16" s="19" t="s">
        <v>45</v>
      </c>
      <c r="L16" s="58" t="s">
        <v>817</v>
      </c>
      <c r="M16" s="18">
        <f>[1]!f_prt_stocktonav(B16,"2017/03/31")</f>
        <v>71.235328674316406</v>
      </c>
      <c r="N16" s="20" t="str">
        <f>[1]!f_info_fundmanager(B16)</f>
        <v>周思聪,王翔</v>
      </c>
      <c r="O16" s="21">
        <v>0.36712328767123287</v>
      </c>
      <c r="P16" s="32" t="s">
        <v>126</v>
      </c>
      <c r="Q16" s="13" t="s">
        <v>127</v>
      </c>
      <c r="R16" s="13" t="s">
        <v>57</v>
      </c>
      <c r="S16" s="13">
        <v>20161117</v>
      </c>
      <c r="T16" s="14">
        <v>2.3383401163999999</v>
      </c>
      <c r="U16" s="15" t="s">
        <v>58</v>
      </c>
      <c r="V16" s="16" t="s">
        <v>40</v>
      </c>
      <c r="W16" s="17" t="s">
        <v>41</v>
      </c>
      <c r="X16" s="17" t="s">
        <v>42</v>
      </c>
      <c r="Y16" s="17" t="s">
        <v>43</v>
      </c>
      <c r="Z16" s="13"/>
      <c r="AA16" s="13"/>
      <c r="AB16" s="22">
        <v>0</v>
      </c>
      <c r="AC16" s="23" t="s">
        <v>128</v>
      </c>
      <c r="AD16" s="24">
        <v>0.13698630136986301</v>
      </c>
      <c r="AE16" s="25">
        <v>4.1283933712149778E-2</v>
      </c>
      <c r="AF16" s="26">
        <v>0</v>
      </c>
      <c r="AG16" s="26">
        <v>0</v>
      </c>
      <c r="AH16" s="27">
        <v>1.5440891407122943</v>
      </c>
      <c r="AI16" s="27">
        <v>1.5440891407122943</v>
      </c>
      <c r="AJ16" s="27">
        <v>1.5440891407122943</v>
      </c>
      <c r="AK16" s="28" t="s">
        <v>129</v>
      </c>
      <c r="AL16" s="29" t="s">
        <v>48</v>
      </c>
      <c r="AM16" s="29" t="s">
        <v>48</v>
      </c>
      <c r="AN16" s="29" t="s">
        <v>48</v>
      </c>
      <c r="AO16" s="23">
        <v>0</v>
      </c>
      <c r="AP16" s="30">
        <v>0</v>
      </c>
      <c r="AQ16" s="31">
        <v>1.4999999999999999E-2</v>
      </c>
      <c r="AR16" s="31">
        <v>0</v>
      </c>
    </row>
    <row r="17" spans="1:44" x14ac:dyDescent="0.15">
      <c r="A17">
        <v>466</v>
      </c>
      <c r="B17" s="11">
        <v>2133</v>
      </c>
      <c r="C17" s="32"/>
      <c r="D17" s="32">
        <v>2.04690978209699E-3</v>
      </c>
      <c r="E17" s="32">
        <v>20</v>
      </c>
      <c r="F17" s="32">
        <v>0.60122648884212904</v>
      </c>
      <c r="G17" s="11"/>
      <c r="H17" s="11"/>
      <c r="I17" s="11"/>
      <c r="J17" s="18" t="s">
        <v>44</v>
      </c>
      <c r="K17" s="19" t="s">
        <v>45</v>
      </c>
      <c r="L17" s="58" t="s">
        <v>65</v>
      </c>
      <c r="M17" s="18">
        <f>[1]!f_prt_stocktonav(B17,"2017/03/31")</f>
        <v>85.911041259765625</v>
      </c>
      <c r="N17" s="20" t="str">
        <f>[1]!f_info_fundmanager(B17)</f>
        <v>任爽,易阳方</v>
      </c>
      <c r="O17" s="21">
        <v>0.36986301369863012</v>
      </c>
      <c r="P17" s="32" t="s">
        <v>130</v>
      </c>
      <c r="Q17" s="13" t="s">
        <v>131</v>
      </c>
      <c r="R17" s="13" t="s">
        <v>132</v>
      </c>
      <c r="S17" s="13">
        <v>20161116</v>
      </c>
      <c r="T17" s="14">
        <v>38.281280713999998</v>
      </c>
      <c r="U17" s="15" t="s">
        <v>39</v>
      </c>
      <c r="V17" s="16" t="s">
        <v>40</v>
      </c>
      <c r="W17" s="17" t="s">
        <v>41</v>
      </c>
      <c r="X17" s="17" t="s">
        <v>42</v>
      </c>
      <c r="Y17" s="17" t="s">
        <v>43</v>
      </c>
      <c r="Z17" s="13"/>
      <c r="AA17" s="13"/>
      <c r="AB17" s="22">
        <v>0</v>
      </c>
      <c r="AC17" s="23" t="s">
        <v>133</v>
      </c>
      <c r="AD17" s="24">
        <v>0.13972602739726028</v>
      </c>
      <c r="AE17" s="25">
        <v>0.21644237539965006</v>
      </c>
      <c r="AF17" s="26">
        <v>0</v>
      </c>
      <c r="AG17" s="26">
        <v>0</v>
      </c>
      <c r="AH17" s="27">
        <v>0.92363317116610988</v>
      </c>
      <c r="AI17" s="27">
        <v>0.92363317116610988</v>
      </c>
      <c r="AJ17" s="27">
        <v>0.92363317116610988</v>
      </c>
      <c r="AK17" s="28" t="s">
        <v>134</v>
      </c>
      <c r="AL17" s="29" t="s">
        <v>48</v>
      </c>
      <c r="AM17" s="29" t="s">
        <v>48</v>
      </c>
      <c r="AN17" s="29" t="s">
        <v>48</v>
      </c>
      <c r="AO17" s="23" t="s">
        <v>135</v>
      </c>
      <c r="AP17" s="30">
        <v>0</v>
      </c>
      <c r="AQ17" s="31">
        <v>0.01</v>
      </c>
      <c r="AR17" s="31">
        <v>0</v>
      </c>
    </row>
    <row r="18" spans="1:44" x14ac:dyDescent="0.15">
      <c r="A18">
        <v>270</v>
      </c>
      <c r="B18" s="11">
        <v>519772</v>
      </c>
      <c r="C18" s="32"/>
      <c r="D18" s="32">
        <v>1.0611954995193499E-3</v>
      </c>
      <c r="E18" s="32">
        <v>20</v>
      </c>
      <c r="F18" s="32">
        <v>0.63892156904814801</v>
      </c>
      <c r="G18" s="11"/>
      <c r="H18" s="11"/>
      <c r="I18" s="11"/>
      <c r="J18" s="18" t="s">
        <v>44</v>
      </c>
      <c r="K18" s="19" t="s">
        <v>45</v>
      </c>
      <c r="L18" s="58" t="s">
        <v>817</v>
      </c>
      <c r="M18" s="18">
        <f>[1]!f_prt_stocktonav(B18,"2017/03/31")</f>
        <v>90.062606811523438</v>
      </c>
      <c r="N18" s="20" t="str">
        <f>[1]!f_info_fundmanager(B18)</f>
        <v>杨浩</v>
      </c>
      <c r="O18" s="21">
        <v>0.38356164383561642</v>
      </c>
      <c r="P18" s="32" t="s">
        <v>136</v>
      </c>
      <c r="Q18" s="13" t="s">
        <v>137</v>
      </c>
      <c r="R18" s="13" t="s">
        <v>138</v>
      </c>
      <c r="S18" s="13">
        <v>20161111</v>
      </c>
      <c r="T18" s="14">
        <v>5.4005448700000001</v>
      </c>
      <c r="U18" s="15" t="s">
        <v>39</v>
      </c>
      <c r="V18" s="16" t="s">
        <v>40</v>
      </c>
      <c r="W18" s="17" t="s">
        <v>41</v>
      </c>
      <c r="X18" s="17" t="s">
        <v>42</v>
      </c>
      <c r="Y18" s="17" t="s">
        <v>43</v>
      </c>
      <c r="Z18" s="13"/>
      <c r="AA18" s="13"/>
      <c r="AB18" s="22">
        <v>0</v>
      </c>
      <c r="AC18" s="23" t="s">
        <v>139</v>
      </c>
      <c r="AD18" s="24">
        <v>0.15342465753424658</v>
      </c>
      <c r="AE18" s="25">
        <v>-0.15340289399262896</v>
      </c>
      <c r="AF18" s="26">
        <v>0</v>
      </c>
      <c r="AG18" s="26">
        <v>0</v>
      </c>
      <c r="AH18" s="27">
        <v>-3.6253009823470967</v>
      </c>
      <c r="AI18" s="27">
        <v>-3.6253009823470967</v>
      </c>
      <c r="AJ18" s="27">
        <v>-3.6253009823470967</v>
      </c>
      <c r="AK18" s="28" t="s">
        <v>140</v>
      </c>
      <c r="AL18" s="29" t="s">
        <v>48</v>
      </c>
      <c r="AM18" s="29" t="s">
        <v>48</v>
      </c>
      <c r="AN18" s="29" t="s">
        <v>48</v>
      </c>
      <c r="AO18" s="23" t="s">
        <v>101</v>
      </c>
      <c r="AP18" s="30">
        <v>0</v>
      </c>
      <c r="AQ18" s="31">
        <v>1.4999999999999999E-2</v>
      </c>
      <c r="AR18" s="31">
        <v>0</v>
      </c>
    </row>
    <row r="19" spans="1:44" x14ac:dyDescent="0.15">
      <c r="A19">
        <v>592</v>
      </c>
      <c r="B19" s="11">
        <v>160322</v>
      </c>
      <c r="C19" s="32"/>
      <c r="D19" s="32">
        <v>3.3081637186691401E-3</v>
      </c>
      <c r="E19" s="32">
        <v>20</v>
      </c>
      <c r="F19" s="32">
        <v>0.26237721787214002</v>
      </c>
      <c r="G19" s="11"/>
      <c r="H19" s="11"/>
      <c r="I19" s="11"/>
      <c r="J19" s="18" t="s">
        <v>44</v>
      </c>
      <c r="K19" s="19" t="s">
        <v>45</v>
      </c>
      <c r="L19" s="58" t="s">
        <v>65</v>
      </c>
      <c r="M19" s="18">
        <f>[1]!f_prt_stocktonav(B19,"2017/03/31")</f>
        <v>83.021133422851563</v>
      </c>
      <c r="N19" s="20" t="str">
        <f>[1]!f_info_fundmanager(B19)</f>
        <v>李湘杰</v>
      </c>
      <c r="O19" s="21">
        <v>0.38356164383561642</v>
      </c>
      <c r="P19" s="32" t="s">
        <v>141</v>
      </c>
      <c r="Q19" s="13" t="s">
        <v>142</v>
      </c>
      <c r="R19" s="13" t="s">
        <v>143</v>
      </c>
      <c r="S19" s="13">
        <v>20161111</v>
      </c>
      <c r="T19" s="14">
        <v>3.7673142986000001</v>
      </c>
      <c r="U19" s="15" t="s">
        <v>79</v>
      </c>
      <c r="V19" s="16" t="s">
        <v>40</v>
      </c>
      <c r="W19" s="34" t="s">
        <v>41</v>
      </c>
      <c r="X19" s="17" t="s">
        <v>42</v>
      </c>
      <c r="Y19" s="17" t="s">
        <v>43</v>
      </c>
      <c r="Z19" s="13"/>
      <c r="AA19" s="13"/>
      <c r="AB19" s="22">
        <v>0</v>
      </c>
      <c r="AC19" s="23" t="s">
        <v>144</v>
      </c>
      <c r="AD19" s="24">
        <v>0.15342465753424658</v>
      </c>
      <c r="AE19" s="25">
        <v>-4.2152019671042096E-2</v>
      </c>
      <c r="AF19" s="26">
        <v>0</v>
      </c>
      <c r="AG19" s="26">
        <v>0</v>
      </c>
      <c r="AH19" s="27">
        <v>-1.24222540968425</v>
      </c>
      <c r="AI19" s="27">
        <v>-1.24222540968425</v>
      </c>
      <c r="AJ19" s="27">
        <v>-1.24222540968425</v>
      </c>
      <c r="AK19" s="28" t="s">
        <v>145</v>
      </c>
      <c r="AL19" s="29" t="s">
        <v>48</v>
      </c>
      <c r="AM19" s="29" t="s">
        <v>48</v>
      </c>
      <c r="AN19" s="29" t="s">
        <v>48</v>
      </c>
      <c r="AO19" s="23" t="s">
        <v>146</v>
      </c>
      <c r="AP19" s="30">
        <v>0</v>
      </c>
      <c r="AQ19" s="31">
        <v>1.4999999999999999E-2</v>
      </c>
      <c r="AR19" s="31">
        <v>0</v>
      </c>
    </row>
    <row r="20" spans="1:44" x14ac:dyDescent="0.15">
      <c r="A20">
        <v>111</v>
      </c>
      <c r="B20" s="11">
        <v>2332</v>
      </c>
      <c r="C20" s="32"/>
      <c r="D20" s="32">
        <v>3.5684840115326202E-3</v>
      </c>
      <c r="E20" s="32">
        <v>21</v>
      </c>
      <c r="F20" s="32">
        <v>0.118356402795041</v>
      </c>
      <c r="G20" s="11"/>
      <c r="H20" s="11"/>
      <c r="I20" s="11"/>
      <c r="J20" s="18" t="s">
        <v>44</v>
      </c>
      <c r="K20" s="19" t="s">
        <v>45</v>
      </c>
      <c r="L20" s="58" t="s">
        <v>65</v>
      </c>
      <c r="M20" s="18">
        <f>[1]!f_prt_stocktonav(B20,"2017/03/31")</f>
        <v>93.385223388671875</v>
      </c>
      <c r="N20" s="20" t="str">
        <f>[1]!f_info_fundmanager(B20)</f>
        <v>曹庆,程彧</v>
      </c>
      <c r="O20" s="21">
        <v>0.38630136986301372</v>
      </c>
      <c r="P20" s="32" t="s">
        <v>147</v>
      </c>
      <c r="Q20" s="13" t="s">
        <v>148</v>
      </c>
      <c r="R20" s="13" t="s">
        <v>149</v>
      </c>
      <c r="S20" s="13">
        <v>20161110</v>
      </c>
      <c r="T20" s="14">
        <v>12.2894964107</v>
      </c>
      <c r="U20" s="15" t="s">
        <v>39</v>
      </c>
      <c r="V20" s="16" t="s">
        <v>40</v>
      </c>
      <c r="W20" s="34" t="s">
        <v>41</v>
      </c>
      <c r="X20" s="17" t="s">
        <v>42</v>
      </c>
      <c r="Y20" s="17" t="s">
        <v>43</v>
      </c>
      <c r="Z20" s="13"/>
      <c r="AA20" s="13"/>
      <c r="AB20" s="22">
        <v>0</v>
      </c>
      <c r="AC20" s="23" t="s">
        <v>150</v>
      </c>
      <c r="AD20" s="24">
        <v>0.15616438356164383</v>
      </c>
      <c r="AE20" s="25">
        <v>-8.6458179430636495E-2</v>
      </c>
      <c r="AF20" s="26">
        <v>0</v>
      </c>
      <c r="AG20" s="26">
        <v>0</v>
      </c>
      <c r="AH20" s="27">
        <v>-1.3065010782407491</v>
      </c>
      <c r="AI20" s="27">
        <v>-1.3065010782407491</v>
      </c>
      <c r="AJ20" s="27">
        <v>-1.3065010782407491</v>
      </c>
      <c r="AK20" s="28" t="s">
        <v>151</v>
      </c>
      <c r="AL20" s="29" t="s">
        <v>48</v>
      </c>
      <c r="AM20" s="29" t="s">
        <v>48</v>
      </c>
      <c r="AN20" s="29" t="s">
        <v>48</v>
      </c>
      <c r="AO20" s="23" t="s">
        <v>152</v>
      </c>
      <c r="AP20" s="30">
        <v>0</v>
      </c>
      <c r="AQ20" s="31">
        <v>1.4999999999999999E-2</v>
      </c>
      <c r="AR20" s="31">
        <v>0</v>
      </c>
    </row>
    <row r="21" spans="1:44" x14ac:dyDescent="0.15">
      <c r="A21">
        <v>751</v>
      </c>
      <c r="B21" s="11">
        <v>519779</v>
      </c>
      <c r="C21" s="32"/>
      <c r="D21" s="32">
        <v>9.63051247521579E-4</v>
      </c>
      <c r="E21" s="32">
        <v>21</v>
      </c>
      <c r="F21" s="32">
        <v>0.62398520670009205</v>
      </c>
      <c r="G21" s="11"/>
      <c r="H21" s="11"/>
      <c r="I21" s="11"/>
      <c r="J21" s="18" t="s">
        <v>44</v>
      </c>
      <c r="K21" s="19" t="s">
        <v>45</v>
      </c>
      <c r="L21" s="58" t="s">
        <v>65</v>
      </c>
      <c r="M21" s="18">
        <f>[1]!f_prt_stocktonav(B21,"2017/03/31")</f>
        <v>78.232894897460938</v>
      </c>
      <c r="N21" s="20" t="str">
        <f>[1]!f_info_fundmanager(B21)</f>
        <v>陈俊华</v>
      </c>
      <c r="O21" s="21">
        <v>0.39452054794520547</v>
      </c>
      <c r="P21" s="32" t="s">
        <v>153</v>
      </c>
      <c r="Q21" s="13" t="s">
        <v>154</v>
      </c>
      <c r="R21" s="13" t="s">
        <v>138</v>
      </c>
      <c r="S21" s="13">
        <v>20161107</v>
      </c>
      <c r="T21" s="14">
        <v>2.8155952863000002</v>
      </c>
      <c r="U21" s="15" t="s">
        <v>58</v>
      </c>
      <c r="V21" s="16" t="s">
        <v>40</v>
      </c>
      <c r="W21" s="17" t="s">
        <v>41</v>
      </c>
      <c r="X21" s="17" t="s">
        <v>42</v>
      </c>
      <c r="Y21" s="17" t="s">
        <v>43</v>
      </c>
      <c r="Z21" s="13"/>
      <c r="AA21" s="13"/>
      <c r="AB21" s="22">
        <v>0</v>
      </c>
      <c r="AC21" s="23" t="s">
        <v>155</v>
      </c>
      <c r="AD21" s="24">
        <v>0.16438356164383561</v>
      </c>
      <c r="AE21" s="25">
        <v>-5.8233271212023263E-2</v>
      </c>
      <c r="AF21" s="26">
        <v>0</v>
      </c>
      <c r="AG21" s="26">
        <v>0</v>
      </c>
      <c r="AH21" s="27">
        <v>-4.0739028584223567</v>
      </c>
      <c r="AI21" s="27">
        <v>-4.0739028584223567</v>
      </c>
      <c r="AJ21" s="27">
        <v>-4.0739028584223567</v>
      </c>
      <c r="AK21" s="28" t="s">
        <v>156</v>
      </c>
      <c r="AL21" s="29" t="s">
        <v>48</v>
      </c>
      <c r="AM21" s="29" t="s">
        <v>48</v>
      </c>
      <c r="AN21" s="29" t="s">
        <v>48</v>
      </c>
      <c r="AO21" s="23">
        <v>0</v>
      </c>
      <c r="AP21" s="30">
        <v>0</v>
      </c>
      <c r="AQ21" s="31">
        <v>1.4999999999999999E-2</v>
      </c>
      <c r="AR21" s="31">
        <v>0</v>
      </c>
    </row>
    <row r="22" spans="1:44" x14ac:dyDescent="0.15">
      <c r="A22">
        <v>6</v>
      </c>
      <c r="B22" s="11">
        <v>3622</v>
      </c>
      <c r="C22" s="32"/>
      <c r="D22" s="32">
        <v>3.8378739079842798E-4</v>
      </c>
      <c r="E22" s="32">
        <v>22</v>
      </c>
      <c r="F22" s="32">
        <v>0.89017182656560101</v>
      </c>
      <c r="G22" s="11"/>
      <c r="H22" s="11"/>
      <c r="I22" s="11"/>
      <c r="J22" s="18" t="s">
        <v>44</v>
      </c>
      <c r="K22" s="19" t="s">
        <v>45</v>
      </c>
      <c r="L22" s="58" t="s">
        <v>65</v>
      </c>
      <c r="M22" s="18">
        <f>[1]!f_prt_stocktonav(B22,"2017/03/31")</f>
        <v>94.879646301269531</v>
      </c>
      <c r="N22" s="20" t="str">
        <f>[1]!f_info_fundmanager(B22)</f>
        <v>李晗</v>
      </c>
      <c r="O22" s="21">
        <v>0.40821917808219177</v>
      </c>
      <c r="P22" s="12" t="s">
        <v>157</v>
      </c>
      <c r="Q22" s="13" t="s">
        <v>158</v>
      </c>
      <c r="R22" s="13" t="s">
        <v>159</v>
      </c>
      <c r="S22" s="13">
        <v>20161102</v>
      </c>
      <c r="T22" s="14">
        <v>0.12546742289999999</v>
      </c>
      <c r="U22" s="15" t="s">
        <v>58</v>
      </c>
      <c r="V22" s="16" t="s">
        <v>40</v>
      </c>
      <c r="W22" s="34" t="s">
        <v>41</v>
      </c>
      <c r="X22" s="17" t="s">
        <v>42</v>
      </c>
      <c r="Y22" s="17" t="s">
        <v>43</v>
      </c>
      <c r="Z22" s="13"/>
      <c r="AA22" s="13"/>
      <c r="AB22" s="22">
        <v>0</v>
      </c>
      <c r="AC22" s="23" t="s">
        <v>160</v>
      </c>
      <c r="AD22" s="24">
        <v>0.17808219178082191</v>
      </c>
      <c r="AE22" s="25">
        <v>-0.12819873997297848</v>
      </c>
      <c r="AF22" s="26">
        <v>0</v>
      </c>
      <c r="AG22" s="26">
        <v>0</v>
      </c>
      <c r="AH22" s="27">
        <v>-0.81494401209315892</v>
      </c>
      <c r="AI22" s="27">
        <v>-0.81494401209315892</v>
      </c>
      <c r="AJ22" s="27">
        <v>-0.81494401209315892</v>
      </c>
      <c r="AK22" s="28" t="s">
        <v>161</v>
      </c>
      <c r="AL22" s="29" t="s">
        <v>48</v>
      </c>
      <c r="AM22" s="29" t="s">
        <v>48</v>
      </c>
      <c r="AN22" s="29" t="s">
        <v>48</v>
      </c>
      <c r="AO22" s="23" t="s">
        <v>162</v>
      </c>
      <c r="AP22" s="30">
        <v>0</v>
      </c>
      <c r="AQ22" s="31">
        <v>1.4999999999999999E-2</v>
      </c>
      <c r="AR22" s="31">
        <v>0</v>
      </c>
    </row>
    <row r="23" spans="1:44" x14ac:dyDescent="0.15">
      <c r="A23">
        <v>208</v>
      </c>
      <c r="B23" s="11">
        <v>3416</v>
      </c>
      <c r="C23" s="32"/>
      <c r="D23" s="32">
        <v>-2.0231705771395201E-3</v>
      </c>
      <c r="E23" s="32">
        <v>22</v>
      </c>
      <c r="F23" s="32">
        <v>0.19246757443535201</v>
      </c>
      <c r="G23" s="11"/>
      <c r="H23" s="11"/>
      <c r="I23" s="11"/>
      <c r="J23" s="18" t="s">
        <v>44</v>
      </c>
      <c r="K23" s="19" t="s">
        <v>45</v>
      </c>
      <c r="L23" s="58" t="s">
        <v>274</v>
      </c>
      <c r="M23" s="18">
        <f>[1]!f_prt_stocktonav(B23,"2017/03/31")</f>
        <v>91.624961853027344</v>
      </c>
      <c r="N23" s="20" t="str">
        <f>[1]!f_info_fundmanager(B23)</f>
        <v>王平</v>
      </c>
      <c r="O23" s="21">
        <v>0.40821917808219177</v>
      </c>
      <c r="P23" s="12" t="s">
        <v>163</v>
      </c>
      <c r="Q23" s="13" t="s">
        <v>164</v>
      </c>
      <c r="R23" s="13" t="s">
        <v>165</v>
      </c>
      <c r="S23" s="13">
        <v>20161102</v>
      </c>
      <c r="T23" s="14">
        <v>0.81158502860000004</v>
      </c>
      <c r="U23" s="15" t="s">
        <v>58</v>
      </c>
      <c r="V23" s="16" t="s">
        <v>40</v>
      </c>
      <c r="W23" s="34" t="s">
        <v>41</v>
      </c>
      <c r="X23" s="17" t="s">
        <v>42</v>
      </c>
      <c r="Y23" s="17" t="s">
        <v>43</v>
      </c>
      <c r="Z23" s="13"/>
      <c r="AA23" s="13"/>
      <c r="AB23" s="22">
        <v>0</v>
      </c>
      <c r="AC23" s="23" t="s">
        <v>166</v>
      </c>
      <c r="AD23" s="24">
        <v>0.17808219178082191</v>
      </c>
      <c r="AE23" s="25">
        <v>-9.9050254761676726E-2</v>
      </c>
      <c r="AF23" s="26">
        <v>0</v>
      </c>
      <c r="AG23" s="26">
        <v>0</v>
      </c>
      <c r="AH23" s="27">
        <v>-0.91721941364484605</v>
      </c>
      <c r="AI23" s="27">
        <v>-0.91721941364484605</v>
      </c>
      <c r="AJ23" s="27">
        <v>-0.91721941364484605</v>
      </c>
      <c r="AK23" s="28" t="s">
        <v>167</v>
      </c>
      <c r="AL23" s="29" t="s">
        <v>48</v>
      </c>
      <c r="AM23" s="29" t="s">
        <v>48</v>
      </c>
      <c r="AN23" s="29" t="s">
        <v>48</v>
      </c>
      <c r="AO23" s="23">
        <v>0</v>
      </c>
      <c r="AP23" s="30">
        <v>0</v>
      </c>
      <c r="AQ23" s="31">
        <v>1.4999999999999999E-2</v>
      </c>
      <c r="AR23" s="31">
        <v>0</v>
      </c>
    </row>
    <row r="24" spans="1:44" x14ac:dyDescent="0.15">
      <c r="A24">
        <v>253</v>
      </c>
      <c r="B24" s="11">
        <v>3624</v>
      </c>
      <c r="C24" s="32"/>
      <c r="D24" s="32">
        <v>-3.3984317552329701E-4</v>
      </c>
      <c r="E24" s="32">
        <v>22</v>
      </c>
      <c r="F24" s="32">
        <v>0.92228681415636204</v>
      </c>
      <c r="G24" s="11"/>
      <c r="H24" s="11"/>
      <c r="I24" s="11"/>
      <c r="J24" s="18" t="s">
        <v>44</v>
      </c>
      <c r="K24" s="19" t="s">
        <v>87</v>
      </c>
      <c r="L24" s="58" t="s">
        <v>65</v>
      </c>
      <c r="M24" s="18">
        <f>[1]!f_prt_stocktonav(B24,"2017/03/31")</f>
        <v>90.467704772949219</v>
      </c>
      <c r="N24" s="20" t="str">
        <f>[1]!f_info_fundmanager(B24)</f>
        <v>李游</v>
      </c>
      <c r="O24" s="21">
        <v>0.40821917808219177</v>
      </c>
      <c r="P24" s="12" t="s">
        <v>168</v>
      </c>
      <c r="Q24" s="13" t="s">
        <v>169</v>
      </c>
      <c r="R24" s="13" t="s">
        <v>159</v>
      </c>
      <c r="S24" s="13">
        <v>20161102</v>
      </c>
      <c r="T24" s="14">
        <v>0.12584492019999999</v>
      </c>
      <c r="U24" s="15" t="s">
        <v>58</v>
      </c>
      <c r="V24" s="16" t="s">
        <v>40</v>
      </c>
      <c r="W24" s="34" t="s">
        <v>41</v>
      </c>
      <c r="X24" s="17" t="s">
        <v>42</v>
      </c>
      <c r="Y24" s="17" t="s">
        <v>43</v>
      </c>
      <c r="Z24" s="13"/>
      <c r="AA24" s="13"/>
      <c r="AB24" s="22">
        <v>0</v>
      </c>
      <c r="AC24" s="23" t="s">
        <v>170</v>
      </c>
      <c r="AD24" s="24">
        <v>0.17808219178082191</v>
      </c>
      <c r="AE24" s="25">
        <v>-0.18976527473334215</v>
      </c>
      <c r="AF24" s="26">
        <v>0</v>
      </c>
      <c r="AG24" s="26">
        <v>0</v>
      </c>
      <c r="AH24" s="27">
        <v>-1.0639160750112089</v>
      </c>
      <c r="AI24" s="27">
        <v>-1.0639160750112089</v>
      </c>
      <c r="AJ24" s="27">
        <v>-1.0639160750112089</v>
      </c>
      <c r="AK24" s="28" t="s">
        <v>171</v>
      </c>
      <c r="AL24" s="29" t="s">
        <v>48</v>
      </c>
      <c r="AM24" s="29" t="s">
        <v>48</v>
      </c>
      <c r="AN24" s="29" t="s">
        <v>48</v>
      </c>
      <c r="AO24" s="23" t="s">
        <v>172</v>
      </c>
      <c r="AP24" s="30">
        <v>0</v>
      </c>
      <c r="AQ24" s="31">
        <v>1.4999999999999999E-2</v>
      </c>
      <c r="AR24" s="31">
        <v>0</v>
      </c>
    </row>
    <row r="25" spans="1:44" x14ac:dyDescent="0.15">
      <c r="A25">
        <v>412</v>
      </c>
      <c r="B25" s="11">
        <v>2121</v>
      </c>
      <c r="C25" s="32"/>
      <c r="D25" s="32">
        <v>6.3202852681686203E-3</v>
      </c>
      <c r="E25" s="32">
        <v>21</v>
      </c>
      <c r="F25" s="32">
        <v>1.37665598842063E-2</v>
      </c>
      <c r="G25" s="11"/>
      <c r="H25" s="11"/>
      <c r="I25" s="11"/>
      <c r="J25" s="18" t="s">
        <v>44</v>
      </c>
      <c r="K25" s="19" t="s">
        <v>45</v>
      </c>
      <c r="L25" s="58" t="s">
        <v>65</v>
      </c>
      <c r="M25" s="18">
        <f>[1]!f_prt_stocktonav(B25,"2017/03/31")</f>
        <v>87.089683532714844</v>
      </c>
      <c r="N25" s="20" t="str">
        <f>[1]!f_info_fundmanager(B25)</f>
        <v>李耀柱</v>
      </c>
      <c r="O25" s="21">
        <v>0.38904109589041097</v>
      </c>
      <c r="P25" s="32" t="s">
        <v>173</v>
      </c>
      <c r="Q25" s="13" t="s">
        <v>174</v>
      </c>
      <c r="R25" s="13" t="s">
        <v>132</v>
      </c>
      <c r="S25" s="13">
        <v>20161102</v>
      </c>
      <c r="T25" s="14">
        <v>9.6940601893</v>
      </c>
      <c r="U25" s="15" t="s">
        <v>58</v>
      </c>
      <c r="V25" s="16" t="s">
        <v>40</v>
      </c>
      <c r="W25" s="34" t="s">
        <v>41</v>
      </c>
      <c r="X25" s="17" t="s">
        <v>42</v>
      </c>
      <c r="Y25" s="17" t="s">
        <v>43</v>
      </c>
      <c r="Z25" s="13"/>
      <c r="AA25" s="13"/>
      <c r="AB25" s="22">
        <v>0</v>
      </c>
      <c r="AC25" s="23" t="s">
        <v>175</v>
      </c>
      <c r="AD25" s="24">
        <v>0.15890410958904111</v>
      </c>
      <c r="AE25" s="25">
        <v>-0.16913961959746016</v>
      </c>
      <c r="AF25" s="26">
        <v>0</v>
      </c>
      <c r="AG25" s="26">
        <v>0</v>
      </c>
      <c r="AH25" s="27">
        <v>-2.370542674195959</v>
      </c>
      <c r="AI25" s="27">
        <v>-2.370542674195959</v>
      </c>
      <c r="AJ25" s="27">
        <v>-2.370542674195959</v>
      </c>
      <c r="AK25" s="28" t="s">
        <v>176</v>
      </c>
      <c r="AL25" s="29" t="s">
        <v>48</v>
      </c>
      <c r="AM25" s="29" t="s">
        <v>48</v>
      </c>
      <c r="AN25" s="29" t="s">
        <v>48</v>
      </c>
      <c r="AO25" s="23" t="s">
        <v>177</v>
      </c>
      <c r="AP25" s="30">
        <v>0</v>
      </c>
      <c r="AQ25" s="31">
        <v>1.4999999999999999E-2</v>
      </c>
      <c r="AR25" s="31">
        <v>0</v>
      </c>
    </row>
    <row r="26" spans="1:44" x14ac:dyDescent="0.15">
      <c r="A26">
        <v>423</v>
      </c>
      <c r="B26" s="11">
        <v>3208</v>
      </c>
      <c r="C26" s="32"/>
      <c r="D26" s="32">
        <v>-1.16690693067759E-3</v>
      </c>
      <c r="E26" s="32">
        <v>23</v>
      </c>
      <c r="F26" s="32">
        <v>0.53035945148076902</v>
      </c>
      <c r="G26" s="11"/>
      <c r="H26" s="11"/>
      <c r="I26" s="11"/>
      <c r="J26" s="18" t="s">
        <v>44</v>
      </c>
      <c r="K26" s="19" t="s">
        <v>64</v>
      </c>
      <c r="L26" s="58" t="s">
        <v>65</v>
      </c>
      <c r="M26" s="18">
        <f>[1]!f_prt_stocktonav(B26,"2017/03/31")</f>
        <v>86.821792602539063</v>
      </c>
      <c r="N26" s="20" t="str">
        <f>[1]!f_info_fundmanager(B26)</f>
        <v>李兵伟</v>
      </c>
      <c r="O26" s="21">
        <v>0.42465753424657532</v>
      </c>
      <c r="P26" s="12" t="s">
        <v>178</v>
      </c>
      <c r="Q26" s="13" t="s">
        <v>179</v>
      </c>
      <c r="R26" s="13" t="s">
        <v>180</v>
      </c>
      <c r="S26" s="13">
        <v>20161027</v>
      </c>
      <c r="T26" s="14">
        <v>1.6136028285999999</v>
      </c>
      <c r="U26" s="15" t="s">
        <v>58</v>
      </c>
      <c r="V26" s="16" t="s">
        <v>40</v>
      </c>
      <c r="W26" s="34" t="s">
        <v>41</v>
      </c>
      <c r="X26" s="34" t="s">
        <v>42</v>
      </c>
      <c r="Y26" s="34" t="s">
        <v>181</v>
      </c>
      <c r="Z26" s="13"/>
      <c r="AA26" s="13"/>
      <c r="AB26" s="22">
        <v>0.53680934906005862</v>
      </c>
      <c r="AC26" s="23" t="s">
        <v>182</v>
      </c>
      <c r="AD26" s="24">
        <v>0.19452054794520549</v>
      </c>
      <c r="AE26" s="25">
        <v>-0.21578123203931088</v>
      </c>
      <c r="AF26" s="26">
        <v>0</v>
      </c>
      <c r="AG26" s="26">
        <v>0</v>
      </c>
      <c r="AH26" s="27">
        <v>-4.4764212752475503</v>
      </c>
      <c r="AI26" s="27">
        <v>-4.4764212752475503</v>
      </c>
      <c r="AJ26" s="27">
        <v>-4.4764212752475503</v>
      </c>
      <c r="AK26" s="28" t="s">
        <v>183</v>
      </c>
      <c r="AL26" s="29" t="s">
        <v>48</v>
      </c>
      <c r="AM26" s="29" t="s">
        <v>48</v>
      </c>
      <c r="AN26" s="29" t="s">
        <v>48</v>
      </c>
      <c r="AO26" s="23">
        <v>0</v>
      </c>
      <c r="AP26" s="30">
        <v>0</v>
      </c>
      <c r="AQ26" s="31">
        <v>1.4999999999999999E-2</v>
      </c>
      <c r="AR26" s="31">
        <v>0</v>
      </c>
    </row>
    <row r="27" spans="1:44" x14ac:dyDescent="0.15">
      <c r="A27">
        <v>784</v>
      </c>
      <c r="B27" s="11">
        <v>519778</v>
      </c>
      <c r="C27" s="32"/>
      <c r="D27" s="32">
        <v>2.1302461128677101E-3</v>
      </c>
      <c r="E27" s="32">
        <v>24</v>
      </c>
      <c r="F27" s="32">
        <v>0.38507499790183602</v>
      </c>
      <c r="G27" s="11"/>
      <c r="H27" s="11"/>
      <c r="I27" s="11"/>
      <c r="J27" s="18" t="s">
        <v>44</v>
      </c>
      <c r="K27" s="19" t="s">
        <v>45</v>
      </c>
      <c r="L27" s="58" t="s">
        <v>65</v>
      </c>
      <c r="M27" s="18">
        <f>[1]!f_prt_stocktonav(B27,"2017/03/31")</f>
        <v>77.202903747558594</v>
      </c>
      <c r="N27" s="20" t="str">
        <f>[1]!f_info_fundmanager(B27)</f>
        <v>任相栋</v>
      </c>
      <c r="O27" s="21">
        <v>0.44383561643835617</v>
      </c>
      <c r="P27" s="32" t="s">
        <v>184</v>
      </c>
      <c r="Q27" s="13" t="s">
        <v>185</v>
      </c>
      <c r="R27" s="13" t="s">
        <v>138</v>
      </c>
      <c r="S27" s="13">
        <v>20161020</v>
      </c>
      <c r="T27" s="14">
        <v>8.4924276809000006</v>
      </c>
      <c r="U27" s="15" t="s">
        <v>58</v>
      </c>
      <c r="V27" s="16" t="s">
        <v>40</v>
      </c>
      <c r="W27" s="17" t="s">
        <v>41</v>
      </c>
      <c r="X27" s="17" t="s">
        <v>42</v>
      </c>
      <c r="Y27" s="17" t="s">
        <v>43</v>
      </c>
      <c r="Z27" s="13"/>
      <c r="AA27" s="13"/>
      <c r="AB27" s="22">
        <v>0.67695381164550783</v>
      </c>
      <c r="AC27" s="23" t="s">
        <v>186</v>
      </c>
      <c r="AD27" s="24">
        <v>0.21369863013698631</v>
      </c>
      <c r="AE27" s="25">
        <v>-5.9053508689933754E-2</v>
      </c>
      <c r="AF27" s="26">
        <v>0</v>
      </c>
      <c r="AG27" s="26">
        <v>0</v>
      </c>
      <c r="AH27" s="27">
        <v>-1.5588031805051856</v>
      </c>
      <c r="AI27" s="27">
        <v>-1.5588031805051856</v>
      </c>
      <c r="AJ27" s="27">
        <v>-1.5588031805051856</v>
      </c>
      <c r="AK27" s="28" t="s">
        <v>140</v>
      </c>
      <c r="AL27" s="29" t="s">
        <v>48</v>
      </c>
      <c r="AM27" s="29" t="s">
        <v>48</v>
      </c>
      <c r="AN27" s="29" t="s">
        <v>48</v>
      </c>
      <c r="AO27" s="23" t="s">
        <v>49</v>
      </c>
      <c r="AP27" s="30">
        <v>0</v>
      </c>
      <c r="AQ27" s="31">
        <v>1.4999999999999999E-2</v>
      </c>
      <c r="AR27" s="31">
        <v>0</v>
      </c>
    </row>
    <row r="28" spans="1:44" x14ac:dyDescent="0.15">
      <c r="A28">
        <v>963</v>
      </c>
      <c r="B28" s="11">
        <v>3456</v>
      </c>
      <c r="C28" s="32"/>
      <c r="D28" s="32">
        <v>2.2104004933892001E-3</v>
      </c>
      <c r="E28" s="32">
        <v>24</v>
      </c>
      <c r="F28" s="32">
        <v>9.2698830234044696E-2</v>
      </c>
      <c r="G28" s="11"/>
      <c r="H28" s="11"/>
      <c r="I28" s="11"/>
      <c r="J28" s="18" t="s">
        <v>44</v>
      </c>
      <c r="K28" s="19" t="s">
        <v>45</v>
      </c>
      <c r="L28" s="58" t="s">
        <v>65</v>
      </c>
      <c r="M28" s="18">
        <f>[1]!f_prt_stocktonav(B28,"2017/03/31")</f>
        <v>70.048377990722656</v>
      </c>
      <c r="N28" s="20" t="str">
        <f>[1]!f_info_fundmanager(B28)</f>
        <v>冯士祯,孔学峰,唐弋迅</v>
      </c>
      <c r="O28" s="21">
        <v>0.44657534246575342</v>
      </c>
      <c r="P28" s="12" t="s">
        <v>187</v>
      </c>
      <c r="Q28" s="13" t="s">
        <v>188</v>
      </c>
      <c r="R28" s="13" t="s">
        <v>189</v>
      </c>
      <c r="S28" s="13">
        <v>20161019</v>
      </c>
      <c r="T28" s="14">
        <v>1.9606986501000001</v>
      </c>
      <c r="U28" s="15" t="s">
        <v>58</v>
      </c>
      <c r="V28" s="16" t="s">
        <v>40</v>
      </c>
      <c r="W28" s="17" t="s">
        <v>41</v>
      </c>
      <c r="X28" s="17" t="s">
        <v>42</v>
      </c>
      <c r="Y28" s="17" t="s">
        <v>43</v>
      </c>
      <c r="Z28" s="13"/>
      <c r="AA28" s="13"/>
      <c r="AB28" s="22">
        <v>0.505715217590332</v>
      </c>
      <c r="AC28" s="23" t="s">
        <v>190</v>
      </c>
      <c r="AD28" s="24">
        <v>0.21643835616438356</v>
      </c>
      <c r="AE28" s="25">
        <v>-9.4844465566223946E-2</v>
      </c>
      <c r="AF28" s="26">
        <v>0</v>
      </c>
      <c r="AG28" s="26">
        <v>0</v>
      </c>
      <c r="AH28" s="27">
        <v>-3.6902827770454412</v>
      </c>
      <c r="AI28" s="27">
        <v>-3.6902827770454412</v>
      </c>
      <c r="AJ28" s="27">
        <v>-3.6902827770454412</v>
      </c>
      <c r="AK28" s="28" t="s">
        <v>191</v>
      </c>
      <c r="AL28" s="29" t="s">
        <v>48</v>
      </c>
      <c r="AM28" s="29" t="s">
        <v>48</v>
      </c>
      <c r="AN28" s="29" t="s">
        <v>48</v>
      </c>
      <c r="AO28" s="23" t="s">
        <v>192</v>
      </c>
      <c r="AP28" s="30">
        <v>0</v>
      </c>
      <c r="AQ28" s="31">
        <v>1.4999999999999999E-2</v>
      </c>
      <c r="AR28" s="31">
        <v>0</v>
      </c>
    </row>
    <row r="29" spans="1:44" x14ac:dyDescent="0.15">
      <c r="A29">
        <v>195</v>
      </c>
      <c r="B29" s="11">
        <v>2662</v>
      </c>
      <c r="C29" s="32"/>
      <c r="D29" s="32">
        <v>1.79535511961946E-3</v>
      </c>
      <c r="E29" s="32">
        <v>27</v>
      </c>
      <c r="F29" s="32">
        <v>0.22612866996065401</v>
      </c>
      <c r="G29" s="11"/>
      <c r="H29" s="11"/>
      <c r="I29" s="11"/>
      <c r="J29" s="18" t="s">
        <v>44</v>
      </c>
      <c r="K29" s="19" t="s">
        <v>87</v>
      </c>
      <c r="L29" s="58" t="s">
        <v>65</v>
      </c>
      <c r="M29" s="18">
        <f>[1]!f_prt_stocktonav(B29,"2017/03/31")</f>
        <v>91.914566040039062</v>
      </c>
      <c r="N29" s="20" t="str">
        <f>[1]!f_info_fundmanager(B29)</f>
        <v>赵雪芹</v>
      </c>
      <c r="O29" s="21">
        <v>0.50136986301369868</v>
      </c>
      <c r="P29" s="35" t="s">
        <v>193</v>
      </c>
      <c r="Q29" s="36" t="s">
        <v>194</v>
      </c>
      <c r="R29" s="36" t="s">
        <v>78</v>
      </c>
      <c r="S29" s="36">
        <v>20160929</v>
      </c>
      <c r="T29" s="37">
        <v>3.4419205066999998</v>
      </c>
      <c r="U29" s="15" t="s">
        <v>58</v>
      </c>
      <c r="V29" s="38" t="s">
        <v>40</v>
      </c>
      <c r="W29" s="39" t="s">
        <v>44</v>
      </c>
      <c r="X29" s="39" t="s">
        <v>87</v>
      </c>
      <c r="Y29" s="17" t="s">
        <v>65</v>
      </c>
      <c r="Z29" s="13"/>
      <c r="AA29" s="13"/>
      <c r="AB29" s="22">
        <v>0.77589973449707028</v>
      </c>
      <c r="AC29" s="23" t="s">
        <v>195</v>
      </c>
      <c r="AD29" s="24">
        <v>0.27123287671232876</v>
      </c>
      <c r="AE29" s="25">
        <v>-0.17723575256430624</v>
      </c>
      <c r="AF29" s="26">
        <v>0</v>
      </c>
      <c r="AG29" s="26">
        <v>0</v>
      </c>
      <c r="AH29" s="27">
        <v>-2.3886539144179291</v>
      </c>
      <c r="AI29" s="27">
        <v>-2.3886539144179291</v>
      </c>
      <c r="AJ29" s="27">
        <v>-2.3886539144179291</v>
      </c>
      <c r="AK29" s="40" t="s">
        <v>196</v>
      </c>
      <c r="AL29" s="41" t="s">
        <v>48</v>
      </c>
      <c r="AM29" s="41" t="s">
        <v>48</v>
      </c>
      <c r="AN29" s="41" t="s">
        <v>48</v>
      </c>
      <c r="AO29" s="42" t="s">
        <v>197</v>
      </c>
      <c r="AP29" s="43">
        <v>0</v>
      </c>
      <c r="AQ29" s="44">
        <v>1.4999999999999999E-2</v>
      </c>
      <c r="AR29" s="44">
        <v>0</v>
      </c>
    </row>
    <row r="30" spans="1:44" x14ac:dyDescent="0.15">
      <c r="A30">
        <v>241</v>
      </c>
      <c r="B30" s="11">
        <v>3096</v>
      </c>
      <c r="C30" s="32"/>
      <c r="D30" s="32">
        <v>4.5616703037501096E-3</v>
      </c>
      <c r="E30" s="32">
        <v>27</v>
      </c>
      <c r="F30" s="32">
        <v>9.2533392168182599E-2</v>
      </c>
      <c r="G30" s="11"/>
      <c r="H30" s="11"/>
      <c r="I30" s="11"/>
      <c r="J30" s="18" t="s">
        <v>44</v>
      </c>
      <c r="K30" s="18" t="s">
        <v>86</v>
      </c>
      <c r="L30" s="58" t="s">
        <v>817</v>
      </c>
      <c r="M30" s="18">
        <f>[1]!f_prt_stocktonav(B30,"2017/03/31")</f>
        <v>90.804916381835938</v>
      </c>
      <c r="N30" s="20" t="str">
        <f>[1]!f_info_fundmanager(B30)</f>
        <v>葛兰</v>
      </c>
      <c r="O30" s="21">
        <v>0.50136986301369868</v>
      </c>
      <c r="P30" s="34" t="s">
        <v>198</v>
      </c>
      <c r="Q30" s="34" t="s">
        <v>199</v>
      </c>
      <c r="R30" s="34" t="s">
        <v>200</v>
      </c>
      <c r="S30" s="34">
        <v>20160929</v>
      </c>
      <c r="T30" s="45" t="s">
        <v>48</v>
      </c>
      <c r="U30" s="46">
        <v>0.46184357999999998</v>
      </c>
      <c r="V30" s="34" t="s">
        <v>201</v>
      </c>
      <c r="W30" s="16" t="s">
        <v>44</v>
      </c>
      <c r="X30" s="16" t="s">
        <v>86</v>
      </c>
      <c r="Y30" s="16" t="s">
        <v>65</v>
      </c>
      <c r="Z30" s="34"/>
      <c r="AA30" s="34"/>
      <c r="AB30" s="22">
        <v>0.86642745971679691</v>
      </c>
      <c r="AC30" s="23" t="s">
        <v>202</v>
      </c>
      <c r="AD30" s="24">
        <v>0.27123287671232876</v>
      </c>
      <c r="AE30" s="25">
        <v>-0.25809009082286505</v>
      </c>
      <c r="AF30" s="26">
        <v>0</v>
      </c>
      <c r="AG30" s="26">
        <v>0</v>
      </c>
      <c r="AH30" s="27">
        <v>-3.0240296899518198</v>
      </c>
      <c r="AI30" s="27">
        <v>-3.0240296899518198</v>
      </c>
      <c r="AJ30" s="27">
        <v>-3.0240296899518198</v>
      </c>
      <c r="AK30" s="28" t="s">
        <v>203</v>
      </c>
      <c r="AL30" s="29" t="s">
        <v>48</v>
      </c>
      <c r="AM30" s="29" t="s">
        <v>48</v>
      </c>
      <c r="AN30" s="29" t="s">
        <v>48</v>
      </c>
      <c r="AO30" s="47">
        <v>0</v>
      </c>
      <c r="AP30" s="28">
        <v>0</v>
      </c>
      <c r="AQ30" s="26">
        <v>1.4999999999999999E-2</v>
      </c>
      <c r="AR30" s="26">
        <v>8.0000000000000002E-3</v>
      </c>
    </row>
    <row r="31" spans="1:44" x14ac:dyDescent="0.15">
      <c r="A31">
        <v>612</v>
      </c>
      <c r="B31" s="11">
        <v>519935</v>
      </c>
      <c r="C31" s="32"/>
      <c r="D31" s="32">
        <v>4.1452387015157698E-3</v>
      </c>
      <c r="E31" s="32">
        <v>27</v>
      </c>
      <c r="F31" s="32">
        <v>0.10852967262018599</v>
      </c>
      <c r="G31" s="11"/>
      <c r="H31" s="11"/>
      <c r="I31" s="11"/>
      <c r="J31" s="18" t="s">
        <v>44</v>
      </c>
      <c r="K31" s="18" t="s">
        <v>45</v>
      </c>
      <c r="L31" s="58" t="s">
        <v>65</v>
      </c>
      <c r="M31" s="18">
        <f>[1]!f_prt_stocktonav(B31,"2017/03/31")</f>
        <v>82.547889709472656</v>
      </c>
      <c r="N31" s="20" t="str">
        <f>[1]!f_info_fundmanager(B31)</f>
        <v>叶松,黄韵</v>
      </c>
      <c r="O31" s="21">
        <v>0.50136986301369868</v>
      </c>
      <c r="P31" s="34" t="s">
        <v>204</v>
      </c>
      <c r="Q31" s="34" t="s">
        <v>205</v>
      </c>
      <c r="R31" s="34" t="s">
        <v>206</v>
      </c>
      <c r="S31" s="34">
        <v>20160929</v>
      </c>
      <c r="T31" s="45">
        <v>1.1095368205</v>
      </c>
      <c r="U31" s="46">
        <v>2.2056712799999998</v>
      </c>
      <c r="V31" s="34" t="s">
        <v>201</v>
      </c>
      <c r="W31" s="34" t="s">
        <v>41</v>
      </c>
      <c r="X31" s="34" t="s">
        <v>42</v>
      </c>
      <c r="Y31" s="34" t="s">
        <v>43</v>
      </c>
      <c r="Z31" s="34"/>
      <c r="AA31" s="34"/>
      <c r="AB31" s="22">
        <v>0.485500602722168</v>
      </c>
      <c r="AC31" s="23" t="s">
        <v>207</v>
      </c>
      <c r="AD31" s="24">
        <v>0.27123287671232876</v>
      </c>
      <c r="AE31" s="25">
        <v>-4.5795792130083439E-2</v>
      </c>
      <c r="AF31" s="26">
        <v>0</v>
      </c>
      <c r="AG31" s="26">
        <v>0</v>
      </c>
      <c r="AH31" s="27">
        <v>-1.2538201962425457</v>
      </c>
      <c r="AI31" s="27">
        <v>-1.2538201962425457</v>
      </c>
      <c r="AJ31" s="27">
        <v>-1.2538201962425457</v>
      </c>
      <c r="AK31" s="28" t="s">
        <v>208</v>
      </c>
      <c r="AL31" s="29" t="s">
        <v>48</v>
      </c>
      <c r="AM31" s="29" t="s">
        <v>48</v>
      </c>
      <c r="AN31" s="29" t="s">
        <v>48</v>
      </c>
      <c r="AO31" s="47" t="s">
        <v>209</v>
      </c>
      <c r="AP31" s="28">
        <v>0</v>
      </c>
      <c r="AQ31" s="26">
        <v>1.4999999999999999E-2</v>
      </c>
      <c r="AR31" s="26">
        <v>0</v>
      </c>
    </row>
    <row r="32" spans="1:44" x14ac:dyDescent="0.15">
      <c r="A32">
        <v>435</v>
      </c>
      <c r="B32" s="11">
        <v>3241</v>
      </c>
      <c r="C32" s="32"/>
      <c r="D32" s="32">
        <v>-6.3307783235273297E-4</v>
      </c>
      <c r="E32" s="32">
        <v>27</v>
      </c>
      <c r="F32" s="32">
        <v>0.46552833287095902</v>
      </c>
      <c r="G32" s="11"/>
      <c r="H32" s="11"/>
      <c r="I32" s="11"/>
      <c r="J32" s="18" t="s">
        <v>44</v>
      </c>
      <c r="K32" s="18" t="s">
        <v>64</v>
      </c>
      <c r="L32" s="58" t="s">
        <v>274</v>
      </c>
      <c r="M32" s="18">
        <f>[1]!f_prt_stocktonav(B32,"2017/03/31")</f>
        <v>86.572731018066406</v>
      </c>
      <c r="N32" s="20" t="str">
        <f>[1]!f_info_fundmanager(B32)</f>
        <v>程志田</v>
      </c>
      <c r="O32" s="21">
        <v>0.50684931506849318</v>
      </c>
      <c r="P32" s="34" t="s">
        <v>210</v>
      </c>
      <c r="Q32" s="34" t="s">
        <v>211</v>
      </c>
      <c r="R32" s="34" t="s">
        <v>159</v>
      </c>
      <c r="S32" s="34">
        <v>20160927</v>
      </c>
      <c r="T32" s="45">
        <v>12.946171019399999</v>
      </c>
      <c r="U32" s="46">
        <v>8.5030762874000008</v>
      </c>
      <c r="V32" s="34" t="s">
        <v>201</v>
      </c>
      <c r="W32" s="34" t="s">
        <v>44</v>
      </c>
      <c r="X32" s="34" t="s">
        <v>64</v>
      </c>
      <c r="Y32" s="34" t="s">
        <v>65</v>
      </c>
      <c r="Z32" s="34"/>
      <c r="AA32" s="34"/>
      <c r="AB32" s="22">
        <v>0.80210800170898433</v>
      </c>
      <c r="AC32" s="23" t="s">
        <v>212</v>
      </c>
      <c r="AD32" s="24">
        <v>0.27671232876712326</v>
      </c>
      <c r="AE32" s="25">
        <v>-3.5271553179061277E-2</v>
      </c>
      <c r="AF32" s="26">
        <v>0</v>
      </c>
      <c r="AG32" s="26">
        <v>0</v>
      </c>
      <c r="AH32" s="27">
        <v>-0.73141828543435605</v>
      </c>
      <c r="AI32" s="27">
        <v>-0.73141828543435605</v>
      </c>
      <c r="AJ32" s="27">
        <v>-0.73141828543435605</v>
      </c>
      <c r="AK32" s="28" t="s">
        <v>213</v>
      </c>
      <c r="AL32" s="29" t="s">
        <v>48</v>
      </c>
      <c r="AM32" s="29" t="s">
        <v>48</v>
      </c>
      <c r="AN32" s="29" t="s">
        <v>48</v>
      </c>
      <c r="AO32" s="47" t="s">
        <v>214</v>
      </c>
      <c r="AP32" s="28">
        <v>0</v>
      </c>
      <c r="AQ32" s="26">
        <v>1.4999999999999999E-2</v>
      </c>
      <c r="AR32" s="26">
        <v>0</v>
      </c>
    </row>
    <row r="33" spans="1:44" x14ac:dyDescent="0.15">
      <c r="A33">
        <v>436</v>
      </c>
      <c r="B33" s="11">
        <v>3242</v>
      </c>
      <c r="C33" s="32"/>
      <c r="D33" s="32">
        <v>-8.0938393778738399E-4</v>
      </c>
      <c r="E33" s="32">
        <v>27</v>
      </c>
      <c r="F33" s="32">
        <v>0.35377301595541699</v>
      </c>
      <c r="G33" s="11"/>
      <c r="H33" s="11"/>
      <c r="I33" s="11"/>
      <c r="J33" s="18" t="s">
        <v>44</v>
      </c>
      <c r="K33" s="18" t="s">
        <v>64</v>
      </c>
      <c r="L33" s="58" t="s">
        <v>274</v>
      </c>
      <c r="M33" s="18">
        <f>[1]!f_prt_stocktonav(B33,"2017/03/31")</f>
        <v>86.572731018066406</v>
      </c>
      <c r="N33" s="20" t="str">
        <f>[1]!f_info_fundmanager(B33)</f>
        <v>程志田</v>
      </c>
      <c r="O33" s="21">
        <v>0.50684931506849318</v>
      </c>
      <c r="P33" s="34" t="s">
        <v>215</v>
      </c>
      <c r="Q33" s="34" t="s">
        <v>211</v>
      </c>
      <c r="R33" s="34" t="s">
        <v>159</v>
      </c>
      <c r="S33" s="34">
        <v>20160927</v>
      </c>
      <c r="T33" s="45" t="s">
        <v>48</v>
      </c>
      <c r="U33" s="46">
        <v>6.6590545307999998</v>
      </c>
      <c r="V33" s="34" t="s">
        <v>201</v>
      </c>
      <c r="W33" s="34" t="s">
        <v>44</v>
      </c>
      <c r="X33" s="34" t="s">
        <v>64</v>
      </c>
      <c r="Y33" s="34" t="s">
        <v>65</v>
      </c>
      <c r="Z33" s="34"/>
      <c r="AA33" s="34"/>
      <c r="AB33" s="22">
        <v>0.80210800170898433</v>
      </c>
      <c r="AC33" s="23" t="s">
        <v>212</v>
      </c>
      <c r="AD33" s="24">
        <v>0.27671232876712326</v>
      </c>
      <c r="AE33" s="25">
        <v>-4.3760291637298776E-2</v>
      </c>
      <c r="AF33" s="26">
        <v>0</v>
      </c>
      <c r="AG33" s="26">
        <v>0</v>
      </c>
      <c r="AH33" s="27">
        <v>-0.84067525789360242</v>
      </c>
      <c r="AI33" s="27">
        <v>-0.84067525789360242</v>
      </c>
      <c r="AJ33" s="27">
        <v>-0.84067525789360242</v>
      </c>
      <c r="AK33" s="28" t="s">
        <v>213</v>
      </c>
      <c r="AL33" s="29" t="s">
        <v>48</v>
      </c>
      <c r="AM33" s="29" t="s">
        <v>48</v>
      </c>
      <c r="AN33" s="29" t="s">
        <v>48</v>
      </c>
      <c r="AO33" s="47">
        <v>0</v>
      </c>
      <c r="AP33" s="28">
        <v>0</v>
      </c>
      <c r="AQ33" s="26">
        <v>1.4999999999999999E-2</v>
      </c>
      <c r="AR33" s="26">
        <v>8.0000000000000002E-3</v>
      </c>
    </row>
    <row r="34" spans="1:44" x14ac:dyDescent="0.15">
      <c r="A34">
        <v>482</v>
      </c>
      <c r="B34" s="11">
        <v>1513</v>
      </c>
      <c r="C34" s="32"/>
      <c r="D34" s="32">
        <v>5.5908714389604703E-3</v>
      </c>
      <c r="E34" s="32">
        <v>27</v>
      </c>
      <c r="F34" s="32">
        <v>6.1868751369135298E-2</v>
      </c>
      <c r="G34" s="11"/>
      <c r="H34" s="11"/>
      <c r="I34" s="11"/>
      <c r="J34" s="18" t="s">
        <v>44</v>
      </c>
      <c r="K34" s="18" t="s">
        <v>87</v>
      </c>
      <c r="L34" s="58" t="s">
        <v>65</v>
      </c>
      <c r="M34" s="18">
        <f>[1]!f_prt_stocktonav(B34,"2017/03/31")</f>
        <v>85.643287658691406</v>
      </c>
      <c r="N34" s="20" t="str">
        <f>[1]!f_info_fundmanager(B34)</f>
        <v>郑希</v>
      </c>
      <c r="O34" s="21">
        <v>0.50684931506849318</v>
      </c>
      <c r="P34" s="34" t="s">
        <v>216</v>
      </c>
      <c r="Q34" s="34" t="s">
        <v>217</v>
      </c>
      <c r="R34" s="34" t="s">
        <v>218</v>
      </c>
      <c r="S34" s="34">
        <v>20160927</v>
      </c>
      <c r="T34" s="45">
        <v>2.3872347244999998</v>
      </c>
      <c r="U34" s="46">
        <v>4.06261545</v>
      </c>
      <c r="V34" s="34" t="s">
        <v>201</v>
      </c>
      <c r="W34" s="34" t="s">
        <v>41</v>
      </c>
      <c r="X34" s="34" t="s">
        <v>42</v>
      </c>
      <c r="Y34" s="34" t="s">
        <v>43</v>
      </c>
      <c r="Z34" s="34"/>
      <c r="AA34" s="34"/>
      <c r="AB34" s="22">
        <v>0.45956020355224608</v>
      </c>
      <c r="AC34" s="23" t="s">
        <v>219</v>
      </c>
      <c r="AD34" s="24">
        <v>0.27671232876712326</v>
      </c>
      <c r="AE34" s="25">
        <v>-4.486344567479305E-2</v>
      </c>
      <c r="AF34" s="26">
        <v>0</v>
      </c>
      <c r="AG34" s="26">
        <v>0</v>
      </c>
      <c r="AH34" s="27">
        <v>-2.3082049676714669</v>
      </c>
      <c r="AI34" s="27">
        <v>-2.3082049676714669</v>
      </c>
      <c r="AJ34" s="27">
        <v>-2.3082049676714669</v>
      </c>
      <c r="AK34" s="28" t="s">
        <v>220</v>
      </c>
      <c r="AL34" s="29" t="s">
        <v>48</v>
      </c>
      <c r="AM34" s="29" t="s">
        <v>48</v>
      </c>
      <c r="AN34" s="29" t="s">
        <v>48</v>
      </c>
      <c r="AO34" s="47" t="s">
        <v>221</v>
      </c>
      <c r="AP34" s="28">
        <v>0</v>
      </c>
      <c r="AQ34" s="26">
        <v>1.4999999999999999E-2</v>
      </c>
      <c r="AR34" s="26">
        <v>0</v>
      </c>
    </row>
    <row r="35" spans="1:44" x14ac:dyDescent="0.15">
      <c r="A35">
        <v>576</v>
      </c>
      <c r="B35" s="11">
        <v>3131</v>
      </c>
      <c r="C35" s="32"/>
      <c r="D35" s="32">
        <v>5.0995364373972402E-4</v>
      </c>
      <c r="E35" s="32">
        <v>27</v>
      </c>
      <c r="F35" s="32">
        <v>0.75025264968831895</v>
      </c>
      <c r="G35" s="11"/>
      <c r="H35" s="11"/>
      <c r="I35" s="11"/>
      <c r="J35" s="18" t="s">
        <v>44</v>
      </c>
      <c r="K35" s="18" t="s">
        <v>45</v>
      </c>
      <c r="L35" s="58" t="s">
        <v>65</v>
      </c>
      <c r="M35" s="18">
        <f>[1]!f_prt_stocktonav(B35,"2017/03/31")</f>
        <v>83.340164184570313</v>
      </c>
      <c r="N35" s="20" t="str">
        <f>[1]!f_info_fundmanager(B35)</f>
        <v>李捷,张琦</v>
      </c>
      <c r="O35" s="21">
        <v>0.50684931506849318</v>
      </c>
      <c r="P35" s="34" t="s">
        <v>222</v>
      </c>
      <c r="Q35" s="34" t="s">
        <v>223</v>
      </c>
      <c r="R35" s="34" t="s">
        <v>224</v>
      </c>
      <c r="S35" s="34">
        <v>20160927</v>
      </c>
      <c r="T35" s="45">
        <v>3.9238629819000002</v>
      </c>
      <c r="U35" s="46">
        <v>4.9664000413</v>
      </c>
      <c r="V35" s="34" t="s">
        <v>201</v>
      </c>
      <c r="W35" s="34" t="s">
        <v>41</v>
      </c>
      <c r="X35" s="34" t="s">
        <v>42</v>
      </c>
      <c r="Y35" s="34" t="s">
        <v>43</v>
      </c>
      <c r="Z35" s="34"/>
      <c r="AA35" s="34"/>
      <c r="AB35" s="22">
        <v>0.53227416992187504</v>
      </c>
      <c r="AC35" s="23" t="s">
        <v>225</v>
      </c>
      <c r="AD35" s="24">
        <v>0.27671232876712326</v>
      </c>
      <c r="AE35" s="25">
        <v>-2.1873510783418149E-2</v>
      </c>
      <c r="AF35" s="26">
        <v>0</v>
      </c>
      <c r="AG35" s="26">
        <v>0</v>
      </c>
      <c r="AH35" s="27">
        <v>-0.80476018642925728</v>
      </c>
      <c r="AI35" s="27">
        <v>-0.80476018642925728</v>
      </c>
      <c r="AJ35" s="27">
        <v>-0.80476018642925728</v>
      </c>
      <c r="AK35" s="28" t="s">
        <v>226</v>
      </c>
      <c r="AL35" s="29" t="s">
        <v>48</v>
      </c>
      <c r="AM35" s="29" t="s">
        <v>48</v>
      </c>
      <c r="AN35" s="29" t="s">
        <v>48</v>
      </c>
      <c r="AO35" s="47" t="s">
        <v>227</v>
      </c>
      <c r="AP35" s="28">
        <v>0</v>
      </c>
      <c r="AQ35" s="26">
        <v>1.4999999999999999E-2</v>
      </c>
      <c r="AR35" s="26">
        <v>0</v>
      </c>
    </row>
    <row r="36" spans="1:44" x14ac:dyDescent="0.15">
      <c r="A36">
        <v>73</v>
      </c>
      <c r="B36" s="11">
        <v>2612</v>
      </c>
      <c r="C36" s="32"/>
      <c r="D36" s="32">
        <v>-3.0301456446272502E-3</v>
      </c>
      <c r="E36" s="32">
        <v>28</v>
      </c>
      <c r="F36" s="32">
        <v>0.196289305825469</v>
      </c>
      <c r="G36" s="11"/>
      <c r="H36" s="11"/>
      <c r="I36" s="11"/>
      <c r="J36" s="18" t="s">
        <v>44</v>
      </c>
      <c r="K36" s="18" t="s">
        <v>45</v>
      </c>
      <c r="L36" s="58" t="s">
        <v>65</v>
      </c>
      <c r="M36" s="18">
        <f>[1]!f_prt_stocktonav(B36,"2017/03/31")</f>
        <v>94.030296325683594</v>
      </c>
      <c r="N36" s="20" t="str">
        <f>[1]!f_info_fundmanager(B36)</f>
        <v>商小虎,何天翔</v>
      </c>
      <c r="O36" s="21">
        <v>0.52602739726027392</v>
      </c>
      <c r="P36" s="34" t="s">
        <v>228</v>
      </c>
      <c r="Q36" s="34" t="s">
        <v>229</v>
      </c>
      <c r="R36" s="34" t="s">
        <v>230</v>
      </c>
      <c r="S36" s="34">
        <v>20160920</v>
      </c>
      <c r="T36" s="45">
        <v>1.1018644119000001</v>
      </c>
      <c r="U36" s="46">
        <v>2.7277750987</v>
      </c>
      <c r="V36" s="34" t="s">
        <v>231</v>
      </c>
      <c r="W36" s="34" t="s">
        <v>44</v>
      </c>
      <c r="X36" s="34" t="s">
        <v>45</v>
      </c>
      <c r="Y36" s="34" t="s">
        <v>65</v>
      </c>
      <c r="Z36" s="34"/>
      <c r="AA36" s="34"/>
      <c r="AB36" s="22">
        <v>0.78204757690429683</v>
      </c>
      <c r="AC36" s="23" t="s">
        <v>232</v>
      </c>
      <c r="AD36" s="24">
        <v>0.29589041095890412</v>
      </c>
      <c r="AE36" s="25">
        <v>-9.574051112801453E-2</v>
      </c>
      <c r="AF36" s="26">
        <v>0</v>
      </c>
      <c r="AG36" s="26">
        <v>0</v>
      </c>
      <c r="AH36" s="27">
        <v>-0.73806781076931871</v>
      </c>
      <c r="AI36" s="27">
        <v>-0.73806781076931871</v>
      </c>
      <c r="AJ36" s="27">
        <v>-0.73806781076931871</v>
      </c>
      <c r="AK36" s="28" t="s">
        <v>233</v>
      </c>
      <c r="AL36" s="29" t="s">
        <v>48</v>
      </c>
      <c r="AM36" s="29" t="s">
        <v>48</v>
      </c>
      <c r="AN36" s="29" t="s">
        <v>48</v>
      </c>
      <c r="AO36" s="47" t="s">
        <v>234</v>
      </c>
      <c r="AP36" s="28" t="s">
        <v>235</v>
      </c>
      <c r="AQ36" s="26">
        <v>1.4999999999999999E-2</v>
      </c>
      <c r="AR36" s="26">
        <v>0</v>
      </c>
    </row>
    <row r="37" spans="1:44" x14ac:dyDescent="0.15">
      <c r="A37">
        <v>772</v>
      </c>
      <c r="B37" s="11">
        <v>501026</v>
      </c>
      <c r="C37" s="32"/>
      <c r="D37" s="32">
        <v>-3.5748151535213102E-4</v>
      </c>
      <c r="E37" s="32">
        <v>28</v>
      </c>
      <c r="F37" s="32">
        <v>0.73620320489459201</v>
      </c>
      <c r="G37" s="11"/>
      <c r="H37" s="11"/>
      <c r="I37" s="11"/>
      <c r="J37" s="18" t="s">
        <v>44</v>
      </c>
      <c r="K37" s="18" t="s">
        <v>64</v>
      </c>
      <c r="L37" s="58" t="s">
        <v>65</v>
      </c>
      <c r="M37" s="18">
        <f>[1]!f_prt_stocktonav(B37,"2017/03/31")</f>
        <v>77.510047912597656</v>
      </c>
      <c r="N37" s="20" t="str">
        <f>[1]!f_info_fundmanager(B37)</f>
        <v>姚思劼</v>
      </c>
      <c r="O37" s="21">
        <v>0.53150684931506853</v>
      </c>
      <c r="P37" s="34" t="s">
        <v>236</v>
      </c>
      <c r="Q37" s="34" t="s">
        <v>237</v>
      </c>
      <c r="R37" s="34" t="s">
        <v>238</v>
      </c>
      <c r="S37" s="34">
        <v>20160918</v>
      </c>
      <c r="T37" s="45">
        <v>45.282197789000001</v>
      </c>
      <c r="U37" s="46">
        <v>45.826440528399999</v>
      </c>
      <c r="V37" s="34" t="s">
        <v>231</v>
      </c>
      <c r="W37" s="34" t="s">
        <v>41</v>
      </c>
      <c r="X37" s="34" t="s">
        <v>42</v>
      </c>
      <c r="Y37" s="34" t="s">
        <v>43</v>
      </c>
      <c r="Z37" s="34"/>
      <c r="AA37" s="34"/>
      <c r="AB37" s="22">
        <v>0.34859497070312501</v>
      </c>
      <c r="AC37" s="23" t="s">
        <v>239</v>
      </c>
      <c r="AD37" s="24">
        <v>0.30136986301369861</v>
      </c>
      <c r="AE37" s="25">
        <v>-4.1435523716913621E-2</v>
      </c>
      <c r="AF37" s="26">
        <v>0</v>
      </c>
      <c r="AG37" s="26">
        <v>0</v>
      </c>
      <c r="AH37" s="27">
        <v>-4.4671861541801228</v>
      </c>
      <c r="AI37" s="27">
        <v>-4.4671861541801228</v>
      </c>
      <c r="AJ37" s="27">
        <v>-4.4671861541801228</v>
      </c>
      <c r="AK37" s="28" t="s">
        <v>240</v>
      </c>
      <c r="AL37" s="29" t="s">
        <v>48</v>
      </c>
      <c r="AM37" s="29" t="s">
        <v>48</v>
      </c>
      <c r="AN37" s="29" t="s">
        <v>48</v>
      </c>
      <c r="AO37" s="47">
        <v>0</v>
      </c>
      <c r="AP37" s="28">
        <v>0</v>
      </c>
      <c r="AQ37" s="26">
        <v>1.4999999999999999E-2</v>
      </c>
      <c r="AR37" s="26">
        <v>0</v>
      </c>
    </row>
    <row r="38" spans="1:44" x14ac:dyDescent="0.15">
      <c r="A38">
        <v>914</v>
      </c>
      <c r="B38" s="11">
        <v>160421</v>
      </c>
      <c r="C38" s="32"/>
      <c r="D38" s="32">
        <v>-2.8320856583086498E-4</v>
      </c>
      <c r="E38" s="32">
        <v>29</v>
      </c>
      <c r="F38" s="32">
        <v>0.84346331731500301</v>
      </c>
      <c r="G38" s="11"/>
      <c r="H38" s="11"/>
      <c r="I38" s="11"/>
      <c r="J38" s="18" t="s">
        <v>44</v>
      </c>
      <c r="K38" s="18" t="s">
        <v>45</v>
      </c>
      <c r="L38" s="58" t="s">
        <v>274</v>
      </c>
      <c r="M38" s="18">
        <f>[1]!f_prt_stocktonav(B38,"2017/03/31")</f>
        <v>71.750205993652344</v>
      </c>
      <c r="N38" s="20" t="str">
        <f>[1]!f_info_fundmanager(B38)</f>
        <v>刘伟亭</v>
      </c>
      <c r="O38" s="21">
        <v>0.54520547945205478</v>
      </c>
      <c r="P38" s="34" t="s">
        <v>241</v>
      </c>
      <c r="Q38" s="34" t="s">
        <v>242</v>
      </c>
      <c r="R38" s="34" t="s">
        <v>63</v>
      </c>
      <c r="S38" s="34">
        <v>20160913</v>
      </c>
      <c r="T38" s="45">
        <v>12.661282077199999</v>
      </c>
      <c r="U38" s="46">
        <v>13.1183351313</v>
      </c>
      <c r="V38" s="34" t="s">
        <v>231</v>
      </c>
      <c r="W38" s="34" t="s">
        <v>44</v>
      </c>
      <c r="X38" s="34" t="s">
        <v>45</v>
      </c>
      <c r="Y38" s="34" t="s">
        <v>65</v>
      </c>
      <c r="Z38" s="34"/>
      <c r="AA38" s="34"/>
      <c r="AB38" s="22">
        <v>0.71429367065429683</v>
      </c>
      <c r="AC38" s="23" t="s">
        <v>243</v>
      </c>
      <c r="AD38" s="24">
        <v>0.31506849315068491</v>
      </c>
      <c r="AE38" s="25">
        <v>-0.10322150292809085</v>
      </c>
      <c r="AF38" s="26">
        <v>0</v>
      </c>
      <c r="AG38" s="26">
        <v>0</v>
      </c>
      <c r="AH38" s="27">
        <v>-2.0510023061106071</v>
      </c>
      <c r="AI38" s="27">
        <v>-2.0510023061106071</v>
      </c>
      <c r="AJ38" s="27">
        <v>-2.0510023061106071</v>
      </c>
      <c r="AK38" s="28" t="s">
        <v>244</v>
      </c>
      <c r="AL38" s="29" t="s">
        <v>48</v>
      </c>
      <c r="AM38" s="29" t="s">
        <v>48</v>
      </c>
      <c r="AN38" s="29" t="s">
        <v>48</v>
      </c>
      <c r="AO38" s="47">
        <v>0</v>
      </c>
      <c r="AP38" s="28">
        <v>0</v>
      </c>
      <c r="AQ38" s="26">
        <v>1.4999999999999999E-2</v>
      </c>
      <c r="AR38" s="26">
        <v>0</v>
      </c>
    </row>
    <row r="39" spans="1:44" x14ac:dyDescent="0.15">
      <c r="A39">
        <v>196</v>
      </c>
      <c r="B39" s="11">
        <v>3053</v>
      </c>
      <c r="C39" s="32"/>
      <c r="D39" s="32">
        <v>2.5212289353982501E-3</v>
      </c>
      <c r="E39" s="32">
        <v>30</v>
      </c>
      <c r="F39" s="32">
        <v>0.24775218070962399</v>
      </c>
      <c r="G39" s="11"/>
      <c r="H39" s="11"/>
      <c r="I39" s="11"/>
      <c r="J39" s="18" t="s">
        <v>44</v>
      </c>
      <c r="K39" s="18" t="s">
        <v>87</v>
      </c>
      <c r="L39" s="58" t="s">
        <v>65</v>
      </c>
      <c r="M39" s="18">
        <f>[1]!f_prt_stocktonav(B39,"2017/03/31")</f>
        <v>91.911514282226562</v>
      </c>
      <c r="N39" s="20" t="str">
        <f>[1]!f_info_fundmanager(B39)</f>
        <v>王凯</v>
      </c>
      <c r="O39" s="21">
        <v>0.56164383561643838</v>
      </c>
      <c r="P39" s="34" t="s">
        <v>245</v>
      </c>
      <c r="Q39" s="34" t="s">
        <v>246</v>
      </c>
      <c r="R39" s="34" t="s">
        <v>92</v>
      </c>
      <c r="S39" s="34">
        <v>20160907</v>
      </c>
      <c r="T39" s="45">
        <v>8.3052723556999997</v>
      </c>
      <c r="U39" s="46">
        <v>8.1036879899999992</v>
      </c>
      <c r="V39" s="34" t="s">
        <v>231</v>
      </c>
      <c r="W39" s="34" t="s">
        <v>41</v>
      </c>
      <c r="X39" s="34" t="s">
        <v>42</v>
      </c>
      <c r="Y39" s="34" t="s">
        <v>43</v>
      </c>
      <c r="Z39" s="34"/>
      <c r="AA39" s="34"/>
      <c r="AB39" s="22">
        <v>0.22577220916748048</v>
      </c>
      <c r="AC39" s="23" t="s">
        <v>247</v>
      </c>
      <c r="AD39" s="24">
        <v>0.33150684931506852</v>
      </c>
      <c r="AE39" s="25">
        <v>-2.8046359553189237E-2</v>
      </c>
      <c r="AF39" s="26">
        <v>0</v>
      </c>
      <c r="AG39" s="26">
        <v>0</v>
      </c>
      <c r="AH39" s="27">
        <v>-1.7378284020398864</v>
      </c>
      <c r="AI39" s="27">
        <v>-1.7378284020398864</v>
      </c>
      <c r="AJ39" s="27">
        <v>-1.7378284020398864</v>
      </c>
      <c r="AK39" s="28" t="s">
        <v>248</v>
      </c>
      <c r="AL39" s="29" t="s">
        <v>48</v>
      </c>
      <c r="AM39" s="29" t="s">
        <v>48</v>
      </c>
      <c r="AN39" s="29" t="s">
        <v>48</v>
      </c>
      <c r="AO39" s="47" t="s">
        <v>249</v>
      </c>
      <c r="AP39" s="28">
        <v>0</v>
      </c>
      <c r="AQ39" s="26">
        <v>1.4999999999999999E-2</v>
      </c>
      <c r="AR39" s="26">
        <v>0</v>
      </c>
    </row>
    <row r="40" spans="1:44" x14ac:dyDescent="0.15">
      <c r="A40">
        <v>368</v>
      </c>
      <c r="B40" s="11">
        <v>1614</v>
      </c>
      <c r="C40" s="32"/>
      <c r="D40" s="32">
        <v>-4.4461878111936599E-3</v>
      </c>
      <c r="E40" s="32">
        <v>30</v>
      </c>
      <c r="F40" s="32">
        <v>0.10990132180809201</v>
      </c>
      <c r="G40" s="11"/>
      <c r="H40" s="11"/>
      <c r="I40" s="11"/>
      <c r="J40" s="18" t="s">
        <v>44</v>
      </c>
      <c r="K40" s="18" t="s">
        <v>45</v>
      </c>
      <c r="L40" s="58" t="s">
        <v>65</v>
      </c>
      <c r="M40" s="18">
        <f>[1]!f_prt_stocktonav(B40,"2017/03/31")</f>
        <v>88.138290405273438</v>
      </c>
      <c r="N40" s="20" t="str">
        <f>[1]!f_info_fundmanager(B40)</f>
        <v>朱晓栋,薛子徵</v>
      </c>
      <c r="O40" s="21">
        <v>0.56164383561643838</v>
      </c>
      <c r="P40" s="34" t="s">
        <v>250</v>
      </c>
      <c r="Q40" s="34" t="s">
        <v>251</v>
      </c>
      <c r="R40" s="34" t="s">
        <v>252</v>
      </c>
      <c r="S40" s="34">
        <v>20160907</v>
      </c>
      <c r="T40" s="45">
        <v>0.60728509340000003</v>
      </c>
      <c r="U40" s="46">
        <v>2.5398797071999999</v>
      </c>
      <c r="V40" s="34" t="s">
        <v>231</v>
      </c>
      <c r="W40" s="34" t="s">
        <v>41</v>
      </c>
      <c r="X40" s="34" t="s">
        <v>42</v>
      </c>
      <c r="Y40" s="34" t="s">
        <v>43</v>
      </c>
      <c r="Z40" s="34"/>
      <c r="AA40" s="34"/>
      <c r="AB40" s="22">
        <v>0.41439033508300782</v>
      </c>
      <c r="AC40" s="23" t="s">
        <v>253</v>
      </c>
      <c r="AD40" s="24">
        <v>0.33150684931506852</v>
      </c>
      <c r="AE40" s="25">
        <v>-1.2532255599739806E-2</v>
      </c>
      <c r="AF40" s="26">
        <v>0</v>
      </c>
      <c r="AG40" s="26">
        <v>0</v>
      </c>
      <c r="AH40" s="27">
        <v>-0.52333347187879675</v>
      </c>
      <c r="AI40" s="27">
        <v>-0.52333347187879675</v>
      </c>
      <c r="AJ40" s="27">
        <v>-0.52333347187879675</v>
      </c>
      <c r="AK40" s="28" t="s">
        <v>254</v>
      </c>
      <c r="AL40" s="29" t="s">
        <v>48</v>
      </c>
      <c r="AM40" s="29" t="s">
        <v>48</v>
      </c>
      <c r="AN40" s="29" t="s">
        <v>48</v>
      </c>
      <c r="AO40" s="47" t="s">
        <v>255</v>
      </c>
      <c r="AP40" s="28">
        <v>0</v>
      </c>
      <c r="AQ40" s="26">
        <v>1.4999999999999999E-2</v>
      </c>
      <c r="AR40" s="26">
        <v>0</v>
      </c>
    </row>
    <row r="41" spans="1:44" x14ac:dyDescent="0.15">
      <c r="A41">
        <v>646</v>
      </c>
      <c r="B41" s="11">
        <v>2980</v>
      </c>
      <c r="C41" s="32"/>
      <c r="D41" s="32">
        <v>1.7764197723589899E-3</v>
      </c>
      <c r="E41" s="32">
        <v>30</v>
      </c>
      <c r="F41" s="32">
        <v>0.256833383273885</v>
      </c>
      <c r="G41" s="11"/>
      <c r="H41" s="11"/>
      <c r="I41" s="11"/>
      <c r="J41" s="18" t="s">
        <v>44</v>
      </c>
      <c r="K41" s="18" t="s">
        <v>45</v>
      </c>
      <c r="L41" s="58" t="s">
        <v>65</v>
      </c>
      <c r="M41" s="18">
        <f>[1]!f_prt_stocktonav(B41,"2017/03/31")</f>
        <v>81.545616149902344</v>
      </c>
      <c r="N41" s="20" t="str">
        <f>[1]!f_info_fundmanager(B41)</f>
        <v>郑煜</v>
      </c>
      <c r="O41" s="21">
        <v>0.56164383561643838</v>
      </c>
      <c r="P41" s="34" t="s">
        <v>256</v>
      </c>
      <c r="Q41" s="34" t="s">
        <v>257</v>
      </c>
      <c r="R41" s="34" t="s">
        <v>143</v>
      </c>
      <c r="S41" s="34">
        <v>20160907</v>
      </c>
      <c r="T41" s="45">
        <v>9.8668696135000005</v>
      </c>
      <c r="U41" s="46">
        <v>13.244080350000001</v>
      </c>
      <c r="V41" s="34" t="s">
        <v>231</v>
      </c>
      <c r="W41" s="34" t="s">
        <v>41</v>
      </c>
      <c r="X41" s="34" t="s">
        <v>42</v>
      </c>
      <c r="Y41" s="34" t="s">
        <v>43</v>
      </c>
      <c r="Z41" s="34"/>
      <c r="AA41" s="34"/>
      <c r="AB41" s="22">
        <v>0.5219866180419922</v>
      </c>
      <c r="AC41" s="23" t="s">
        <v>258</v>
      </c>
      <c r="AD41" s="24">
        <v>0.33150684931506852</v>
      </c>
      <c r="AE41" s="25">
        <v>-5.8574189747987331E-2</v>
      </c>
      <c r="AF41" s="26">
        <v>0</v>
      </c>
      <c r="AG41" s="26">
        <v>0</v>
      </c>
      <c r="AH41" s="27">
        <v>-1.831154400400955</v>
      </c>
      <c r="AI41" s="27">
        <v>-1.831154400400955</v>
      </c>
      <c r="AJ41" s="27">
        <v>-1.831154400400955</v>
      </c>
      <c r="AK41" s="28" t="s">
        <v>259</v>
      </c>
      <c r="AL41" s="29" t="s">
        <v>48</v>
      </c>
      <c r="AM41" s="29" t="s">
        <v>48</v>
      </c>
      <c r="AN41" s="29" t="s">
        <v>48</v>
      </c>
      <c r="AO41" s="47" t="s">
        <v>260</v>
      </c>
      <c r="AP41" s="28">
        <v>0</v>
      </c>
      <c r="AQ41" s="26">
        <v>1.4999999999999999E-2</v>
      </c>
      <c r="AR41" s="26">
        <v>0</v>
      </c>
    </row>
    <row r="42" spans="1:44" x14ac:dyDescent="0.15">
      <c r="A42">
        <v>37</v>
      </c>
      <c r="B42" s="11">
        <v>1733</v>
      </c>
      <c r="C42" s="32"/>
      <c r="D42" s="32">
        <v>1.09279316491214E-3</v>
      </c>
      <c r="E42" s="32">
        <v>31</v>
      </c>
      <c r="F42" s="32">
        <v>0.488619866057451</v>
      </c>
      <c r="G42" s="11"/>
      <c r="H42" s="11"/>
      <c r="I42" s="11"/>
      <c r="J42" s="18" t="s">
        <v>44</v>
      </c>
      <c r="K42" s="18" t="s">
        <v>64</v>
      </c>
      <c r="L42" s="58" t="s">
        <v>65</v>
      </c>
      <c r="M42" s="18">
        <f>[1]!f_prt_stocktonav(B42,"2017/03/31")</f>
        <v>94.450309753417969</v>
      </c>
      <c r="N42" s="20" t="str">
        <f>[1]!f_info_fundmanager(B42)</f>
        <v>杨超</v>
      </c>
      <c r="O42" s="21">
        <v>0.58356164383561648</v>
      </c>
      <c r="P42" s="34" t="s">
        <v>261</v>
      </c>
      <c r="Q42" s="34" t="s">
        <v>262</v>
      </c>
      <c r="R42" s="34" t="s">
        <v>263</v>
      </c>
      <c r="S42" s="34">
        <v>20160830</v>
      </c>
      <c r="T42" s="45">
        <v>2.0357888258000001</v>
      </c>
      <c r="U42" s="46">
        <v>5.5791872723000004</v>
      </c>
      <c r="V42" s="34" t="s">
        <v>231</v>
      </c>
      <c r="W42" s="34" t="s">
        <v>44</v>
      </c>
      <c r="X42" s="34" t="s">
        <v>64</v>
      </c>
      <c r="Y42" s="34" t="s">
        <v>65</v>
      </c>
      <c r="Z42" s="34"/>
      <c r="AA42" s="34"/>
      <c r="AB42" s="22">
        <v>0.92206390380859371</v>
      </c>
      <c r="AC42" s="23" t="s">
        <v>264</v>
      </c>
      <c r="AD42" s="24">
        <v>0.35342465753424657</v>
      </c>
      <c r="AE42" s="25">
        <v>-9.1293926417280624E-2</v>
      </c>
      <c r="AF42" s="26">
        <v>0</v>
      </c>
      <c r="AG42" s="26">
        <v>0</v>
      </c>
      <c r="AH42" s="27">
        <v>-1.1406461732855315</v>
      </c>
      <c r="AI42" s="27">
        <v>-1.1406461732855315</v>
      </c>
      <c r="AJ42" s="27">
        <v>-1.1406461732855315</v>
      </c>
      <c r="AK42" s="28" t="s">
        <v>265</v>
      </c>
      <c r="AL42" s="29" t="s">
        <v>48</v>
      </c>
      <c r="AM42" s="29" t="s">
        <v>48</v>
      </c>
      <c r="AN42" s="29" t="s">
        <v>48</v>
      </c>
      <c r="AO42" s="47" t="s">
        <v>266</v>
      </c>
      <c r="AP42" s="28">
        <v>0</v>
      </c>
      <c r="AQ42" s="26">
        <v>1.2000000476837159E-2</v>
      </c>
      <c r="AR42" s="26">
        <v>0</v>
      </c>
    </row>
    <row r="43" spans="1:44" x14ac:dyDescent="0.15">
      <c r="A43">
        <v>121</v>
      </c>
      <c r="B43" s="11">
        <v>2860</v>
      </c>
      <c r="C43" s="32"/>
      <c r="D43" s="32">
        <v>-9.4121752812764399E-4</v>
      </c>
      <c r="E43" s="32">
        <v>31</v>
      </c>
      <c r="F43" s="32">
        <v>0.79758759853466299</v>
      </c>
      <c r="G43" s="11"/>
      <c r="H43" s="11"/>
      <c r="I43" s="11"/>
      <c r="J43" s="18" t="s">
        <v>44</v>
      </c>
      <c r="K43" s="18" t="s">
        <v>45</v>
      </c>
      <c r="L43" s="58" t="s">
        <v>65</v>
      </c>
      <c r="M43" s="18">
        <f>[1]!f_prt_stocktonav(B43,"2017/03/31")</f>
        <v>93.26666259765625</v>
      </c>
      <c r="N43" s="20" t="str">
        <f>[1]!f_info_fundmanager(B43)</f>
        <v>曲扬</v>
      </c>
      <c r="O43" s="21">
        <v>0.58356164383561648</v>
      </c>
      <c r="P43" s="34" t="s">
        <v>267</v>
      </c>
      <c r="Q43" s="34" t="s">
        <v>268</v>
      </c>
      <c r="R43" s="34" t="s">
        <v>78</v>
      </c>
      <c r="S43" s="34">
        <v>20160830</v>
      </c>
      <c r="T43" s="45">
        <v>19.997684593100001</v>
      </c>
      <c r="U43" s="46">
        <v>19.5210585998</v>
      </c>
      <c r="V43" s="34" t="s">
        <v>231</v>
      </c>
      <c r="W43" s="34" t="s">
        <v>44</v>
      </c>
      <c r="X43" s="34" t="s">
        <v>45</v>
      </c>
      <c r="Y43" s="34" t="s">
        <v>65</v>
      </c>
      <c r="Z43" s="34"/>
      <c r="AA43" s="34"/>
      <c r="AB43" s="22">
        <v>0.94236846923828121</v>
      </c>
      <c r="AC43" s="23" t="s">
        <v>119</v>
      </c>
      <c r="AD43" s="24">
        <v>0.35342465753424657</v>
      </c>
      <c r="AE43" s="25">
        <v>-3.7784687476850709E-2</v>
      </c>
      <c r="AF43" s="26">
        <v>0</v>
      </c>
      <c r="AG43" s="26">
        <v>0</v>
      </c>
      <c r="AH43" s="27">
        <v>-0.30478818183552686</v>
      </c>
      <c r="AI43" s="27">
        <v>-0.30478818183552686</v>
      </c>
      <c r="AJ43" s="27">
        <v>-0.30478818183552686</v>
      </c>
      <c r="AK43" s="28" t="s">
        <v>269</v>
      </c>
      <c r="AL43" s="29" t="s">
        <v>48</v>
      </c>
      <c r="AM43" s="29" t="s">
        <v>48</v>
      </c>
      <c r="AN43" s="29" t="s">
        <v>48</v>
      </c>
      <c r="AO43" s="47" t="s">
        <v>270</v>
      </c>
      <c r="AP43" s="28">
        <v>0</v>
      </c>
      <c r="AQ43" s="26">
        <v>1.4999999999999999E-2</v>
      </c>
      <c r="AR43" s="26">
        <v>0</v>
      </c>
    </row>
    <row r="44" spans="1:44" x14ac:dyDescent="0.15">
      <c r="A44">
        <v>226</v>
      </c>
      <c r="B44" s="11">
        <v>162107</v>
      </c>
      <c r="C44" s="32"/>
      <c r="D44" s="32">
        <v>-1.1297321186825499E-3</v>
      </c>
      <c r="E44" s="32">
        <v>32</v>
      </c>
      <c r="F44" s="32">
        <v>0.491219263409089</v>
      </c>
      <c r="G44" s="11"/>
      <c r="H44" s="11"/>
      <c r="I44" s="11"/>
      <c r="J44" s="18" t="s">
        <v>44</v>
      </c>
      <c r="K44" s="18" t="s">
        <v>64</v>
      </c>
      <c r="L44" s="58" t="s">
        <v>274</v>
      </c>
      <c r="M44" s="18">
        <f>[1]!f_prt_stocktonav(B44,"2017/03/31")</f>
        <v>91.2252197265625</v>
      </c>
      <c r="N44" s="20" t="str">
        <f>[1]!f_info_fundmanager(B44)</f>
        <v>黄艳芳</v>
      </c>
      <c r="O44" s="21">
        <v>0.59726027397260273</v>
      </c>
      <c r="P44" s="34" t="s">
        <v>271</v>
      </c>
      <c r="Q44" s="34" t="s">
        <v>272</v>
      </c>
      <c r="R44" s="34" t="s">
        <v>273</v>
      </c>
      <c r="S44" s="34">
        <v>20160825</v>
      </c>
      <c r="T44" s="45">
        <v>0.1723738611</v>
      </c>
      <c r="U44" s="46">
        <v>0.18607892109999999</v>
      </c>
      <c r="V44" s="34" t="s">
        <v>231</v>
      </c>
      <c r="W44" s="34" t="s">
        <v>44</v>
      </c>
      <c r="X44" s="34" t="s">
        <v>64</v>
      </c>
      <c r="Y44" s="34" t="s">
        <v>274</v>
      </c>
      <c r="Z44" s="34"/>
      <c r="AA44" s="34"/>
      <c r="AB44" s="22">
        <v>0.92862594604492188</v>
      </c>
      <c r="AC44" s="23" t="s">
        <v>275</v>
      </c>
      <c r="AD44" s="24">
        <v>0.36712328767123287</v>
      </c>
      <c r="AE44" s="25">
        <v>8.3443100483445498E-2</v>
      </c>
      <c r="AF44" s="26">
        <v>0</v>
      </c>
      <c r="AG44" s="26">
        <v>0</v>
      </c>
      <c r="AH44" s="27">
        <v>0.46536335164909304</v>
      </c>
      <c r="AI44" s="27">
        <v>0.46536335164909304</v>
      </c>
      <c r="AJ44" s="27">
        <v>0.46536335164909304</v>
      </c>
      <c r="AK44" s="28" t="s">
        <v>276</v>
      </c>
      <c r="AL44" s="29" t="s">
        <v>48</v>
      </c>
      <c r="AM44" s="29" t="s">
        <v>48</v>
      </c>
      <c r="AN44" s="29" t="s">
        <v>48</v>
      </c>
      <c r="AO44" s="47" t="s">
        <v>214</v>
      </c>
      <c r="AP44" s="28">
        <v>0</v>
      </c>
      <c r="AQ44" s="26">
        <v>1.4999999999999999E-2</v>
      </c>
      <c r="AR44" s="26">
        <v>0</v>
      </c>
    </row>
    <row r="45" spans="1:44" x14ac:dyDescent="0.15">
      <c r="A45">
        <v>96</v>
      </c>
      <c r="B45" s="11">
        <v>2939</v>
      </c>
      <c r="C45" s="32"/>
      <c r="D45" s="32">
        <v>1.6422440249305901E-3</v>
      </c>
      <c r="E45" s="32">
        <v>32</v>
      </c>
      <c r="F45" s="32">
        <v>0.40859399864972301</v>
      </c>
      <c r="G45" s="11"/>
      <c r="H45" s="11"/>
      <c r="I45" s="11"/>
      <c r="J45" s="18" t="s">
        <v>44</v>
      </c>
      <c r="K45" s="18" t="s">
        <v>45</v>
      </c>
      <c r="L45" s="58" t="s">
        <v>65</v>
      </c>
      <c r="M45" s="18">
        <f>[1]!f_prt_stocktonav(B45,"2017/03/31")</f>
        <v>93.659210205078125</v>
      </c>
      <c r="N45" s="20" t="str">
        <f>[1]!f_info_fundmanager(B45)</f>
        <v>王颂</v>
      </c>
      <c r="O45" s="21">
        <v>0.6</v>
      </c>
      <c r="P45" s="34" t="s">
        <v>277</v>
      </c>
      <c r="Q45" s="34" t="s">
        <v>278</v>
      </c>
      <c r="R45" s="34" t="s">
        <v>132</v>
      </c>
      <c r="S45" s="34">
        <v>20160824</v>
      </c>
      <c r="T45" s="45">
        <v>2.0474018600999999</v>
      </c>
      <c r="U45" s="46">
        <v>3.6326516117000001</v>
      </c>
      <c r="V45" s="34" t="s">
        <v>231</v>
      </c>
      <c r="W45" s="34" t="s">
        <v>44</v>
      </c>
      <c r="X45" s="34" t="s">
        <v>45</v>
      </c>
      <c r="Y45" s="34" t="s">
        <v>65</v>
      </c>
      <c r="Z45" s="34"/>
      <c r="AA45" s="34"/>
      <c r="AB45" s="22">
        <v>0.83604187011718745</v>
      </c>
      <c r="AC45" s="23" t="s">
        <v>279</v>
      </c>
      <c r="AD45" s="24">
        <v>0.36986301369863012</v>
      </c>
      <c r="AE45" s="25">
        <v>-2.5892600704334634E-2</v>
      </c>
      <c r="AF45" s="26">
        <v>0</v>
      </c>
      <c r="AG45" s="26">
        <v>0</v>
      </c>
      <c r="AH45" s="27">
        <v>-0.51298034965758976</v>
      </c>
      <c r="AI45" s="27">
        <v>-0.51298034965758976</v>
      </c>
      <c r="AJ45" s="27">
        <v>-0.51298034965758976</v>
      </c>
      <c r="AK45" s="28" t="s">
        <v>280</v>
      </c>
      <c r="AL45" s="29" t="s">
        <v>48</v>
      </c>
      <c r="AM45" s="29" t="s">
        <v>48</v>
      </c>
      <c r="AN45" s="29" t="s">
        <v>48</v>
      </c>
      <c r="AO45" s="47" t="s">
        <v>281</v>
      </c>
      <c r="AP45" s="28">
        <v>0</v>
      </c>
      <c r="AQ45" s="26">
        <v>1.4999999999999999E-2</v>
      </c>
      <c r="AR45" s="26">
        <v>0</v>
      </c>
    </row>
    <row r="46" spans="1:44" x14ac:dyDescent="0.15">
      <c r="A46">
        <v>277</v>
      </c>
      <c r="B46" s="11">
        <v>1667</v>
      </c>
      <c r="C46" s="32"/>
      <c r="D46" s="32">
        <v>-1.9400343204328901E-3</v>
      </c>
      <c r="E46" s="32">
        <v>33</v>
      </c>
      <c r="F46" s="32">
        <v>0.12171944095154499</v>
      </c>
      <c r="G46" s="11"/>
      <c r="H46" s="11"/>
      <c r="I46" s="11"/>
      <c r="J46" s="18" t="s">
        <v>44</v>
      </c>
      <c r="K46" s="18" t="s">
        <v>45</v>
      </c>
      <c r="L46" s="58" t="s">
        <v>65</v>
      </c>
      <c r="M46" s="18">
        <f>[1]!f_prt_stocktonav(B46,"2017/03/31")</f>
        <v>89.879364013671875</v>
      </c>
      <c r="N46" s="20" t="str">
        <f>[1]!f_info_fundmanager(B46)</f>
        <v>张旭</v>
      </c>
      <c r="O46" s="21">
        <v>0.61917808219178083</v>
      </c>
      <c r="P46" s="34" t="s">
        <v>282</v>
      </c>
      <c r="Q46" s="34" t="s">
        <v>283</v>
      </c>
      <c r="R46" s="34" t="s">
        <v>284</v>
      </c>
      <c r="S46" s="34">
        <v>20160817</v>
      </c>
      <c r="T46" s="45">
        <v>10.433934929199999</v>
      </c>
      <c r="U46" s="46">
        <v>12.958664881000001</v>
      </c>
      <c r="V46" s="34" t="s">
        <v>231</v>
      </c>
      <c r="W46" s="34" t="s">
        <v>44</v>
      </c>
      <c r="X46" s="34" t="s">
        <v>45</v>
      </c>
      <c r="Y46" s="34" t="s">
        <v>65</v>
      </c>
      <c r="Z46" s="34"/>
      <c r="AA46" s="34"/>
      <c r="AB46" s="22">
        <v>0.75958442687988281</v>
      </c>
      <c r="AC46" s="23" t="s">
        <v>285</v>
      </c>
      <c r="AD46" s="24">
        <v>0.38904109589041097</v>
      </c>
      <c r="AE46" s="25">
        <v>-0.14474977723058202</v>
      </c>
      <c r="AF46" s="26">
        <v>0</v>
      </c>
      <c r="AG46" s="26">
        <v>0</v>
      </c>
      <c r="AH46" s="27">
        <v>-1.9099735945719096</v>
      </c>
      <c r="AI46" s="27">
        <v>-1.9099735945719096</v>
      </c>
      <c r="AJ46" s="27">
        <v>-1.9099735945719096</v>
      </c>
      <c r="AK46" s="28" t="s">
        <v>286</v>
      </c>
      <c r="AL46" s="29" t="s">
        <v>48</v>
      </c>
      <c r="AM46" s="29" t="s">
        <v>48</v>
      </c>
      <c r="AN46" s="29" t="s">
        <v>48</v>
      </c>
      <c r="AO46" s="47" t="s">
        <v>287</v>
      </c>
      <c r="AP46" s="28">
        <v>0</v>
      </c>
      <c r="AQ46" s="26">
        <v>1.4999999999999999E-2</v>
      </c>
      <c r="AR46" s="26">
        <v>0</v>
      </c>
    </row>
    <row r="47" spans="1:44" x14ac:dyDescent="0.15">
      <c r="A47">
        <v>692</v>
      </c>
      <c r="B47" s="11">
        <v>2955</v>
      </c>
      <c r="C47" s="32"/>
      <c r="D47" s="32">
        <v>-1.72399222560068E-3</v>
      </c>
      <c r="E47" s="32">
        <v>33</v>
      </c>
      <c r="F47" s="32">
        <v>0.16264506017453501</v>
      </c>
      <c r="G47" s="11"/>
      <c r="H47" s="11"/>
      <c r="I47" s="11"/>
      <c r="J47" s="18" t="s">
        <v>44</v>
      </c>
      <c r="K47" s="18" t="s">
        <v>45</v>
      </c>
      <c r="L47" s="58" t="s">
        <v>65</v>
      </c>
      <c r="M47" s="18">
        <f>[1]!f_prt_stocktonav(B47,"2017/03/31")</f>
        <v>80.209342956542969</v>
      </c>
      <c r="N47" s="20" t="str">
        <f>[1]!f_info_fundmanager(B47)</f>
        <v>何天翔</v>
      </c>
      <c r="O47" s="21">
        <v>0.61917808219178083</v>
      </c>
      <c r="P47" s="34" t="s">
        <v>288</v>
      </c>
      <c r="Q47" s="34" t="s">
        <v>289</v>
      </c>
      <c r="R47" s="34" t="s">
        <v>230</v>
      </c>
      <c r="S47" s="34">
        <v>20160817</v>
      </c>
      <c r="T47" s="45">
        <v>3.5392120876000002</v>
      </c>
      <c r="U47" s="46">
        <v>4.2076168113000003</v>
      </c>
      <c r="V47" s="34" t="s">
        <v>231</v>
      </c>
      <c r="W47" s="34" t="s">
        <v>44</v>
      </c>
      <c r="X47" s="34" t="s">
        <v>45</v>
      </c>
      <c r="Y47" s="34" t="s">
        <v>65</v>
      </c>
      <c r="Z47" s="34"/>
      <c r="AA47" s="34"/>
      <c r="AB47" s="22">
        <v>0.79855491638183596</v>
      </c>
      <c r="AC47" s="23" t="s">
        <v>290</v>
      </c>
      <c r="AD47" s="24">
        <v>0.38904109589041097</v>
      </c>
      <c r="AE47" s="25">
        <v>-0.10056233678972572</v>
      </c>
      <c r="AF47" s="26">
        <v>0</v>
      </c>
      <c r="AG47" s="26">
        <v>0</v>
      </c>
      <c r="AH47" s="27">
        <v>-1.7376452746012514</v>
      </c>
      <c r="AI47" s="27">
        <v>-1.7376452746012514</v>
      </c>
      <c r="AJ47" s="27">
        <v>-1.7376452746012514</v>
      </c>
      <c r="AK47" s="28" t="s">
        <v>291</v>
      </c>
      <c r="AL47" s="29" t="s">
        <v>48</v>
      </c>
      <c r="AM47" s="29" t="s">
        <v>48</v>
      </c>
      <c r="AN47" s="29" t="s">
        <v>48</v>
      </c>
      <c r="AO47" s="47" t="s">
        <v>292</v>
      </c>
      <c r="AP47" s="28" t="s">
        <v>235</v>
      </c>
      <c r="AQ47" s="26">
        <v>1.4999999999999999E-2</v>
      </c>
      <c r="AR47" s="26">
        <v>0</v>
      </c>
    </row>
    <row r="48" spans="1:44" x14ac:dyDescent="0.15">
      <c r="A48">
        <v>243</v>
      </c>
      <c r="B48" s="11">
        <v>519773</v>
      </c>
      <c r="C48" s="32"/>
      <c r="D48" s="32">
        <v>-2.4417939001115099E-3</v>
      </c>
      <c r="E48" s="32">
        <v>33</v>
      </c>
      <c r="F48" s="32">
        <v>0.288080873968246</v>
      </c>
      <c r="G48" s="11"/>
      <c r="H48" s="11"/>
      <c r="I48" s="11"/>
      <c r="J48" s="18" t="s">
        <v>44</v>
      </c>
      <c r="K48" s="18" t="s">
        <v>45</v>
      </c>
      <c r="L48" s="58" t="s">
        <v>65</v>
      </c>
      <c r="M48" s="18">
        <f>[1]!f_prt_stocktonav(B48,"2017/03/31")</f>
        <v>90.712089538574219</v>
      </c>
      <c r="N48" s="20" t="str">
        <f>[1]!f_info_fundmanager(B48)</f>
        <v>芮晨</v>
      </c>
      <c r="O48" s="21">
        <v>0.62191780821917808</v>
      </c>
      <c r="P48" s="34" t="s">
        <v>293</v>
      </c>
      <c r="Q48" s="34" t="s">
        <v>294</v>
      </c>
      <c r="R48" s="34" t="s">
        <v>138</v>
      </c>
      <c r="S48" s="34">
        <v>20160816</v>
      </c>
      <c r="T48" s="45">
        <v>14.559888582599999</v>
      </c>
      <c r="U48" s="46">
        <v>21.8466236933</v>
      </c>
      <c r="V48" s="34" t="s">
        <v>231</v>
      </c>
      <c r="W48" s="34" t="s">
        <v>44</v>
      </c>
      <c r="X48" s="34" t="s">
        <v>45</v>
      </c>
      <c r="Y48" s="34" t="s">
        <v>65</v>
      </c>
      <c r="Z48" s="34"/>
      <c r="AA48" s="34"/>
      <c r="AB48" s="22">
        <v>0.84108428955078129</v>
      </c>
      <c r="AC48" s="23" t="s">
        <v>295</v>
      </c>
      <c r="AD48" s="24">
        <v>0.39178082191780822</v>
      </c>
      <c r="AE48" s="25">
        <v>-0.14857486326958935</v>
      </c>
      <c r="AF48" s="26">
        <v>0</v>
      </c>
      <c r="AG48" s="26">
        <v>0</v>
      </c>
      <c r="AH48" s="27">
        <v>-1.0452428760414263</v>
      </c>
      <c r="AI48" s="27">
        <v>-1.0452428760414263</v>
      </c>
      <c r="AJ48" s="27">
        <v>-1.0452428760414263</v>
      </c>
      <c r="AK48" s="28" t="s">
        <v>140</v>
      </c>
      <c r="AL48" s="29" t="s">
        <v>48</v>
      </c>
      <c r="AM48" s="29" t="s">
        <v>48</v>
      </c>
      <c r="AN48" s="29" t="s">
        <v>48</v>
      </c>
      <c r="AO48" s="47" t="s">
        <v>296</v>
      </c>
      <c r="AP48" s="28">
        <v>0</v>
      </c>
      <c r="AQ48" s="26">
        <v>1.4999999999999999E-2</v>
      </c>
      <c r="AR48" s="26">
        <v>0</v>
      </c>
    </row>
    <row r="49" spans="1:44" x14ac:dyDescent="0.15">
      <c r="A49">
        <v>204</v>
      </c>
      <c r="B49" s="11">
        <v>2989</v>
      </c>
      <c r="C49" s="32"/>
      <c r="D49" s="32">
        <v>2.2928248394726001E-3</v>
      </c>
      <c r="E49" s="32">
        <v>33</v>
      </c>
      <c r="F49" s="32">
        <v>0.24804790122147299</v>
      </c>
      <c r="G49" s="11"/>
      <c r="H49" s="11"/>
      <c r="I49" s="11"/>
      <c r="J49" s="18" t="s">
        <v>44</v>
      </c>
      <c r="K49" s="18" t="s">
        <v>45</v>
      </c>
      <c r="L49" s="58" t="s">
        <v>65</v>
      </c>
      <c r="M49" s="18">
        <f>[1]!f_prt_stocktonav(B49,"2017/03/31")</f>
        <v>91.74163818359375</v>
      </c>
      <c r="N49" s="20" t="str">
        <f>[1]!f_info_fundmanager(B49)</f>
        <v>张延闽</v>
      </c>
      <c r="O49" s="21">
        <v>0.63287671232876708</v>
      </c>
      <c r="P49" s="34" t="s">
        <v>297</v>
      </c>
      <c r="Q49" s="34" t="s">
        <v>298</v>
      </c>
      <c r="R49" s="34" t="s">
        <v>230</v>
      </c>
      <c r="S49" s="34">
        <v>20160812</v>
      </c>
      <c r="T49" s="45">
        <v>8.8428399185999993</v>
      </c>
      <c r="U49" s="46">
        <v>13.346497361200001</v>
      </c>
      <c r="V49" s="34" t="s">
        <v>231</v>
      </c>
      <c r="W49" s="34" t="s">
        <v>44</v>
      </c>
      <c r="X49" s="17" t="s">
        <v>45</v>
      </c>
      <c r="Y49" s="17" t="s">
        <v>65</v>
      </c>
      <c r="Z49" s="34"/>
      <c r="AA49" s="34"/>
      <c r="AB49" s="22">
        <v>0.90845405578613281</v>
      </c>
      <c r="AC49" s="23" t="s">
        <v>299</v>
      </c>
      <c r="AD49" s="24">
        <v>0.40273972602739727</v>
      </c>
      <c r="AE49" s="25">
        <v>-5.3487216715450196E-2</v>
      </c>
      <c r="AF49" s="26">
        <v>0</v>
      </c>
      <c r="AG49" s="26">
        <v>0</v>
      </c>
      <c r="AH49" s="27">
        <v>-0.81790252318266976</v>
      </c>
      <c r="AI49" s="27">
        <v>-0.81790252318266976</v>
      </c>
      <c r="AJ49" s="27">
        <v>-0.81790252318266976</v>
      </c>
      <c r="AK49" s="28" t="s">
        <v>291</v>
      </c>
      <c r="AL49" s="29">
        <v>1</v>
      </c>
      <c r="AM49" s="29">
        <v>3</v>
      </c>
      <c r="AN49" s="29" t="s">
        <v>48</v>
      </c>
      <c r="AO49" s="47" t="s">
        <v>300</v>
      </c>
      <c r="AP49" s="28">
        <v>0</v>
      </c>
      <c r="AQ49" s="26">
        <v>1.4999999999999999E-2</v>
      </c>
      <c r="AR49" s="26">
        <v>0</v>
      </c>
    </row>
    <row r="50" spans="1:44" x14ac:dyDescent="0.15">
      <c r="A50">
        <v>144</v>
      </c>
      <c r="B50" s="11">
        <v>1703</v>
      </c>
      <c r="C50" s="32"/>
      <c r="D50" s="32">
        <v>3.3021927446375702E-3</v>
      </c>
      <c r="E50" s="32">
        <v>34</v>
      </c>
      <c r="F50" s="32">
        <v>7.4055597845880602E-2</v>
      </c>
      <c r="G50" s="11"/>
      <c r="H50" s="11"/>
      <c r="I50" s="11"/>
      <c r="J50" s="18" t="s">
        <v>44</v>
      </c>
      <c r="K50" s="18" t="s">
        <v>45</v>
      </c>
      <c r="L50" s="58" t="s">
        <v>65</v>
      </c>
      <c r="M50" s="18">
        <f>[1]!f_prt_stocktonav(B50,"2017/03/31")</f>
        <v>92.862701416015625</v>
      </c>
      <c r="N50" s="20" t="str">
        <f>[1]!f_info_fundmanager(B50)</f>
        <v>周可彦</v>
      </c>
      <c r="O50" s="21">
        <v>0.63835616438356169</v>
      </c>
      <c r="P50" s="34" t="s">
        <v>301</v>
      </c>
      <c r="Q50" s="34" t="s">
        <v>302</v>
      </c>
      <c r="R50" s="34" t="s">
        <v>57</v>
      </c>
      <c r="S50" s="34">
        <v>20160810</v>
      </c>
      <c r="T50" s="45">
        <v>1.2830738233000001</v>
      </c>
      <c r="U50" s="46">
        <v>2.3170327493</v>
      </c>
      <c r="V50" s="34" t="s">
        <v>231</v>
      </c>
      <c r="W50" s="34" t="s">
        <v>41</v>
      </c>
      <c r="X50" s="34" t="s">
        <v>42</v>
      </c>
      <c r="Y50" s="34" t="s">
        <v>43</v>
      </c>
      <c r="Z50" s="34"/>
      <c r="AA50" s="34"/>
      <c r="AB50" s="22">
        <v>0.3455036163330078</v>
      </c>
      <c r="AC50" s="23" t="s">
        <v>303</v>
      </c>
      <c r="AD50" s="24">
        <v>0.40821917808219177</v>
      </c>
      <c r="AE50" s="25">
        <v>2.5542073232879936E-2</v>
      </c>
      <c r="AF50" s="26">
        <v>0</v>
      </c>
      <c r="AG50" s="26">
        <v>0</v>
      </c>
      <c r="AH50" s="27">
        <v>0.22833446342122882</v>
      </c>
      <c r="AI50" s="27">
        <v>0.22833446342122882</v>
      </c>
      <c r="AJ50" s="27">
        <v>0.22833446342122882</v>
      </c>
      <c r="AK50" s="28" t="s">
        <v>176</v>
      </c>
      <c r="AL50" s="29" t="s">
        <v>48</v>
      </c>
      <c r="AM50" s="29" t="s">
        <v>48</v>
      </c>
      <c r="AN50" s="29" t="s">
        <v>48</v>
      </c>
      <c r="AO50" s="47" t="s">
        <v>304</v>
      </c>
      <c r="AP50" s="28">
        <v>0</v>
      </c>
      <c r="AQ50" s="26">
        <v>1.4999999999999999E-2</v>
      </c>
      <c r="AR50" s="26">
        <v>0</v>
      </c>
    </row>
    <row r="51" spans="1:44" x14ac:dyDescent="0.15">
      <c r="A51">
        <v>327</v>
      </c>
      <c r="B51" s="11">
        <v>2952</v>
      </c>
      <c r="C51" s="32"/>
      <c r="D51" s="32">
        <v>-1.19181792617358E-4</v>
      </c>
      <c r="E51" s="32">
        <v>34</v>
      </c>
      <c r="F51" s="32">
        <v>0.92711643359839901</v>
      </c>
      <c r="G51" s="11"/>
      <c r="H51" s="11"/>
      <c r="I51" s="11"/>
      <c r="J51" s="18" t="s">
        <v>44</v>
      </c>
      <c r="K51" s="18" t="s">
        <v>64</v>
      </c>
      <c r="L51" s="58" t="s">
        <v>274</v>
      </c>
      <c r="M51" s="18">
        <f>[1]!f_prt_stocktonav(B51,"2017/03/31")</f>
        <v>88.916831970214844</v>
      </c>
      <c r="N51" s="20" t="str">
        <f>[1]!f_info_fundmanager(B51)</f>
        <v>叶乐天</v>
      </c>
      <c r="O51" s="21">
        <v>0.64109589041095894</v>
      </c>
      <c r="P51" s="34" t="s">
        <v>305</v>
      </c>
      <c r="Q51" s="34" t="s">
        <v>306</v>
      </c>
      <c r="R51" s="34" t="s">
        <v>307</v>
      </c>
      <c r="S51" s="34">
        <v>20160809</v>
      </c>
      <c r="T51" s="45">
        <v>2.4908602663999999</v>
      </c>
      <c r="U51" s="46">
        <v>3.2170041886999998</v>
      </c>
      <c r="V51" s="34" t="s">
        <v>231</v>
      </c>
      <c r="W51" s="34" t="s">
        <v>44</v>
      </c>
      <c r="X51" s="34" t="s">
        <v>64</v>
      </c>
      <c r="Y51" s="34" t="s">
        <v>65</v>
      </c>
      <c r="Z51" s="34"/>
      <c r="AA51" s="34"/>
      <c r="AB51" s="22">
        <v>0.76093833923339849</v>
      </c>
      <c r="AC51" s="23" t="s">
        <v>308</v>
      </c>
      <c r="AD51" s="24">
        <v>0.41095890410958902</v>
      </c>
      <c r="AE51" s="25">
        <v>-4.4448648138851521E-2</v>
      </c>
      <c r="AF51" s="26">
        <v>0</v>
      </c>
      <c r="AG51" s="26">
        <v>0</v>
      </c>
      <c r="AH51" s="27">
        <v>-0.64532439950328557</v>
      </c>
      <c r="AI51" s="27">
        <v>-0.64532439950328557</v>
      </c>
      <c r="AJ51" s="27">
        <v>-0.64532439950328557</v>
      </c>
      <c r="AK51" s="28" t="s">
        <v>309</v>
      </c>
      <c r="AL51" s="29" t="s">
        <v>48</v>
      </c>
      <c r="AM51" s="29" t="s">
        <v>48</v>
      </c>
      <c r="AN51" s="29" t="s">
        <v>48</v>
      </c>
      <c r="AO51" s="47" t="s">
        <v>310</v>
      </c>
      <c r="AP51" s="28">
        <v>0</v>
      </c>
      <c r="AQ51" s="26">
        <v>1.4999999999999999E-2</v>
      </c>
      <c r="AR51" s="26">
        <v>0</v>
      </c>
    </row>
    <row r="52" spans="1:44" x14ac:dyDescent="0.15">
      <c r="A52">
        <v>654</v>
      </c>
      <c r="B52" s="11">
        <v>169105</v>
      </c>
      <c r="C52" s="32"/>
      <c r="D52" s="32">
        <v>5.2851195122571E-3</v>
      </c>
      <c r="E52" s="32">
        <v>35</v>
      </c>
      <c r="F52" s="32">
        <v>7.3316532854346399E-3</v>
      </c>
      <c r="G52" s="11"/>
      <c r="H52" s="11"/>
      <c r="I52" s="11"/>
      <c r="J52" s="18" t="s">
        <v>44</v>
      </c>
      <c r="K52" s="18" t="s">
        <v>45</v>
      </c>
      <c r="L52" s="58" t="s">
        <v>65</v>
      </c>
      <c r="M52" s="18">
        <f>[1]!f_prt_stocktonav(B52,"2017/03/31")</f>
        <v>81.30194091796875</v>
      </c>
      <c r="N52" s="20" t="str">
        <f>[1]!f_info_fundmanager(B52)</f>
        <v>林鹏</v>
      </c>
      <c r="O52" s="21">
        <v>0.65479452054794518</v>
      </c>
      <c r="P52" s="34" t="s">
        <v>311</v>
      </c>
      <c r="Q52" s="34" t="s">
        <v>312</v>
      </c>
      <c r="R52" s="34" t="s">
        <v>313</v>
      </c>
      <c r="S52" s="34">
        <v>20160804</v>
      </c>
      <c r="T52" s="45">
        <v>64.401398828300003</v>
      </c>
      <c r="U52" s="46">
        <v>63.709946645499997</v>
      </c>
      <c r="V52" s="34" t="s">
        <v>231</v>
      </c>
      <c r="W52" s="34" t="s">
        <v>41</v>
      </c>
      <c r="X52" s="34" t="s">
        <v>42</v>
      </c>
      <c r="Y52" s="34" t="s">
        <v>43</v>
      </c>
      <c r="Z52" s="34"/>
      <c r="AA52" s="34"/>
      <c r="AB52" s="22">
        <v>0.59366031646728512</v>
      </c>
      <c r="AC52" s="23" t="s">
        <v>314</v>
      </c>
      <c r="AD52" s="24">
        <v>0.42465753424657532</v>
      </c>
      <c r="AE52" s="25">
        <v>2.8709123722145735E-2</v>
      </c>
      <c r="AF52" s="26">
        <v>0</v>
      </c>
      <c r="AG52" s="26">
        <v>0</v>
      </c>
      <c r="AH52" s="27">
        <v>0.29156815188133001</v>
      </c>
      <c r="AI52" s="27">
        <v>0.29156815188133001</v>
      </c>
      <c r="AJ52" s="27">
        <v>0.29156815188133001</v>
      </c>
      <c r="AK52" s="28" t="s">
        <v>315</v>
      </c>
      <c r="AL52" s="29" t="s">
        <v>48</v>
      </c>
      <c r="AM52" s="29" t="s">
        <v>48</v>
      </c>
      <c r="AN52" s="29" t="s">
        <v>48</v>
      </c>
      <c r="AO52" s="47">
        <v>0</v>
      </c>
      <c r="AP52" s="28">
        <v>0</v>
      </c>
      <c r="AQ52" s="26">
        <v>1.4999999999999999E-2</v>
      </c>
      <c r="AR52" s="26">
        <v>0</v>
      </c>
    </row>
    <row r="53" spans="1:44" x14ac:dyDescent="0.15">
      <c r="A53">
        <v>430</v>
      </c>
      <c r="B53" s="11">
        <v>2264</v>
      </c>
      <c r="C53" s="32"/>
      <c r="D53" s="32">
        <v>2.4447005738730499E-3</v>
      </c>
      <c r="E53" s="32">
        <v>35</v>
      </c>
      <c r="F53" s="32">
        <v>0.204679467251762</v>
      </c>
      <c r="G53" s="11"/>
      <c r="H53" s="11"/>
      <c r="I53" s="11"/>
      <c r="J53" s="18" t="s">
        <v>44</v>
      </c>
      <c r="K53" s="18" t="s">
        <v>86</v>
      </c>
      <c r="L53" s="58" t="s">
        <v>65</v>
      </c>
      <c r="M53" s="18">
        <f>[1]!f_prt_stocktonav(B53,"2017/03/31")</f>
        <v>86.687797546386719</v>
      </c>
      <c r="N53" s="20" t="str">
        <f>[1]!f_info_fundmanager(B53)</f>
        <v>陈斌</v>
      </c>
      <c r="O53" s="21">
        <v>0.65753424657534243</v>
      </c>
      <c r="P53" s="34" t="s">
        <v>316</v>
      </c>
      <c r="Q53" s="34" t="s">
        <v>317</v>
      </c>
      <c r="R53" s="34" t="s">
        <v>143</v>
      </c>
      <c r="S53" s="34">
        <v>20160803</v>
      </c>
      <c r="T53" s="45">
        <v>7.3429158932999998</v>
      </c>
      <c r="U53" s="46">
        <v>14.5885965738</v>
      </c>
      <c r="V53" s="34" t="s">
        <v>231</v>
      </c>
      <c r="W53" s="34" t="s">
        <v>44</v>
      </c>
      <c r="X53" s="34" t="s">
        <v>45</v>
      </c>
      <c r="Y53" s="34" t="s">
        <v>65</v>
      </c>
      <c r="Z53" s="34"/>
      <c r="AA53" s="34"/>
      <c r="AB53" s="22">
        <v>0.8224324798583984</v>
      </c>
      <c r="AC53" s="23" t="s">
        <v>318</v>
      </c>
      <c r="AD53" s="24">
        <v>0.42739726027397262</v>
      </c>
      <c r="AE53" s="25">
        <v>-2.4155059178230243E-3</v>
      </c>
      <c r="AF53" s="26">
        <v>0</v>
      </c>
      <c r="AG53" s="26">
        <v>0</v>
      </c>
      <c r="AH53" s="27">
        <v>-0.43516943460954827</v>
      </c>
      <c r="AI53" s="27">
        <v>-0.43516943460954827</v>
      </c>
      <c r="AJ53" s="27">
        <v>-0.43516943460954827</v>
      </c>
      <c r="AK53" s="28" t="s">
        <v>319</v>
      </c>
      <c r="AL53" s="29" t="s">
        <v>48</v>
      </c>
      <c r="AM53" s="29" t="s">
        <v>48</v>
      </c>
      <c r="AN53" s="29" t="s">
        <v>48</v>
      </c>
      <c r="AO53" s="47" t="s">
        <v>310</v>
      </c>
      <c r="AP53" s="28">
        <v>0</v>
      </c>
      <c r="AQ53" s="26">
        <v>1.4999999999999999E-2</v>
      </c>
      <c r="AR53" s="26">
        <v>0</v>
      </c>
    </row>
    <row r="54" spans="1:44" x14ac:dyDescent="0.15">
      <c r="A54">
        <v>813</v>
      </c>
      <c r="B54" s="11">
        <v>2851</v>
      </c>
      <c r="C54" s="32"/>
      <c r="D54" s="32">
        <v>3.7551400926962202E-3</v>
      </c>
      <c r="E54" s="32">
        <v>35</v>
      </c>
      <c r="F54" s="32">
        <v>8.9958990268012504E-2</v>
      </c>
      <c r="G54" s="11"/>
      <c r="H54" s="11"/>
      <c r="I54" s="11"/>
      <c r="J54" s="18" t="s">
        <v>44</v>
      </c>
      <c r="K54" s="18" t="s">
        <v>45</v>
      </c>
      <c r="L54" s="58" t="s">
        <v>65</v>
      </c>
      <c r="M54" s="18">
        <f>[1]!f_prt_stocktonav(B54,"2017/03/31")</f>
        <v>76.149497985839844</v>
      </c>
      <c r="N54" s="20" t="str">
        <f>[1]!f_info_fundmanager(B54)</f>
        <v>李振兴</v>
      </c>
      <c r="O54" s="21">
        <v>0.66301369863013704</v>
      </c>
      <c r="P54" s="34" t="s">
        <v>320</v>
      </c>
      <c r="Q54" s="34" t="s">
        <v>321</v>
      </c>
      <c r="R54" s="34" t="s">
        <v>284</v>
      </c>
      <c r="S54" s="34">
        <v>20160801</v>
      </c>
      <c r="T54" s="45">
        <v>5.9898692034999996</v>
      </c>
      <c r="U54" s="46">
        <v>8.7228763926999999</v>
      </c>
      <c r="V54" s="34" t="s">
        <v>231</v>
      </c>
      <c r="W54" s="34" t="s">
        <v>41</v>
      </c>
      <c r="X54" s="34" t="s">
        <v>42</v>
      </c>
      <c r="Y54" s="34" t="s">
        <v>43</v>
      </c>
      <c r="Z54" s="34"/>
      <c r="AA54" s="34"/>
      <c r="AB54" s="22">
        <v>0.67543136596679687</v>
      </c>
      <c r="AC54" s="23" t="s">
        <v>322</v>
      </c>
      <c r="AD54" s="24">
        <v>0.43287671232876712</v>
      </c>
      <c r="AE54" s="25">
        <v>7.1717435266454022E-3</v>
      </c>
      <c r="AF54" s="26">
        <v>0</v>
      </c>
      <c r="AG54" s="26">
        <v>0</v>
      </c>
      <c r="AH54" s="27">
        <v>-7.8476446780692211E-2</v>
      </c>
      <c r="AI54" s="27">
        <v>-7.8476446780692211E-2</v>
      </c>
      <c r="AJ54" s="27">
        <v>-7.8476446780692211E-2</v>
      </c>
      <c r="AK54" s="28" t="s">
        <v>323</v>
      </c>
      <c r="AL54" s="29" t="s">
        <v>48</v>
      </c>
      <c r="AM54" s="29" t="s">
        <v>48</v>
      </c>
      <c r="AN54" s="29" t="s">
        <v>48</v>
      </c>
      <c r="AO54" s="47" t="s">
        <v>287</v>
      </c>
      <c r="AP54" s="28">
        <v>0</v>
      </c>
      <c r="AQ54" s="26">
        <v>1.4999999999999999E-2</v>
      </c>
      <c r="AR54" s="26">
        <v>0</v>
      </c>
    </row>
    <row r="55" spans="1:44" x14ac:dyDescent="0.15">
      <c r="A55">
        <v>372</v>
      </c>
      <c r="B55" s="11">
        <v>519929</v>
      </c>
      <c r="C55" s="32"/>
      <c r="D55" s="32">
        <v>-1.4724202546218699E-3</v>
      </c>
      <c r="E55" s="32">
        <v>36</v>
      </c>
      <c r="F55" s="32">
        <v>0.220895203865172</v>
      </c>
      <c r="G55" s="11"/>
      <c r="H55" s="11"/>
      <c r="I55" s="11"/>
      <c r="J55" s="18" t="s">
        <v>44</v>
      </c>
      <c r="K55" s="18" t="s">
        <v>87</v>
      </c>
      <c r="L55" s="58" t="s">
        <v>65</v>
      </c>
      <c r="M55" s="18">
        <f>[1]!f_prt_stocktonav(B55,"2017/03/31")</f>
        <v>88.072662353515625</v>
      </c>
      <c r="N55" s="20" t="str">
        <f>[1]!f_info_fundmanager(B55)</f>
        <v>左金保</v>
      </c>
      <c r="O55" s="21">
        <v>0.67671232876712328</v>
      </c>
      <c r="P55" s="39" t="s">
        <v>324</v>
      </c>
      <c r="Q55" s="39" t="s">
        <v>325</v>
      </c>
      <c r="R55" s="39" t="s">
        <v>206</v>
      </c>
      <c r="S55" s="39">
        <v>20160727</v>
      </c>
      <c r="T55" s="48">
        <v>8.4441394304999999</v>
      </c>
      <c r="U55" s="46">
        <v>8.8040534697999995</v>
      </c>
      <c r="V55" s="39" t="s">
        <v>231</v>
      </c>
      <c r="W55" s="39" t="s">
        <v>44</v>
      </c>
      <c r="X55" s="39" t="s">
        <v>87</v>
      </c>
      <c r="Y55" s="49" t="s">
        <v>65</v>
      </c>
      <c r="Z55" s="34" t="s">
        <v>326</v>
      </c>
      <c r="AA55" s="34"/>
      <c r="AB55" s="22">
        <v>0.76257919311523437</v>
      </c>
      <c r="AC55" s="23" t="s">
        <v>327</v>
      </c>
      <c r="AD55" s="24">
        <v>0.44657534246575342</v>
      </c>
      <c r="AE55" s="25">
        <v>-0.12464918843974326</v>
      </c>
      <c r="AF55" s="26">
        <v>0</v>
      </c>
      <c r="AG55" s="26">
        <v>0</v>
      </c>
      <c r="AH55" s="27">
        <v>-1.8476613621673386</v>
      </c>
      <c r="AI55" s="27">
        <v>-1.8476613621673386</v>
      </c>
      <c r="AJ55" s="27">
        <v>-1.8476613621673386</v>
      </c>
      <c r="AK55" s="40" t="s">
        <v>328</v>
      </c>
      <c r="AL55" s="41" t="s">
        <v>48</v>
      </c>
      <c r="AM55" s="41" t="s">
        <v>48</v>
      </c>
      <c r="AN55" s="41" t="s">
        <v>48</v>
      </c>
      <c r="AO55" s="50" t="s">
        <v>209</v>
      </c>
      <c r="AP55" s="51">
        <v>0</v>
      </c>
      <c r="AQ55" s="52">
        <v>1.4999999999999999E-2</v>
      </c>
      <c r="AR55" s="52">
        <v>0</v>
      </c>
    </row>
    <row r="56" spans="1:44" x14ac:dyDescent="0.15">
      <c r="A56">
        <v>489</v>
      </c>
      <c r="B56" s="11">
        <v>1685</v>
      </c>
      <c r="C56" s="32"/>
      <c r="D56" s="32">
        <v>2.4057413678267702E-3</v>
      </c>
      <c r="E56" s="32">
        <v>36</v>
      </c>
      <c r="F56" s="32">
        <v>0.35258626809765098</v>
      </c>
      <c r="G56" s="11"/>
      <c r="H56" s="11"/>
      <c r="I56" s="11"/>
      <c r="J56" s="18" t="s">
        <v>44</v>
      </c>
      <c r="K56" s="18" t="s">
        <v>45</v>
      </c>
      <c r="L56" s="58" t="s">
        <v>65</v>
      </c>
      <c r="M56" s="18">
        <f>[1]!f_prt_stocktonav(B56,"2017/03/31")</f>
        <v>85.547576904296875</v>
      </c>
      <c r="N56" s="20" t="str">
        <f>[1]!f_info_fundmanager(B56)</f>
        <v>顾耀强,赵鹏程,佘中强</v>
      </c>
      <c r="O56" s="21">
        <v>0.67671232876712328</v>
      </c>
      <c r="P56" s="34" t="s">
        <v>329</v>
      </c>
      <c r="Q56" s="34" t="s">
        <v>330</v>
      </c>
      <c r="R56" s="34" t="s">
        <v>331</v>
      </c>
      <c r="S56" s="34">
        <v>20160727</v>
      </c>
      <c r="T56" s="45">
        <v>16.410440153300001</v>
      </c>
      <c r="U56" s="46">
        <v>5.8187681675</v>
      </c>
      <c r="V56" s="34" t="s">
        <v>231</v>
      </c>
      <c r="W56" s="34" t="s">
        <v>41</v>
      </c>
      <c r="X56" s="34" t="s">
        <v>42</v>
      </c>
      <c r="Y56" s="34" t="s">
        <v>181</v>
      </c>
      <c r="Z56" s="34"/>
      <c r="AA56" s="34"/>
      <c r="AB56" s="22">
        <v>0.61758735656738284</v>
      </c>
      <c r="AC56" s="23" t="s">
        <v>332</v>
      </c>
      <c r="AD56" s="24">
        <v>0.44657534246575342</v>
      </c>
      <c r="AE56" s="25">
        <v>3.9710255894606528E-2</v>
      </c>
      <c r="AF56" s="26">
        <v>0</v>
      </c>
      <c r="AG56" s="26">
        <v>0</v>
      </c>
      <c r="AH56" s="27">
        <v>0.25708230744750832</v>
      </c>
      <c r="AI56" s="27">
        <v>0.25708230744750832</v>
      </c>
      <c r="AJ56" s="27">
        <v>0.25708230744750832</v>
      </c>
      <c r="AK56" s="28" t="s">
        <v>333</v>
      </c>
      <c r="AL56" s="29" t="s">
        <v>48</v>
      </c>
      <c r="AM56" s="29" t="s">
        <v>48</v>
      </c>
      <c r="AN56" s="29" t="s">
        <v>48</v>
      </c>
      <c r="AO56" s="47" t="s">
        <v>334</v>
      </c>
      <c r="AP56" s="28">
        <v>0</v>
      </c>
      <c r="AQ56" s="26">
        <v>1.4999999999999999E-2</v>
      </c>
      <c r="AR56" s="26">
        <v>0</v>
      </c>
    </row>
    <row r="57" spans="1:44" x14ac:dyDescent="0.15">
      <c r="A57">
        <v>238</v>
      </c>
      <c r="B57" s="11">
        <v>2621</v>
      </c>
      <c r="C57" s="32"/>
      <c r="D57" s="32">
        <v>1.06034336049251E-3</v>
      </c>
      <c r="E57" s="32">
        <v>36</v>
      </c>
      <c r="F57" s="32">
        <v>0.61681210757969596</v>
      </c>
      <c r="G57" s="11"/>
      <c r="H57" s="11"/>
      <c r="I57" s="11"/>
      <c r="J57" s="18" t="s">
        <v>44</v>
      </c>
      <c r="K57" s="18" t="s">
        <v>87</v>
      </c>
      <c r="L57" s="58" t="s">
        <v>65</v>
      </c>
      <c r="M57" s="18">
        <f>[1]!f_prt_stocktonav(B57,"2017/03/31")</f>
        <v>90.874969482421875</v>
      </c>
      <c r="N57" s="20" t="str">
        <f>[1]!f_info_fundmanager(B57)</f>
        <v>周晶</v>
      </c>
      <c r="O57" s="21">
        <v>0.69041095890410964</v>
      </c>
      <c r="P57" s="34" t="s">
        <v>335</v>
      </c>
      <c r="Q57" s="34" t="s">
        <v>336</v>
      </c>
      <c r="R57" s="34" t="s">
        <v>200</v>
      </c>
      <c r="S57" s="34">
        <v>20160722</v>
      </c>
      <c r="T57" s="45">
        <v>3.8698581969000001</v>
      </c>
      <c r="U57" s="46">
        <v>5.1237241703</v>
      </c>
      <c r="V57" s="34" t="s">
        <v>231</v>
      </c>
      <c r="W57" s="34" t="s">
        <v>44</v>
      </c>
      <c r="X57" s="34" t="s">
        <v>87</v>
      </c>
      <c r="Y57" s="34" t="s">
        <v>337</v>
      </c>
      <c r="Z57" s="34" t="s">
        <v>338</v>
      </c>
      <c r="AA57" s="34"/>
      <c r="AB57" s="22">
        <v>0.88061233520507809</v>
      </c>
      <c r="AC57" s="23" t="s">
        <v>339</v>
      </c>
      <c r="AD57" s="24">
        <v>0.46027397260273972</v>
      </c>
      <c r="AE57" s="25">
        <v>-3.9857839815165219E-2</v>
      </c>
      <c r="AF57" s="26">
        <v>0</v>
      </c>
      <c r="AG57" s="26">
        <v>0</v>
      </c>
      <c r="AH57" s="27">
        <v>-0.68869076091610848</v>
      </c>
      <c r="AI57" s="27">
        <v>-0.68869076091610848</v>
      </c>
      <c r="AJ57" s="27">
        <v>-0.68869076091610848</v>
      </c>
      <c r="AK57" s="33" t="s">
        <v>340</v>
      </c>
      <c r="AL57" s="29" t="s">
        <v>48</v>
      </c>
      <c r="AM57" s="29" t="s">
        <v>48</v>
      </c>
      <c r="AN57" s="29" t="s">
        <v>48</v>
      </c>
      <c r="AO57" s="47" t="s">
        <v>341</v>
      </c>
      <c r="AP57" s="28">
        <v>0</v>
      </c>
      <c r="AQ57" s="26">
        <v>1.4999999999999999E-2</v>
      </c>
      <c r="AR57" s="26">
        <v>0</v>
      </c>
    </row>
    <row r="58" spans="1:44" x14ac:dyDescent="0.15">
      <c r="A58">
        <v>747</v>
      </c>
      <c r="B58" s="11">
        <v>167001</v>
      </c>
      <c r="C58" s="32"/>
      <c r="D58" s="32">
        <v>-2.56763814398937E-3</v>
      </c>
      <c r="E58" s="32">
        <v>37</v>
      </c>
      <c r="F58" s="32">
        <v>0.144990298418706</v>
      </c>
      <c r="G58" s="11"/>
      <c r="H58" s="11"/>
      <c r="I58" s="11"/>
      <c r="J58" s="18" t="s">
        <v>44</v>
      </c>
      <c r="K58" s="18" t="s">
        <v>45</v>
      </c>
      <c r="L58" s="58" t="s">
        <v>65</v>
      </c>
      <c r="M58" s="18">
        <f>[1]!f_prt_stocktonav(B58,"2017/03/31")</f>
        <v>78.424728393554688</v>
      </c>
      <c r="N58" s="20" t="str">
        <f>[1]!f_info_fundmanager(B58)</f>
        <v>刘俊廷</v>
      </c>
      <c r="O58" s="21">
        <v>0.69315068493150689</v>
      </c>
      <c r="P58" s="34" t="s">
        <v>342</v>
      </c>
      <c r="Q58" s="34" t="s">
        <v>343</v>
      </c>
      <c r="R58" s="34" t="s">
        <v>344</v>
      </c>
      <c r="S58" s="34">
        <v>20160721</v>
      </c>
      <c r="T58" s="45">
        <v>13.1847499166</v>
      </c>
      <c r="U58" s="46">
        <v>13.2004261916</v>
      </c>
      <c r="V58" s="34" t="s">
        <v>231</v>
      </c>
      <c r="W58" s="34" t="s">
        <v>41</v>
      </c>
      <c r="X58" s="34" t="s">
        <v>42</v>
      </c>
      <c r="Y58" s="34" t="s">
        <v>43</v>
      </c>
      <c r="Z58" s="34"/>
      <c r="AA58" s="34"/>
      <c r="AB58" s="22">
        <v>0.60065303802490233</v>
      </c>
      <c r="AC58" s="23" t="s">
        <v>345</v>
      </c>
      <c r="AD58" s="24">
        <v>0.46301369863013697</v>
      </c>
      <c r="AE58" s="25">
        <v>-6.675601817922594E-4</v>
      </c>
      <c r="AF58" s="26">
        <v>0</v>
      </c>
      <c r="AG58" s="26">
        <v>0</v>
      </c>
      <c r="AH58" s="27">
        <v>-1.7832719426350445</v>
      </c>
      <c r="AI58" s="27">
        <v>-1.7832719426350445</v>
      </c>
      <c r="AJ58" s="27">
        <v>-1.7832719426350445</v>
      </c>
      <c r="AK58" s="28" t="s">
        <v>346</v>
      </c>
      <c r="AL58" s="29" t="s">
        <v>48</v>
      </c>
      <c r="AM58" s="29" t="s">
        <v>48</v>
      </c>
      <c r="AN58" s="29" t="s">
        <v>48</v>
      </c>
      <c r="AO58" s="47">
        <v>0</v>
      </c>
      <c r="AP58" s="28">
        <v>0</v>
      </c>
      <c r="AQ58" s="26">
        <v>1.4999999999999999E-2</v>
      </c>
      <c r="AR58" s="26">
        <v>0</v>
      </c>
    </row>
    <row r="59" spans="1:44" x14ac:dyDescent="0.15">
      <c r="A59">
        <v>294</v>
      </c>
      <c r="B59" s="11">
        <v>164403</v>
      </c>
      <c r="C59" s="32"/>
      <c r="D59" s="32">
        <v>-1.27252289491891E-4</v>
      </c>
      <c r="E59" s="32">
        <v>37</v>
      </c>
      <c r="F59" s="32">
        <v>0.93506451171721106</v>
      </c>
      <c r="G59" s="11"/>
      <c r="H59" s="11"/>
      <c r="I59" s="11"/>
      <c r="J59" s="18" t="s">
        <v>44</v>
      </c>
      <c r="K59" s="18" t="s">
        <v>87</v>
      </c>
      <c r="L59" s="58" t="s">
        <v>65</v>
      </c>
      <c r="M59" s="18">
        <f>[1]!f_prt_stocktonav(B59,"2017/03/31")</f>
        <v>89.544837951660156</v>
      </c>
      <c r="N59" s="20" t="str">
        <f>[1]!f_info_fundmanager(B59)</f>
        <v>柯海东</v>
      </c>
      <c r="O59" s="21">
        <v>0.69589041095890414</v>
      </c>
      <c r="P59" s="34" t="s">
        <v>347</v>
      </c>
      <c r="Q59" s="34" t="s">
        <v>348</v>
      </c>
      <c r="R59" s="34" t="s">
        <v>78</v>
      </c>
      <c r="S59" s="34">
        <v>20160720</v>
      </c>
      <c r="T59" s="45">
        <v>1.2613048673</v>
      </c>
      <c r="U59" s="46">
        <v>1.2653726122</v>
      </c>
      <c r="V59" s="34" t="s">
        <v>231</v>
      </c>
      <c r="W59" s="34" t="s">
        <v>44</v>
      </c>
      <c r="X59" s="34" t="s">
        <v>87</v>
      </c>
      <c r="Y59" s="34" t="s">
        <v>65</v>
      </c>
      <c r="Z59" s="34" t="s">
        <v>349</v>
      </c>
      <c r="AA59" s="34"/>
      <c r="AB59" s="22">
        <v>0.9490778350830078</v>
      </c>
      <c r="AC59" s="23" t="s">
        <v>350</v>
      </c>
      <c r="AD59" s="24">
        <v>0.46575342465753422</v>
      </c>
      <c r="AE59" s="25">
        <v>-2.3835047664831577E-2</v>
      </c>
      <c r="AF59" s="26">
        <v>0</v>
      </c>
      <c r="AG59" s="26">
        <v>0</v>
      </c>
      <c r="AH59" s="27">
        <v>-0.13078729931076338</v>
      </c>
      <c r="AI59" s="27">
        <v>-0.13078729931076338</v>
      </c>
      <c r="AJ59" s="27">
        <v>-0.13078729931076338</v>
      </c>
      <c r="AK59" s="33" t="s">
        <v>196</v>
      </c>
      <c r="AL59" s="29" t="s">
        <v>48</v>
      </c>
      <c r="AM59" s="29" t="s">
        <v>48</v>
      </c>
      <c r="AN59" s="29" t="s">
        <v>48</v>
      </c>
      <c r="AO59" s="47" t="s">
        <v>270</v>
      </c>
      <c r="AP59" s="28">
        <v>0</v>
      </c>
      <c r="AQ59" s="26">
        <v>1.4999999999999999E-2</v>
      </c>
      <c r="AR59" s="26">
        <v>0</v>
      </c>
    </row>
    <row r="60" spans="1:44" x14ac:dyDescent="0.15">
      <c r="A60">
        <v>44</v>
      </c>
      <c r="B60" s="11">
        <v>1974</v>
      </c>
      <c r="C60" s="32"/>
      <c r="D60" s="32">
        <v>2.23261511437079E-3</v>
      </c>
      <c r="E60" s="32">
        <v>38</v>
      </c>
      <c r="F60" s="32">
        <v>2.1007848202437E-2</v>
      </c>
      <c r="G60" s="11"/>
      <c r="H60" s="11"/>
      <c r="I60" s="11"/>
      <c r="J60" s="18" t="s">
        <v>44</v>
      </c>
      <c r="K60" s="18" t="s">
        <v>64</v>
      </c>
      <c r="L60" s="58" t="s">
        <v>354</v>
      </c>
      <c r="M60" s="18">
        <f>[1]!f_prt_stocktonav(B60,"2017/03/31")</f>
        <v>94.373825073242188</v>
      </c>
      <c r="N60" s="20" t="str">
        <f>[1]!f_info_fundmanager(B60)</f>
        <v>黎海威</v>
      </c>
      <c r="O60" s="21">
        <v>0.71506849315068488</v>
      </c>
      <c r="P60" s="34" t="s">
        <v>351</v>
      </c>
      <c r="Q60" s="34" t="s">
        <v>352</v>
      </c>
      <c r="R60" s="34" t="s">
        <v>353</v>
      </c>
      <c r="S60" s="34">
        <v>20160713</v>
      </c>
      <c r="T60" s="45">
        <v>0.95008808339999995</v>
      </c>
      <c r="U60" s="46">
        <v>1.7201765077</v>
      </c>
      <c r="V60" s="34" t="s">
        <v>231</v>
      </c>
      <c r="W60" s="34" t="s">
        <v>44</v>
      </c>
      <c r="X60" s="34" t="s">
        <v>64</v>
      </c>
      <c r="Y60" s="34" t="s">
        <v>354</v>
      </c>
      <c r="Z60" s="34"/>
      <c r="AA60" s="34"/>
      <c r="AB60" s="22">
        <v>0.93631858825683589</v>
      </c>
      <c r="AC60" s="23" t="s">
        <v>355</v>
      </c>
      <c r="AD60" s="24">
        <v>0.48493150684931507</v>
      </c>
      <c r="AE60" s="25">
        <v>0.1521085140304963</v>
      </c>
      <c r="AF60" s="26">
        <v>0</v>
      </c>
      <c r="AG60" s="26">
        <v>0</v>
      </c>
      <c r="AH60" s="27">
        <v>1.2721262590697784</v>
      </c>
      <c r="AI60" s="27">
        <v>1.2721262590697784</v>
      </c>
      <c r="AJ60" s="27">
        <v>1.2721262590697784</v>
      </c>
      <c r="AK60" s="28" t="s">
        <v>356</v>
      </c>
      <c r="AL60" s="29" t="s">
        <v>48</v>
      </c>
      <c r="AM60" s="29" t="s">
        <v>48</v>
      </c>
      <c r="AN60" s="29" t="s">
        <v>48</v>
      </c>
      <c r="AO60" s="47" t="s">
        <v>357</v>
      </c>
      <c r="AP60" s="28">
        <v>0</v>
      </c>
      <c r="AQ60" s="26">
        <v>1.4999999999999999E-2</v>
      </c>
      <c r="AR60" s="26">
        <v>0</v>
      </c>
    </row>
    <row r="61" spans="1:44" x14ac:dyDescent="0.15">
      <c r="A61">
        <v>676</v>
      </c>
      <c r="B61" s="11">
        <v>2803</v>
      </c>
      <c r="C61" s="32"/>
      <c r="D61" s="32">
        <v>5.5912045637793303E-3</v>
      </c>
      <c r="E61" s="32">
        <v>38</v>
      </c>
      <c r="F61" s="32">
        <v>1.6490592438724E-3</v>
      </c>
      <c r="G61" s="11"/>
      <c r="H61" s="11"/>
      <c r="I61" s="11"/>
      <c r="J61" s="18" t="s">
        <v>44</v>
      </c>
      <c r="K61" s="18" t="s">
        <v>45</v>
      </c>
      <c r="L61" s="58" t="s">
        <v>65</v>
      </c>
      <c r="M61" s="18">
        <f>[1]!f_prt_stocktonav(B61,"2017/03/31")</f>
        <v>80.682403564453125</v>
      </c>
      <c r="N61" s="20" t="str">
        <f>[1]!f_info_fundmanager(B61)</f>
        <v>林鹏</v>
      </c>
      <c r="O61" s="21">
        <v>0.72054794520547949</v>
      </c>
      <c r="P61" s="34" t="s">
        <v>358</v>
      </c>
      <c r="Q61" s="34" t="s">
        <v>359</v>
      </c>
      <c r="R61" s="34" t="s">
        <v>313</v>
      </c>
      <c r="S61" s="34">
        <v>20160711</v>
      </c>
      <c r="T61" s="45">
        <v>12.113475060800001</v>
      </c>
      <c r="U61" s="46">
        <v>8.5987294472000002</v>
      </c>
      <c r="V61" s="34" t="s">
        <v>231</v>
      </c>
      <c r="W61" s="34" t="s">
        <v>41</v>
      </c>
      <c r="X61" s="34" t="s">
        <v>42</v>
      </c>
      <c r="Y61" s="34" t="s">
        <v>181</v>
      </c>
      <c r="Z61" s="34"/>
      <c r="AA61" s="34"/>
      <c r="AB61" s="22">
        <v>0.60857772827148438</v>
      </c>
      <c r="AC61" s="23" t="s">
        <v>314</v>
      </c>
      <c r="AD61" s="24">
        <v>0.49041095890410957</v>
      </c>
      <c r="AE61" s="25">
        <v>6.3968232113696066E-2</v>
      </c>
      <c r="AF61" s="26">
        <v>0</v>
      </c>
      <c r="AG61" s="26">
        <v>0</v>
      </c>
      <c r="AH61" s="27">
        <v>0.8714539152477937</v>
      </c>
      <c r="AI61" s="27">
        <v>0.8714539152477937</v>
      </c>
      <c r="AJ61" s="27">
        <v>0.8714539152477937</v>
      </c>
      <c r="AK61" s="28" t="s">
        <v>360</v>
      </c>
      <c r="AL61" s="29" t="s">
        <v>48</v>
      </c>
      <c r="AM61" s="29" t="s">
        <v>48</v>
      </c>
      <c r="AN61" s="29" t="s">
        <v>48</v>
      </c>
      <c r="AO61" s="47" t="s">
        <v>361</v>
      </c>
      <c r="AP61" s="28">
        <v>0</v>
      </c>
      <c r="AQ61" s="26">
        <v>1.4999999999999999E-2</v>
      </c>
      <c r="AR61" s="26">
        <v>0</v>
      </c>
    </row>
    <row r="62" spans="1:44" x14ac:dyDescent="0.15">
      <c r="A62">
        <v>860</v>
      </c>
      <c r="B62" s="11">
        <v>2732</v>
      </c>
      <c r="C62" s="32"/>
      <c r="D62" s="32">
        <v>2.5501906973350299E-3</v>
      </c>
      <c r="E62" s="32">
        <v>39</v>
      </c>
      <c r="F62" s="32">
        <v>0.10066807770783701</v>
      </c>
      <c r="G62" s="11"/>
      <c r="H62" s="11"/>
      <c r="I62" s="11"/>
      <c r="J62" s="18" t="s">
        <v>44</v>
      </c>
      <c r="K62" s="18" t="s">
        <v>45</v>
      </c>
      <c r="L62" s="58" t="s">
        <v>65</v>
      </c>
      <c r="M62" s="18">
        <f>[1]!f_prt_stocktonav(B62,"2017/03/31")</f>
        <v>74.055755615234375</v>
      </c>
      <c r="N62" s="20" t="str">
        <f>[1]!f_info_fundmanager(B62)</f>
        <v>吴达</v>
      </c>
      <c r="O62" s="21">
        <v>0.73698630136986298</v>
      </c>
      <c r="P62" s="34" t="s">
        <v>362</v>
      </c>
      <c r="Q62" s="34" t="s">
        <v>363</v>
      </c>
      <c r="R62" s="34" t="s">
        <v>364</v>
      </c>
      <c r="S62" s="34">
        <v>20160705</v>
      </c>
      <c r="T62" s="45">
        <v>0.53581608059999997</v>
      </c>
      <c r="U62" s="46">
        <v>0.94559115120000004</v>
      </c>
      <c r="V62" s="34" t="s">
        <v>231</v>
      </c>
      <c r="W62" s="34" t="s">
        <v>44</v>
      </c>
      <c r="X62" s="34" t="s">
        <v>45</v>
      </c>
      <c r="Y62" s="34" t="s">
        <v>65</v>
      </c>
      <c r="Z62" s="34"/>
      <c r="AA62" s="34"/>
      <c r="AB62" s="22">
        <v>0.72509643554687497</v>
      </c>
      <c r="AC62" s="23" t="s">
        <v>365</v>
      </c>
      <c r="AD62" s="24">
        <v>0.50684931506849318</v>
      </c>
      <c r="AE62" s="25">
        <v>-7.1649954162576579E-2</v>
      </c>
      <c r="AF62" s="26">
        <v>0</v>
      </c>
      <c r="AG62" s="26">
        <v>0</v>
      </c>
      <c r="AH62" s="27">
        <v>-1.3155906555580021</v>
      </c>
      <c r="AI62" s="27">
        <v>-1.3155906555580021</v>
      </c>
      <c r="AJ62" s="27">
        <v>-1.3155906555580021</v>
      </c>
      <c r="AK62" s="28" t="s">
        <v>366</v>
      </c>
      <c r="AL62" s="29" t="s">
        <v>48</v>
      </c>
      <c r="AM62" s="29" t="s">
        <v>48</v>
      </c>
      <c r="AN62" s="29" t="s">
        <v>48</v>
      </c>
      <c r="AO62" s="47" t="s">
        <v>367</v>
      </c>
      <c r="AP62" s="28">
        <v>0</v>
      </c>
      <c r="AQ62" s="26">
        <v>1.4999999999999999E-2</v>
      </c>
      <c r="AR62" s="26">
        <v>0</v>
      </c>
    </row>
    <row r="63" spans="1:44" x14ac:dyDescent="0.15">
      <c r="A63">
        <v>705</v>
      </c>
      <c r="B63" s="11">
        <v>2443</v>
      </c>
      <c r="C63" s="32"/>
      <c r="D63" s="32">
        <v>2.7906093250389401E-3</v>
      </c>
      <c r="E63" s="32">
        <v>39</v>
      </c>
      <c r="F63" s="32">
        <v>0.318416288210006</v>
      </c>
      <c r="G63" s="11"/>
      <c r="H63" s="11"/>
      <c r="I63" s="11"/>
      <c r="J63" s="18" t="s">
        <v>44</v>
      </c>
      <c r="K63" s="18" t="s">
        <v>45</v>
      </c>
      <c r="L63" s="58" t="s">
        <v>65</v>
      </c>
      <c r="M63" s="18">
        <f>[1]!f_prt_stocktonav(B63,"2017/03/31")</f>
        <v>79.847267150878906</v>
      </c>
      <c r="N63" s="20" t="str">
        <f>[1]!f_info_fundmanager(B63)</f>
        <v>曲扬</v>
      </c>
      <c r="O63" s="21">
        <v>0.73972602739726023</v>
      </c>
      <c r="P63" s="34" t="s">
        <v>368</v>
      </c>
      <c r="Q63" s="34" t="s">
        <v>369</v>
      </c>
      <c r="R63" s="34" t="s">
        <v>78</v>
      </c>
      <c r="S63" s="34">
        <v>20160704</v>
      </c>
      <c r="T63" s="45">
        <v>5.7008340966000004</v>
      </c>
      <c r="U63" s="46">
        <v>3.0676206574</v>
      </c>
      <c r="V63" s="34" t="s">
        <v>231</v>
      </c>
      <c r="W63" s="34" t="s">
        <v>44</v>
      </c>
      <c r="X63" s="17" t="s">
        <v>45</v>
      </c>
      <c r="Y63" s="17" t="s">
        <v>65</v>
      </c>
      <c r="Z63" s="34"/>
      <c r="AA63" s="34"/>
      <c r="AB63" s="22">
        <v>0.85150886535644532</v>
      </c>
      <c r="AC63" s="23" t="s">
        <v>119</v>
      </c>
      <c r="AD63" s="24">
        <v>0.50958904109589043</v>
      </c>
      <c r="AE63" s="25">
        <v>0.18979824661283254</v>
      </c>
      <c r="AF63" s="26">
        <v>0</v>
      </c>
      <c r="AG63" s="26">
        <v>0</v>
      </c>
      <c r="AH63" s="27">
        <v>1.2254284331387719</v>
      </c>
      <c r="AI63" s="27">
        <v>1.2254284331387719</v>
      </c>
      <c r="AJ63" s="27">
        <v>1.2254284331387719</v>
      </c>
      <c r="AK63" s="28" t="s">
        <v>269</v>
      </c>
      <c r="AL63" s="29" t="s">
        <v>48</v>
      </c>
      <c r="AM63" s="29" t="s">
        <v>48</v>
      </c>
      <c r="AN63" s="29" t="s">
        <v>48</v>
      </c>
      <c r="AO63" s="47" t="s">
        <v>227</v>
      </c>
      <c r="AP63" s="28">
        <v>0</v>
      </c>
      <c r="AQ63" s="26">
        <v>1.4999999999999999E-2</v>
      </c>
      <c r="AR63" s="26">
        <v>0</v>
      </c>
    </row>
    <row r="64" spans="1:44" x14ac:dyDescent="0.15">
      <c r="A64">
        <v>472</v>
      </c>
      <c r="B64" s="11">
        <v>2849</v>
      </c>
      <c r="C64" s="32"/>
      <c r="D64" s="32">
        <v>-3.9462708238997297E-3</v>
      </c>
      <c r="E64" s="32">
        <v>39</v>
      </c>
      <c r="F64" s="32">
        <v>1.38751762596378E-2</v>
      </c>
      <c r="G64" s="11"/>
      <c r="H64" s="11"/>
      <c r="I64" s="11"/>
      <c r="J64" s="18" t="s">
        <v>44</v>
      </c>
      <c r="K64" s="18" t="s">
        <v>45</v>
      </c>
      <c r="L64" s="58" t="s">
        <v>65</v>
      </c>
      <c r="M64" s="18">
        <f>[1]!f_prt_stocktonav(B64,"2017/03/31")</f>
        <v>85.804527282714844</v>
      </c>
      <c r="N64" s="20" t="str">
        <f>[1]!f_info_fundmanager(B64)</f>
        <v>刘榕俊</v>
      </c>
      <c r="O64" s="21">
        <v>0.74794520547945209</v>
      </c>
      <c r="P64" s="34" t="s">
        <v>370</v>
      </c>
      <c r="Q64" s="34" t="s">
        <v>371</v>
      </c>
      <c r="R64" s="34" t="s">
        <v>372</v>
      </c>
      <c r="S64" s="34">
        <v>20160701</v>
      </c>
      <c r="T64" s="45">
        <v>0.19043238649999999</v>
      </c>
      <c r="U64" s="46">
        <v>0.20187749969999999</v>
      </c>
      <c r="V64" s="34" t="s">
        <v>231</v>
      </c>
      <c r="W64" s="34" t="s">
        <v>41</v>
      </c>
      <c r="X64" s="34" t="s">
        <v>42</v>
      </c>
      <c r="Y64" s="34" t="s">
        <v>181</v>
      </c>
      <c r="Z64" s="34"/>
      <c r="AA64" s="34"/>
      <c r="AB64" s="22">
        <v>0.69726242065429689</v>
      </c>
      <c r="AC64" s="23" t="s">
        <v>373</v>
      </c>
      <c r="AD64" s="24">
        <v>0.51780821917808217</v>
      </c>
      <c r="AE64" s="25">
        <v>-9.863003125907055E-2</v>
      </c>
      <c r="AF64" s="26">
        <v>0</v>
      </c>
      <c r="AG64" s="26">
        <v>0</v>
      </c>
      <c r="AH64" s="27">
        <v>-1.4438658150679482</v>
      </c>
      <c r="AI64" s="27">
        <v>-1.4438658150679482</v>
      </c>
      <c r="AJ64" s="27">
        <v>-1.4438658150679482</v>
      </c>
      <c r="AK64" s="28" t="s">
        <v>374</v>
      </c>
      <c r="AL64" s="29" t="s">
        <v>48</v>
      </c>
      <c r="AM64" s="29" t="s">
        <v>48</v>
      </c>
      <c r="AN64" s="29" t="s">
        <v>48</v>
      </c>
      <c r="AO64" s="47" t="s">
        <v>375</v>
      </c>
      <c r="AP64" s="28">
        <v>0</v>
      </c>
      <c r="AQ64" s="26">
        <v>1.4999999999999999E-2</v>
      </c>
      <c r="AR64" s="26">
        <v>0</v>
      </c>
    </row>
    <row r="65" spans="1:44" x14ac:dyDescent="0.15">
      <c r="A65">
        <v>712</v>
      </c>
      <c r="B65" s="11">
        <v>2708</v>
      </c>
      <c r="C65" s="32"/>
      <c r="D65" s="32">
        <v>1.84175970888698E-3</v>
      </c>
      <c r="E65" s="32">
        <v>40</v>
      </c>
      <c r="F65" s="32">
        <v>0.21383874523368601</v>
      </c>
      <c r="G65" s="11"/>
      <c r="H65" s="11"/>
      <c r="I65" s="11"/>
      <c r="J65" s="18" t="s">
        <v>44</v>
      </c>
      <c r="K65" s="18" t="s">
        <v>45</v>
      </c>
      <c r="L65" s="58" t="s">
        <v>65</v>
      </c>
      <c r="M65" s="18">
        <f>[1]!f_prt_stocktonav(B65,"2017/03/31")</f>
        <v>79.65997314453125</v>
      </c>
      <c r="N65" s="20" t="str">
        <f>[1]!f_info_fundmanager(B65)</f>
        <v>王大鹏</v>
      </c>
      <c r="O65" s="21">
        <v>0.75068493150684934</v>
      </c>
      <c r="P65" s="34" t="s">
        <v>376</v>
      </c>
      <c r="Q65" s="34" t="s">
        <v>377</v>
      </c>
      <c r="R65" s="34" t="s">
        <v>378</v>
      </c>
      <c r="S65" s="34">
        <v>20160630</v>
      </c>
      <c r="T65" s="45">
        <v>1.8167407330000001</v>
      </c>
      <c r="U65" s="46">
        <v>3.2288646712000002</v>
      </c>
      <c r="V65" s="34" t="s">
        <v>231</v>
      </c>
      <c r="W65" s="34" t="s">
        <v>41</v>
      </c>
      <c r="X65" s="34" t="s">
        <v>42</v>
      </c>
      <c r="Y65" s="34" t="s">
        <v>181</v>
      </c>
      <c r="Z65" s="34"/>
      <c r="AA65" s="34"/>
      <c r="AB65" s="22">
        <v>0.69027198791503908</v>
      </c>
      <c r="AC65" s="23" t="s">
        <v>379</v>
      </c>
      <c r="AD65" s="24">
        <v>0.52054794520547942</v>
      </c>
      <c r="AE65" s="25">
        <v>6.6153049043628842E-2</v>
      </c>
      <c r="AF65" s="26">
        <v>0</v>
      </c>
      <c r="AG65" s="26">
        <v>0</v>
      </c>
      <c r="AH65" s="27">
        <v>1.6069200414882721</v>
      </c>
      <c r="AI65" s="27">
        <v>1.6069200414882721</v>
      </c>
      <c r="AJ65" s="27">
        <v>1.6069200414882721</v>
      </c>
      <c r="AK65" s="28" t="s">
        <v>380</v>
      </c>
      <c r="AL65" s="29" t="s">
        <v>48</v>
      </c>
      <c r="AM65" s="29" t="s">
        <v>48</v>
      </c>
      <c r="AN65" s="29" t="s">
        <v>48</v>
      </c>
      <c r="AO65" s="47" t="s">
        <v>381</v>
      </c>
      <c r="AP65" s="28">
        <v>0</v>
      </c>
      <c r="AQ65" s="26">
        <v>1.4999999999999999E-2</v>
      </c>
      <c r="AR65" s="26">
        <v>0</v>
      </c>
    </row>
    <row r="66" spans="1:44" x14ac:dyDescent="0.15">
      <c r="A66">
        <v>337</v>
      </c>
      <c r="B66" s="11">
        <v>169104</v>
      </c>
      <c r="C66" s="32"/>
      <c r="D66" s="32">
        <v>3.64851983234003E-3</v>
      </c>
      <c r="E66" s="32">
        <v>40</v>
      </c>
      <c r="F66" s="32">
        <v>1.53182998127311E-2</v>
      </c>
      <c r="G66" s="11"/>
      <c r="H66" s="11"/>
      <c r="I66" s="11"/>
      <c r="J66" s="18" t="s">
        <v>44</v>
      </c>
      <c r="K66" s="18" t="s">
        <v>45</v>
      </c>
      <c r="L66" s="58" t="s">
        <v>65</v>
      </c>
      <c r="M66" s="18">
        <f>[1]!f_prt_stocktonav(B66,"2017/03/31")</f>
        <v>88.708457946777344</v>
      </c>
      <c r="N66" s="20" t="str">
        <f>[1]!f_info_fundmanager(B66)</f>
        <v>周云,孙伟</v>
      </c>
      <c r="O66" s="21">
        <v>0.75616438356164384</v>
      </c>
      <c r="P66" s="34" t="s">
        <v>382</v>
      </c>
      <c r="Q66" s="34" t="s">
        <v>383</v>
      </c>
      <c r="R66" s="34" t="s">
        <v>313</v>
      </c>
      <c r="S66" s="34">
        <v>20160628</v>
      </c>
      <c r="T66" s="45">
        <v>12.0489605438</v>
      </c>
      <c r="U66" s="46">
        <v>11.7100120732</v>
      </c>
      <c r="V66" s="34" t="s">
        <v>231</v>
      </c>
      <c r="W66" s="34" t="s">
        <v>41</v>
      </c>
      <c r="X66" s="34" t="s">
        <v>42</v>
      </c>
      <c r="Y66" s="34" t="s">
        <v>181</v>
      </c>
      <c r="Z66" s="34"/>
      <c r="AA66" s="34"/>
      <c r="AB66" s="22">
        <v>0.4886722946166992</v>
      </c>
      <c r="AC66" s="23" t="s">
        <v>384</v>
      </c>
      <c r="AD66" s="24">
        <v>0.52602739726027392</v>
      </c>
      <c r="AE66" s="25">
        <v>0.10605647380587024</v>
      </c>
      <c r="AF66" s="26">
        <v>0</v>
      </c>
      <c r="AG66" s="26">
        <v>0</v>
      </c>
      <c r="AH66" s="27">
        <v>2.0767995066613789</v>
      </c>
      <c r="AI66" s="27">
        <v>2.0767995066613789</v>
      </c>
      <c r="AJ66" s="27">
        <v>2.0767995066613789</v>
      </c>
      <c r="AK66" s="28" t="s">
        <v>315</v>
      </c>
      <c r="AL66" s="29" t="s">
        <v>48</v>
      </c>
      <c r="AM66" s="29" t="s">
        <v>48</v>
      </c>
      <c r="AN66" s="29" t="s">
        <v>48</v>
      </c>
      <c r="AO66" s="47">
        <v>0</v>
      </c>
      <c r="AP66" s="28">
        <v>0</v>
      </c>
      <c r="AQ66" s="26">
        <v>1.4999999999999999E-2</v>
      </c>
      <c r="AR66" s="26">
        <v>0</v>
      </c>
    </row>
    <row r="67" spans="1:44" x14ac:dyDescent="0.15">
      <c r="A67">
        <v>780</v>
      </c>
      <c r="B67" s="11">
        <v>2669</v>
      </c>
      <c r="C67" s="32"/>
      <c r="D67" s="32">
        <v>-6.2859156404438303E-3</v>
      </c>
      <c r="E67" s="32">
        <v>40</v>
      </c>
      <c r="F67" s="32">
        <v>2.98753213040224E-3</v>
      </c>
      <c r="G67" s="11"/>
      <c r="H67" s="11"/>
      <c r="I67" s="11"/>
      <c r="J67" s="18" t="s">
        <v>44</v>
      </c>
      <c r="K67" s="18" t="s">
        <v>45</v>
      </c>
      <c r="L67" s="58" t="s">
        <v>65</v>
      </c>
      <c r="M67" s="18">
        <f>[1]!f_prt_stocktonav(B67,"2017/03/31")</f>
        <v>77.263832092285156</v>
      </c>
      <c r="N67" s="20" t="str">
        <f>[1]!f_info_fundmanager(B67)</f>
        <v>赵媛媛</v>
      </c>
      <c r="O67" s="21">
        <v>0.75616438356164384</v>
      </c>
      <c r="P67" s="34" t="s">
        <v>385</v>
      </c>
      <c r="Q67" s="34" t="s">
        <v>386</v>
      </c>
      <c r="R67" s="34" t="s">
        <v>387</v>
      </c>
      <c r="S67" s="34">
        <v>20160628</v>
      </c>
      <c r="T67" s="45">
        <v>2.4569689886999999</v>
      </c>
      <c r="U67" s="46">
        <v>2.9860462137999999</v>
      </c>
      <c r="V67" s="34" t="s">
        <v>231</v>
      </c>
      <c r="W67" s="34" t="s">
        <v>41</v>
      </c>
      <c r="X67" s="34" t="s">
        <v>42</v>
      </c>
      <c r="Y67" s="34" t="s">
        <v>388</v>
      </c>
      <c r="Z67" s="34"/>
      <c r="AA67" s="34"/>
      <c r="AB67" s="22">
        <v>0.51457561492919923</v>
      </c>
      <c r="AC67" s="23" t="s">
        <v>389</v>
      </c>
      <c r="AD67" s="24">
        <v>0.52602739726027392</v>
      </c>
      <c r="AE67" s="25">
        <v>-4.6309628238397682E-2</v>
      </c>
      <c r="AF67" s="26">
        <v>0</v>
      </c>
      <c r="AG67" s="26">
        <v>0</v>
      </c>
      <c r="AH67" s="27">
        <v>-1.3886965593676781</v>
      </c>
      <c r="AI67" s="27">
        <v>-1.3886965593676781</v>
      </c>
      <c r="AJ67" s="27">
        <v>-1.3886965593676781</v>
      </c>
      <c r="AK67" s="28" t="s">
        <v>390</v>
      </c>
      <c r="AL67" s="29" t="s">
        <v>48</v>
      </c>
      <c r="AM67" s="29" t="s">
        <v>48</v>
      </c>
      <c r="AN67" s="29" t="s">
        <v>48</v>
      </c>
      <c r="AO67" s="47" t="s">
        <v>101</v>
      </c>
      <c r="AP67" s="28">
        <v>0</v>
      </c>
      <c r="AQ67" s="26">
        <v>1.4999999999999999E-2</v>
      </c>
      <c r="AR67" s="26">
        <v>0</v>
      </c>
    </row>
    <row r="68" spans="1:44" x14ac:dyDescent="0.15">
      <c r="A68">
        <v>727</v>
      </c>
      <c r="B68" s="11">
        <v>2666</v>
      </c>
      <c r="C68" s="32"/>
      <c r="D68" s="32">
        <v>3.9652697686817602E-3</v>
      </c>
      <c r="E68" s="32">
        <v>40</v>
      </c>
      <c r="F68" s="32">
        <v>3.1460615785077597E-2</v>
      </c>
      <c r="G68" s="11"/>
      <c r="H68" s="11"/>
      <c r="I68" s="11"/>
      <c r="J68" s="18" t="s">
        <v>44</v>
      </c>
      <c r="K68" s="18" t="s">
        <v>45</v>
      </c>
      <c r="L68" s="58" t="s">
        <v>65</v>
      </c>
      <c r="M68" s="18">
        <f>[1]!f_prt_stocktonav(B68,"2017/03/31")</f>
        <v>79.229164123535156</v>
      </c>
      <c r="N68" s="20" t="str">
        <f>[1]!f_info_fundmanager(B68)</f>
        <v>倪枫</v>
      </c>
      <c r="O68" s="21">
        <v>0.76712328767123283</v>
      </c>
      <c r="P68" s="34" t="s">
        <v>391</v>
      </c>
      <c r="Q68" s="34" t="s">
        <v>392</v>
      </c>
      <c r="R68" s="34" t="s">
        <v>78</v>
      </c>
      <c r="S68" s="34">
        <v>20160624</v>
      </c>
      <c r="T68" s="45">
        <v>0.86890817809999998</v>
      </c>
      <c r="U68" s="46">
        <v>1.2941701818</v>
      </c>
      <c r="V68" s="34" t="s">
        <v>231</v>
      </c>
      <c r="W68" s="34" t="s">
        <v>44</v>
      </c>
      <c r="X68" s="34" t="s">
        <v>45</v>
      </c>
      <c r="Y68" s="34" t="s">
        <v>65</v>
      </c>
      <c r="Z68" s="34"/>
      <c r="AA68" s="34"/>
      <c r="AB68" s="22">
        <v>0.92838546752929685</v>
      </c>
      <c r="AC68" s="23" t="s">
        <v>393</v>
      </c>
      <c r="AD68" s="24">
        <v>0.53698630136986303</v>
      </c>
      <c r="AE68" s="25">
        <v>1.9118651916922857E-3</v>
      </c>
      <c r="AF68" s="26">
        <v>0</v>
      </c>
      <c r="AG68" s="26">
        <v>0</v>
      </c>
      <c r="AH68" s="27">
        <v>-0.12771769712821751</v>
      </c>
      <c r="AI68" s="27">
        <v>-0.12771769712821751</v>
      </c>
      <c r="AJ68" s="27">
        <v>-0.12771769712821751</v>
      </c>
      <c r="AK68" s="28" t="s">
        <v>196</v>
      </c>
      <c r="AL68" s="29" t="s">
        <v>48</v>
      </c>
      <c r="AM68" s="29" t="s">
        <v>48</v>
      </c>
      <c r="AN68" s="29" t="s">
        <v>48</v>
      </c>
      <c r="AO68" s="47" t="s">
        <v>270</v>
      </c>
      <c r="AP68" s="28">
        <v>0</v>
      </c>
      <c r="AQ68" s="26">
        <v>1.4999999999999999E-2</v>
      </c>
      <c r="AR68" s="26">
        <v>0</v>
      </c>
    </row>
    <row r="69" spans="1:44" x14ac:dyDescent="0.15">
      <c r="A69">
        <v>190</v>
      </c>
      <c r="B69" s="11">
        <v>2692</v>
      </c>
      <c r="C69" s="32"/>
      <c r="D69" s="32">
        <v>2.1396446665335601E-3</v>
      </c>
      <c r="E69" s="32">
        <v>42</v>
      </c>
      <c r="F69" s="32">
        <v>0.30477807160875198</v>
      </c>
      <c r="G69" s="11"/>
      <c r="H69" s="11"/>
      <c r="I69" s="11"/>
      <c r="J69" s="18" t="s">
        <v>44</v>
      </c>
      <c r="K69" s="18" t="s">
        <v>87</v>
      </c>
      <c r="L69" s="58" t="s">
        <v>65</v>
      </c>
      <c r="M69" s="18">
        <f>[1]!f_prt_stocktonav(B69,"2017/03/31")</f>
        <v>91.998130798339844</v>
      </c>
      <c r="N69" s="20" t="str">
        <f>[1]!f_info_fundmanager(B69)</f>
        <v>李元博</v>
      </c>
      <c r="O69" s="21">
        <v>0.78904109589041094</v>
      </c>
      <c r="P69" s="34" t="s">
        <v>394</v>
      </c>
      <c r="Q69" s="34" t="s">
        <v>395</v>
      </c>
      <c r="R69" s="34" t="s">
        <v>396</v>
      </c>
      <c r="S69" s="34">
        <v>20160616</v>
      </c>
      <c r="T69" s="45">
        <v>1.0444081298000001</v>
      </c>
      <c r="U69" s="46">
        <v>1.2683378520999999</v>
      </c>
      <c r="V69" s="34" t="s">
        <v>231</v>
      </c>
      <c r="W69" s="34" t="s">
        <v>44</v>
      </c>
      <c r="X69" s="17" t="s">
        <v>45</v>
      </c>
      <c r="Y69" s="17" t="s">
        <v>65</v>
      </c>
      <c r="Z69" s="34"/>
      <c r="AA69" s="34"/>
      <c r="AB69" s="22">
        <v>0.93905487060546877</v>
      </c>
      <c r="AC69" s="23" t="s">
        <v>397</v>
      </c>
      <c r="AD69" s="24">
        <v>0.55890410958904113</v>
      </c>
      <c r="AE69" s="25">
        <v>-0.25936444414935522</v>
      </c>
      <c r="AF69" s="26">
        <v>0</v>
      </c>
      <c r="AG69" s="26">
        <v>0</v>
      </c>
      <c r="AH69" s="27">
        <v>-2.3080643697427035</v>
      </c>
      <c r="AI69" s="27">
        <v>-2.3080643697427035</v>
      </c>
      <c r="AJ69" s="27">
        <v>-2.3080643697427035</v>
      </c>
      <c r="AK69" s="28" t="s">
        <v>398</v>
      </c>
      <c r="AL69" s="29" t="s">
        <v>48</v>
      </c>
      <c r="AM69" s="29" t="s">
        <v>48</v>
      </c>
      <c r="AN69" s="29" t="s">
        <v>48</v>
      </c>
      <c r="AO69" s="47" t="s">
        <v>399</v>
      </c>
      <c r="AP69" s="28">
        <v>0</v>
      </c>
      <c r="AQ69" s="26">
        <v>1.4999999999999999E-2</v>
      </c>
      <c r="AR69" s="26">
        <v>0</v>
      </c>
    </row>
    <row r="70" spans="1:44" x14ac:dyDescent="0.15">
      <c r="A70">
        <v>476</v>
      </c>
      <c r="B70" s="11">
        <v>2482</v>
      </c>
      <c r="C70" s="32"/>
      <c r="D70" s="32">
        <v>3.3047633065393101E-3</v>
      </c>
      <c r="E70" s="32">
        <v>32</v>
      </c>
      <c r="F70" s="32">
        <v>0.240748762468348</v>
      </c>
      <c r="G70" s="11"/>
      <c r="H70" s="11"/>
      <c r="I70" s="11"/>
      <c r="J70" s="18" t="s">
        <v>44</v>
      </c>
      <c r="K70" s="18" t="s">
        <v>45</v>
      </c>
      <c r="L70" s="58" t="s">
        <v>65</v>
      </c>
      <c r="M70" s="18">
        <f>[1]!f_prt_stocktonav(B70,"2017/03/31")</f>
        <v>85.750083923339844</v>
      </c>
      <c r="N70" s="20" t="str">
        <f>[1]!f_info_fundmanager(B70)</f>
        <v>易祚兴,张仲维</v>
      </c>
      <c r="O70" s="21">
        <v>0.61095890410958908</v>
      </c>
      <c r="P70" s="34" t="s">
        <v>400</v>
      </c>
      <c r="Q70" s="34" t="s">
        <v>401</v>
      </c>
      <c r="R70" s="34" t="s">
        <v>402</v>
      </c>
      <c r="S70" s="34">
        <v>20160616</v>
      </c>
      <c r="T70" s="45">
        <v>0.72728268119999995</v>
      </c>
      <c r="U70" s="46">
        <v>1.1479234105</v>
      </c>
      <c r="V70" s="34" t="s">
        <v>231</v>
      </c>
      <c r="W70" s="34" t="s">
        <v>44</v>
      </c>
      <c r="X70" s="34" t="s">
        <v>45</v>
      </c>
      <c r="Y70" s="34" t="s">
        <v>65</v>
      </c>
      <c r="Z70" s="34"/>
      <c r="AA70" s="34"/>
      <c r="AB70" s="22">
        <v>0.86331512451171877</v>
      </c>
      <c r="AC70" s="23" t="s">
        <v>403</v>
      </c>
      <c r="AD70" s="24">
        <v>0.38082191780821917</v>
      </c>
      <c r="AE70" s="25">
        <v>-6.3257015804702332E-2</v>
      </c>
      <c r="AF70" s="26">
        <v>0</v>
      </c>
      <c r="AG70" s="26">
        <v>0</v>
      </c>
      <c r="AH70" s="27">
        <v>-0.68437405501380311</v>
      </c>
      <c r="AI70" s="27">
        <v>-0.68437405501380311</v>
      </c>
      <c r="AJ70" s="27">
        <v>-0.68437405501380311</v>
      </c>
      <c r="AK70" s="28" t="s">
        <v>404</v>
      </c>
      <c r="AL70" s="29" t="s">
        <v>48</v>
      </c>
      <c r="AM70" s="29" t="s">
        <v>48</v>
      </c>
      <c r="AN70" s="29" t="s">
        <v>48</v>
      </c>
      <c r="AO70" s="47" t="s">
        <v>405</v>
      </c>
      <c r="AP70" s="28">
        <v>0</v>
      </c>
      <c r="AQ70" s="26">
        <v>1.4999999999999999E-2</v>
      </c>
      <c r="AR70" s="26">
        <v>0</v>
      </c>
    </row>
    <row r="71" spans="1:44" x14ac:dyDescent="0.15">
      <c r="A71">
        <v>609</v>
      </c>
      <c r="B71" s="11">
        <v>2465</v>
      </c>
      <c r="C71" s="32"/>
      <c r="D71" s="32">
        <v>-9.3459105692272903E-4</v>
      </c>
      <c r="E71" s="32">
        <v>42</v>
      </c>
      <c r="F71" s="32">
        <v>0.64313212080454596</v>
      </c>
      <c r="G71" s="11"/>
      <c r="H71" s="11"/>
      <c r="I71" s="11"/>
      <c r="J71" s="18" t="s">
        <v>44</v>
      </c>
      <c r="K71" s="18" t="s">
        <v>45</v>
      </c>
      <c r="L71" s="58" t="s">
        <v>65</v>
      </c>
      <c r="M71" s="18">
        <f>[1]!f_prt_stocktonav(B71,"2017/03/31")</f>
        <v>82.691398620605469</v>
      </c>
      <c r="N71" s="20" t="str">
        <f>[1]!f_info_fundmanager(B71)</f>
        <v>程远,李晨辉,李兵伟</v>
      </c>
      <c r="O71" s="21">
        <v>0.79726027397260268</v>
      </c>
      <c r="P71" s="34" t="s">
        <v>406</v>
      </c>
      <c r="Q71" s="34" t="s">
        <v>407</v>
      </c>
      <c r="R71" s="34" t="s">
        <v>180</v>
      </c>
      <c r="S71" s="34">
        <v>20160613</v>
      </c>
      <c r="T71" s="45">
        <v>0.4929506535</v>
      </c>
      <c r="U71" s="46">
        <v>0.5269567315</v>
      </c>
      <c r="V71" s="34" t="s">
        <v>231</v>
      </c>
      <c r="W71" s="34" t="s">
        <v>41</v>
      </c>
      <c r="X71" s="17" t="s">
        <v>42</v>
      </c>
      <c r="Y71" s="17" t="s">
        <v>388</v>
      </c>
      <c r="Z71" s="34"/>
      <c r="AA71" s="34"/>
      <c r="AB71" s="22">
        <v>0.28257490158081056</v>
      </c>
      <c r="AC71" s="23" t="s">
        <v>408</v>
      </c>
      <c r="AD71" s="24">
        <v>0.56712328767123288</v>
      </c>
      <c r="AE71" s="25">
        <v>-2.8724065306200752E-2</v>
      </c>
      <c r="AF71" s="26">
        <v>0</v>
      </c>
      <c r="AG71" s="26">
        <v>0</v>
      </c>
      <c r="AH71" s="27">
        <v>-0.63257504237534312</v>
      </c>
      <c r="AI71" s="27">
        <v>-0.63257504237534312</v>
      </c>
      <c r="AJ71" s="27">
        <v>-0.63257504237534312</v>
      </c>
      <c r="AK71" s="28" t="s">
        <v>409</v>
      </c>
      <c r="AL71" s="29" t="s">
        <v>48</v>
      </c>
      <c r="AM71" s="29" t="s">
        <v>48</v>
      </c>
      <c r="AN71" s="29" t="s">
        <v>48</v>
      </c>
      <c r="AO71" s="47" t="s">
        <v>410</v>
      </c>
      <c r="AP71" s="28">
        <v>0</v>
      </c>
      <c r="AQ71" s="26">
        <v>1.4999999999999999E-2</v>
      </c>
      <c r="AR71" s="26">
        <v>0</v>
      </c>
    </row>
    <row r="72" spans="1:44" x14ac:dyDescent="0.15">
      <c r="A72">
        <v>597</v>
      </c>
      <c r="B72" s="11">
        <v>2595</v>
      </c>
      <c r="C72" s="32"/>
      <c r="D72" s="32">
        <v>-9.4789834223511598E-4</v>
      </c>
      <c r="E72" s="32">
        <v>43</v>
      </c>
      <c r="F72" s="32">
        <v>0.55378381526229803</v>
      </c>
      <c r="G72" s="11"/>
      <c r="H72" s="11"/>
      <c r="I72" s="11"/>
      <c r="J72" s="18" t="s">
        <v>44</v>
      </c>
      <c r="K72" s="18" t="s">
        <v>87</v>
      </c>
      <c r="L72" s="58" t="s">
        <v>274</v>
      </c>
      <c r="M72" s="18">
        <f>[1]!f_prt_stocktonav(B72,"2017/03/31")</f>
        <v>82.930229187011719</v>
      </c>
      <c r="N72" s="20" t="str">
        <f>[1]!f_info_fundmanager(B72)</f>
        <v>蔡滨,兰乔</v>
      </c>
      <c r="O72" s="21">
        <v>0.81095890410958904</v>
      </c>
      <c r="P72" s="34" t="s">
        <v>411</v>
      </c>
      <c r="Q72" s="34" t="s">
        <v>412</v>
      </c>
      <c r="R72" s="34" t="s">
        <v>413</v>
      </c>
      <c r="S72" s="34">
        <v>20160608</v>
      </c>
      <c r="T72" s="45">
        <v>0.56153099630000003</v>
      </c>
      <c r="U72" s="46">
        <v>0.82411436019999995</v>
      </c>
      <c r="V72" s="34" t="s">
        <v>231</v>
      </c>
      <c r="W72" s="34" t="s">
        <v>44</v>
      </c>
      <c r="X72" s="34" t="s">
        <v>87</v>
      </c>
      <c r="Y72" s="34" t="s">
        <v>65</v>
      </c>
      <c r="Z72" s="34" t="s">
        <v>414</v>
      </c>
      <c r="AA72" s="34"/>
      <c r="AB72" s="22">
        <v>0.84794685363769529</v>
      </c>
      <c r="AC72" s="23" t="s">
        <v>415</v>
      </c>
      <c r="AD72" s="24">
        <v>0.58082191780821912</v>
      </c>
      <c r="AE72" s="25">
        <v>9.167092994897065E-2</v>
      </c>
      <c r="AF72" s="26">
        <v>0</v>
      </c>
      <c r="AG72" s="26">
        <v>0</v>
      </c>
      <c r="AH72" s="27">
        <v>0.84753814814180006</v>
      </c>
      <c r="AI72" s="27">
        <v>0.84753814814180006</v>
      </c>
      <c r="AJ72" s="27">
        <v>0.84753814814180006</v>
      </c>
      <c r="AK72" s="33" t="s">
        <v>416</v>
      </c>
      <c r="AL72" s="29" t="s">
        <v>48</v>
      </c>
      <c r="AM72" s="29" t="s">
        <v>48</v>
      </c>
      <c r="AN72" s="29" t="s">
        <v>48</v>
      </c>
      <c r="AO72" s="47" t="s">
        <v>417</v>
      </c>
      <c r="AP72" s="28">
        <v>0</v>
      </c>
      <c r="AQ72" s="26">
        <v>1.4999999999999999E-2</v>
      </c>
      <c r="AR72" s="26">
        <v>0</v>
      </c>
    </row>
    <row r="73" spans="1:44" x14ac:dyDescent="0.15">
      <c r="A73">
        <v>691</v>
      </c>
      <c r="B73" s="11">
        <v>2653</v>
      </c>
      <c r="C73" s="32"/>
      <c r="D73" s="32">
        <v>5.63846168885003E-4</v>
      </c>
      <c r="E73" s="32">
        <v>43</v>
      </c>
      <c r="F73" s="32">
        <v>0.81074431135537495</v>
      </c>
      <c r="G73" s="11"/>
      <c r="H73" s="11"/>
      <c r="I73" s="11"/>
      <c r="J73" s="18" t="s">
        <v>44</v>
      </c>
      <c r="K73" s="18" t="s">
        <v>45</v>
      </c>
      <c r="L73" s="58" t="s">
        <v>65</v>
      </c>
      <c r="M73" s="18">
        <f>[1]!f_prt_stocktonav(B73,"2017/03/31")</f>
        <v>80.320899963378906</v>
      </c>
      <c r="N73" s="20" t="str">
        <f>[1]!f_info_fundmanager(B73)</f>
        <v>彭一博,刘伟</v>
      </c>
      <c r="O73" s="21">
        <v>0.81643835616438354</v>
      </c>
      <c r="P73" s="34" t="s">
        <v>418</v>
      </c>
      <c r="Q73" s="34" t="s">
        <v>419</v>
      </c>
      <c r="R73" s="34" t="s">
        <v>52</v>
      </c>
      <c r="S73" s="34">
        <v>20160606</v>
      </c>
      <c r="T73" s="45">
        <v>7.8761903584999997</v>
      </c>
      <c r="U73" s="46">
        <v>4.5453986742000003</v>
      </c>
      <c r="V73" s="34" t="s">
        <v>231</v>
      </c>
      <c r="W73" s="34" t="s">
        <v>44</v>
      </c>
      <c r="X73" s="17" t="s">
        <v>45</v>
      </c>
      <c r="Y73" s="17" t="s">
        <v>65</v>
      </c>
      <c r="Z73" s="34"/>
      <c r="AA73" s="34"/>
      <c r="AB73" s="22">
        <v>0.89172645568847653</v>
      </c>
      <c r="AC73" s="23" t="s">
        <v>53</v>
      </c>
      <c r="AD73" s="24">
        <v>0.58630136986301373</v>
      </c>
      <c r="AE73" s="25">
        <v>0.10894406704107729</v>
      </c>
      <c r="AF73" s="26">
        <v>0</v>
      </c>
      <c r="AG73" s="26">
        <v>0</v>
      </c>
      <c r="AH73" s="27">
        <v>0.74369884961172494</v>
      </c>
      <c r="AI73" s="27">
        <v>0.74369884961172494</v>
      </c>
      <c r="AJ73" s="27">
        <v>0.74369884961172494</v>
      </c>
      <c r="AK73" s="28" t="s">
        <v>420</v>
      </c>
      <c r="AL73" s="29" t="s">
        <v>48</v>
      </c>
      <c r="AM73" s="29" t="s">
        <v>48</v>
      </c>
      <c r="AN73" s="29" t="s">
        <v>48</v>
      </c>
      <c r="AO73" s="47" t="s">
        <v>421</v>
      </c>
      <c r="AP73" s="28">
        <v>0</v>
      </c>
      <c r="AQ73" s="26">
        <v>1.4999999999999999E-2</v>
      </c>
      <c r="AR73" s="26">
        <v>0</v>
      </c>
    </row>
    <row r="74" spans="1:44" x14ac:dyDescent="0.15">
      <c r="A74">
        <v>217</v>
      </c>
      <c r="B74" s="11">
        <v>2189</v>
      </c>
      <c r="C74" s="32"/>
      <c r="D74" s="32">
        <v>3.4970481716959101E-3</v>
      </c>
      <c r="E74" s="32">
        <v>43</v>
      </c>
      <c r="F74" s="32">
        <v>9.9304091485060697E-2</v>
      </c>
      <c r="G74" s="11"/>
      <c r="H74" s="11"/>
      <c r="I74" s="11"/>
      <c r="J74" s="18" t="s">
        <v>44</v>
      </c>
      <c r="K74" s="18" t="s">
        <v>45</v>
      </c>
      <c r="L74" s="58" t="s">
        <v>65</v>
      </c>
      <c r="M74" s="18">
        <f>[1]!f_prt_stocktonav(B74,"2017/03/31")</f>
        <v>91.478225708007813</v>
      </c>
      <c r="N74" s="20" t="str">
        <f>[1]!f_info_fundmanager(B74)</f>
        <v>张峰</v>
      </c>
      <c r="O74" s="21">
        <v>0.8246575342465754</v>
      </c>
      <c r="P74" s="34" t="s">
        <v>422</v>
      </c>
      <c r="Q74" s="34" t="s">
        <v>423</v>
      </c>
      <c r="R74" s="34" t="s">
        <v>424</v>
      </c>
      <c r="S74" s="34">
        <v>20160603</v>
      </c>
      <c r="T74" s="45">
        <v>0.92325484130000002</v>
      </c>
      <c r="U74" s="46">
        <v>1.3788024789</v>
      </c>
      <c r="V74" s="34" t="s">
        <v>231</v>
      </c>
      <c r="W74" s="34" t="s">
        <v>44</v>
      </c>
      <c r="X74" s="17" t="s">
        <v>45</v>
      </c>
      <c r="Y74" s="17" t="s">
        <v>65</v>
      </c>
      <c r="Z74" s="34"/>
      <c r="AA74" s="34"/>
      <c r="AB74" s="22">
        <v>0.72286247253417968</v>
      </c>
      <c r="AC74" s="23" t="s">
        <v>425</v>
      </c>
      <c r="AD74" s="24">
        <v>0.59452054794520548</v>
      </c>
      <c r="AE74" s="25">
        <v>6.1547598652825997E-2</v>
      </c>
      <c r="AF74" s="26">
        <v>0</v>
      </c>
      <c r="AG74" s="26">
        <v>0</v>
      </c>
      <c r="AH74" s="27">
        <v>0.58882893909135414</v>
      </c>
      <c r="AI74" s="27">
        <v>0.58882893909135414</v>
      </c>
      <c r="AJ74" s="27">
        <v>0.58882893909135414</v>
      </c>
      <c r="AK74" s="28" t="s">
        <v>426</v>
      </c>
      <c r="AL74" s="29" t="s">
        <v>48</v>
      </c>
      <c r="AM74" s="29" t="s">
        <v>48</v>
      </c>
      <c r="AN74" s="29" t="s">
        <v>48</v>
      </c>
      <c r="AO74" s="47" t="s">
        <v>427</v>
      </c>
      <c r="AP74" s="28">
        <v>0</v>
      </c>
      <c r="AQ74" s="26">
        <v>1.4999999999999999E-2</v>
      </c>
      <c r="AR74" s="26">
        <v>0</v>
      </c>
    </row>
    <row r="75" spans="1:44" x14ac:dyDescent="0.15">
      <c r="A75">
        <v>509</v>
      </c>
      <c r="B75" s="11">
        <v>2597</v>
      </c>
      <c r="C75" s="32"/>
      <c r="D75" s="32">
        <v>-8.7987570291755295E-4</v>
      </c>
      <c r="E75" s="32">
        <v>43</v>
      </c>
      <c r="F75" s="32">
        <v>0.40218971684911697</v>
      </c>
      <c r="G75" s="11"/>
      <c r="H75" s="11"/>
      <c r="I75" s="11"/>
      <c r="J75" s="18" t="s">
        <v>44</v>
      </c>
      <c r="K75" s="18" t="s">
        <v>45</v>
      </c>
      <c r="L75" s="58" t="s">
        <v>65</v>
      </c>
      <c r="M75" s="18">
        <f>[1]!f_prt_stocktonav(B75,"2017/03/31")</f>
        <v>85.07843017578125</v>
      </c>
      <c r="N75" s="20" t="str">
        <f>[1]!f_info_fundmanager(B75)</f>
        <v>刘方旭</v>
      </c>
      <c r="O75" s="21">
        <v>0.8246575342465754</v>
      </c>
      <c r="P75" s="34" t="s">
        <v>428</v>
      </c>
      <c r="Q75" s="34" t="s">
        <v>429</v>
      </c>
      <c r="R75" s="34" t="s">
        <v>430</v>
      </c>
      <c r="S75" s="34">
        <v>20160603</v>
      </c>
      <c r="T75" s="45">
        <v>0.59691998899999998</v>
      </c>
      <c r="U75" s="46">
        <v>0.62860920040000001</v>
      </c>
      <c r="V75" s="34" t="s">
        <v>231</v>
      </c>
      <c r="W75" s="34" t="s">
        <v>41</v>
      </c>
      <c r="X75" s="34" t="s">
        <v>42</v>
      </c>
      <c r="Y75" s="34" t="s">
        <v>388</v>
      </c>
      <c r="Z75" s="34"/>
      <c r="AA75" s="34"/>
      <c r="AB75" s="22">
        <v>0.53907840728759771</v>
      </c>
      <c r="AC75" s="23" t="s">
        <v>431</v>
      </c>
      <c r="AD75" s="24">
        <v>0.59452054794520548</v>
      </c>
      <c r="AE75" s="25">
        <v>-4.9405335739029166E-2</v>
      </c>
      <c r="AF75" s="26">
        <v>0</v>
      </c>
      <c r="AG75" s="26">
        <v>0</v>
      </c>
      <c r="AH75" s="27">
        <v>-2.0095234930803851</v>
      </c>
      <c r="AI75" s="27">
        <v>-2.0095234930803851</v>
      </c>
      <c r="AJ75" s="27">
        <v>-2.0095234930803851</v>
      </c>
      <c r="AK75" s="28" t="s">
        <v>432</v>
      </c>
      <c r="AL75" s="29" t="s">
        <v>48</v>
      </c>
      <c r="AM75" s="29" t="s">
        <v>48</v>
      </c>
      <c r="AN75" s="29" t="s">
        <v>48</v>
      </c>
      <c r="AO75" s="47" t="s">
        <v>417</v>
      </c>
      <c r="AP75" s="28">
        <v>0</v>
      </c>
      <c r="AQ75" s="26">
        <v>1.4999999999999999E-2</v>
      </c>
      <c r="AR75" s="26">
        <v>0</v>
      </c>
    </row>
    <row r="76" spans="1:44" x14ac:dyDescent="0.15">
      <c r="A76">
        <v>355</v>
      </c>
      <c r="B76" s="11">
        <v>160519</v>
      </c>
      <c r="C76" s="32"/>
      <c r="D76" s="32">
        <v>-2.0801984294796299E-3</v>
      </c>
      <c r="E76" s="32">
        <v>44</v>
      </c>
      <c r="F76" s="32">
        <v>0.129896219662583</v>
      </c>
      <c r="G76" s="11"/>
      <c r="H76" s="11"/>
      <c r="I76" s="11"/>
      <c r="J76" s="18" t="s">
        <v>44</v>
      </c>
      <c r="K76" s="18" t="s">
        <v>45</v>
      </c>
      <c r="L76" s="58" t="s">
        <v>65</v>
      </c>
      <c r="M76" s="18">
        <f>[1]!f_prt_stocktonav(B76,"2017/03/31")</f>
        <v>88.451736450195313</v>
      </c>
      <c r="N76" s="20" t="str">
        <f>[1]!f_info_fundmanager(B76)</f>
        <v>陈鹏扬,金晟哲</v>
      </c>
      <c r="O76" s="21">
        <v>0.83287671232876714</v>
      </c>
      <c r="P76" s="34" t="s">
        <v>433</v>
      </c>
      <c r="Q76" s="34" t="s">
        <v>434</v>
      </c>
      <c r="R76" s="34" t="s">
        <v>413</v>
      </c>
      <c r="S76" s="34">
        <v>20160531</v>
      </c>
      <c r="T76" s="45">
        <v>6.6598288193000004</v>
      </c>
      <c r="U76" s="46">
        <v>6.7230453075999996</v>
      </c>
      <c r="V76" s="34" t="s">
        <v>231</v>
      </c>
      <c r="W76" s="34" t="s">
        <v>44</v>
      </c>
      <c r="X76" s="34" t="s">
        <v>45</v>
      </c>
      <c r="Y76" s="34" t="s">
        <v>65</v>
      </c>
      <c r="Z76" s="34"/>
      <c r="AA76" s="34"/>
      <c r="AB76" s="22">
        <v>0.86864349365234372</v>
      </c>
      <c r="AC76" s="23" t="s">
        <v>435</v>
      </c>
      <c r="AD76" s="24">
        <v>0.60273972602739723</v>
      </c>
      <c r="AE76" s="25">
        <v>-1.1854682024774355E-2</v>
      </c>
      <c r="AF76" s="26">
        <v>0</v>
      </c>
      <c r="AG76" s="26">
        <v>0</v>
      </c>
      <c r="AH76" s="27">
        <v>-0.92924653619927466</v>
      </c>
      <c r="AI76" s="27">
        <v>-0.92924653619927466</v>
      </c>
      <c r="AJ76" s="27">
        <v>-0.92924653619927466</v>
      </c>
      <c r="AK76" s="28" t="s">
        <v>436</v>
      </c>
      <c r="AL76" s="29" t="s">
        <v>48</v>
      </c>
      <c r="AM76" s="29" t="s">
        <v>48</v>
      </c>
      <c r="AN76" s="29" t="s">
        <v>48</v>
      </c>
      <c r="AO76" s="47">
        <v>0</v>
      </c>
      <c r="AP76" s="28">
        <v>0</v>
      </c>
      <c r="AQ76" s="26">
        <v>1.4999999999999999E-2</v>
      </c>
      <c r="AR76" s="26">
        <v>0</v>
      </c>
    </row>
    <row r="77" spans="1:44" x14ac:dyDescent="0.15">
      <c r="A77">
        <v>275</v>
      </c>
      <c r="B77" s="11">
        <v>1878</v>
      </c>
      <c r="C77" s="32"/>
      <c r="D77" s="32">
        <v>5.3037047325033499E-3</v>
      </c>
      <c r="E77" s="32">
        <v>44</v>
      </c>
      <c r="F77" s="32">
        <v>3.0032137331945701E-2</v>
      </c>
      <c r="G77" s="11"/>
      <c r="H77" s="11"/>
      <c r="I77" s="11"/>
      <c r="J77" s="18" t="s">
        <v>44</v>
      </c>
      <c r="K77" s="18" t="s">
        <v>45</v>
      </c>
      <c r="L77" s="58" t="s">
        <v>65</v>
      </c>
      <c r="M77" s="18">
        <f>[1]!f_prt_stocktonav(B77,"2017/03/31")</f>
        <v>89.948966979980469</v>
      </c>
      <c r="N77" s="20" t="str">
        <f>[1]!f_info_fundmanager(B77)</f>
        <v>张金涛</v>
      </c>
      <c r="O77" s="21">
        <v>0.84383561643835614</v>
      </c>
      <c r="P77" s="34" t="s">
        <v>437</v>
      </c>
      <c r="Q77" s="34" t="s">
        <v>438</v>
      </c>
      <c r="R77" s="34" t="s">
        <v>92</v>
      </c>
      <c r="S77" s="34">
        <v>20160527</v>
      </c>
      <c r="T77" s="45">
        <v>13.7042188105</v>
      </c>
      <c r="U77" s="46">
        <v>3.3656530907</v>
      </c>
      <c r="V77" s="34" t="s">
        <v>231</v>
      </c>
      <c r="W77" s="34" t="s">
        <v>44</v>
      </c>
      <c r="X77" s="34" t="s">
        <v>45</v>
      </c>
      <c r="Y77" s="34" t="s">
        <v>65</v>
      </c>
      <c r="Z77" s="34"/>
      <c r="AA77" s="34"/>
      <c r="AB77" s="22">
        <v>0.90217453002929693</v>
      </c>
      <c r="AC77" s="23" t="s">
        <v>439</v>
      </c>
      <c r="AD77" s="24">
        <v>0.61369863013698633</v>
      </c>
      <c r="AE77" s="25">
        <v>0.26779444782186346</v>
      </c>
      <c r="AF77" s="26">
        <v>0</v>
      </c>
      <c r="AG77" s="26">
        <v>0</v>
      </c>
      <c r="AH77" s="27">
        <v>1.6891386547009168</v>
      </c>
      <c r="AI77" s="27">
        <v>1.6891386547009168</v>
      </c>
      <c r="AJ77" s="27">
        <v>1.6891386547009168</v>
      </c>
      <c r="AK77" s="28" t="s">
        <v>440</v>
      </c>
      <c r="AL77" s="29" t="s">
        <v>48</v>
      </c>
      <c r="AM77" s="29" t="s">
        <v>48</v>
      </c>
      <c r="AN77" s="29" t="s">
        <v>48</v>
      </c>
      <c r="AO77" s="47" t="s">
        <v>249</v>
      </c>
      <c r="AP77" s="28">
        <v>0</v>
      </c>
      <c r="AQ77" s="26">
        <v>1.4999999999999999E-2</v>
      </c>
      <c r="AR77" s="26">
        <v>0</v>
      </c>
    </row>
    <row r="78" spans="1:44" x14ac:dyDescent="0.15">
      <c r="A78">
        <v>887</v>
      </c>
      <c r="B78" s="11">
        <v>2605</v>
      </c>
      <c r="C78" s="32"/>
      <c r="D78" s="32">
        <v>1.05631624992017E-5</v>
      </c>
      <c r="E78" s="32">
        <v>44</v>
      </c>
      <c r="F78" s="32">
        <v>0.99391002085892799</v>
      </c>
      <c r="G78" s="11"/>
      <c r="H78" s="11"/>
      <c r="I78" s="11"/>
      <c r="J78" s="18" t="s">
        <v>44</v>
      </c>
      <c r="K78" s="18" t="s">
        <v>86</v>
      </c>
      <c r="L78" s="58" t="s">
        <v>65</v>
      </c>
      <c r="M78" s="18">
        <f>[1]!f_prt_stocktonav(B78,"2017/03/31")</f>
        <v>73.208450317382812</v>
      </c>
      <c r="N78" s="20" t="str">
        <f>[1]!f_info_fundmanager(B78)</f>
        <v>商小虎,关山</v>
      </c>
      <c r="O78" s="21">
        <v>0.84383561643835614</v>
      </c>
      <c r="P78" s="34" t="s">
        <v>441</v>
      </c>
      <c r="Q78" s="34" t="s">
        <v>442</v>
      </c>
      <c r="R78" s="34" t="s">
        <v>230</v>
      </c>
      <c r="S78" s="34">
        <v>20160527</v>
      </c>
      <c r="T78" s="45">
        <v>0.54617289229999999</v>
      </c>
      <c r="U78" s="46">
        <v>0.81129174179999997</v>
      </c>
      <c r="V78" s="34" t="s">
        <v>231</v>
      </c>
      <c r="W78" s="34" t="s">
        <v>41</v>
      </c>
      <c r="X78" s="34" t="s">
        <v>42</v>
      </c>
      <c r="Y78" s="34" t="s">
        <v>181</v>
      </c>
      <c r="Z78" s="34"/>
      <c r="AA78" s="34"/>
      <c r="AB78" s="22">
        <v>0.54978839874267582</v>
      </c>
      <c r="AC78" s="23" t="s">
        <v>443</v>
      </c>
      <c r="AD78" s="24">
        <v>0.61369863013698633</v>
      </c>
      <c r="AE78" s="25">
        <v>6.413221055395657E-2</v>
      </c>
      <c r="AF78" s="26">
        <v>0</v>
      </c>
      <c r="AG78" s="26">
        <v>0</v>
      </c>
      <c r="AH78" s="27">
        <v>0.89376681752248111</v>
      </c>
      <c r="AI78" s="27">
        <v>0.89376681752248111</v>
      </c>
      <c r="AJ78" s="27">
        <v>0.89376681752248111</v>
      </c>
      <c r="AK78" s="28" t="s">
        <v>444</v>
      </c>
      <c r="AL78" s="29" t="s">
        <v>48</v>
      </c>
      <c r="AM78" s="29" t="s">
        <v>48</v>
      </c>
      <c r="AN78" s="29" t="s">
        <v>48</v>
      </c>
      <c r="AO78" s="47" t="s">
        <v>445</v>
      </c>
      <c r="AP78" s="28" t="s">
        <v>235</v>
      </c>
      <c r="AQ78" s="26">
        <v>1.4999999999999999E-2</v>
      </c>
      <c r="AR78" s="26">
        <v>0</v>
      </c>
    </row>
    <row r="79" spans="1:44" x14ac:dyDescent="0.15">
      <c r="A79">
        <v>231</v>
      </c>
      <c r="B79" s="11">
        <v>1764</v>
      </c>
      <c r="C79" s="32"/>
      <c r="D79" s="32">
        <v>8.2071800700238599E-4</v>
      </c>
      <c r="E79" s="32">
        <v>43</v>
      </c>
      <c r="F79" s="32">
        <v>0.751973302813431</v>
      </c>
      <c r="G79" s="11"/>
      <c r="H79" s="11"/>
      <c r="I79" s="11"/>
      <c r="J79" s="18" t="s">
        <v>44</v>
      </c>
      <c r="K79" s="18" t="s">
        <v>45</v>
      </c>
      <c r="L79" s="58" t="s">
        <v>65</v>
      </c>
      <c r="M79" s="18">
        <f>[1]!f_prt_stocktonav(B79,"2017/03/31")</f>
        <v>91.085601806640625</v>
      </c>
      <c r="N79" s="20" t="str">
        <f>[1]!f_info_fundmanager(B79)</f>
        <v>余昊</v>
      </c>
      <c r="O79" s="21">
        <v>0.81369863013698629</v>
      </c>
      <c r="P79" s="34" t="s">
        <v>446</v>
      </c>
      <c r="Q79" s="34" t="s">
        <v>447</v>
      </c>
      <c r="R79" s="34" t="s">
        <v>132</v>
      </c>
      <c r="S79" s="34">
        <v>20160527</v>
      </c>
      <c r="T79" s="45">
        <v>9.8220516348999993</v>
      </c>
      <c r="U79" s="46">
        <v>8.2671520427999994</v>
      </c>
      <c r="V79" s="34" t="s">
        <v>231</v>
      </c>
      <c r="W79" s="34" t="s">
        <v>44</v>
      </c>
      <c r="X79" s="34" t="s">
        <v>45</v>
      </c>
      <c r="Y79" s="34" t="s">
        <v>65</v>
      </c>
      <c r="Z79" s="34"/>
      <c r="AA79" s="34"/>
      <c r="AB79" s="22">
        <v>0.94949127197265626</v>
      </c>
      <c r="AC79" s="23" t="s">
        <v>448</v>
      </c>
      <c r="AD79" s="24">
        <v>0.58356164383561648</v>
      </c>
      <c r="AE79" s="25">
        <v>-2.8172472773869917E-2</v>
      </c>
      <c r="AF79" s="26">
        <v>0</v>
      </c>
      <c r="AG79" s="26">
        <v>0</v>
      </c>
      <c r="AH79" s="27">
        <v>-0.34468139465615472</v>
      </c>
      <c r="AI79" s="27">
        <v>-0.34468139465615472</v>
      </c>
      <c r="AJ79" s="27">
        <v>-0.34468139465615472</v>
      </c>
      <c r="AK79" s="28" t="s">
        <v>176</v>
      </c>
      <c r="AL79" s="29" t="s">
        <v>48</v>
      </c>
      <c r="AM79" s="29" t="s">
        <v>48</v>
      </c>
      <c r="AN79" s="29" t="s">
        <v>48</v>
      </c>
      <c r="AO79" s="47" t="s">
        <v>449</v>
      </c>
      <c r="AP79" s="28">
        <v>0</v>
      </c>
      <c r="AQ79" s="26">
        <v>1.4999999999999999E-2</v>
      </c>
      <c r="AR79" s="26">
        <v>0</v>
      </c>
    </row>
    <row r="80" spans="1:44" x14ac:dyDescent="0.15">
      <c r="A80">
        <v>556</v>
      </c>
      <c r="B80" s="11">
        <v>161232</v>
      </c>
      <c r="C80" s="32"/>
      <c r="D80" s="32">
        <v>-3.9762694501394597E-3</v>
      </c>
      <c r="E80" s="32">
        <v>44</v>
      </c>
      <c r="F80" s="32">
        <v>2.22707293307967E-3</v>
      </c>
      <c r="G80" s="11"/>
      <c r="H80" s="11"/>
      <c r="I80" s="11"/>
      <c r="J80" s="18" t="s">
        <v>44</v>
      </c>
      <c r="K80" s="18" t="s">
        <v>45</v>
      </c>
      <c r="L80" s="58" t="s">
        <v>65</v>
      </c>
      <c r="M80" s="18">
        <f>[1]!f_prt_stocktonav(B80,"2017/03/31")</f>
        <v>83.927055358886719</v>
      </c>
      <c r="N80" s="20" t="str">
        <f>[1]!f_info_fundmanager(B80)</f>
        <v>杨冬冬,吴潇</v>
      </c>
      <c r="O80" s="21">
        <v>0.84383561643835614</v>
      </c>
      <c r="P80" s="34" t="s">
        <v>450</v>
      </c>
      <c r="Q80" s="34" t="s">
        <v>451</v>
      </c>
      <c r="R80" s="34" t="s">
        <v>452</v>
      </c>
      <c r="S80" s="34">
        <v>20160525</v>
      </c>
      <c r="T80" s="45">
        <v>15.4821195288</v>
      </c>
      <c r="U80" s="46">
        <v>15.9046760019</v>
      </c>
      <c r="V80" s="34" t="s">
        <v>231</v>
      </c>
      <c r="W80" s="34" t="s">
        <v>44</v>
      </c>
      <c r="X80" s="34" t="s">
        <v>45</v>
      </c>
      <c r="Y80" s="34" t="s">
        <v>65</v>
      </c>
      <c r="Z80" s="34"/>
      <c r="AA80" s="34"/>
      <c r="AB80" s="22">
        <v>0.81970108032226563</v>
      </c>
      <c r="AC80" s="23" t="s">
        <v>453</v>
      </c>
      <c r="AD80" s="24">
        <v>0.61369863013698633</v>
      </c>
      <c r="AE80" s="25">
        <v>-3.7701018687160248E-2</v>
      </c>
      <c r="AF80" s="26">
        <v>0</v>
      </c>
      <c r="AG80" s="26">
        <v>0</v>
      </c>
      <c r="AH80" s="27">
        <v>-1.3498668903614</v>
      </c>
      <c r="AI80" s="27">
        <v>-1.3498668903614</v>
      </c>
      <c r="AJ80" s="27">
        <v>-1.3498668903614</v>
      </c>
      <c r="AK80" s="28" t="s">
        <v>436</v>
      </c>
      <c r="AL80" s="29" t="s">
        <v>48</v>
      </c>
      <c r="AM80" s="29" t="s">
        <v>48</v>
      </c>
      <c r="AN80" s="29" t="s">
        <v>48</v>
      </c>
      <c r="AO80" s="47">
        <v>0</v>
      </c>
      <c r="AP80" s="28">
        <v>0</v>
      </c>
      <c r="AQ80" s="26">
        <v>1.4999999999999999E-2</v>
      </c>
      <c r="AR80" s="26">
        <v>0</v>
      </c>
    </row>
    <row r="81" spans="1:44" x14ac:dyDescent="0.15">
      <c r="A81">
        <v>363</v>
      </c>
      <c r="B81" s="11">
        <v>165528</v>
      </c>
      <c r="C81" s="32"/>
      <c r="D81" s="32">
        <v>-1.6175799240917301E-3</v>
      </c>
      <c r="E81" s="32">
        <v>45</v>
      </c>
      <c r="F81" s="32">
        <v>0.186438426990503</v>
      </c>
      <c r="G81" s="11"/>
      <c r="H81" s="11"/>
      <c r="I81" s="11"/>
      <c r="J81" s="18" t="s">
        <v>44</v>
      </c>
      <c r="K81" s="18" t="s">
        <v>45</v>
      </c>
      <c r="L81" s="58" t="s">
        <v>65</v>
      </c>
      <c r="M81" s="18">
        <f>[1]!f_prt_stocktonav(B81,"2017/03/31")</f>
        <v>88.217216491699219</v>
      </c>
      <c r="N81" s="20" t="str">
        <f>[1]!f_info_fundmanager(B81)</f>
        <v>杨旭,殷孝东</v>
      </c>
      <c r="O81" s="21">
        <v>0.852054794520548</v>
      </c>
      <c r="P81" s="34" t="s">
        <v>454</v>
      </c>
      <c r="Q81" s="34" t="s">
        <v>455</v>
      </c>
      <c r="R81" s="34" t="s">
        <v>456</v>
      </c>
      <c r="S81" s="34">
        <v>20160524</v>
      </c>
      <c r="T81" s="45">
        <v>12.289517661</v>
      </c>
      <c r="U81" s="46">
        <v>12.1800340974</v>
      </c>
      <c r="V81" s="34" t="s">
        <v>231</v>
      </c>
      <c r="W81" s="34" t="s">
        <v>44</v>
      </c>
      <c r="X81" s="34" t="s">
        <v>45</v>
      </c>
      <c r="Y81" s="34" t="s">
        <v>65</v>
      </c>
      <c r="Z81" s="34"/>
      <c r="AA81" s="34"/>
      <c r="AB81" s="22">
        <v>0.88472557067871094</v>
      </c>
      <c r="AC81" s="23" t="s">
        <v>457</v>
      </c>
      <c r="AD81" s="24">
        <v>0.62191780821917808</v>
      </c>
      <c r="AE81" s="25">
        <v>1.6494332132021894E-2</v>
      </c>
      <c r="AF81" s="26">
        <v>0</v>
      </c>
      <c r="AG81" s="26">
        <v>0</v>
      </c>
      <c r="AH81" s="27">
        <v>8.5613088594646128E-2</v>
      </c>
      <c r="AI81" s="27">
        <v>8.5613088594646128E-2</v>
      </c>
      <c r="AJ81" s="27">
        <v>8.5613088594646128E-2</v>
      </c>
      <c r="AK81" s="28" t="s">
        <v>346</v>
      </c>
      <c r="AL81" s="29" t="s">
        <v>48</v>
      </c>
      <c r="AM81" s="29" t="s">
        <v>48</v>
      </c>
      <c r="AN81" s="29" t="s">
        <v>48</v>
      </c>
      <c r="AO81" s="47">
        <v>0</v>
      </c>
      <c r="AP81" s="28">
        <v>0</v>
      </c>
      <c r="AQ81" s="26">
        <v>1.4999999999999999E-2</v>
      </c>
      <c r="AR81" s="26">
        <v>0</v>
      </c>
    </row>
    <row r="82" spans="1:44" x14ac:dyDescent="0.15">
      <c r="A82">
        <v>722</v>
      </c>
      <c r="B82" s="11">
        <v>2593</v>
      </c>
      <c r="C82" s="32"/>
      <c r="D82" s="32">
        <v>1.86189387183948E-3</v>
      </c>
      <c r="E82" s="32">
        <v>46</v>
      </c>
      <c r="F82" s="32">
        <v>0.112171276945243</v>
      </c>
      <c r="G82" s="11"/>
      <c r="H82" s="11"/>
      <c r="I82" s="11"/>
      <c r="J82" s="18" t="s">
        <v>44</v>
      </c>
      <c r="K82" s="18" t="s">
        <v>45</v>
      </c>
      <c r="L82" s="58" t="s">
        <v>65</v>
      </c>
      <c r="M82" s="18">
        <f>[1]!f_prt_stocktonav(B82,"2017/03/31")</f>
        <v>79.426399230957031</v>
      </c>
      <c r="N82" s="20" t="str">
        <f>[1]!f_info_fundmanager(B82)</f>
        <v>张啸伟</v>
      </c>
      <c r="O82" s="21">
        <v>0.86575342465753424</v>
      </c>
      <c r="P82" s="34" t="s">
        <v>458</v>
      </c>
      <c r="Q82" s="34" t="s">
        <v>459</v>
      </c>
      <c r="R82" s="34" t="s">
        <v>396</v>
      </c>
      <c r="S82" s="34">
        <v>20160519</v>
      </c>
      <c r="T82" s="45">
        <v>0.52688737320000001</v>
      </c>
      <c r="U82" s="46">
        <v>0.53353077849999997</v>
      </c>
      <c r="V82" s="34" t="s">
        <v>231</v>
      </c>
      <c r="W82" s="34" t="s">
        <v>41</v>
      </c>
      <c r="X82" s="34" t="s">
        <v>42</v>
      </c>
      <c r="Y82" s="34" t="s">
        <v>181</v>
      </c>
      <c r="Z82" s="34"/>
      <c r="AA82" s="34"/>
      <c r="AB82" s="22">
        <v>0.67354721069335932</v>
      </c>
      <c r="AC82" s="23" t="s">
        <v>460</v>
      </c>
      <c r="AD82" s="24">
        <v>0.63561643835616444</v>
      </c>
      <c r="AE82" s="25">
        <v>0.12331768611927639</v>
      </c>
      <c r="AF82" s="26">
        <v>0</v>
      </c>
      <c r="AG82" s="26">
        <v>0</v>
      </c>
      <c r="AH82" s="27">
        <v>2.05953350088557</v>
      </c>
      <c r="AI82" s="27">
        <v>2.05953350088557</v>
      </c>
      <c r="AJ82" s="27">
        <v>2.05953350088557</v>
      </c>
      <c r="AK82" s="28" t="s">
        <v>461</v>
      </c>
      <c r="AL82" s="29" t="s">
        <v>48</v>
      </c>
      <c r="AM82" s="29" t="s">
        <v>48</v>
      </c>
      <c r="AN82" s="29" t="s">
        <v>48</v>
      </c>
      <c r="AO82" s="47" t="s">
        <v>399</v>
      </c>
      <c r="AP82" s="28">
        <v>0</v>
      </c>
      <c r="AQ82" s="26">
        <v>1.4999999999999999E-2</v>
      </c>
      <c r="AR82" s="26">
        <v>0</v>
      </c>
    </row>
    <row r="83" spans="1:44" x14ac:dyDescent="0.15">
      <c r="A83">
        <v>957</v>
      </c>
      <c r="B83" s="11">
        <v>1942</v>
      </c>
      <c r="C83" s="32"/>
      <c r="D83" s="32">
        <v>9.9772989775157505E-4</v>
      </c>
      <c r="E83" s="32">
        <v>46</v>
      </c>
      <c r="F83" s="32">
        <v>0.50601215539709998</v>
      </c>
      <c r="G83" s="11"/>
      <c r="H83" s="11"/>
      <c r="I83" s="11"/>
      <c r="J83" s="18" t="s">
        <v>44</v>
      </c>
      <c r="K83" s="18" t="s">
        <v>45</v>
      </c>
      <c r="L83" s="58" t="s">
        <v>65</v>
      </c>
      <c r="M83" s="18">
        <f>[1]!f_prt_stocktonav(B83,"2017/03/31")</f>
        <v>70.200492858886719</v>
      </c>
      <c r="N83" s="20" t="str">
        <f>[1]!f_info_fundmanager(B83)</f>
        <v>谢屹</v>
      </c>
      <c r="O83" s="21">
        <v>0.86575342465753424</v>
      </c>
      <c r="P83" s="34" t="s">
        <v>462</v>
      </c>
      <c r="Q83" s="34" t="s">
        <v>463</v>
      </c>
      <c r="R83" s="34" t="s">
        <v>78</v>
      </c>
      <c r="S83" s="34">
        <v>20160519</v>
      </c>
      <c r="T83" s="45">
        <v>3.101986433</v>
      </c>
      <c r="U83" s="46">
        <v>3.0952032191000001</v>
      </c>
      <c r="V83" s="34" t="s">
        <v>231</v>
      </c>
      <c r="W83" s="34" t="s">
        <v>41</v>
      </c>
      <c r="X83" s="17" t="s">
        <v>42</v>
      </c>
      <c r="Y83" s="17" t="s">
        <v>181</v>
      </c>
      <c r="Z83" s="34"/>
      <c r="AA83" s="34"/>
      <c r="AB83" s="22">
        <v>0.45910446166992186</v>
      </c>
      <c r="AC83" s="23" t="s">
        <v>464</v>
      </c>
      <c r="AD83" s="24">
        <v>0.63561643835616444</v>
      </c>
      <c r="AE83" s="25">
        <v>0.12331768611927639</v>
      </c>
      <c r="AF83" s="26">
        <v>0</v>
      </c>
      <c r="AG83" s="26">
        <v>0</v>
      </c>
      <c r="AH83" s="27">
        <v>1.4541169090726547</v>
      </c>
      <c r="AI83" s="27">
        <v>1.4541169090726547</v>
      </c>
      <c r="AJ83" s="27">
        <v>1.4541169090726547</v>
      </c>
      <c r="AK83" s="28" t="s">
        <v>196</v>
      </c>
      <c r="AL83" s="29" t="s">
        <v>48</v>
      </c>
      <c r="AM83" s="29" t="s">
        <v>48</v>
      </c>
      <c r="AN83" s="29" t="s">
        <v>48</v>
      </c>
      <c r="AO83" s="47" t="s">
        <v>270</v>
      </c>
      <c r="AP83" s="28">
        <v>0</v>
      </c>
      <c r="AQ83" s="26">
        <v>6.0000002384185793E-3</v>
      </c>
      <c r="AR83" s="26">
        <v>0</v>
      </c>
    </row>
    <row r="84" spans="1:44" x14ac:dyDescent="0.15">
      <c r="A84">
        <v>280</v>
      </c>
      <c r="B84" s="11">
        <v>1955</v>
      </c>
      <c r="C84" s="32"/>
      <c r="D84" s="32">
        <v>-7.5566495832630099E-4</v>
      </c>
      <c r="E84" s="32">
        <v>46</v>
      </c>
      <c r="F84" s="32">
        <v>0.58158453690560896</v>
      </c>
      <c r="G84" s="11"/>
      <c r="H84" s="11"/>
      <c r="I84" s="11"/>
      <c r="J84" s="18" t="s">
        <v>44</v>
      </c>
      <c r="K84" s="18" t="s">
        <v>45</v>
      </c>
      <c r="L84" s="58" t="s">
        <v>65</v>
      </c>
      <c r="M84" s="18">
        <f>[1]!f_prt_stocktonav(B84,"2017/03/31")</f>
        <v>89.847816467285156</v>
      </c>
      <c r="N84" s="20" t="str">
        <f>[1]!f_info_fundmanager(B84)</f>
        <v>袁争光,王健</v>
      </c>
      <c r="O84" s="21">
        <v>0.88219178082191785</v>
      </c>
      <c r="P84" s="34" t="s">
        <v>465</v>
      </c>
      <c r="Q84" s="34" t="s">
        <v>466</v>
      </c>
      <c r="R84" s="34" t="s">
        <v>200</v>
      </c>
      <c r="S84" s="34">
        <v>20160513</v>
      </c>
      <c r="T84" s="45">
        <v>0.68843495629999996</v>
      </c>
      <c r="U84" s="46">
        <v>0.98312112839999999</v>
      </c>
      <c r="V84" s="34" t="s">
        <v>231</v>
      </c>
      <c r="W84" s="34" t="s">
        <v>44</v>
      </c>
      <c r="X84" s="17" t="s">
        <v>45</v>
      </c>
      <c r="Y84" s="17" t="s">
        <v>65</v>
      </c>
      <c r="Z84" s="34"/>
      <c r="AA84" s="34"/>
      <c r="AB84" s="22">
        <v>0.8979745483398438</v>
      </c>
      <c r="AC84" s="23" t="s">
        <v>467</v>
      </c>
      <c r="AD84" s="24">
        <v>0.65205479452054793</v>
      </c>
      <c r="AE84" s="25">
        <v>9.23388410506394E-2</v>
      </c>
      <c r="AF84" s="26">
        <v>0</v>
      </c>
      <c r="AG84" s="26">
        <v>0</v>
      </c>
      <c r="AH84" s="27">
        <v>0.98391593646250952</v>
      </c>
      <c r="AI84" s="27">
        <v>0.98391593646250952</v>
      </c>
      <c r="AJ84" s="27">
        <v>0.98391593646250952</v>
      </c>
      <c r="AK84" s="28" t="s">
        <v>468</v>
      </c>
      <c r="AL84" s="29" t="s">
        <v>48</v>
      </c>
      <c r="AM84" s="29" t="s">
        <v>48</v>
      </c>
      <c r="AN84" s="29" t="s">
        <v>48</v>
      </c>
      <c r="AO84" s="47" t="s">
        <v>421</v>
      </c>
      <c r="AP84" s="28">
        <v>0</v>
      </c>
      <c r="AQ84" s="26">
        <v>1.4999999999999999E-2</v>
      </c>
      <c r="AR84" s="26">
        <v>0</v>
      </c>
    </row>
    <row r="85" spans="1:44" x14ac:dyDescent="0.15">
      <c r="A85">
        <v>424</v>
      </c>
      <c r="B85" s="11">
        <v>2345</v>
      </c>
      <c r="C85" s="32"/>
      <c r="D85" s="32">
        <v>1.77570031079269E-3</v>
      </c>
      <c r="E85" s="32">
        <v>47</v>
      </c>
      <c r="F85" s="32">
        <v>0.328843501315632</v>
      </c>
      <c r="G85" s="11"/>
      <c r="H85" s="11"/>
      <c r="I85" s="11"/>
      <c r="J85" s="18" t="s">
        <v>44</v>
      </c>
      <c r="K85" s="18" t="s">
        <v>45</v>
      </c>
      <c r="L85" s="58" t="s">
        <v>274</v>
      </c>
      <c r="M85" s="18">
        <f>[1]!f_prt_stocktonav(B85,"2017/03/31")</f>
        <v>86.809188842773438</v>
      </c>
      <c r="N85" s="20" t="str">
        <f>[1]!f_info_fundmanager(B85)</f>
        <v>代瑞亮</v>
      </c>
      <c r="O85" s="21">
        <v>0.88767123287671235</v>
      </c>
      <c r="P85" s="34" t="s">
        <v>469</v>
      </c>
      <c r="Q85" s="34" t="s">
        <v>470</v>
      </c>
      <c r="R85" s="34" t="s">
        <v>143</v>
      </c>
      <c r="S85" s="34">
        <v>20160511</v>
      </c>
      <c r="T85" s="45">
        <v>2.9502391519</v>
      </c>
      <c r="U85" s="46">
        <v>4.9718047363000002</v>
      </c>
      <c r="V85" s="34" t="s">
        <v>231</v>
      </c>
      <c r="W85" s="34" t="s">
        <v>44</v>
      </c>
      <c r="X85" s="17" t="s">
        <v>45</v>
      </c>
      <c r="Y85" s="17" t="s">
        <v>65</v>
      </c>
      <c r="Z85" s="34"/>
      <c r="AA85" s="34"/>
      <c r="AB85" s="22">
        <v>0.92118141174316404</v>
      </c>
      <c r="AC85" s="23" t="s">
        <v>471</v>
      </c>
      <c r="AD85" s="24">
        <v>0.65753424657534243</v>
      </c>
      <c r="AE85" s="25">
        <v>3.9097300264809842E-2</v>
      </c>
      <c r="AF85" s="26">
        <v>0</v>
      </c>
      <c r="AG85" s="26">
        <v>0</v>
      </c>
      <c r="AH85" s="27">
        <v>0.22873922853894699</v>
      </c>
      <c r="AI85" s="27">
        <v>0.22873922853894699</v>
      </c>
      <c r="AJ85" s="27">
        <v>0.22873922853894699</v>
      </c>
      <c r="AK85" s="28" t="s">
        <v>191</v>
      </c>
      <c r="AL85" s="29" t="s">
        <v>48</v>
      </c>
      <c r="AM85" s="29" t="s">
        <v>48</v>
      </c>
      <c r="AN85" s="29" t="s">
        <v>48</v>
      </c>
      <c r="AO85" s="47" t="s">
        <v>101</v>
      </c>
      <c r="AP85" s="28">
        <v>0</v>
      </c>
      <c r="AQ85" s="26">
        <v>1.4999999999999999E-2</v>
      </c>
      <c r="AR85" s="26">
        <v>0</v>
      </c>
    </row>
    <row r="86" spans="1:44" x14ac:dyDescent="0.15">
      <c r="A86">
        <v>99</v>
      </c>
      <c r="B86" s="11">
        <v>519767</v>
      </c>
      <c r="C86" s="32"/>
      <c r="D86" s="32">
        <v>-9.9247412556724294E-4</v>
      </c>
      <c r="E86" s="32">
        <v>48</v>
      </c>
      <c r="F86" s="32">
        <v>0.56143589096227198</v>
      </c>
      <c r="G86" s="11"/>
      <c r="H86" s="11"/>
      <c r="I86" s="11"/>
      <c r="J86" s="18" t="s">
        <v>44</v>
      </c>
      <c r="K86" s="18" t="s">
        <v>45</v>
      </c>
      <c r="L86" s="58" t="s">
        <v>274</v>
      </c>
      <c r="M86" s="18">
        <f>[1]!f_prt_stocktonav(B86,"2017/03/31")</f>
        <v>93.603729248046875</v>
      </c>
      <c r="N86" s="20" t="str">
        <f>[1]!f_info_fundmanager(B86)</f>
        <v>芮晨</v>
      </c>
      <c r="O86" s="21">
        <v>0.90410958904109584</v>
      </c>
      <c r="P86" s="34" t="s">
        <v>472</v>
      </c>
      <c r="Q86" s="34" t="s">
        <v>473</v>
      </c>
      <c r="R86" s="34" t="s">
        <v>138</v>
      </c>
      <c r="S86" s="34">
        <v>20160505</v>
      </c>
      <c r="T86" s="45">
        <v>2.0586336358000001</v>
      </c>
      <c r="U86" s="46">
        <v>1.8955500467999999</v>
      </c>
      <c r="V86" s="34" t="s">
        <v>231</v>
      </c>
      <c r="W86" s="34" t="s">
        <v>41</v>
      </c>
      <c r="X86" s="17" t="s">
        <v>42</v>
      </c>
      <c r="Y86" s="17" t="s">
        <v>181</v>
      </c>
      <c r="Z86" s="34"/>
      <c r="AA86" s="34"/>
      <c r="AB86" s="22">
        <v>0.62784713745117182</v>
      </c>
      <c r="AC86" s="23" t="s">
        <v>295</v>
      </c>
      <c r="AD86" s="24">
        <v>0.67397260273972603</v>
      </c>
      <c r="AE86" s="25">
        <v>7.2036826905992335E-2</v>
      </c>
      <c r="AF86" s="26">
        <v>0</v>
      </c>
      <c r="AG86" s="26">
        <v>0</v>
      </c>
      <c r="AH86" s="27">
        <v>0.56396628117338987</v>
      </c>
      <c r="AI86" s="27">
        <v>0.56396628117338987</v>
      </c>
      <c r="AJ86" s="27">
        <v>0.56396628117338987</v>
      </c>
      <c r="AK86" s="28" t="s">
        <v>474</v>
      </c>
      <c r="AL86" s="29" t="s">
        <v>48</v>
      </c>
      <c r="AM86" s="29" t="s">
        <v>48</v>
      </c>
      <c r="AN86" s="29" t="s">
        <v>48</v>
      </c>
      <c r="AO86" s="47" t="s">
        <v>475</v>
      </c>
      <c r="AP86" s="28">
        <v>0</v>
      </c>
      <c r="AQ86" s="26">
        <v>1.4999999999999999E-2</v>
      </c>
      <c r="AR86" s="26">
        <v>0</v>
      </c>
    </row>
    <row r="87" spans="1:44" x14ac:dyDescent="0.15">
      <c r="A87">
        <v>485</v>
      </c>
      <c r="B87" s="11">
        <v>2191</v>
      </c>
      <c r="C87" s="32"/>
      <c r="D87" s="32">
        <v>4.3733829799160498E-4</v>
      </c>
      <c r="E87" s="32">
        <v>48</v>
      </c>
      <c r="F87" s="32">
        <v>0.75488139358907902</v>
      </c>
      <c r="G87" s="11"/>
      <c r="H87" s="11"/>
      <c r="I87" s="11"/>
      <c r="J87" s="18" t="s">
        <v>44</v>
      </c>
      <c r="K87" s="18" t="s">
        <v>87</v>
      </c>
      <c r="L87" s="58" t="s">
        <v>65</v>
      </c>
      <c r="M87" s="18">
        <f>[1]!f_prt_stocktonav(B87,"2017/03/31")</f>
        <v>85.587791442871094</v>
      </c>
      <c r="N87" s="20" t="str">
        <f>[1]!f_info_fundmanager(B87)</f>
        <v>韩林</v>
      </c>
      <c r="O87" s="21">
        <v>0.9068493150684932</v>
      </c>
      <c r="P87" s="34" t="s">
        <v>476</v>
      </c>
      <c r="Q87" s="34" t="s">
        <v>477</v>
      </c>
      <c r="R87" s="34" t="s">
        <v>424</v>
      </c>
      <c r="S87" s="34">
        <v>20160504</v>
      </c>
      <c r="T87" s="45">
        <v>1.9381602238</v>
      </c>
      <c r="U87" s="46">
        <v>2.3403228329000001</v>
      </c>
      <c r="V87" s="34" t="s">
        <v>231</v>
      </c>
      <c r="W87" s="34" t="s">
        <v>41</v>
      </c>
      <c r="X87" s="34" t="s">
        <v>42</v>
      </c>
      <c r="Y87" s="34" t="s">
        <v>181</v>
      </c>
      <c r="Z87" s="34" t="s">
        <v>478</v>
      </c>
      <c r="AA87" s="34"/>
      <c r="AB87" s="22">
        <v>0.67579963684082034</v>
      </c>
      <c r="AC87" s="23" t="s">
        <v>479</v>
      </c>
      <c r="AD87" s="24">
        <v>0.67671232876712328</v>
      </c>
      <c r="AE87" s="25">
        <v>-7.3271160424460136E-2</v>
      </c>
      <c r="AF87" s="26">
        <v>0</v>
      </c>
      <c r="AG87" s="26">
        <v>0</v>
      </c>
      <c r="AH87" s="27">
        <v>-1.3743624537532444</v>
      </c>
      <c r="AI87" s="27">
        <v>-1.3743624537532444</v>
      </c>
      <c r="AJ87" s="27">
        <v>-1.3743624537532444</v>
      </c>
      <c r="AK87" s="33" t="s">
        <v>480</v>
      </c>
      <c r="AL87" s="29" t="s">
        <v>48</v>
      </c>
      <c r="AM87" s="29" t="s">
        <v>48</v>
      </c>
      <c r="AN87" s="29" t="s">
        <v>48</v>
      </c>
      <c r="AO87" s="47" t="s">
        <v>427</v>
      </c>
      <c r="AP87" s="28">
        <v>0</v>
      </c>
      <c r="AQ87" s="26">
        <v>1.4999999999999999E-2</v>
      </c>
      <c r="AR87" s="26">
        <v>0</v>
      </c>
    </row>
    <row r="88" spans="1:44" x14ac:dyDescent="0.15">
      <c r="A88">
        <v>826</v>
      </c>
      <c r="B88" s="11">
        <v>1986</v>
      </c>
      <c r="C88" s="32"/>
      <c r="D88" s="32">
        <v>4.9769287890561297E-3</v>
      </c>
      <c r="E88" s="32">
        <v>48</v>
      </c>
      <c r="F88" s="32">
        <v>3.3957128508556603E-2</v>
      </c>
      <c r="G88" s="11"/>
      <c r="H88" s="11"/>
      <c r="I88" s="11"/>
      <c r="J88" s="18" t="s">
        <v>44</v>
      </c>
      <c r="K88" s="18" t="s">
        <v>87</v>
      </c>
      <c r="L88" s="58" t="s">
        <v>817</v>
      </c>
      <c r="M88" s="18">
        <f>[1]!f_prt_stocktonav(B88,"2017/03/31")</f>
        <v>75.792533874511719</v>
      </c>
      <c r="N88" s="20" t="str">
        <f>[1]!f_info_fundmanager(B88)</f>
        <v>曲扬</v>
      </c>
      <c r="O88" s="21">
        <v>0.9068493150684932</v>
      </c>
      <c r="P88" s="34" t="s">
        <v>481</v>
      </c>
      <c r="Q88" s="34" t="s">
        <v>482</v>
      </c>
      <c r="R88" s="34" t="s">
        <v>78</v>
      </c>
      <c r="S88" s="34">
        <v>20160504</v>
      </c>
      <c r="T88" s="45">
        <v>0.50664775900000003</v>
      </c>
      <c r="U88" s="46">
        <v>0.70190586560000001</v>
      </c>
      <c r="V88" s="34" t="s">
        <v>231</v>
      </c>
      <c r="W88" s="34" t="s">
        <v>44</v>
      </c>
      <c r="X88" s="34" t="s">
        <v>87</v>
      </c>
      <c r="Y88" s="34" t="s">
        <v>65</v>
      </c>
      <c r="Z88" s="34" t="s">
        <v>483</v>
      </c>
      <c r="AA88" s="34"/>
      <c r="AB88" s="22">
        <v>0.78220687866210936</v>
      </c>
      <c r="AC88" s="23" t="s">
        <v>119</v>
      </c>
      <c r="AD88" s="24">
        <v>0.67671232876712328</v>
      </c>
      <c r="AE88" s="25">
        <v>1.5086476986194697E-3</v>
      </c>
      <c r="AF88" s="26">
        <v>0</v>
      </c>
      <c r="AG88" s="26">
        <v>0</v>
      </c>
      <c r="AH88" s="27">
        <v>-0.1071471907933564</v>
      </c>
      <c r="AI88" s="27">
        <v>-0.1071471907933564</v>
      </c>
      <c r="AJ88" s="27">
        <v>-0.1071471907933564</v>
      </c>
      <c r="AK88" s="33" t="s">
        <v>196</v>
      </c>
      <c r="AL88" s="29" t="s">
        <v>48</v>
      </c>
      <c r="AM88" s="29" t="s">
        <v>48</v>
      </c>
      <c r="AN88" s="29" t="s">
        <v>48</v>
      </c>
      <c r="AO88" s="47" t="s">
        <v>270</v>
      </c>
      <c r="AP88" s="28">
        <v>0</v>
      </c>
      <c r="AQ88" s="26">
        <v>1.4999999999999999E-2</v>
      </c>
      <c r="AR88" s="26">
        <v>0</v>
      </c>
    </row>
    <row r="89" spans="1:44" x14ac:dyDescent="0.15">
      <c r="A89">
        <v>946</v>
      </c>
      <c r="B89" s="11">
        <v>2567</v>
      </c>
      <c r="C89" s="32"/>
      <c r="D89" s="32">
        <v>-3.8705907132859899E-3</v>
      </c>
      <c r="E89" s="32">
        <v>11</v>
      </c>
      <c r="F89" s="32">
        <v>0.131856965827677</v>
      </c>
      <c r="G89" s="11"/>
      <c r="H89" s="11"/>
      <c r="I89" s="11"/>
      <c r="J89" s="18" t="s">
        <v>44</v>
      </c>
      <c r="K89" s="18" t="s">
        <v>87</v>
      </c>
      <c r="L89" s="58" t="s">
        <v>65</v>
      </c>
      <c r="M89" s="18">
        <f>[1]!f_prt_stocktonav(B89,"2017/03/31")</f>
        <v>70.645233154296875</v>
      </c>
      <c r="N89" s="20" t="str">
        <f>[1]!f_info_fundmanager(B89)</f>
        <v>侯春燕,陈龙</v>
      </c>
      <c r="O89" s="21">
        <v>0.19726027397260273</v>
      </c>
      <c r="P89" s="34" t="s">
        <v>484</v>
      </c>
      <c r="Q89" s="34" t="s">
        <v>485</v>
      </c>
      <c r="R89" s="34" t="s">
        <v>486</v>
      </c>
      <c r="S89" s="34">
        <v>20160504</v>
      </c>
      <c r="T89" s="45">
        <v>1.3731993133</v>
      </c>
      <c r="U89" s="46">
        <v>1.5583430671</v>
      </c>
      <c r="V89" s="34" t="s">
        <v>231</v>
      </c>
      <c r="W89" s="34" t="s">
        <v>44</v>
      </c>
      <c r="X89" s="34" t="s">
        <v>87</v>
      </c>
      <c r="Y89" s="34" t="s">
        <v>65</v>
      </c>
      <c r="Z89" s="34" t="s">
        <v>487</v>
      </c>
      <c r="AA89" s="34"/>
      <c r="AB89" s="22">
        <v>0.90092430114746092</v>
      </c>
      <c r="AC89" s="23" t="s">
        <v>488</v>
      </c>
      <c r="AD89" s="24">
        <v>0.67671232876712328</v>
      </c>
      <c r="AE89" s="25">
        <v>-0.14978579043341189</v>
      </c>
      <c r="AF89" s="26">
        <v>0</v>
      </c>
      <c r="AG89" s="26">
        <v>0</v>
      </c>
      <c r="AH89" s="27">
        <v>-1.3156840934664713</v>
      </c>
      <c r="AI89" s="27">
        <v>-1.3156840934664713</v>
      </c>
      <c r="AJ89" s="27">
        <v>-1.3156840934664713</v>
      </c>
      <c r="AK89" s="33" t="s">
        <v>489</v>
      </c>
      <c r="AL89" s="29" t="s">
        <v>48</v>
      </c>
      <c r="AM89" s="29" t="s">
        <v>48</v>
      </c>
      <c r="AN89" s="29" t="s">
        <v>48</v>
      </c>
      <c r="AO89" s="47" t="s">
        <v>490</v>
      </c>
      <c r="AP89" s="28">
        <v>0</v>
      </c>
      <c r="AQ89" s="26">
        <v>1.4999999999999999E-2</v>
      </c>
      <c r="AR89" s="26">
        <v>0</v>
      </c>
    </row>
    <row r="90" spans="1:44" x14ac:dyDescent="0.15">
      <c r="A90">
        <v>704</v>
      </c>
      <c r="B90" s="11">
        <v>2577</v>
      </c>
      <c r="C90" s="32"/>
      <c r="D90" s="32">
        <v>-5.3883102005570201E-3</v>
      </c>
      <c r="E90" s="32">
        <v>48</v>
      </c>
      <c r="F90" s="32">
        <v>4.0903370493675603E-6</v>
      </c>
      <c r="G90" s="11"/>
      <c r="H90" s="11"/>
      <c r="I90" s="11"/>
      <c r="J90" s="18" t="s">
        <v>44</v>
      </c>
      <c r="K90" s="18" t="s">
        <v>45</v>
      </c>
      <c r="L90" s="58" t="s">
        <v>65</v>
      </c>
      <c r="M90" s="18">
        <f>[1]!f_prt_stocktonav(B90,"2017/03/31")</f>
        <v>79.876533508300781</v>
      </c>
      <c r="N90" s="20" t="str">
        <f>[1]!f_info_fundmanager(B90)</f>
        <v>赵凤学</v>
      </c>
      <c r="O90" s="21">
        <v>0.90958904109589045</v>
      </c>
      <c r="P90" s="34" t="s">
        <v>491</v>
      </c>
      <c r="Q90" s="34" t="s">
        <v>492</v>
      </c>
      <c r="R90" s="34" t="s">
        <v>284</v>
      </c>
      <c r="S90" s="34">
        <v>20160503</v>
      </c>
      <c r="T90" s="45">
        <v>7.0780774497000003</v>
      </c>
      <c r="U90" s="46">
        <v>9.4303869123999995</v>
      </c>
      <c r="V90" s="34" t="s">
        <v>231</v>
      </c>
      <c r="W90" s="34" t="s">
        <v>44</v>
      </c>
      <c r="X90" s="17" t="s">
        <v>45</v>
      </c>
      <c r="Y90" s="17" t="s">
        <v>65</v>
      </c>
      <c r="Z90" s="34"/>
      <c r="AA90" s="34"/>
      <c r="AB90" s="22">
        <v>0.93572082519531252</v>
      </c>
      <c r="AC90" s="23" t="s">
        <v>493</v>
      </c>
      <c r="AD90" s="24">
        <v>0.67945205479452053</v>
      </c>
      <c r="AE90" s="25">
        <v>-4.1760609871005168E-2</v>
      </c>
      <c r="AF90" s="26">
        <v>0</v>
      </c>
      <c r="AG90" s="26">
        <v>0</v>
      </c>
      <c r="AH90" s="27">
        <v>-0.47680560618906492</v>
      </c>
      <c r="AI90" s="27">
        <v>-0.47680560618906492</v>
      </c>
      <c r="AJ90" s="27">
        <v>-0.47680560618906492</v>
      </c>
      <c r="AK90" s="28" t="s">
        <v>323</v>
      </c>
      <c r="AL90" s="29" t="s">
        <v>48</v>
      </c>
      <c r="AM90" s="29" t="s">
        <v>48</v>
      </c>
      <c r="AN90" s="29" t="s">
        <v>48</v>
      </c>
      <c r="AO90" s="47" t="s">
        <v>287</v>
      </c>
      <c r="AP90" s="28">
        <v>0</v>
      </c>
      <c r="AQ90" s="26">
        <v>1.4999999999999999E-2</v>
      </c>
      <c r="AR90" s="26">
        <v>0</v>
      </c>
    </row>
    <row r="91" spans="1:44" x14ac:dyDescent="0.15">
      <c r="A91">
        <v>139</v>
      </c>
      <c r="B91" s="11">
        <v>519133</v>
      </c>
      <c r="C91" s="32"/>
      <c r="D91" s="32">
        <v>-1.9341427553609201E-3</v>
      </c>
      <c r="E91" s="32">
        <v>49</v>
      </c>
      <c r="F91" s="32">
        <v>0.225446130532448</v>
      </c>
      <c r="G91" s="11"/>
      <c r="H91" s="11"/>
      <c r="I91" s="11"/>
      <c r="J91" s="18" t="s">
        <v>44</v>
      </c>
      <c r="K91" s="18" t="s">
        <v>45</v>
      </c>
      <c r="L91" s="58" t="s">
        <v>65</v>
      </c>
      <c r="M91" s="18">
        <f>[1]!f_prt_stocktonav(B91,"2017/03/31")</f>
        <v>92.921821594238281</v>
      </c>
      <c r="N91" s="20" t="str">
        <f>[1]!f_info_fundmanager(B91)</f>
        <v>周雪军</v>
      </c>
      <c r="O91" s="21">
        <v>0.92328767123287669</v>
      </c>
      <c r="P91" s="34" t="s">
        <v>494</v>
      </c>
      <c r="Q91" s="34" t="s">
        <v>495</v>
      </c>
      <c r="R91" s="34" t="s">
        <v>496</v>
      </c>
      <c r="S91" s="34">
        <v>20160428</v>
      </c>
      <c r="T91" s="45">
        <v>3.1389506255000001</v>
      </c>
      <c r="U91" s="46">
        <v>2.0779047281</v>
      </c>
      <c r="V91" s="34" t="s">
        <v>231</v>
      </c>
      <c r="W91" s="34" t="s">
        <v>44</v>
      </c>
      <c r="X91" s="17" t="s">
        <v>45</v>
      </c>
      <c r="Y91" s="17" t="s">
        <v>65</v>
      </c>
      <c r="Z91" s="34"/>
      <c r="AA91" s="34"/>
      <c r="AB91" s="22">
        <v>0.89846099853515626</v>
      </c>
      <c r="AC91" s="23" t="s">
        <v>497</v>
      </c>
      <c r="AD91" s="24">
        <v>0.69315068493150689</v>
      </c>
      <c r="AE91" s="25">
        <v>0.15367048573953346</v>
      </c>
      <c r="AF91" s="26">
        <v>0</v>
      </c>
      <c r="AG91" s="26">
        <v>0</v>
      </c>
      <c r="AH91" s="27">
        <v>1.3896757800886246</v>
      </c>
      <c r="AI91" s="27">
        <v>1.3896757800886246</v>
      </c>
      <c r="AJ91" s="27">
        <v>1.3896757800886246</v>
      </c>
      <c r="AK91" s="28" t="s">
        <v>191</v>
      </c>
      <c r="AL91" s="29" t="s">
        <v>48</v>
      </c>
      <c r="AM91" s="29" t="s">
        <v>48</v>
      </c>
      <c r="AN91" s="29" t="s">
        <v>48</v>
      </c>
      <c r="AO91" s="47" t="s">
        <v>310</v>
      </c>
      <c r="AP91" s="28">
        <v>0</v>
      </c>
      <c r="AQ91" s="26">
        <v>1.4999999999999999E-2</v>
      </c>
      <c r="AR91" s="26">
        <v>0</v>
      </c>
    </row>
    <row r="92" spans="1:44" x14ac:dyDescent="0.15">
      <c r="A92">
        <v>374</v>
      </c>
      <c r="B92" s="11">
        <v>1983</v>
      </c>
      <c r="C92" s="32"/>
      <c r="D92" s="32">
        <v>-4.6555316882435898E-3</v>
      </c>
      <c r="E92" s="32">
        <v>49</v>
      </c>
      <c r="F92" s="32">
        <v>3.6586393764730003E-2</v>
      </c>
      <c r="G92" s="11"/>
      <c r="H92" s="11"/>
      <c r="I92" s="11"/>
      <c r="J92" s="18" t="s">
        <v>44</v>
      </c>
      <c r="K92" s="18" t="s">
        <v>45</v>
      </c>
      <c r="L92" s="58" t="s">
        <v>274</v>
      </c>
      <c r="M92" s="18">
        <f>[1]!f_prt_stocktonav(B92,"2017/03/31")</f>
        <v>88.004669189453125</v>
      </c>
      <c r="N92" s="20" t="str">
        <f>[1]!f_info_fundmanager(B92)</f>
        <v>张腾</v>
      </c>
      <c r="O92" s="21">
        <v>0.92328767123287669</v>
      </c>
      <c r="P92" s="34" t="s">
        <v>498</v>
      </c>
      <c r="Q92" s="34" t="s">
        <v>499</v>
      </c>
      <c r="R92" s="34" t="s">
        <v>85</v>
      </c>
      <c r="S92" s="34">
        <v>20160428</v>
      </c>
      <c r="T92" s="45">
        <v>3.9573345028000002</v>
      </c>
      <c r="U92" s="46">
        <v>5.3832272879999996</v>
      </c>
      <c r="V92" s="34" t="s">
        <v>231</v>
      </c>
      <c r="W92" s="34" t="s">
        <v>44</v>
      </c>
      <c r="X92" s="17" t="s">
        <v>45</v>
      </c>
      <c r="Y92" s="17" t="s">
        <v>65</v>
      </c>
      <c r="Z92" s="34"/>
      <c r="AA92" s="34"/>
      <c r="AB92" s="22">
        <v>0.81743179321289061</v>
      </c>
      <c r="AC92" s="23" t="s">
        <v>500</v>
      </c>
      <c r="AD92" s="24">
        <v>0.69315068493150689</v>
      </c>
      <c r="AE92" s="25">
        <v>-0.1126562804905664</v>
      </c>
      <c r="AF92" s="26">
        <v>0</v>
      </c>
      <c r="AG92" s="26">
        <v>0</v>
      </c>
      <c r="AH92" s="27">
        <v>-0.90441171549095323</v>
      </c>
      <c r="AI92" s="27">
        <v>-0.90441171549095323</v>
      </c>
      <c r="AJ92" s="27">
        <v>-0.90441171549095323</v>
      </c>
      <c r="AK92" s="28" t="s">
        <v>501</v>
      </c>
      <c r="AL92" s="29" t="s">
        <v>48</v>
      </c>
      <c r="AM92" s="29" t="s">
        <v>48</v>
      </c>
      <c r="AN92" s="29" t="s">
        <v>48</v>
      </c>
      <c r="AO92" s="47" t="s">
        <v>502</v>
      </c>
      <c r="AP92" s="28">
        <v>0</v>
      </c>
      <c r="AQ92" s="26">
        <v>1.4999999999999999E-2</v>
      </c>
      <c r="AR92" s="26">
        <v>0</v>
      </c>
    </row>
    <row r="93" spans="1:44" x14ac:dyDescent="0.15">
      <c r="A93">
        <v>447</v>
      </c>
      <c r="B93" s="11">
        <v>2214</v>
      </c>
      <c r="C93" s="32"/>
      <c r="D93" s="32">
        <v>2.7154736889928098E-3</v>
      </c>
      <c r="E93" s="32">
        <v>49</v>
      </c>
      <c r="F93" s="32">
        <v>0.18695419779601299</v>
      </c>
      <c r="G93" s="11"/>
      <c r="H93" s="11"/>
      <c r="I93" s="11"/>
      <c r="J93" s="18" t="s">
        <v>44</v>
      </c>
      <c r="K93" s="18" t="s">
        <v>45</v>
      </c>
      <c r="L93" s="58" t="s">
        <v>65</v>
      </c>
      <c r="M93" s="18">
        <f>[1]!f_prt_stocktonav(B93,"2017/03/31")</f>
        <v>86.373497009277344</v>
      </c>
      <c r="N93" s="20" t="str">
        <f>[1]!f_info_fundmanager(B93)</f>
        <v>姚晨曦,林翠萍</v>
      </c>
      <c r="O93" s="21">
        <v>0.92328767123287669</v>
      </c>
      <c r="P93" s="34" t="s">
        <v>503</v>
      </c>
      <c r="Q93" s="34" t="s">
        <v>504</v>
      </c>
      <c r="R93" s="34" t="s">
        <v>505</v>
      </c>
      <c r="S93" s="34">
        <v>20160428</v>
      </c>
      <c r="T93" s="45">
        <v>1.8779885246000001</v>
      </c>
      <c r="U93" s="46">
        <v>0.52900413359999998</v>
      </c>
      <c r="V93" s="34" t="s">
        <v>231</v>
      </c>
      <c r="W93" s="34" t="s">
        <v>44</v>
      </c>
      <c r="X93" s="34" t="s">
        <v>45</v>
      </c>
      <c r="Y93" s="34" t="s">
        <v>65</v>
      </c>
      <c r="Z93" s="34"/>
      <c r="AA93" s="34"/>
      <c r="AB93" s="22">
        <v>0.82612464904785154</v>
      </c>
      <c r="AC93" s="23" t="s">
        <v>506</v>
      </c>
      <c r="AD93" s="24">
        <v>0.69315068493150689</v>
      </c>
      <c r="AE93" s="25">
        <v>0.14751263559296612</v>
      </c>
      <c r="AF93" s="26">
        <v>0</v>
      </c>
      <c r="AG93" s="26">
        <v>0</v>
      </c>
      <c r="AH93" s="27">
        <v>1.1310182250312468</v>
      </c>
      <c r="AI93" s="27">
        <v>1.1310182250312468</v>
      </c>
      <c r="AJ93" s="27">
        <v>1.1310182250312468</v>
      </c>
      <c r="AK93" s="28" t="s">
        <v>507</v>
      </c>
      <c r="AL93" s="29" t="s">
        <v>48</v>
      </c>
      <c r="AM93" s="29" t="s">
        <v>48</v>
      </c>
      <c r="AN93" s="29" t="s">
        <v>48</v>
      </c>
      <c r="AO93" s="47" t="s">
        <v>508</v>
      </c>
      <c r="AP93" s="28">
        <v>0</v>
      </c>
      <c r="AQ93" s="26">
        <v>1.4999999999999999E-2</v>
      </c>
      <c r="AR93" s="26">
        <v>0</v>
      </c>
    </row>
    <row r="94" spans="1:44" x14ac:dyDescent="0.15">
      <c r="A94">
        <v>721</v>
      </c>
      <c r="B94" s="11">
        <v>1984</v>
      </c>
      <c r="C94" s="32"/>
      <c r="D94" s="32">
        <v>9.4381510656025295E-5</v>
      </c>
      <c r="E94" s="32">
        <v>49</v>
      </c>
      <c r="F94" s="32">
        <v>0.94651190840144095</v>
      </c>
      <c r="G94" s="11"/>
      <c r="H94" s="11"/>
      <c r="I94" s="11"/>
      <c r="J94" s="18" t="s">
        <v>44</v>
      </c>
      <c r="K94" s="19" t="s">
        <v>45</v>
      </c>
      <c r="L94" s="58" t="s">
        <v>65</v>
      </c>
      <c r="M94" s="18">
        <f>[1]!f_prt_stocktonav(B94,"2017/03/31")</f>
        <v>79.442543029785156</v>
      </c>
      <c r="N94" s="20" t="str">
        <f>[1]!f_info_fundmanager(B94)</f>
        <v>杨景喻</v>
      </c>
      <c r="O94" s="21">
        <v>0.92328767123287669</v>
      </c>
      <c r="P94" s="12" t="s">
        <v>509</v>
      </c>
      <c r="Q94" s="13" t="s">
        <v>510</v>
      </c>
      <c r="R94" s="13" t="s">
        <v>511</v>
      </c>
      <c r="S94" s="13">
        <v>20160428</v>
      </c>
      <c r="T94" s="14">
        <v>1.0749875919</v>
      </c>
      <c r="U94" s="15" t="s">
        <v>39</v>
      </c>
      <c r="V94" s="16" t="s">
        <v>40</v>
      </c>
      <c r="W94" s="17" t="s">
        <v>44</v>
      </c>
      <c r="X94" s="17" t="s">
        <v>45</v>
      </c>
      <c r="Y94" s="17" t="s">
        <v>65</v>
      </c>
      <c r="Z94" s="13"/>
      <c r="AA94" s="13"/>
      <c r="AB94" s="22">
        <v>0.71452507019042966</v>
      </c>
      <c r="AC94" s="23" t="s">
        <v>512</v>
      </c>
      <c r="AD94" s="24">
        <v>0.69315068493150689</v>
      </c>
      <c r="AE94" s="25">
        <v>-5.1084153846627345E-2</v>
      </c>
      <c r="AF94" s="26">
        <v>0</v>
      </c>
      <c r="AG94" s="26">
        <v>0</v>
      </c>
      <c r="AH94" s="27">
        <v>-0.92274960150735719</v>
      </c>
      <c r="AI94" s="27">
        <v>-0.92274960150735719</v>
      </c>
      <c r="AJ94" s="27">
        <v>-0.92274960150735719</v>
      </c>
      <c r="AK94" s="28" t="s">
        <v>513</v>
      </c>
      <c r="AL94" s="29" t="s">
        <v>48</v>
      </c>
      <c r="AM94" s="29" t="s">
        <v>48</v>
      </c>
      <c r="AN94" s="29" t="s">
        <v>48</v>
      </c>
      <c r="AO94" s="23" t="s">
        <v>514</v>
      </c>
      <c r="AP94" s="30">
        <v>0</v>
      </c>
      <c r="AQ94" s="31">
        <v>1.4999999999999999E-2</v>
      </c>
      <c r="AR94" s="31">
        <v>0</v>
      </c>
    </row>
    <row r="95" spans="1:44" x14ac:dyDescent="0.15">
      <c r="A95">
        <v>801</v>
      </c>
      <c r="B95" s="11">
        <v>2562</v>
      </c>
      <c r="C95" s="32"/>
      <c r="D95" s="32">
        <v>6.3494796571472896E-4</v>
      </c>
      <c r="E95" s="32">
        <v>49</v>
      </c>
      <c r="F95" s="32">
        <v>0.36517600718339499</v>
      </c>
      <c r="G95" s="11"/>
      <c r="H95" s="11"/>
      <c r="I95" s="11"/>
      <c r="J95" s="18" t="s">
        <v>44</v>
      </c>
      <c r="K95" s="18" t="s">
        <v>64</v>
      </c>
      <c r="L95" s="58" t="s">
        <v>65</v>
      </c>
      <c r="M95" s="18">
        <f>[1]!f_prt_stocktonav(B95,"2017/03/31")</f>
        <v>76.619064331054687</v>
      </c>
      <c r="N95" s="20" t="str">
        <f>[1]!f_info_fundmanager(B95)</f>
        <v>郭堃,苏昌景</v>
      </c>
      <c r="O95" s="21">
        <v>0.92876712328767119</v>
      </c>
      <c r="P95" s="34" t="s">
        <v>515</v>
      </c>
      <c r="Q95" s="34" t="s">
        <v>516</v>
      </c>
      <c r="R95" s="34" t="s">
        <v>517</v>
      </c>
      <c r="S95" s="34">
        <v>20160426</v>
      </c>
      <c r="T95" s="45">
        <v>4.1836119506999996</v>
      </c>
      <c r="U95" s="46">
        <v>3.4826419780000002</v>
      </c>
      <c r="V95" s="34" t="s">
        <v>231</v>
      </c>
      <c r="W95" s="34" t="s">
        <v>44</v>
      </c>
      <c r="X95" s="34" t="s">
        <v>45</v>
      </c>
      <c r="Y95" s="34" t="s">
        <v>65</v>
      </c>
      <c r="Z95" s="34"/>
      <c r="AA95" s="34"/>
      <c r="AB95" s="22">
        <v>0.75078010559082031</v>
      </c>
      <c r="AC95" s="23" t="s">
        <v>518</v>
      </c>
      <c r="AD95" s="24">
        <v>0.69863013698630139</v>
      </c>
      <c r="AE95" s="25">
        <v>0.12194560262857458</v>
      </c>
      <c r="AF95" s="26">
        <v>0</v>
      </c>
      <c r="AG95" s="26">
        <v>0</v>
      </c>
      <c r="AH95" s="27">
        <v>1.2373325151450598</v>
      </c>
      <c r="AI95" s="27">
        <v>1.2373325151450598</v>
      </c>
      <c r="AJ95" s="27">
        <v>1.2373325151450598</v>
      </c>
      <c r="AK95" s="28" t="s">
        <v>519</v>
      </c>
      <c r="AL95" s="29" t="s">
        <v>48</v>
      </c>
      <c r="AM95" s="29" t="s">
        <v>48</v>
      </c>
      <c r="AN95" s="29" t="s">
        <v>48</v>
      </c>
      <c r="AO95" s="47" t="s">
        <v>520</v>
      </c>
      <c r="AP95" s="28">
        <v>0</v>
      </c>
      <c r="AQ95" s="26">
        <v>1.4999999999999999E-2</v>
      </c>
      <c r="AR95" s="26">
        <v>0</v>
      </c>
    </row>
    <row r="96" spans="1:44" x14ac:dyDescent="0.15">
      <c r="A96">
        <v>673</v>
      </c>
      <c r="B96" s="11">
        <v>2387</v>
      </c>
      <c r="C96" s="32"/>
      <c r="D96" s="32">
        <v>-2.3071995459015001E-4</v>
      </c>
      <c r="E96" s="32">
        <v>50</v>
      </c>
      <c r="F96" s="32">
        <v>0.90993841604598602</v>
      </c>
      <c r="G96" s="11"/>
      <c r="H96" s="11"/>
      <c r="I96" s="11"/>
      <c r="J96" s="18" t="s">
        <v>44</v>
      </c>
      <c r="K96" s="18" t="s">
        <v>45</v>
      </c>
      <c r="L96" s="58" t="s">
        <v>65</v>
      </c>
      <c r="M96" s="18">
        <f>[1]!f_prt_stocktonav(B96,"2017/03/31")</f>
        <v>80.762908935546875</v>
      </c>
      <c r="N96" s="20" t="str">
        <f>[1]!f_info_fundmanager(B96)</f>
        <v>王筱苓,唐明君,郝康</v>
      </c>
      <c r="O96" s="21">
        <v>0.9452054794520548</v>
      </c>
      <c r="P96" s="34" t="s">
        <v>521</v>
      </c>
      <c r="Q96" s="34" t="s">
        <v>522</v>
      </c>
      <c r="R96" s="34" t="s">
        <v>523</v>
      </c>
      <c r="S96" s="34">
        <v>20160420</v>
      </c>
      <c r="T96" s="45">
        <v>16.093662706100002</v>
      </c>
      <c r="U96" s="46">
        <v>19.975027975500002</v>
      </c>
      <c r="V96" s="34" t="s">
        <v>231</v>
      </c>
      <c r="W96" s="34" t="s">
        <v>44</v>
      </c>
      <c r="X96" s="34" t="s">
        <v>45</v>
      </c>
      <c r="Y96" s="34" t="s">
        <v>65</v>
      </c>
      <c r="Z96" s="34"/>
      <c r="AA96" s="34"/>
      <c r="AB96" s="22">
        <v>0.8296989440917969</v>
      </c>
      <c r="AC96" s="23" t="s">
        <v>524</v>
      </c>
      <c r="AD96" s="24">
        <v>0.71506849315068488</v>
      </c>
      <c r="AE96" s="25">
        <v>-9.8296866286916251E-2</v>
      </c>
      <c r="AF96" s="26">
        <v>0</v>
      </c>
      <c r="AG96" s="26">
        <v>0</v>
      </c>
      <c r="AH96" s="27">
        <v>-1.3243156244230203</v>
      </c>
      <c r="AI96" s="27">
        <v>-1.3243156244230203</v>
      </c>
      <c r="AJ96" s="27">
        <v>-1.3243156244230203</v>
      </c>
      <c r="AK96" s="28" t="s">
        <v>525</v>
      </c>
      <c r="AL96" s="29" t="s">
        <v>48</v>
      </c>
      <c r="AM96" s="29" t="s">
        <v>48</v>
      </c>
      <c r="AN96" s="29" t="s">
        <v>48</v>
      </c>
      <c r="AO96" s="47" t="s">
        <v>255</v>
      </c>
      <c r="AP96" s="28">
        <v>0</v>
      </c>
      <c r="AQ96" s="26">
        <v>1.4999999999999999E-2</v>
      </c>
      <c r="AR96" s="26">
        <v>0</v>
      </c>
    </row>
    <row r="97" spans="1:44" x14ac:dyDescent="0.15">
      <c r="A97">
        <v>740</v>
      </c>
      <c r="B97" s="11">
        <v>1875</v>
      </c>
      <c r="C97" s="32"/>
      <c r="D97" s="32">
        <v>2.71967765063861E-3</v>
      </c>
      <c r="E97" s="32">
        <v>50</v>
      </c>
      <c r="F97" s="32">
        <v>0.237979902526639</v>
      </c>
      <c r="G97" s="11"/>
      <c r="H97" s="11"/>
      <c r="I97" s="11"/>
      <c r="J97" s="18" t="s">
        <v>44</v>
      </c>
      <c r="K97" s="18" t="s">
        <v>45</v>
      </c>
      <c r="L97" s="58" t="s">
        <v>65</v>
      </c>
      <c r="M97" s="18">
        <f>[1]!f_prt_stocktonav(B97,"2017/03/31")</f>
        <v>78.713630676269531</v>
      </c>
      <c r="N97" s="20" t="str">
        <f>[1]!f_info_fundmanager(B97)</f>
        <v>曲扬,史程</v>
      </c>
      <c r="O97" s="21">
        <v>0.94794520547945205</v>
      </c>
      <c r="P97" s="34" t="s">
        <v>526</v>
      </c>
      <c r="Q97" s="34" t="s">
        <v>527</v>
      </c>
      <c r="R97" s="34" t="s">
        <v>78</v>
      </c>
      <c r="S97" s="34">
        <v>20160419</v>
      </c>
      <c r="T97" s="45">
        <v>0.87435571000000001</v>
      </c>
      <c r="U97" s="46">
        <v>1.3095520078</v>
      </c>
      <c r="V97" s="34" t="s">
        <v>231</v>
      </c>
      <c r="W97" s="34" t="s">
        <v>41</v>
      </c>
      <c r="X97" s="34" t="s">
        <v>42</v>
      </c>
      <c r="Y97" s="34" t="s">
        <v>181</v>
      </c>
      <c r="Z97" s="34"/>
      <c r="AA97" s="34"/>
      <c r="AB97" s="22">
        <v>0.63771606445312501</v>
      </c>
      <c r="AC97" s="23" t="s">
        <v>528</v>
      </c>
      <c r="AD97" s="24">
        <v>0.71780821917808224</v>
      </c>
      <c r="AE97" s="25">
        <v>0.1910483190993888</v>
      </c>
      <c r="AF97" s="26">
        <v>0</v>
      </c>
      <c r="AG97" s="26">
        <v>0</v>
      </c>
      <c r="AH97" s="27">
        <v>1.5486403120707917</v>
      </c>
      <c r="AI97" s="27">
        <v>1.5486403120707917</v>
      </c>
      <c r="AJ97" s="27">
        <v>1.5486403120707917</v>
      </c>
      <c r="AK97" s="28" t="s">
        <v>120</v>
      </c>
      <c r="AL97" s="29" t="s">
        <v>48</v>
      </c>
      <c r="AM97" s="29" t="s">
        <v>48</v>
      </c>
      <c r="AN97" s="29" t="s">
        <v>48</v>
      </c>
      <c r="AO97" s="47" t="s">
        <v>270</v>
      </c>
      <c r="AP97" s="28">
        <v>0</v>
      </c>
      <c r="AQ97" s="26">
        <v>1.4999999999999999E-2</v>
      </c>
      <c r="AR97" s="26">
        <v>0</v>
      </c>
    </row>
    <row r="98" spans="1:44" x14ac:dyDescent="0.15">
      <c r="A98">
        <v>700</v>
      </c>
      <c r="B98" s="11">
        <v>160518</v>
      </c>
      <c r="C98" s="32"/>
      <c r="D98" s="32">
        <v>-2.0522373664352898E-3</v>
      </c>
      <c r="E98" s="32">
        <v>50</v>
      </c>
      <c r="F98" s="32">
        <v>8.9570727876705405E-2</v>
      </c>
      <c r="G98" s="11"/>
      <c r="H98" s="11"/>
      <c r="I98" s="11"/>
      <c r="J98" s="18" t="s">
        <v>44</v>
      </c>
      <c r="K98" s="18" t="s">
        <v>45</v>
      </c>
      <c r="L98" s="58" t="s">
        <v>65</v>
      </c>
      <c r="M98" s="18">
        <f>[1]!f_prt_stocktonav(B98,"2017/03/31")</f>
        <v>80.030799865722656</v>
      </c>
      <c r="N98" s="20" t="str">
        <f>[1]!f_info_fundmanager(B98)</f>
        <v>陈鹏扬</v>
      </c>
      <c r="O98" s="21">
        <v>0.95890410958904104</v>
      </c>
      <c r="P98" s="34" t="s">
        <v>529</v>
      </c>
      <c r="Q98" s="34" t="s">
        <v>530</v>
      </c>
      <c r="R98" s="34" t="s">
        <v>413</v>
      </c>
      <c r="S98" s="34">
        <v>20160415</v>
      </c>
      <c r="T98" s="45">
        <v>22.858816707300001</v>
      </c>
      <c r="U98" s="46">
        <v>23.097691363999999</v>
      </c>
      <c r="V98" s="34" t="s">
        <v>231</v>
      </c>
      <c r="W98" s="34" t="s">
        <v>44</v>
      </c>
      <c r="X98" s="34" t="s">
        <v>45</v>
      </c>
      <c r="Y98" s="34" t="s">
        <v>65</v>
      </c>
      <c r="Z98" s="34"/>
      <c r="AA98" s="34"/>
      <c r="AB98" s="22">
        <v>0.79461044311523432</v>
      </c>
      <c r="AC98" s="23" t="s">
        <v>435</v>
      </c>
      <c r="AD98" s="24">
        <v>0.72876712328767124</v>
      </c>
      <c r="AE98" s="25">
        <v>-5.5894082007686974E-3</v>
      </c>
      <c r="AF98" s="26">
        <v>0</v>
      </c>
      <c r="AG98" s="26">
        <v>0</v>
      </c>
      <c r="AH98" s="27">
        <v>-0.66347285981791559</v>
      </c>
      <c r="AI98" s="27">
        <v>-0.66347285981791559</v>
      </c>
      <c r="AJ98" s="27">
        <v>-0.66347285981791559</v>
      </c>
      <c r="AK98" s="28" t="s">
        <v>436</v>
      </c>
      <c r="AL98" s="29" t="s">
        <v>48</v>
      </c>
      <c r="AM98" s="29" t="s">
        <v>48</v>
      </c>
      <c r="AN98" s="29" t="s">
        <v>48</v>
      </c>
      <c r="AO98" s="47">
        <v>0</v>
      </c>
      <c r="AP98" s="28">
        <v>0</v>
      </c>
      <c r="AQ98" s="26">
        <v>1.4999999999999999E-2</v>
      </c>
      <c r="AR98" s="26">
        <v>0</v>
      </c>
    </row>
    <row r="99" spans="1:44" x14ac:dyDescent="0.15">
      <c r="A99">
        <v>163</v>
      </c>
      <c r="B99" s="11">
        <v>2340</v>
      </c>
      <c r="C99" s="32"/>
      <c r="D99" s="32">
        <v>5.7965235838075004E-4</v>
      </c>
      <c r="E99" s="32">
        <v>51</v>
      </c>
      <c r="F99" s="32">
        <v>0.68965771334021497</v>
      </c>
      <c r="G99" s="11"/>
      <c r="H99" s="11"/>
      <c r="I99" s="11"/>
      <c r="J99" s="18" t="s">
        <v>44</v>
      </c>
      <c r="K99" s="18" t="s">
        <v>45</v>
      </c>
      <c r="L99" s="58" t="s">
        <v>65</v>
      </c>
      <c r="M99" s="18">
        <f>[1]!f_prt_stocktonav(B99,"2017/03/31")</f>
        <v>92.521286010742188</v>
      </c>
      <c r="N99" s="20" t="str">
        <f>[1]!f_info_fundmanager(B99)</f>
        <v>王海军</v>
      </c>
      <c r="O99" s="21">
        <v>0.9780821917808219</v>
      </c>
      <c r="P99" s="34" t="s">
        <v>531</v>
      </c>
      <c r="Q99" s="34" t="s">
        <v>532</v>
      </c>
      <c r="R99" s="34" t="s">
        <v>396</v>
      </c>
      <c r="S99" s="34">
        <v>20160408</v>
      </c>
      <c r="T99" s="45">
        <v>0.91871327439999995</v>
      </c>
      <c r="U99" s="46">
        <v>1.1486604052</v>
      </c>
      <c r="V99" s="34" t="s">
        <v>231</v>
      </c>
      <c r="W99" s="34" t="s">
        <v>44</v>
      </c>
      <c r="X99" s="34" t="s">
        <v>45</v>
      </c>
      <c r="Y99" s="34" t="s">
        <v>65</v>
      </c>
      <c r="Z99" s="34"/>
      <c r="AA99" s="34"/>
      <c r="AB99" s="22">
        <v>0.94352920532226559</v>
      </c>
      <c r="AC99" s="23" t="s">
        <v>533</v>
      </c>
      <c r="AD99" s="24">
        <v>0.74794520547945209</v>
      </c>
      <c r="AE99" s="25">
        <v>0.14990111361533076</v>
      </c>
      <c r="AF99" s="26">
        <v>0</v>
      </c>
      <c r="AG99" s="26">
        <v>0</v>
      </c>
      <c r="AH99" s="27">
        <v>1.2634413767806167</v>
      </c>
      <c r="AI99" s="27">
        <v>1.2634413767806167</v>
      </c>
      <c r="AJ99" s="27">
        <v>1.2634413767806167</v>
      </c>
      <c r="AK99" s="28" t="s">
        <v>534</v>
      </c>
      <c r="AL99" s="29" t="s">
        <v>48</v>
      </c>
      <c r="AM99" s="29" t="s">
        <v>48</v>
      </c>
      <c r="AN99" s="29" t="s">
        <v>48</v>
      </c>
      <c r="AO99" s="47" t="s">
        <v>399</v>
      </c>
      <c r="AP99" s="28">
        <v>0</v>
      </c>
      <c r="AQ99" s="26">
        <v>1.4999999999999999E-2</v>
      </c>
      <c r="AR99" s="26">
        <v>0</v>
      </c>
    </row>
    <row r="100" spans="1:44" x14ac:dyDescent="0.15">
      <c r="A100">
        <v>407</v>
      </c>
      <c r="B100" s="11">
        <v>2408</v>
      </c>
      <c r="C100" s="32"/>
      <c r="D100" s="32">
        <v>-2.35457600759955E-4</v>
      </c>
      <c r="E100" s="32">
        <v>52</v>
      </c>
      <c r="F100" s="32">
        <v>0.795945132551794</v>
      </c>
      <c r="G100" s="11"/>
      <c r="H100" s="11"/>
      <c r="I100" s="11"/>
      <c r="J100" s="18" t="s">
        <v>44</v>
      </c>
      <c r="K100" s="18" t="s">
        <v>45</v>
      </c>
      <c r="L100" s="58" t="s">
        <v>65</v>
      </c>
      <c r="M100" s="18">
        <f>[1]!f_prt_stocktonav(B100,"2017/03/31")</f>
        <v>87.336441040039063</v>
      </c>
      <c r="N100" s="20" t="str">
        <f>[1]!f_info_fundmanager(B100)</f>
        <v>刘宁</v>
      </c>
      <c r="O100" s="21">
        <v>0.98356164383561639</v>
      </c>
      <c r="P100" s="34" t="s">
        <v>535</v>
      </c>
      <c r="Q100" s="34" t="s">
        <v>536</v>
      </c>
      <c r="R100" s="34" t="s">
        <v>537</v>
      </c>
      <c r="S100" s="34">
        <v>20160406</v>
      </c>
      <c r="T100" s="45">
        <v>0.46210778730000002</v>
      </c>
      <c r="U100" s="46">
        <v>0.51257838850000004</v>
      </c>
      <c r="V100" s="34" t="s">
        <v>231</v>
      </c>
      <c r="W100" s="34" t="s">
        <v>41</v>
      </c>
      <c r="X100" s="34" t="s">
        <v>42</v>
      </c>
      <c r="Y100" s="34" t="s">
        <v>388</v>
      </c>
      <c r="Z100" s="34"/>
      <c r="AA100" s="34"/>
      <c r="AB100" s="22">
        <v>1.873805284500122E-2</v>
      </c>
      <c r="AC100" s="23" t="s">
        <v>538</v>
      </c>
      <c r="AD100" s="24">
        <v>0.75342465753424659</v>
      </c>
      <c r="AE100" s="25">
        <v>1.761415434641056E-2</v>
      </c>
      <c r="AF100" s="26">
        <v>0</v>
      </c>
      <c r="AG100" s="26">
        <v>0</v>
      </c>
      <c r="AH100" s="27">
        <v>0.14152935729642607</v>
      </c>
      <c r="AI100" s="27">
        <v>0.14152935729642607</v>
      </c>
      <c r="AJ100" s="27">
        <v>0.14152935729642607</v>
      </c>
      <c r="AK100" s="28" t="s">
        <v>409</v>
      </c>
      <c r="AL100" s="29" t="s">
        <v>48</v>
      </c>
      <c r="AM100" s="29" t="s">
        <v>48</v>
      </c>
      <c r="AN100" s="29" t="s">
        <v>48</v>
      </c>
      <c r="AO100" s="47" t="s">
        <v>539</v>
      </c>
      <c r="AP100" s="28">
        <v>0</v>
      </c>
      <c r="AQ100" s="26">
        <v>1.4999999999999999E-2</v>
      </c>
      <c r="AR100" s="26">
        <v>0</v>
      </c>
    </row>
    <row r="101" spans="1:44" x14ac:dyDescent="0.15">
      <c r="A101">
        <v>394</v>
      </c>
      <c r="B101" s="11">
        <v>2174</v>
      </c>
      <c r="C101" s="32"/>
      <c r="D101" s="32">
        <v>-4.7990359717746496E-3</v>
      </c>
      <c r="E101" s="32">
        <v>39</v>
      </c>
      <c r="F101" s="32">
        <v>4.7873720267321597E-3</v>
      </c>
      <c r="G101" s="11"/>
      <c r="H101" s="11"/>
      <c r="I101" s="11"/>
      <c r="J101" s="18" t="s">
        <v>44</v>
      </c>
      <c r="K101" s="18" t="s">
        <v>45</v>
      </c>
      <c r="L101" s="58" t="s">
        <v>274</v>
      </c>
      <c r="M101" s="18">
        <f>[1]!f_prt_stocktonav(B101,"2017/03/31")</f>
        <v>87.618858337402344</v>
      </c>
      <c r="N101" s="20" t="str">
        <f>[1]!f_info_fundmanager(B101)</f>
        <v>薛子徵</v>
      </c>
      <c r="O101" s="21">
        <v>0.74794520547945209</v>
      </c>
      <c r="P101" s="34" t="s">
        <v>540</v>
      </c>
      <c r="Q101" s="34" t="s">
        <v>541</v>
      </c>
      <c r="R101" s="34" t="s">
        <v>252</v>
      </c>
      <c r="S101" s="34">
        <v>20160406</v>
      </c>
      <c r="T101" s="45">
        <v>0.43818085369999998</v>
      </c>
      <c r="U101" s="46">
        <v>0.58291006749999996</v>
      </c>
      <c r="V101" s="34" t="s">
        <v>231</v>
      </c>
      <c r="W101" s="34" t="s">
        <v>41</v>
      </c>
      <c r="X101" s="17" t="s">
        <v>42</v>
      </c>
      <c r="Y101" s="17" t="s">
        <v>181</v>
      </c>
      <c r="Z101" s="34"/>
      <c r="AA101" s="34"/>
      <c r="AB101" s="22">
        <v>0.58678909301757809</v>
      </c>
      <c r="AC101" s="23" t="s">
        <v>542</v>
      </c>
      <c r="AD101" s="24">
        <v>0.51780821917808217</v>
      </c>
      <c r="AE101" s="25">
        <v>3.2989703761175493E-2</v>
      </c>
      <c r="AF101" s="26">
        <v>0</v>
      </c>
      <c r="AG101" s="26">
        <v>0</v>
      </c>
      <c r="AH101" s="27">
        <v>0.23140854145489312</v>
      </c>
      <c r="AI101" s="27">
        <v>0.23140854145489312</v>
      </c>
      <c r="AJ101" s="27">
        <v>0.23140854145489312</v>
      </c>
      <c r="AK101" s="28" t="s">
        <v>254</v>
      </c>
      <c r="AL101" s="29" t="s">
        <v>48</v>
      </c>
      <c r="AM101" s="29" t="s">
        <v>48</v>
      </c>
      <c r="AN101" s="29" t="s">
        <v>48</v>
      </c>
      <c r="AO101" s="47" t="s">
        <v>255</v>
      </c>
      <c r="AP101" s="28">
        <v>0</v>
      </c>
      <c r="AQ101" s="26">
        <v>1.4999999999999999E-2</v>
      </c>
      <c r="AR101" s="26">
        <v>0</v>
      </c>
    </row>
    <row r="102" spans="1:44" x14ac:dyDescent="0.15">
      <c r="A102">
        <v>24</v>
      </c>
      <c r="B102" s="11">
        <v>2256</v>
      </c>
      <c r="C102" s="32"/>
      <c r="D102" s="32">
        <v>-2.2319812424199102E-3</v>
      </c>
      <c r="E102" s="32">
        <v>52</v>
      </c>
      <c r="F102" s="32">
        <v>8.2212855416015099E-2</v>
      </c>
      <c r="G102" s="11"/>
      <c r="H102" s="11"/>
      <c r="I102" s="11"/>
      <c r="J102" s="18" t="s">
        <v>44</v>
      </c>
      <c r="K102" s="18" t="s">
        <v>87</v>
      </c>
      <c r="L102" s="58" t="s">
        <v>274</v>
      </c>
      <c r="M102" s="18">
        <f>[1]!f_prt_stocktonav(B102,"2017/03/31")</f>
        <v>94.683097839355469</v>
      </c>
      <c r="N102" s="20" t="str">
        <f>[1]!f_info_fundmanager(B102)</f>
        <v>刘榕俊</v>
      </c>
      <c r="O102" s="21">
        <v>0.99726027397260275</v>
      </c>
      <c r="P102" s="34" t="s">
        <v>543</v>
      </c>
      <c r="Q102" s="34" t="s">
        <v>544</v>
      </c>
      <c r="R102" s="34" t="s">
        <v>372</v>
      </c>
      <c r="S102" s="34">
        <v>20160401</v>
      </c>
      <c r="T102" s="45">
        <v>0.2970371678</v>
      </c>
      <c r="U102" s="46">
        <v>0.31549810439999998</v>
      </c>
      <c r="V102" s="34" t="s">
        <v>231</v>
      </c>
      <c r="W102" s="34" t="s">
        <v>44</v>
      </c>
      <c r="X102" s="34" t="s">
        <v>45</v>
      </c>
      <c r="Y102" s="34" t="s">
        <v>65</v>
      </c>
      <c r="Z102" s="34"/>
      <c r="AA102" s="34"/>
      <c r="AB102" s="22">
        <v>0.94513282775878904</v>
      </c>
      <c r="AC102" s="23" t="s">
        <v>373</v>
      </c>
      <c r="AD102" s="24">
        <v>0.76712328767123283</v>
      </c>
      <c r="AE102" s="25">
        <v>-1.9860057727678959E-2</v>
      </c>
      <c r="AF102" s="26">
        <v>0</v>
      </c>
      <c r="AG102" s="26">
        <v>0</v>
      </c>
      <c r="AH102" s="27">
        <v>-0.23210424878522234</v>
      </c>
      <c r="AI102" s="27">
        <v>-0.23210424878522234</v>
      </c>
      <c r="AJ102" s="27">
        <v>-0.23210424878522234</v>
      </c>
      <c r="AK102" s="28" t="s">
        <v>545</v>
      </c>
      <c r="AL102" s="29" t="s">
        <v>48</v>
      </c>
      <c r="AM102" s="29" t="s">
        <v>48</v>
      </c>
      <c r="AN102" s="29" t="s">
        <v>48</v>
      </c>
      <c r="AO102" s="47" t="s">
        <v>546</v>
      </c>
      <c r="AP102" s="28">
        <v>0</v>
      </c>
      <c r="AQ102" s="26">
        <v>1.4999999999999999E-2</v>
      </c>
      <c r="AR102" s="26">
        <v>0</v>
      </c>
    </row>
    <row r="103" spans="1:44" x14ac:dyDescent="0.15">
      <c r="A103">
        <v>416</v>
      </c>
      <c r="B103" s="11">
        <v>1864</v>
      </c>
      <c r="C103" s="32"/>
      <c r="D103" s="32">
        <v>-3.3539769180880499E-3</v>
      </c>
      <c r="E103" s="32">
        <v>53</v>
      </c>
      <c r="F103" s="32">
        <v>7.4977436127562802E-2</v>
      </c>
      <c r="G103" s="11"/>
      <c r="H103" s="11"/>
      <c r="I103" s="11"/>
      <c r="J103" s="18" t="s">
        <v>44</v>
      </c>
      <c r="K103" s="18" t="s">
        <v>87</v>
      </c>
      <c r="L103" s="58" t="s">
        <v>337</v>
      </c>
      <c r="M103" s="18">
        <f>[1]!f_prt_stocktonav(B103,"2017/03/31")</f>
        <v>87.019271850585937</v>
      </c>
      <c r="N103" s="20" t="str">
        <f>[1]!f_info_fundmanager(B103)</f>
        <v>于航</v>
      </c>
      <c r="O103" s="21">
        <v>1.0027397260273974</v>
      </c>
      <c r="P103" s="34" t="s">
        <v>547</v>
      </c>
      <c r="Q103" s="34" t="s">
        <v>548</v>
      </c>
      <c r="R103" s="34" t="s">
        <v>505</v>
      </c>
      <c r="S103" s="34">
        <v>20160330</v>
      </c>
      <c r="T103" s="45">
        <v>0.51110996639999995</v>
      </c>
      <c r="U103" s="46">
        <v>0.53980648259999997</v>
      </c>
      <c r="V103" s="34" t="s">
        <v>231</v>
      </c>
      <c r="W103" s="34" t="s">
        <v>44</v>
      </c>
      <c r="X103" s="34" t="s">
        <v>45</v>
      </c>
      <c r="Y103" s="34" t="s">
        <v>65</v>
      </c>
      <c r="Z103" s="34"/>
      <c r="AA103" s="34"/>
      <c r="AB103" s="22">
        <v>0.76172698974609376</v>
      </c>
      <c r="AC103" s="23" t="s">
        <v>549</v>
      </c>
      <c r="AD103" s="24">
        <v>0.77260273972602744</v>
      </c>
      <c r="AE103" s="25">
        <v>5.5708713769035523E-2</v>
      </c>
      <c r="AF103" s="26">
        <v>0</v>
      </c>
      <c r="AG103" s="26">
        <v>0</v>
      </c>
      <c r="AH103" s="27">
        <v>0.35004372115477239</v>
      </c>
      <c r="AI103" s="27">
        <v>0.35004372115477239</v>
      </c>
      <c r="AJ103" s="27">
        <v>0.35004372115477239</v>
      </c>
      <c r="AK103" s="28" t="s">
        <v>550</v>
      </c>
      <c r="AL103" s="29" t="s">
        <v>48</v>
      </c>
      <c r="AM103" s="29" t="s">
        <v>48</v>
      </c>
      <c r="AN103" s="29" t="s">
        <v>48</v>
      </c>
      <c r="AO103" s="47" t="s">
        <v>508</v>
      </c>
      <c r="AP103" s="28">
        <v>0</v>
      </c>
      <c r="AQ103" s="26">
        <v>1.4999999999999999E-2</v>
      </c>
      <c r="AR103" s="26">
        <v>0</v>
      </c>
    </row>
    <row r="104" spans="1:44" x14ac:dyDescent="0.15">
      <c r="A104">
        <v>220</v>
      </c>
      <c r="B104" s="11">
        <v>2190</v>
      </c>
      <c r="C104" s="32"/>
      <c r="D104" s="32">
        <v>-2.95169506445028E-3</v>
      </c>
      <c r="E104" s="32">
        <v>53</v>
      </c>
      <c r="F104" s="32">
        <v>5.2565868497274598E-2</v>
      </c>
      <c r="G104" s="11"/>
      <c r="H104" s="11"/>
      <c r="I104" s="11"/>
      <c r="J104" s="18" t="s">
        <v>44</v>
      </c>
      <c r="K104" s="18" t="s">
        <v>87</v>
      </c>
      <c r="L104" s="58" t="s">
        <v>337</v>
      </c>
      <c r="M104" s="18">
        <f>[1]!f_prt_stocktonav(B104,"2017/03/31")</f>
        <v>91.424301147460938</v>
      </c>
      <c r="N104" s="20" t="str">
        <f>[1]!f_info_fundmanager(B104)</f>
        <v>顾旭俊</v>
      </c>
      <c r="O104" s="21">
        <v>1.0054794520547945</v>
      </c>
      <c r="P104" s="34" t="s">
        <v>551</v>
      </c>
      <c r="Q104" s="34" t="s">
        <v>552</v>
      </c>
      <c r="R104" s="34" t="s">
        <v>424</v>
      </c>
      <c r="S104" s="34">
        <v>20160329</v>
      </c>
      <c r="T104" s="45">
        <v>1.9357459883000001</v>
      </c>
      <c r="U104" s="46">
        <v>2.3931938747000001</v>
      </c>
      <c r="V104" s="34" t="s">
        <v>231</v>
      </c>
      <c r="W104" s="34" t="s">
        <v>44</v>
      </c>
      <c r="X104" s="34" t="s">
        <v>87</v>
      </c>
      <c r="Y104" s="34" t="s">
        <v>65</v>
      </c>
      <c r="Z104" s="34" t="s">
        <v>553</v>
      </c>
      <c r="AA104" s="34"/>
      <c r="AB104" s="22">
        <v>0.75234107971191411</v>
      </c>
      <c r="AC104" s="23" t="s">
        <v>554</v>
      </c>
      <c r="AD104" s="24">
        <v>0.77534246575342469</v>
      </c>
      <c r="AE104" s="25">
        <v>-2.3696801979681825E-2</v>
      </c>
      <c r="AF104" s="26">
        <v>0</v>
      </c>
      <c r="AG104" s="26">
        <v>0</v>
      </c>
      <c r="AH104" s="27">
        <v>-0.45135404663293338</v>
      </c>
      <c r="AI104" s="27">
        <v>-0.45135404663293338</v>
      </c>
      <c r="AJ104" s="27">
        <v>-0.45135404663293338</v>
      </c>
      <c r="AK104" s="33" t="s">
        <v>555</v>
      </c>
      <c r="AL104" s="29" t="s">
        <v>48</v>
      </c>
      <c r="AM104" s="29" t="s">
        <v>48</v>
      </c>
      <c r="AN104" s="29" t="s">
        <v>48</v>
      </c>
      <c r="AO104" s="47" t="s">
        <v>427</v>
      </c>
      <c r="AP104" s="28">
        <v>0</v>
      </c>
      <c r="AQ104" s="26">
        <v>1.4999999999999999E-2</v>
      </c>
      <c r="AR104" s="26">
        <v>0</v>
      </c>
    </row>
    <row r="105" spans="1:44" x14ac:dyDescent="0.15">
      <c r="A105">
        <v>778</v>
      </c>
      <c r="B105" s="11">
        <v>2450</v>
      </c>
      <c r="C105" s="32"/>
      <c r="D105" s="32">
        <v>4.34940904981627E-4</v>
      </c>
      <c r="E105" s="32">
        <v>32</v>
      </c>
      <c r="F105" s="32">
        <v>0.789466722437555</v>
      </c>
      <c r="G105" s="11"/>
      <c r="H105" s="11"/>
      <c r="I105" s="11"/>
      <c r="J105" s="18" t="s">
        <v>44</v>
      </c>
      <c r="K105" s="18" t="s">
        <v>45</v>
      </c>
      <c r="L105" s="58" t="s">
        <v>65</v>
      </c>
      <c r="M105" s="18">
        <f>[1]!f_prt_stocktonav(B105,"2017/03/31")</f>
        <v>77.347145080566406</v>
      </c>
      <c r="N105" s="20" t="str">
        <f>[1]!f_info_fundmanager(B105)</f>
        <v>黄维</v>
      </c>
      <c r="O105" s="21">
        <v>0.6</v>
      </c>
      <c r="P105" s="34" t="s">
        <v>556</v>
      </c>
      <c r="Q105" s="34" t="s">
        <v>557</v>
      </c>
      <c r="R105" s="34" t="s">
        <v>344</v>
      </c>
      <c r="S105" s="34">
        <v>20160329</v>
      </c>
      <c r="T105" s="45">
        <v>0.54230447179999997</v>
      </c>
      <c r="U105" s="46">
        <v>0.68743512620000002</v>
      </c>
      <c r="V105" s="34" t="s">
        <v>231</v>
      </c>
      <c r="W105" s="34" t="s">
        <v>41</v>
      </c>
      <c r="X105" s="34" t="s">
        <v>42</v>
      </c>
      <c r="Y105" s="34" t="s">
        <v>181</v>
      </c>
      <c r="Z105" s="34"/>
      <c r="AA105" s="34"/>
      <c r="AB105" s="22">
        <v>0.2717887306213379</v>
      </c>
      <c r="AC105" s="23" t="s">
        <v>558</v>
      </c>
      <c r="AD105" s="24">
        <v>0.36986301369863012</v>
      </c>
      <c r="AE105" s="25">
        <v>-8.1888333523580825E-2</v>
      </c>
      <c r="AF105" s="26">
        <v>0</v>
      </c>
      <c r="AG105" s="26">
        <v>0</v>
      </c>
      <c r="AH105" s="27">
        <v>-1.7942792628856121</v>
      </c>
      <c r="AI105" s="27">
        <v>-1.7942792628856121</v>
      </c>
      <c r="AJ105" s="27">
        <v>-1.7942792628856121</v>
      </c>
      <c r="AK105" s="28" t="s">
        <v>346</v>
      </c>
      <c r="AL105" s="29" t="s">
        <v>48</v>
      </c>
      <c r="AM105" s="29" t="s">
        <v>48</v>
      </c>
      <c r="AN105" s="29" t="s">
        <v>48</v>
      </c>
      <c r="AO105" s="47" t="s">
        <v>559</v>
      </c>
      <c r="AP105" s="28">
        <v>0</v>
      </c>
      <c r="AQ105" s="26">
        <v>1.4999999999999999E-2</v>
      </c>
      <c r="AR105" s="26">
        <v>0</v>
      </c>
    </row>
    <row r="106" spans="1:44" x14ac:dyDescent="0.15">
      <c r="A106">
        <v>547</v>
      </c>
      <c r="B106" s="11">
        <v>2160</v>
      </c>
      <c r="C106" s="32"/>
      <c r="D106" s="32">
        <v>1.01822482395277E-3</v>
      </c>
      <c r="E106" s="32">
        <v>54</v>
      </c>
      <c r="F106" s="32">
        <v>0.42800018950242702</v>
      </c>
      <c r="G106" s="11"/>
      <c r="H106" s="11"/>
      <c r="I106" s="11"/>
      <c r="J106" s="18" t="s">
        <v>44</v>
      </c>
      <c r="K106" s="18" t="s">
        <v>45</v>
      </c>
      <c r="L106" s="58" t="s">
        <v>65</v>
      </c>
      <c r="M106" s="18">
        <f>[1]!f_prt_stocktonav(B106,"2017/03/31")</f>
        <v>84.087394714355469</v>
      </c>
      <c r="N106" s="20" t="str">
        <f>[1]!f_info_fundmanager(B106)</f>
        <v>应帅</v>
      </c>
      <c r="O106" s="21">
        <v>1.021917808219178</v>
      </c>
      <c r="P106" s="34" t="s">
        <v>560</v>
      </c>
      <c r="Q106" s="34" t="s">
        <v>561</v>
      </c>
      <c r="R106" s="34" t="s">
        <v>284</v>
      </c>
      <c r="S106" s="34">
        <v>20160323</v>
      </c>
      <c r="T106" s="45">
        <v>1.3828620978999999</v>
      </c>
      <c r="U106" s="46">
        <v>2.0445907597000001</v>
      </c>
      <c r="V106" s="34" t="s">
        <v>231</v>
      </c>
      <c r="W106" s="34" t="s">
        <v>44</v>
      </c>
      <c r="X106" s="34" t="s">
        <v>45</v>
      </c>
      <c r="Y106" s="34" t="s">
        <v>65</v>
      </c>
      <c r="Z106" s="34"/>
      <c r="AA106" s="34"/>
      <c r="AB106" s="22">
        <v>0.77922256469726559</v>
      </c>
      <c r="AC106" s="23" t="s">
        <v>562</v>
      </c>
      <c r="AD106" s="24">
        <v>0.79178082191780819</v>
      </c>
      <c r="AE106" s="25">
        <v>9.6092110438016132E-2</v>
      </c>
      <c r="AF106" s="26">
        <v>0</v>
      </c>
      <c r="AG106" s="26">
        <v>0</v>
      </c>
      <c r="AH106" s="27">
        <v>1.3385222404260053</v>
      </c>
      <c r="AI106" s="27">
        <v>1.3385222404260053</v>
      </c>
      <c r="AJ106" s="27">
        <v>1.3385222404260053</v>
      </c>
      <c r="AK106" s="28" t="s">
        <v>323</v>
      </c>
      <c r="AL106" s="29" t="s">
        <v>48</v>
      </c>
      <c r="AM106" s="29" t="s">
        <v>48</v>
      </c>
      <c r="AN106" s="29" t="s">
        <v>48</v>
      </c>
      <c r="AO106" s="47" t="s">
        <v>287</v>
      </c>
      <c r="AP106" s="28">
        <v>0</v>
      </c>
      <c r="AQ106" s="26">
        <v>1.4999999999999999E-2</v>
      </c>
      <c r="AR106" s="26">
        <v>0</v>
      </c>
    </row>
    <row r="107" spans="1:44" x14ac:dyDescent="0.15">
      <c r="A107">
        <v>566</v>
      </c>
      <c r="B107" s="11">
        <v>2251</v>
      </c>
      <c r="C107" s="32"/>
      <c r="D107" s="32">
        <v>-2.1179106592044E-3</v>
      </c>
      <c r="E107" s="32">
        <v>54</v>
      </c>
      <c r="F107" s="32">
        <v>0.22515743496299401</v>
      </c>
      <c r="G107" s="11"/>
      <c r="H107" s="11"/>
      <c r="I107" s="11"/>
      <c r="J107" s="18" t="s">
        <v>44</v>
      </c>
      <c r="K107" s="18" t="s">
        <v>87</v>
      </c>
      <c r="L107" s="58" t="s">
        <v>274</v>
      </c>
      <c r="M107" s="18">
        <f>[1]!f_prt_stocktonav(B107,"2017/03/31")</f>
        <v>83.691963195800781</v>
      </c>
      <c r="N107" s="20" t="str">
        <f>[1]!f_info_fundmanager(B107)</f>
        <v>王晓李</v>
      </c>
      <c r="O107" s="21">
        <v>1.0246575342465754</v>
      </c>
      <c r="P107" s="34" t="s">
        <v>563</v>
      </c>
      <c r="Q107" s="34" t="s">
        <v>564</v>
      </c>
      <c r="R107" s="34" t="s">
        <v>143</v>
      </c>
      <c r="S107" s="34">
        <v>20160322</v>
      </c>
      <c r="T107" s="45">
        <v>1.4603456946</v>
      </c>
      <c r="U107" s="46">
        <v>1.6100290304</v>
      </c>
      <c r="V107" s="34" t="s">
        <v>231</v>
      </c>
      <c r="W107" s="34" t="s">
        <v>44</v>
      </c>
      <c r="X107" s="17" t="s">
        <v>45</v>
      </c>
      <c r="Y107" s="17" t="s">
        <v>65</v>
      </c>
      <c r="Z107" s="34"/>
      <c r="AA107" s="34"/>
      <c r="AB107" s="22">
        <v>0.8054491424560547</v>
      </c>
      <c r="AC107" s="23" t="s">
        <v>565</v>
      </c>
      <c r="AD107" s="24">
        <v>0.79452054794520544</v>
      </c>
      <c r="AE107" s="25">
        <v>7.3576208353785866E-2</v>
      </c>
      <c r="AF107" s="26">
        <v>0</v>
      </c>
      <c r="AG107" s="26">
        <v>0</v>
      </c>
      <c r="AH107" s="27">
        <v>0.54621220079152621</v>
      </c>
      <c r="AI107" s="27">
        <v>0.54621220079152621</v>
      </c>
      <c r="AJ107" s="27">
        <v>0.54621220079152621</v>
      </c>
      <c r="AK107" s="28" t="s">
        <v>566</v>
      </c>
      <c r="AL107" s="29" t="s">
        <v>48</v>
      </c>
      <c r="AM107" s="29" t="s">
        <v>48</v>
      </c>
      <c r="AN107" s="29" t="s">
        <v>48</v>
      </c>
      <c r="AO107" s="47" t="s">
        <v>310</v>
      </c>
      <c r="AP107" s="28">
        <v>0</v>
      </c>
      <c r="AQ107" s="26">
        <v>1.4999999999999999E-2</v>
      </c>
      <c r="AR107" s="26">
        <v>0</v>
      </c>
    </row>
    <row r="108" spans="1:44" x14ac:dyDescent="0.15">
      <c r="A108">
        <v>866</v>
      </c>
      <c r="B108" s="11">
        <v>2272</v>
      </c>
      <c r="C108" s="32"/>
      <c r="D108" s="32">
        <v>-2.32489251053961E-3</v>
      </c>
      <c r="E108" s="32">
        <v>54</v>
      </c>
      <c r="F108" s="32">
        <v>3.9017480602162001E-2</v>
      </c>
      <c r="G108" s="11"/>
      <c r="H108" s="11"/>
      <c r="I108" s="11"/>
      <c r="J108" s="18" t="s">
        <v>44</v>
      </c>
      <c r="K108" s="18" t="s">
        <v>87</v>
      </c>
      <c r="L108" s="58" t="s">
        <v>337</v>
      </c>
      <c r="M108" s="18">
        <f>[1]!f_prt_stocktonav(B108,"2017/03/31")</f>
        <v>73.874130249023438</v>
      </c>
      <c r="N108" s="20" t="str">
        <f>[1]!f_info_fundmanager(B108)</f>
        <v>李会忠,张永超</v>
      </c>
      <c r="O108" s="21">
        <v>1.0246575342465754</v>
      </c>
      <c r="P108" s="34" t="s">
        <v>567</v>
      </c>
      <c r="Q108" s="34" t="s">
        <v>568</v>
      </c>
      <c r="R108" s="34" t="s">
        <v>569</v>
      </c>
      <c r="S108" s="34">
        <v>20160322</v>
      </c>
      <c r="T108" s="45">
        <v>1.4866049821</v>
      </c>
      <c r="U108" s="46">
        <v>1.9530176618999999</v>
      </c>
      <c r="V108" s="34" t="s">
        <v>231</v>
      </c>
      <c r="W108" s="34" t="s">
        <v>41</v>
      </c>
      <c r="X108" s="34" t="s">
        <v>42</v>
      </c>
      <c r="Y108" s="34" t="s">
        <v>388</v>
      </c>
      <c r="Z108" s="34" t="s">
        <v>570</v>
      </c>
      <c r="AA108" s="34"/>
      <c r="AB108" s="22">
        <v>0.2255978012084961</v>
      </c>
      <c r="AC108" s="23" t="s">
        <v>571</v>
      </c>
      <c r="AD108" s="24">
        <v>0.79452054794520544</v>
      </c>
      <c r="AE108" s="25">
        <v>-1.4065912201410291E-2</v>
      </c>
      <c r="AF108" s="26">
        <v>0</v>
      </c>
      <c r="AG108" s="26">
        <v>0</v>
      </c>
      <c r="AH108" s="27">
        <v>-1.4474280062449014</v>
      </c>
      <c r="AI108" s="27">
        <v>-1.4474280062449014</v>
      </c>
      <c r="AJ108" s="27">
        <v>-1.4474280062449014</v>
      </c>
      <c r="AK108" s="33" t="s">
        <v>572</v>
      </c>
      <c r="AL108" s="29" t="s">
        <v>48</v>
      </c>
      <c r="AM108" s="29" t="s">
        <v>48</v>
      </c>
      <c r="AN108" s="29" t="s">
        <v>48</v>
      </c>
      <c r="AO108" s="47" t="s">
        <v>101</v>
      </c>
      <c r="AP108" s="28">
        <v>0</v>
      </c>
      <c r="AQ108" s="26">
        <v>1.4999999999999999E-2</v>
      </c>
      <c r="AR108" s="26">
        <v>0</v>
      </c>
    </row>
    <row r="109" spans="1:44" x14ac:dyDescent="0.15">
      <c r="A109">
        <v>417</v>
      </c>
      <c r="B109" s="11">
        <v>1701</v>
      </c>
      <c r="C109" s="32"/>
      <c r="D109" s="32">
        <v>2.74388534317972E-4</v>
      </c>
      <c r="E109" s="32">
        <v>41</v>
      </c>
      <c r="F109" s="32">
        <v>0.89278470977097801</v>
      </c>
      <c r="G109" s="11"/>
      <c r="H109" s="11"/>
      <c r="I109" s="11"/>
      <c r="J109" s="18" t="s">
        <v>44</v>
      </c>
      <c r="K109" s="18" t="s">
        <v>45</v>
      </c>
      <c r="L109" s="58" t="s">
        <v>65</v>
      </c>
      <c r="M109" s="18">
        <f>[1]!f_prt_stocktonav(B109,"2017/03/31")</f>
        <v>87.011917114257813</v>
      </c>
      <c r="N109" s="20" t="str">
        <f>[1]!f_info_fundmanager(B109)</f>
        <v>孔学兵</v>
      </c>
      <c r="O109" s="21">
        <v>0.76986301369863008</v>
      </c>
      <c r="P109" s="34" t="s">
        <v>573</v>
      </c>
      <c r="Q109" s="34" t="s">
        <v>574</v>
      </c>
      <c r="R109" s="34" t="s">
        <v>575</v>
      </c>
      <c r="S109" s="34">
        <v>20160318</v>
      </c>
      <c r="T109" s="45">
        <v>0.25808822790000002</v>
      </c>
      <c r="U109" s="46">
        <v>0.21364880529999999</v>
      </c>
      <c r="V109" s="34" t="s">
        <v>231</v>
      </c>
      <c r="W109" s="34" t="s">
        <v>44</v>
      </c>
      <c r="X109" s="34" t="s">
        <v>45</v>
      </c>
      <c r="Y109" s="34" t="s">
        <v>65</v>
      </c>
      <c r="Z109" s="34"/>
      <c r="AA109" s="34"/>
      <c r="AB109" s="22">
        <v>0.89317565917968755</v>
      </c>
      <c r="AC109" s="23" t="s">
        <v>576</v>
      </c>
      <c r="AD109" s="24">
        <v>0.53972602739726028</v>
      </c>
      <c r="AE109" s="25">
        <v>-5.1499986870601644E-2</v>
      </c>
      <c r="AF109" s="26">
        <v>0</v>
      </c>
      <c r="AG109" s="26">
        <v>0</v>
      </c>
      <c r="AH109" s="27">
        <v>-0.42259670706310842</v>
      </c>
      <c r="AI109" s="27">
        <v>-0.42259670706310842</v>
      </c>
      <c r="AJ109" s="27">
        <v>-0.42259670706310842</v>
      </c>
      <c r="AK109" s="28" t="s">
        <v>240</v>
      </c>
      <c r="AL109" s="29" t="s">
        <v>48</v>
      </c>
      <c r="AM109" s="29" t="s">
        <v>48</v>
      </c>
      <c r="AN109" s="29" t="s">
        <v>48</v>
      </c>
      <c r="AO109" s="47" t="s">
        <v>209</v>
      </c>
      <c r="AP109" s="28">
        <v>0</v>
      </c>
      <c r="AQ109" s="26">
        <v>1.4999999999999999E-2</v>
      </c>
      <c r="AR109" s="26">
        <v>0</v>
      </c>
    </row>
    <row r="110" spans="1:44" x14ac:dyDescent="0.15">
      <c r="A110">
        <v>65</v>
      </c>
      <c r="B110" s="11">
        <v>1917</v>
      </c>
      <c r="C110" s="32"/>
      <c r="D110" s="32">
        <v>-7.8638747598200396E-4</v>
      </c>
      <c r="E110" s="32">
        <v>55</v>
      </c>
      <c r="F110" s="32">
        <v>0.36037894460046099</v>
      </c>
      <c r="G110" s="11"/>
      <c r="H110" s="11"/>
      <c r="I110" s="11"/>
      <c r="J110" s="18" t="s">
        <v>44</v>
      </c>
      <c r="K110" s="18" t="s">
        <v>64</v>
      </c>
      <c r="L110" s="58" t="s">
        <v>274</v>
      </c>
      <c r="M110" s="18">
        <f>[1]!f_prt_stocktonav(B110,"2017/03/31")</f>
        <v>94.119468688964844</v>
      </c>
      <c r="N110" s="20" t="str">
        <f>[1]!f_info_fundmanager(B110)</f>
        <v>王平</v>
      </c>
      <c r="O110" s="21">
        <v>1.0438356164383562</v>
      </c>
      <c r="P110" s="34" t="s">
        <v>577</v>
      </c>
      <c r="Q110" s="34" t="s">
        <v>578</v>
      </c>
      <c r="R110" s="34" t="s">
        <v>165</v>
      </c>
      <c r="S110" s="34">
        <v>20160315</v>
      </c>
      <c r="T110" s="45">
        <v>2.9169529477</v>
      </c>
      <c r="U110" s="46">
        <v>2.5243991973000002</v>
      </c>
      <c r="V110" s="34" t="s">
        <v>231</v>
      </c>
      <c r="W110" s="34" t="s">
        <v>44</v>
      </c>
      <c r="X110" s="34" t="s">
        <v>64</v>
      </c>
      <c r="Y110" s="34" t="s">
        <v>274</v>
      </c>
      <c r="Z110" s="34"/>
      <c r="AA110" s="34"/>
      <c r="AB110" s="22">
        <v>0.94162178039550781</v>
      </c>
      <c r="AC110" s="23" t="s">
        <v>166</v>
      </c>
      <c r="AD110" s="24">
        <v>0.81369863013698629</v>
      </c>
      <c r="AE110" s="25">
        <v>0.16144728312836285</v>
      </c>
      <c r="AF110" s="26">
        <v>0</v>
      </c>
      <c r="AG110" s="26">
        <v>0</v>
      </c>
      <c r="AH110" s="27">
        <v>0.92854801137759602</v>
      </c>
      <c r="AI110" s="27">
        <v>0.92854801137759602</v>
      </c>
      <c r="AJ110" s="27">
        <v>0.92854801137759602</v>
      </c>
      <c r="AK110" s="28" t="s">
        <v>167</v>
      </c>
      <c r="AL110" s="29" t="s">
        <v>48</v>
      </c>
      <c r="AM110" s="29" t="s">
        <v>48</v>
      </c>
      <c r="AN110" s="29" t="s">
        <v>48</v>
      </c>
      <c r="AO110" s="47" t="s">
        <v>249</v>
      </c>
      <c r="AP110" s="28">
        <v>0</v>
      </c>
      <c r="AQ110" s="26">
        <v>1.4999999999999999E-2</v>
      </c>
      <c r="AR110" s="26">
        <v>0</v>
      </c>
    </row>
    <row r="111" spans="1:44" x14ac:dyDescent="0.15">
      <c r="A111">
        <v>338</v>
      </c>
      <c r="B111" s="11">
        <v>1975</v>
      </c>
      <c r="C111" s="32"/>
      <c r="D111" s="32">
        <v>3.9302864511511397E-3</v>
      </c>
      <c r="E111" s="32">
        <v>55</v>
      </c>
      <c r="F111" s="32">
        <v>2.49220137583915E-3</v>
      </c>
      <c r="G111" s="11"/>
      <c r="H111" s="11"/>
      <c r="I111" s="11"/>
      <c r="J111" s="18" t="s">
        <v>44</v>
      </c>
      <c r="K111" s="18" t="s">
        <v>87</v>
      </c>
      <c r="L111" s="58" t="s">
        <v>274</v>
      </c>
      <c r="M111" s="18">
        <f>[1]!f_prt_stocktonav(B111,"2017/03/31")</f>
        <v>88.701416015625</v>
      </c>
      <c r="N111" s="20" t="str">
        <f>[1]!f_info_fundmanager(B111)</f>
        <v>杨锐文</v>
      </c>
      <c r="O111" s="21">
        <v>1.0438356164383562</v>
      </c>
      <c r="P111" s="34" t="s">
        <v>579</v>
      </c>
      <c r="Q111" s="34" t="s">
        <v>580</v>
      </c>
      <c r="R111" s="34" t="s">
        <v>353</v>
      </c>
      <c r="S111" s="34">
        <v>20160315</v>
      </c>
      <c r="T111" s="45">
        <v>0.95980011239999996</v>
      </c>
      <c r="U111" s="46">
        <v>0.9796387057</v>
      </c>
      <c r="V111" s="34" t="s">
        <v>231</v>
      </c>
      <c r="W111" s="34" t="s">
        <v>44</v>
      </c>
      <c r="X111" s="34" t="s">
        <v>45</v>
      </c>
      <c r="Y111" s="34" t="s">
        <v>65</v>
      </c>
      <c r="Z111" s="34"/>
      <c r="AA111" s="34"/>
      <c r="AB111" s="22">
        <v>0.8576238250732422</v>
      </c>
      <c r="AC111" s="23" t="s">
        <v>581</v>
      </c>
      <c r="AD111" s="24">
        <v>0.81369863013698629</v>
      </c>
      <c r="AE111" s="25">
        <v>0.24289288458561997</v>
      </c>
      <c r="AF111" s="26">
        <v>0</v>
      </c>
      <c r="AG111" s="26">
        <v>0</v>
      </c>
      <c r="AH111" s="27">
        <v>1.8338116041749484</v>
      </c>
      <c r="AI111" s="27">
        <v>1.8338116041749484</v>
      </c>
      <c r="AJ111" s="27">
        <v>1.8338116041749484</v>
      </c>
      <c r="AK111" s="28" t="s">
        <v>582</v>
      </c>
      <c r="AL111" s="29" t="s">
        <v>48</v>
      </c>
      <c r="AM111" s="29" t="s">
        <v>48</v>
      </c>
      <c r="AN111" s="29" t="s">
        <v>48</v>
      </c>
      <c r="AO111" s="47" t="s">
        <v>583</v>
      </c>
      <c r="AP111" s="28">
        <v>0</v>
      </c>
      <c r="AQ111" s="26">
        <v>1.4999999999999999E-2</v>
      </c>
      <c r="AR111" s="26">
        <v>0</v>
      </c>
    </row>
    <row r="112" spans="1:44" x14ac:dyDescent="0.15">
      <c r="A112">
        <v>575</v>
      </c>
      <c r="B112" s="11">
        <v>2229</v>
      </c>
      <c r="C112" s="32"/>
      <c r="D112" s="32">
        <v>4.1013630968533702E-3</v>
      </c>
      <c r="E112" s="32">
        <v>55</v>
      </c>
      <c r="F112" s="32">
        <v>1.3476382194622801E-2</v>
      </c>
      <c r="G112" s="11"/>
      <c r="H112" s="11"/>
      <c r="I112" s="11"/>
      <c r="J112" s="18" t="s">
        <v>44</v>
      </c>
      <c r="K112" s="18" t="s">
        <v>45</v>
      </c>
      <c r="L112" s="58" t="s">
        <v>65</v>
      </c>
      <c r="M112" s="18">
        <f>[1]!f_prt_stocktonav(B112,"2017/03/31")</f>
        <v>83.340263366699219</v>
      </c>
      <c r="N112" s="20" t="str">
        <f>[1]!f_info_fundmanager(B112)</f>
        <v>彭海伟,张帆</v>
      </c>
      <c r="O112" s="21">
        <v>1.0438356164383562</v>
      </c>
      <c r="P112" s="34" t="s">
        <v>584</v>
      </c>
      <c r="Q112" s="34" t="s">
        <v>585</v>
      </c>
      <c r="R112" s="34" t="s">
        <v>143</v>
      </c>
      <c r="S112" s="34">
        <v>20160315</v>
      </c>
      <c r="T112" s="45">
        <v>1.7830382146999999</v>
      </c>
      <c r="U112" s="46">
        <v>1.5687912178000001</v>
      </c>
      <c r="V112" s="34" t="s">
        <v>231</v>
      </c>
      <c r="W112" s="34" t="s">
        <v>44</v>
      </c>
      <c r="X112" s="34" t="s">
        <v>45</v>
      </c>
      <c r="Y112" s="34" t="s">
        <v>65</v>
      </c>
      <c r="Z112" s="34"/>
      <c r="AA112" s="34"/>
      <c r="AB112" s="22">
        <v>0.901763916015625</v>
      </c>
      <c r="AC112" s="23" t="s">
        <v>586</v>
      </c>
      <c r="AD112" s="24">
        <v>0.81369863013698629</v>
      </c>
      <c r="AE112" s="25">
        <v>0.130366792671609</v>
      </c>
      <c r="AF112" s="26">
        <v>0</v>
      </c>
      <c r="AG112" s="26">
        <v>0</v>
      </c>
      <c r="AH112" s="27">
        <v>0.66831586054778702</v>
      </c>
      <c r="AI112" s="27">
        <v>0.66831586054778702</v>
      </c>
      <c r="AJ112" s="27">
        <v>0.66831586054778702</v>
      </c>
      <c r="AK112" s="28" t="s">
        <v>587</v>
      </c>
      <c r="AL112" s="29" t="s">
        <v>48</v>
      </c>
      <c r="AM112" s="29" t="s">
        <v>48</v>
      </c>
      <c r="AN112" s="29" t="s">
        <v>48</v>
      </c>
      <c r="AO112" s="47" t="s">
        <v>101</v>
      </c>
      <c r="AP112" s="28">
        <v>0</v>
      </c>
      <c r="AQ112" s="26">
        <v>1.4999999999999999E-2</v>
      </c>
      <c r="AR112" s="26">
        <v>0</v>
      </c>
    </row>
    <row r="113" spans="1:44" x14ac:dyDescent="0.15">
      <c r="A113">
        <v>88</v>
      </c>
      <c r="B113" s="11">
        <v>2334</v>
      </c>
      <c r="C113" s="32"/>
      <c r="D113" s="32">
        <v>6.0449975299046897E-5</v>
      </c>
      <c r="E113" s="32">
        <v>55</v>
      </c>
      <c r="F113" s="32">
        <v>0.94199455873603199</v>
      </c>
      <c r="G113" s="11"/>
      <c r="H113" s="11"/>
      <c r="I113" s="11"/>
      <c r="J113" s="18" t="s">
        <v>44</v>
      </c>
      <c r="K113" s="18" t="s">
        <v>45</v>
      </c>
      <c r="L113" s="58" t="s">
        <v>354</v>
      </c>
      <c r="M113" s="18">
        <f>[1]!f_prt_stocktonav(B113,"2017/03/31")</f>
        <v>93.818504333496094</v>
      </c>
      <c r="N113" s="20" t="str">
        <f>[1]!f_info_fundmanager(B113)</f>
        <v>方磊</v>
      </c>
      <c r="O113" s="21">
        <v>1.0547945205479452</v>
      </c>
      <c r="P113" s="34" t="s">
        <v>588</v>
      </c>
      <c r="Q113" s="34" t="s">
        <v>589</v>
      </c>
      <c r="R113" s="34" t="s">
        <v>149</v>
      </c>
      <c r="S113" s="34">
        <v>20160311</v>
      </c>
      <c r="T113" s="45">
        <v>0.63702182220000003</v>
      </c>
      <c r="U113" s="46">
        <v>0.90314383600000003</v>
      </c>
      <c r="V113" s="34" t="s">
        <v>231</v>
      </c>
      <c r="W113" s="34" t="s">
        <v>44</v>
      </c>
      <c r="X113" s="34" t="s">
        <v>45</v>
      </c>
      <c r="Y113" s="34" t="s">
        <v>354</v>
      </c>
      <c r="Z113" s="34"/>
      <c r="AA113" s="34"/>
      <c r="AB113" s="22">
        <v>0.93904281616210938</v>
      </c>
      <c r="AC113" s="23" t="s">
        <v>590</v>
      </c>
      <c r="AD113" s="24">
        <v>0.8246575342465754</v>
      </c>
      <c r="AE113" s="25">
        <v>0.15959618183136071</v>
      </c>
      <c r="AF113" s="26">
        <v>0</v>
      </c>
      <c r="AG113" s="26">
        <v>0</v>
      </c>
      <c r="AH113" s="27">
        <v>1.5664440927687102</v>
      </c>
      <c r="AI113" s="27">
        <v>1.5664440927687102</v>
      </c>
      <c r="AJ113" s="27">
        <v>1.5664440927687102</v>
      </c>
      <c r="AK113" s="28" t="s">
        <v>591</v>
      </c>
      <c r="AL113" s="29" t="s">
        <v>48</v>
      </c>
      <c r="AM113" s="29" t="s">
        <v>48</v>
      </c>
      <c r="AN113" s="29" t="s">
        <v>48</v>
      </c>
      <c r="AO113" s="47" t="s">
        <v>592</v>
      </c>
      <c r="AP113" s="28">
        <v>0</v>
      </c>
      <c r="AQ113" s="26">
        <v>1.4999999999999999E-2</v>
      </c>
      <c r="AR113" s="26">
        <v>0</v>
      </c>
    </row>
    <row r="114" spans="1:44" x14ac:dyDescent="0.15">
      <c r="A114">
        <v>210</v>
      </c>
      <c r="B114" s="11">
        <v>2244</v>
      </c>
      <c r="C114" s="32"/>
      <c r="D114" s="32">
        <v>1.01638629231608E-3</v>
      </c>
      <c r="E114" s="32">
        <v>55</v>
      </c>
      <c r="F114" s="32">
        <v>0.48695113220956399</v>
      </c>
      <c r="G114" s="11"/>
      <c r="H114" s="11"/>
      <c r="I114" s="11"/>
      <c r="J114" s="18" t="s">
        <v>44</v>
      </c>
      <c r="K114" s="18" t="s">
        <v>87</v>
      </c>
      <c r="L114" s="58" t="s">
        <v>274</v>
      </c>
      <c r="M114" s="18">
        <f>[1]!f_prt_stocktonav(B114,"2017/03/31")</f>
        <v>91.609054565429688</v>
      </c>
      <c r="N114" s="20" t="str">
        <f>[1]!f_info_fundmanager(B114)</f>
        <v>李孟海</v>
      </c>
      <c r="O114" s="21">
        <v>1.0547945205479452</v>
      </c>
      <c r="P114" s="34" t="s">
        <v>593</v>
      </c>
      <c r="Q114" s="34" t="s">
        <v>594</v>
      </c>
      <c r="R114" s="34" t="s">
        <v>353</v>
      </c>
      <c r="S114" s="34">
        <v>20160311</v>
      </c>
      <c r="T114" s="45">
        <v>2.8817164703999998</v>
      </c>
      <c r="U114" s="46">
        <v>3.1672036379000001</v>
      </c>
      <c r="V114" s="34" t="s">
        <v>231</v>
      </c>
      <c r="W114" s="34" t="s">
        <v>44</v>
      </c>
      <c r="X114" s="34" t="s">
        <v>87</v>
      </c>
      <c r="Y114" s="34" t="s">
        <v>65</v>
      </c>
      <c r="Z114" s="34" t="s">
        <v>595</v>
      </c>
      <c r="AA114" s="34"/>
      <c r="AB114" s="22">
        <v>0.90730964660644531</v>
      </c>
      <c r="AC114" s="23" t="s">
        <v>596</v>
      </c>
      <c r="AD114" s="24">
        <v>0.8246575342465754</v>
      </c>
      <c r="AE114" s="25">
        <v>0.19353419936175834</v>
      </c>
      <c r="AF114" s="26">
        <v>0</v>
      </c>
      <c r="AG114" s="26">
        <v>0</v>
      </c>
      <c r="AH114" s="27">
        <v>0.86272976844678939</v>
      </c>
      <c r="AI114" s="27">
        <v>0.86272976844678939</v>
      </c>
      <c r="AJ114" s="27">
        <v>0.86272976844678939</v>
      </c>
      <c r="AK114" s="33" t="s">
        <v>115</v>
      </c>
      <c r="AL114" s="29" t="s">
        <v>48</v>
      </c>
      <c r="AM114" s="29" t="s">
        <v>48</v>
      </c>
      <c r="AN114" s="29" t="s">
        <v>48</v>
      </c>
      <c r="AO114" s="47" t="s">
        <v>82</v>
      </c>
      <c r="AP114" s="28">
        <v>0</v>
      </c>
      <c r="AQ114" s="26">
        <v>1.4999999999999999E-2</v>
      </c>
      <c r="AR114" s="26">
        <v>0</v>
      </c>
    </row>
    <row r="115" spans="1:44" x14ac:dyDescent="0.15">
      <c r="A115">
        <v>155</v>
      </c>
      <c r="B115" s="11">
        <v>501015</v>
      </c>
      <c r="C115" s="32"/>
      <c r="D115" s="32">
        <v>-1.74709169566933E-3</v>
      </c>
      <c r="E115" s="32">
        <v>56</v>
      </c>
      <c r="F115" s="32">
        <v>0.16301721247950299</v>
      </c>
      <c r="G115" s="11"/>
      <c r="H115" s="11"/>
      <c r="I115" s="11"/>
      <c r="J115" s="18" t="s">
        <v>44</v>
      </c>
      <c r="K115" s="18" t="s">
        <v>64</v>
      </c>
      <c r="L115" s="58" t="s">
        <v>65</v>
      </c>
      <c r="M115" s="18">
        <f>[1]!f_prt_stocktonav(B115,"2017/03/31")</f>
        <v>92.640838623046875</v>
      </c>
      <c r="N115" s="20" t="str">
        <f>[1]!f_info_fundmanager(B115)</f>
        <v>姚思劼</v>
      </c>
      <c r="O115" s="21">
        <v>1.0602739726027397</v>
      </c>
      <c r="P115" s="34" t="s">
        <v>597</v>
      </c>
      <c r="Q115" s="34" t="s">
        <v>598</v>
      </c>
      <c r="R115" s="34" t="s">
        <v>238</v>
      </c>
      <c r="S115" s="34">
        <v>20160309</v>
      </c>
      <c r="T115" s="45">
        <v>48.238882885599999</v>
      </c>
      <c r="U115" s="46">
        <v>47.609786384000003</v>
      </c>
      <c r="V115" s="34" t="s">
        <v>231</v>
      </c>
      <c r="W115" s="34" t="s">
        <v>44</v>
      </c>
      <c r="X115" s="17" t="s">
        <v>45</v>
      </c>
      <c r="Y115" s="17" t="s">
        <v>65</v>
      </c>
      <c r="Z115" s="34"/>
      <c r="AA115" s="34"/>
      <c r="AB115" s="22">
        <v>0.92914596557617191</v>
      </c>
      <c r="AC115" s="23" t="s">
        <v>239</v>
      </c>
      <c r="AD115" s="24">
        <v>0.83013698630136989</v>
      </c>
      <c r="AE115" s="25">
        <v>4.6740529794030872E-2</v>
      </c>
      <c r="AF115" s="26">
        <v>0</v>
      </c>
      <c r="AG115" s="26">
        <v>0</v>
      </c>
      <c r="AH115" s="27">
        <v>0.67479931085311962</v>
      </c>
      <c r="AI115" s="27">
        <v>0.67479931085311962</v>
      </c>
      <c r="AJ115" s="27">
        <v>0.67479931085311962</v>
      </c>
      <c r="AK115" s="28" t="s">
        <v>240</v>
      </c>
      <c r="AL115" s="29" t="s">
        <v>48</v>
      </c>
      <c r="AM115" s="29" t="s">
        <v>48</v>
      </c>
      <c r="AN115" s="29" t="s">
        <v>48</v>
      </c>
      <c r="AO115" s="47">
        <v>0</v>
      </c>
      <c r="AP115" s="28">
        <v>0</v>
      </c>
      <c r="AQ115" s="26">
        <v>1.4999999999999999E-2</v>
      </c>
      <c r="AR115" s="26">
        <v>0</v>
      </c>
    </row>
    <row r="116" spans="1:44" x14ac:dyDescent="0.15">
      <c r="A116">
        <v>859</v>
      </c>
      <c r="B116" s="11">
        <v>1694</v>
      </c>
      <c r="C116" s="32"/>
      <c r="D116" s="32">
        <v>4.3060231659312401E-3</v>
      </c>
      <c r="E116" s="32">
        <v>56</v>
      </c>
      <c r="F116" s="32">
        <v>1.7037058254880601E-3</v>
      </c>
      <c r="G116" s="11"/>
      <c r="H116" s="11"/>
      <c r="I116" s="11"/>
      <c r="J116" s="18" t="s">
        <v>44</v>
      </c>
      <c r="K116" s="18" t="s">
        <v>45</v>
      </c>
      <c r="L116" s="58" t="s">
        <v>274</v>
      </c>
      <c r="M116" s="18">
        <f>[1]!f_prt_stocktonav(B116,"2017/03/31")</f>
        <v>74.058464050292969</v>
      </c>
      <c r="N116" s="20" t="str">
        <f>[1]!f_info_fundmanager(B116)</f>
        <v>杨明,苏圻涵,崔莹</v>
      </c>
      <c r="O116" s="21">
        <v>1.0602739726027397</v>
      </c>
      <c r="P116" s="34" t="s">
        <v>599</v>
      </c>
      <c r="Q116" s="34" t="s">
        <v>600</v>
      </c>
      <c r="R116" s="34" t="s">
        <v>63</v>
      </c>
      <c r="S116" s="34">
        <v>20160309</v>
      </c>
      <c r="T116" s="45">
        <v>8.3101033996000009</v>
      </c>
      <c r="U116" s="46">
        <v>2.8320496685999998</v>
      </c>
      <c r="V116" s="34" t="s">
        <v>231</v>
      </c>
      <c r="W116" s="34" t="s">
        <v>44</v>
      </c>
      <c r="X116" s="17" t="s">
        <v>45</v>
      </c>
      <c r="Y116" s="17" t="s">
        <v>65</v>
      </c>
      <c r="Z116" s="34"/>
      <c r="AA116" s="34"/>
      <c r="AB116" s="22">
        <v>0.87826889038085942</v>
      </c>
      <c r="AC116" s="23" t="s">
        <v>601</v>
      </c>
      <c r="AD116" s="24">
        <v>0.83013698630136989</v>
      </c>
      <c r="AE116" s="25">
        <v>0.32075423876559062</v>
      </c>
      <c r="AF116" s="26">
        <v>0</v>
      </c>
      <c r="AG116" s="26">
        <v>0</v>
      </c>
      <c r="AH116" s="27">
        <v>1.8409869487635968</v>
      </c>
      <c r="AI116" s="27">
        <v>1.8409869487635968</v>
      </c>
      <c r="AJ116" s="27">
        <v>1.8409869487635968</v>
      </c>
      <c r="AK116" s="28" t="s">
        <v>602</v>
      </c>
      <c r="AL116" s="29" t="s">
        <v>48</v>
      </c>
      <c r="AM116" s="29" t="s">
        <v>48</v>
      </c>
      <c r="AN116" s="29" t="s">
        <v>48</v>
      </c>
      <c r="AO116" s="47" t="s">
        <v>603</v>
      </c>
      <c r="AP116" s="28">
        <v>0</v>
      </c>
      <c r="AQ116" s="26">
        <v>1.4999999999999999E-2</v>
      </c>
      <c r="AR116" s="26">
        <v>0</v>
      </c>
    </row>
    <row r="117" spans="1:44" x14ac:dyDescent="0.15">
      <c r="A117">
        <v>184</v>
      </c>
      <c r="B117" s="11">
        <v>1827</v>
      </c>
      <c r="C117" s="32"/>
      <c r="D117" s="32">
        <v>1.73134066395754E-3</v>
      </c>
      <c r="E117" s="32">
        <v>56</v>
      </c>
      <c r="F117" s="32">
        <v>0.26277916423185499</v>
      </c>
      <c r="G117" s="11"/>
      <c r="H117" s="11"/>
      <c r="I117" s="11"/>
      <c r="J117" s="18" t="s">
        <v>44</v>
      </c>
      <c r="K117" s="18" t="s">
        <v>45</v>
      </c>
      <c r="L117" s="58" t="s">
        <v>817</v>
      </c>
      <c r="M117" s="18">
        <f>[1]!f_prt_stocktonav(B117,"2017/03/31")</f>
        <v>92.029945373535156</v>
      </c>
      <c r="N117" s="20" t="str">
        <f>[1]!f_info_fundmanager(B117)</f>
        <v>李晓铭</v>
      </c>
      <c r="O117" s="21">
        <v>1.0630136986301371</v>
      </c>
      <c r="P117" s="34" t="s">
        <v>604</v>
      </c>
      <c r="Q117" s="34" t="s">
        <v>605</v>
      </c>
      <c r="R117" s="34" t="s">
        <v>396</v>
      </c>
      <c r="S117" s="34">
        <v>20160308</v>
      </c>
      <c r="T117" s="45">
        <v>0.65566483470000003</v>
      </c>
      <c r="U117" s="46">
        <v>0.87843371510000001</v>
      </c>
      <c r="V117" s="34" t="s">
        <v>231</v>
      </c>
      <c r="W117" s="34" t="s">
        <v>44</v>
      </c>
      <c r="X117" s="34" t="s">
        <v>45</v>
      </c>
      <c r="Y117" s="34" t="s">
        <v>65</v>
      </c>
      <c r="Z117" s="34"/>
      <c r="AA117" s="34"/>
      <c r="AB117" s="22">
        <v>0.93592155456542969</v>
      </c>
      <c r="AC117" s="23" t="s">
        <v>606</v>
      </c>
      <c r="AD117" s="24">
        <v>0.83287671232876714</v>
      </c>
      <c r="AE117" s="25">
        <v>0.10098763643021513</v>
      </c>
      <c r="AF117" s="26">
        <v>0</v>
      </c>
      <c r="AG117" s="26">
        <v>0</v>
      </c>
      <c r="AH117" s="27">
        <v>0.87642122400606626</v>
      </c>
      <c r="AI117" s="27">
        <v>0.87642122400606626</v>
      </c>
      <c r="AJ117" s="27">
        <v>0.87642122400606626</v>
      </c>
      <c r="AK117" s="28" t="s">
        <v>607</v>
      </c>
      <c r="AL117" s="29" t="s">
        <v>48</v>
      </c>
      <c r="AM117" s="29" t="s">
        <v>48</v>
      </c>
      <c r="AN117" s="29" t="s">
        <v>48</v>
      </c>
      <c r="AO117" s="47" t="s">
        <v>399</v>
      </c>
      <c r="AP117" s="28" t="s">
        <v>608</v>
      </c>
      <c r="AQ117" s="26">
        <v>1.4999999999999999E-2</v>
      </c>
      <c r="AR117" s="26">
        <v>0</v>
      </c>
    </row>
    <row r="118" spans="1:44" x14ac:dyDescent="0.15">
      <c r="A118">
        <v>557</v>
      </c>
      <c r="B118" s="11">
        <v>1811</v>
      </c>
      <c r="C118" s="32"/>
      <c r="D118" s="32">
        <v>2.0433734683482198E-3</v>
      </c>
      <c r="E118" s="32">
        <v>18</v>
      </c>
      <c r="F118" s="32">
        <v>0.32184126980411598</v>
      </c>
      <c r="G118" s="11"/>
      <c r="H118" s="11"/>
      <c r="I118" s="11"/>
      <c r="J118" s="18" t="s">
        <v>44</v>
      </c>
      <c r="K118" s="18" t="s">
        <v>45</v>
      </c>
      <c r="L118" s="58" t="s">
        <v>65</v>
      </c>
      <c r="M118" s="18">
        <f>[1]!f_prt_stocktonav(B118,"2017/03/31")</f>
        <v>83.923820495605469</v>
      </c>
      <c r="N118" s="20" t="str">
        <f>[1]!f_info_fundmanager(B118)</f>
        <v>周应波</v>
      </c>
      <c r="O118" s="21">
        <v>0.32876712328767121</v>
      </c>
      <c r="P118" s="34" t="s">
        <v>609</v>
      </c>
      <c r="Q118" s="34" t="s">
        <v>610</v>
      </c>
      <c r="R118" s="34" t="s">
        <v>200</v>
      </c>
      <c r="S118" s="34">
        <v>20160303</v>
      </c>
      <c r="T118" s="45">
        <v>1.4257842596999999</v>
      </c>
      <c r="U118" s="46">
        <v>1.6294988552</v>
      </c>
      <c r="V118" s="34" t="s">
        <v>231</v>
      </c>
      <c r="W118" s="34" t="s">
        <v>44</v>
      </c>
      <c r="X118" s="34" t="s">
        <v>45</v>
      </c>
      <c r="Y118" s="34" t="s">
        <v>65</v>
      </c>
      <c r="Z118" s="34"/>
      <c r="AA118" s="34"/>
      <c r="AB118" s="22">
        <v>0.85859756469726567</v>
      </c>
      <c r="AC118" s="23" t="s">
        <v>611</v>
      </c>
      <c r="AD118" s="24">
        <v>9.8630136986301367E-2</v>
      </c>
      <c r="AE118" s="25">
        <v>-9.5264630150856622E-2</v>
      </c>
      <c r="AF118" s="26">
        <v>0</v>
      </c>
      <c r="AG118" s="26">
        <v>0</v>
      </c>
      <c r="AH118" s="27">
        <v>-0.51841251198117044</v>
      </c>
      <c r="AI118" s="27">
        <v>-0.51841251198117044</v>
      </c>
      <c r="AJ118" s="27">
        <v>-0.51841251198117044</v>
      </c>
      <c r="AK118" s="28" t="s">
        <v>167</v>
      </c>
      <c r="AL118" s="29" t="s">
        <v>48</v>
      </c>
      <c r="AM118" s="29" t="s">
        <v>48</v>
      </c>
      <c r="AN118" s="29" t="s">
        <v>48</v>
      </c>
      <c r="AO118" s="47" t="s">
        <v>421</v>
      </c>
      <c r="AP118" s="28">
        <v>0</v>
      </c>
      <c r="AQ118" s="26">
        <v>1.4999999999999999E-2</v>
      </c>
      <c r="AR118" s="26">
        <v>0</v>
      </c>
    </row>
    <row r="119" spans="1:44" x14ac:dyDescent="0.15">
      <c r="A119">
        <v>633</v>
      </c>
      <c r="B119" s="11">
        <v>1718</v>
      </c>
      <c r="C119" s="32"/>
      <c r="D119" s="32">
        <v>9.7134448227830796E-4</v>
      </c>
      <c r="E119" s="32">
        <v>57</v>
      </c>
      <c r="F119" s="32">
        <v>0.49073883338283503</v>
      </c>
      <c r="G119" s="11"/>
      <c r="H119" s="11"/>
      <c r="I119" s="11"/>
      <c r="J119" s="18" t="s">
        <v>44</v>
      </c>
      <c r="K119" s="18" t="s">
        <v>86</v>
      </c>
      <c r="L119" s="58" t="s">
        <v>817</v>
      </c>
      <c r="M119" s="18">
        <f>[1]!f_prt_stocktonav(B119,"2017/03/31")</f>
        <v>81.974296569824219</v>
      </c>
      <c r="N119" s="20" t="str">
        <f>[1]!f_info_fundmanager(B119)</f>
        <v>杨柯,张宇帆</v>
      </c>
      <c r="O119" s="21">
        <v>1.0821917808219179</v>
      </c>
      <c r="P119" s="34" t="s">
        <v>612</v>
      </c>
      <c r="Q119" s="34" t="s">
        <v>613</v>
      </c>
      <c r="R119" s="34" t="s">
        <v>523</v>
      </c>
      <c r="S119" s="34">
        <v>20160301</v>
      </c>
      <c r="T119" s="45">
        <v>0.54427629730000004</v>
      </c>
      <c r="U119" s="46">
        <v>0.67823887630000002</v>
      </c>
      <c r="V119" s="34" t="s">
        <v>231</v>
      </c>
      <c r="W119" s="34" t="s">
        <v>44</v>
      </c>
      <c r="X119" s="34" t="s">
        <v>45</v>
      </c>
      <c r="Y119" s="34" t="s">
        <v>65</v>
      </c>
      <c r="Z119" s="34"/>
      <c r="AA119" s="34"/>
      <c r="AB119" s="22">
        <v>0.81361206054687496</v>
      </c>
      <c r="AC119" s="23" t="s">
        <v>614</v>
      </c>
      <c r="AD119" s="24">
        <v>0.852054794520548</v>
      </c>
      <c r="AE119" s="25">
        <v>0.12040136103422693</v>
      </c>
      <c r="AF119" s="26">
        <v>0</v>
      </c>
      <c r="AG119" s="26">
        <v>0</v>
      </c>
      <c r="AH119" s="27">
        <v>1.0585016133561811</v>
      </c>
      <c r="AI119" s="27">
        <v>1.0585016133561811</v>
      </c>
      <c r="AJ119" s="27">
        <v>1.0585016133561811</v>
      </c>
      <c r="AK119" s="28" t="s">
        <v>615</v>
      </c>
      <c r="AL119" s="29" t="s">
        <v>48</v>
      </c>
      <c r="AM119" s="29" t="s">
        <v>48</v>
      </c>
      <c r="AN119" s="29" t="s">
        <v>48</v>
      </c>
      <c r="AO119" s="47" t="s">
        <v>255</v>
      </c>
      <c r="AP119" s="28">
        <v>0</v>
      </c>
      <c r="AQ119" s="26">
        <v>1.4999999999999999E-2</v>
      </c>
      <c r="AR119" s="26">
        <v>0</v>
      </c>
    </row>
    <row r="120" spans="1:44" x14ac:dyDescent="0.15">
      <c r="A120">
        <v>756</v>
      </c>
      <c r="B120" s="11">
        <v>1933</v>
      </c>
      <c r="C120" s="32"/>
      <c r="D120" s="32">
        <v>-1.0468668517886501E-3</v>
      </c>
      <c r="E120" s="32">
        <v>57</v>
      </c>
      <c r="F120" s="32">
        <v>0.39447795607577602</v>
      </c>
      <c r="G120" s="11"/>
      <c r="H120" s="11"/>
      <c r="I120" s="11"/>
      <c r="J120" s="18" t="s">
        <v>44</v>
      </c>
      <c r="K120" s="18" t="s">
        <v>45</v>
      </c>
      <c r="L120" s="58" t="s">
        <v>274</v>
      </c>
      <c r="M120" s="18">
        <f>[1]!f_prt_stocktonav(B120,"2017/03/31")</f>
        <v>78.136100769042969</v>
      </c>
      <c r="N120" s="20" t="str">
        <f>[1]!f_info_fundmanager(B120)</f>
        <v>何奇峰</v>
      </c>
      <c r="O120" s="21">
        <v>1.095890410958904</v>
      </c>
      <c r="P120" s="34" t="s">
        <v>616</v>
      </c>
      <c r="Q120" s="34" t="s">
        <v>617</v>
      </c>
      <c r="R120" s="34" t="s">
        <v>387</v>
      </c>
      <c r="S120" s="34">
        <v>20160225</v>
      </c>
      <c r="T120" s="45">
        <v>0.68787585350000002</v>
      </c>
      <c r="U120" s="46">
        <v>0.9767104056</v>
      </c>
      <c r="V120" s="34" t="s">
        <v>231</v>
      </c>
      <c r="W120" s="34" t="s">
        <v>41</v>
      </c>
      <c r="X120" s="34" t="s">
        <v>42</v>
      </c>
      <c r="Y120" s="34" t="s">
        <v>388</v>
      </c>
      <c r="Z120" s="34"/>
      <c r="AA120" s="34"/>
      <c r="AB120" s="22">
        <v>0.69111549377441406</v>
      </c>
      <c r="AC120" s="23" t="s">
        <v>618</v>
      </c>
      <c r="AD120" s="24">
        <v>0.86575342465753424</v>
      </c>
      <c r="AE120" s="25">
        <v>1.2922259487428756E-2</v>
      </c>
      <c r="AF120" s="26">
        <v>0</v>
      </c>
      <c r="AG120" s="26">
        <v>0</v>
      </c>
      <c r="AH120" s="27">
        <v>-2.1669693308341686E-2</v>
      </c>
      <c r="AI120" s="27">
        <v>-2.1669693308341686E-2</v>
      </c>
      <c r="AJ120" s="27">
        <v>-2.1669693308341686E-2</v>
      </c>
      <c r="AK120" s="28" t="s">
        <v>619</v>
      </c>
      <c r="AL120" s="29" t="s">
        <v>48</v>
      </c>
      <c r="AM120" s="29" t="s">
        <v>48</v>
      </c>
      <c r="AN120" s="29" t="s">
        <v>48</v>
      </c>
      <c r="AO120" s="47" t="s">
        <v>310</v>
      </c>
      <c r="AP120" s="28">
        <v>0</v>
      </c>
      <c r="AQ120" s="26">
        <v>1.4999999999999999E-2</v>
      </c>
      <c r="AR120" s="26">
        <v>0</v>
      </c>
    </row>
    <row r="121" spans="1:44" x14ac:dyDescent="0.15">
      <c r="A121">
        <v>123</v>
      </c>
      <c r="B121" s="11">
        <v>2263</v>
      </c>
      <c r="C121" s="32"/>
      <c r="D121" s="32">
        <v>9.3167249880635595E-4</v>
      </c>
      <c r="E121" s="32">
        <v>58</v>
      </c>
      <c r="F121" s="32">
        <v>0.50960473442857401</v>
      </c>
      <c r="G121" s="11"/>
      <c r="H121" s="11"/>
      <c r="I121" s="11"/>
      <c r="J121" s="18" t="s">
        <v>44</v>
      </c>
      <c r="K121" s="18" t="s">
        <v>64</v>
      </c>
      <c r="L121" s="58" t="s">
        <v>274</v>
      </c>
      <c r="M121" s="18">
        <f>[1]!f_prt_stocktonav(B121,"2017/03/31")</f>
        <v>93.197059631347656</v>
      </c>
      <c r="N121" s="20" t="str">
        <f>[1]!f_info_fundmanager(B121)</f>
        <v>刘欣</v>
      </c>
      <c r="O121" s="21">
        <v>1.1013698630136985</v>
      </c>
      <c r="P121" s="34" t="s">
        <v>620</v>
      </c>
      <c r="Q121" s="34" t="s">
        <v>621</v>
      </c>
      <c r="R121" s="34" t="s">
        <v>263</v>
      </c>
      <c r="S121" s="34">
        <v>20160223</v>
      </c>
      <c r="T121" s="45">
        <v>2.0554737923999999</v>
      </c>
      <c r="U121" s="46">
        <v>0.94011252509999998</v>
      </c>
      <c r="V121" s="34" t="s">
        <v>231</v>
      </c>
      <c r="W121" s="34" t="s">
        <v>44</v>
      </c>
      <c r="X121" s="34" t="s">
        <v>45</v>
      </c>
      <c r="Y121" s="34" t="s">
        <v>65</v>
      </c>
      <c r="Z121" s="34"/>
      <c r="AA121" s="34"/>
      <c r="AB121" s="22">
        <v>0.9117392730712891</v>
      </c>
      <c r="AC121" s="23" t="s">
        <v>622</v>
      </c>
      <c r="AD121" s="24">
        <v>0.87123287671232874</v>
      </c>
      <c r="AE121" s="25">
        <v>0.20451102891526496</v>
      </c>
      <c r="AF121" s="26">
        <v>0</v>
      </c>
      <c r="AG121" s="26">
        <v>0</v>
      </c>
      <c r="AH121" s="27">
        <v>1.3388621390049127</v>
      </c>
      <c r="AI121" s="27">
        <v>1.3388621390049127</v>
      </c>
      <c r="AJ121" s="27">
        <v>1.3388621390049127</v>
      </c>
      <c r="AK121" s="28" t="s">
        <v>623</v>
      </c>
      <c r="AL121" s="29" t="s">
        <v>48</v>
      </c>
      <c r="AM121" s="29" t="s">
        <v>48</v>
      </c>
      <c r="AN121" s="29" t="s">
        <v>48</v>
      </c>
      <c r="AO121" s="47" t="s">
        <v>375</v>
      </c>
      <c r="AP121" s="28">
        <v>0</v>
      </c>
      <c r="AQ121" s="26">
        <v>1.4999999999999999E-2</v>
      </c>
      <c r="AR121" s="26">
        <v>0</v>
      </c>
    </row>
    <row r="122" spans="1:44" x14ac:dyDescent="0.15">
      <c r="A122">
        <v>624</v>
      </c>
      <c r="B122" s="11">
        <v>1781</v>
      </c>
      <c r="C122" s="32"/>
      <c r="D122" s="32">
        <v>-5.6317121970970497E-4</v>
      </c>
      <c r="E122" s="32">
        <v>58</v>
      </c>
      <c r="F122" s="32">
        <v>0.78065572951057105</v>
      </c>
      <c r="G122" s="11"/>
      <c r="H122" s="11"/>
      <c r="I122" s="11"/>
      <c r="J122" s="18" t="s">
        <v>44</v>
      </c>
      <c r="K122" s="18" t="s">
        <v>87</v>
      </c>
      <c r="L122" s="58" t="s">
        <v>354</v>
      </c>
      <c r="M122" s="18">
        <f>[1]!f_prt_stocktonav(B122,"2017/03/31")</f>
        <v>82.1907958984375</v>
      </c>
      <c r="N122" s="20" t="str">
        <f>[1]!f_info_fundmanager(B122)</f>
        <v>陶灿</v>
      </c>
      <c r="O122" s="21">
        <v>1.1013698630136985</v>
      </c>
      <c r="P122" s="34" t="s">
        <v>624</v>
      </c>
      <c r="Q122" s="34" t="s">
        <v>625</v>
      </c>
      <c r="R122" s="34" t="s">
        <v>307</v>
      </c>
      <c r="S122" s="34">
        <v>20160223</v>
      </c>
      <c r="T122" s="45">
        <v>0.75340227869999998</v>
      </c>
      <c r="U122" s="46">
        <v>1.0164743919999999</v>
      </c>
      <c r="V122" s="34" t="s">
        <v>231</v>
      </c>
      <c r="W122" s="34" t="s">
        <v>44</v>
      </c>
      <c r="X122" s="34" t="s">
        <v>45</v>
      </c>
      <c r="Y122" s="34" t="s">
        <v>65</v>
      </c>
      <c r="Z122" s="34"/>
      <c r="AA122" s="34"/>
      <c r="AB122" s="22">
        <v>0.8960980224609375</v>
      </c>
      <c r="AC122" s="23" t="s">
        <v>626</v>
      </c>
      <c r="AD122" s="24">
        <v>0.87123287671232874</v>
      </c>
      <c r="AE122" s="25">
        <v>-1.3979614537665608E-2</v>
      </c>
      <c r="AF122" s="26">
        <v>0</v>
      </c>
      <c r="AG122" s="26">
        <v>0</v>
      </c>
      <c r="AH122" s="27">
        <v>-0.28543961445957833</v>
      </c>
      <c r="AI122" s="27">
        <v>-0.28543961445957833</v>
      </c>
      <c r="AJ122" s="27">
        <v>-0.28543961445957833</v>
      </c>
      <c r="AK122" s="28" t="s">
        <v>627</v>
      </c>
      <c r="AL122" s="29" t="s">
        <v>48</v>
      </c>
      <c r="AM122" s="29" t="s">
        <v>48</v>
      </c>
      <c r="AN122" s="29" t="s">
        <v>48</v>
      </c>
      <c r="AO122" s="47" t="s">
        <v>310</v>
      </c>
      <c r="AP122" s="28">
        <v>0</v>
      </c>
      <c r="AQ122" s="26">
        <v>1.4999999999999999E-2</v>
      </c>
      <c r="AR122" s="26">
        <v>0</v>
      </c>
    </row>
    <row r="123" spans="1:44" x14ac:dyDescent="0.15">
      <c r="A123">
        <v>357</v>
      </c>
      <c r="B123" s="11">
        <v>2168</v>
      </c>
      <c r="C123" s="32"/>
      <c r="D123" s="32">
        <v>9.5995673328527602E-4</v>
      </c>
      <c r="E123" s="32">
        <v>60</v>
      </c>
      <c r="F123" s="32">
        <v>0.49975837166288201</v>
      </c>
      <c r="G123" s="11"/>
      <c r="H123" s="11"/>
      <c r="I123" s="11"/>
      <c r="J123" s="18" t="s">
        <v>44</v>
      </c>
      <c r="K123" s="18" t="s">
        <v>45</v>
      </c>
      <c r="L123" s="58" t="s">
        <v>274</v>
      </c>
      <c r="M123" s="18">
        <f>[1]!f_prt_stocktonav(B123,"2017/03/31")</f>
        <v>88.406929016113281</v>
      </c>
      <c r="N123" s="20" t="str">
        <f>[1]!f_info_fundmanager(B123)</f>
        <v>柏重波,姚志鹏</v>
      </c>
      <c r="O123" s="21">
        <v>1.1534246575342466</v>
      </c>
      <c r="P123" s="34" t="s">
        <v>628</v>
      </c>
      <c r="Q123" s="34" t="s">
        <v>629</v>
      </c>
      <c r="R123" s="34" t="s">
        <v>92</v>
      </c>
      <c r="S123" s="34">
        <v>20160204</v>
      </c>
      <c r="T123" s="45">
        <v>2.9567754687000001</v>
      </c>
      <c r="U123" s="46">
        <v>1.5153358227</v>
      </c>
      <c r="V123" s="34" t="s">
        <v>231</v>
      </c>
      <c r="W123" s="34" t="s">
        <v>44</v>
      </c>
      <c r="X123" s="34" t="s">
        <v>45</v>
      </c>
      <c r="Y123" s="34" t="s">
        <v>65</v>
      </c>
      <c r="Z123" s="34"/>
      <c r="AA123" s="34"/>
      <c r="AB123" s="22">
        <v>0.92265563964843755</v>
      </c>
      <c r="AC123" s="23" t="s">
        <v>630</v>
      </c>
      <c r="AD123" s="24">
        <v>0.92328767123287669</v>
      </c>
      <c r="AE123" s="25">
        <v>0.26679860237560926</v>
      </c>
      <c r="AF123" s="26">
        <v>0</v>
      </c>
      <c r="AG123" s="26">
        <v>0</v>
      </c>
      <c r="AH123" s="27">
        <v>1.6117726148845708</v>
      </c>
      <c r="AI123" s="27">
        <v>1.6117726148845708</v>
      </c>
      <c r="AJ123" s="27">
        <v>1.6117726148845708</v>
      </c>
      <c r="AK123" s="28" t="s">
        <v>631</v>
      </c>
      <c r="AL123" s="29" t="s">
        <v>48</v>
      </c>
      <c r="AM123" s="29" t="s">
        <v>48</v>
      </c>
      <c r="AN123" s="29" t="s">
        <v>48</v>
      </c>
      <c r="AO123" s="47" t="s">
        <v>249</v>
      </c>
      <c r="AP123" s="28">
        <v>0</v>
      </c>
      <c r="AQ123" s="26">
        <v>1.4999999999999999E-2</v>
      </c>
      <c r="AR123" s="26">
        <v>0</v>
      </c>
    </row>
    <row r="124" spans="1:44" x14ac:dyDescent="0.15">
      <c r="A124">
        <v>393</v>
      </c>
      <c r="B124" s="11">
        <v>2305</v>
      </c>
      <c r="C124" s="32"/>
      <c r="D124" s="32">
        <v>-3.2624796920897401E-3</v>
      </c>
      <c r="E124" s="32">
        <v>60</v>
      </c>
      <c r="F124" s="32">
        <v>8.2267949629127504E-3</v>
      </c>
      <c r="G124" s="11"/>
      <c r="H124" s="11"/>
      <c r="I124" s="11"/>
      <c r="J124" s="18" t="s">
        <v>44</v>
      </c>
      <c r="K124" s="18" t="s">
        <v>45</v>
      </c>
      <c r="L124" s="58" t="s">
        <v>274</v>
      </c>
      <c r="M124" s="18">
        <f>[1]!f_prt_stocktonav(B124,"2017/03/31")</f>
        <v>87.651458740234375</v>
      </c>
      <c r="N124" s="20" t="str">
        <f>[1]!f_info_fundmanager(B124)</f>
        <v>赵大年,翟云飞</v>
      </c>
      <c r="O124" s="21">
        <v>1.1534246575342466</v>
      </c>
      <c r="P124" s="34" t="s">
        <v>632</v>
      </c>
      <c r="Q124" s="34" t="s">
        <v>633</v>
      </c>
      <c r="R124" s="34" t="s">
        <v>634</v>
      </c>
      <c r="S124" s="34">
        <v>20160204</v>
      </c>
      <c r="T124" s="45">
        <v>0.74462398799999996</v>
      </c>
      <c r="U124" s="46">
        <v>0.47552261260000001</v>
      </c>
      <c r="V124" s="34" t="s">
        <v>231</v>
      </c>
      <c r="W124" s="34" t="s">
        <v>44</v>
      </c>
      <c r="X124" s="34" t="s">
        <v>45</v>
      </c>
      <c r="Y124" s="34" t="s">
        <v>65</v>
      </c>
      <c r="Z124" s="34"/>
      <c r="AA124" s="34"/>
      <c r="AB124" s="22">
        <v>0.84576477050781251</v>
      </c>
      <c r="AC124" s="23" t="s">
        <v>635</v>
      </c>
      <c r="AD124" s="24">
        <v>0.92328767123287669</v>
      </c>
      <c r="AE124" s="25">
        <v>9.6050774961301322E-2</v>
      </c>
      <c r="AF124" s="26">
        <v>0</v>
      </c>
      <c r="AG124" s="26">
        <v>0</v>
      </c>
      <c r="AH124" s="27">
        <v>0.65534724124694987</v>
      </c>
      <c r="AI124" s="27">
        <v>0.65534724124694987</v>
      </c>
      <c r="AJ124" s="27">
        <v>0.65534724124694987</v>
      </c>
      <c r="AK124" s="28" t="s">
        <v>636</v>
      </c>
      <c r="AL124" s="29" t="s">
        <v>48</v>
      </c>
      <c r="AM124" s="29" t="s">
        <v>48</v>
      </c>
      <c r="AN124" s="29" t="s">
        <v>48</v>
      </c>
      <c r="AO124" s="47" t="s">
        <v>637</v>
      </c>
      <c r="AP124" s="28">
        <v>0</v>
      </c>
      <c r="AQ124" s="26">
        <v>1.4999999999999999E-2</v>
      </c>
      <c r="AR124" s="26">
        <v>0</v>
      </c>
    </row>
    <row r="125" spans="1:44" x14ac:dyDescent="0.15">
      <c r="A125">
        <v>437</v>
      </c>
      <c r="B125" s="11">
        <v>168102</v>
      </c>
      <c r="C125" s="32"/>
      <c r="D125" s="32">
        <v>-1.28095801112895E-3</v>
      </c>
      <c r="E125" s="32">
        <v>60</v>
      </c>
      <c r="F125" s="32">
        <v>0.12711971986267501</v>
      </c>
      <c r="G125" s="11"/>
      <c r="H125" s="11"/>
      <c r="I125" s="11"/>
      <c r="J125" s="18" t="s">
        <v>44</v>
      </c>
      <c r="K125" s="18" t="s">
        <v>45</v>
      </c>
      <c r="L125" s="58" t="s">
        <v>274</v>
      </c>
      <c r="M125" s="18">
        <f>[1]!f_prt_stocktonav(B125,"2017/03/31")</f>
        <v>86.519493103027344</v>
      </c>
      <c r="N125" s="20" t="str">
        <f>[1]!f_info_fundmanager(B125)</f>
        <v>刘开运</v>
      </c>
      <c r="O125" s="21">
        <v>1.1534246575342466</v>
      </c>
      <c r="P125" s="34" t="s">
        <v>638</v>
      </c>
      <c r="Q125" s="34" t="s">
        <v>639</v>
      </c>
      <c r="R125" s="34" t="s">
        <v>640</v>
      </c>
      <c r="S125" s="34">
        <v>20160204</v>
      </c>
      <c r="T125" s="45">
        <v>6.4102802025000001</v>
      </c>
      <c r="U125" s="46">
        <v>6.4286183462000004</v>
      </c>
      <c r="V125" s="34" t="s">
        <v>231</v>
      </c>
      <c r="W125" s="34" t="s">
        <v>41</v>
      </c>
      <c r="X125" s="34" t="s">
        <v>42</v>
      </c>
      <c r="Y125" s="34" t="s">
        <v>181</v>
      </c>
      <c r="Z125" s="34"/>
      <c r="AA125" s="34"/>
      <c r="AB125" s="22">
        <v>0.66375137329101563</v>
      </c>
      <c r="AC125" s="23" t="s">
        <v>641</v>
      </c>
      <c r="AD125" s="24">
        <v>0.92328767123287669</v>
      </c>
      <c r="AE125" s="25">
        <v>2.6416789881295921E-2</v>
      </c>
      <c r="AF125" s="26">
        <v>0</v>
      </c>
      <c r="AG125" s="26">
        <v>0</v>
      </c>
      <c r="AH125" s="27">
        <v>0.43717507621163482</v>
      </c>
      <c r="AI125" s="27">
        <v>0.43717507621163482</v>
      </c>
      <c r="AJ125" s="27">
        <v>0.43717507621163482</v>
      </c>
      <c r="AK125" s="28" t="s">
        <v>642</v>
      </c>
      <c r="AL125" s="29" t="s">
        <v>48</v>
      </c>
      <c r="AM125" s="29" t="s">
        <v>48</v>
      </c>
      <c r="AN125" s="29" t="s">
        <v>48</v>
      </c>
      <c r="AO125" s="47" t="s">
        <v>643</v>
      </c>
      <c r="AP125" s="28">
        <v>0</v>
      </c>
      <c r="AQ125" s="26">
        <v>1.4999999999999999E-2</v>
      </c>
      <c r="AR125" s="26">
        <v>0</v>
      </c>
    </row>
    <row r="126" spans="1:44" x14ac:dyDescent="0.15">
      <c r="A126">
        <v>660</v>
      </c>
      <c r="B126" s="11">
        <v>2173</v>
      </c>
      <c r="C126" s="32"/>
      <c r="D126" s="32">
        <v>-1.37938421724892E-3</v>
      </c>
      <c r="E126" s="32">
        <v>14</v>
      </c>
      <c r="F126" s="32">
        <v>0.711388834598216</v>
      </c>
      <c r="G126" s="11"/>
      <c r="H126" s="11"/>
      <c r="I126" s="11"/>
      <c r="J126" s="18" t="s">
        <v>44</v>
      </c>
      <c r="K126" s="18" t="s">
        <v>45</v>
      </c>
      <c r="L126" s="58" t="s">
        <v>65</v>
      </c>
      <c r="M126" s="18">
        <f>[1]!f_prt_stocktonav(B126,"2017/03/31")</f>
        <v>81.164695739746094</v>
      </c>
      <c r="N126" s="20" t="str">
        <f>[1]!f_info_fundmanager(B126)</f>
        <v>薛子徵</v>
      </c>
      <c r="O126" s="21">
        <v>0.25753424657534246</v>
      </c>
      <c r="P126" s="34" t="s">
        <v>644</v>
      </c>
      <c r="Q126" s="34" t="s">
        <v>645</v>
      </c>
      <c r="R126" s="34" t="s">
        <v>252</v>
      </c>
      <c r="S126" s="34">
        <v>20160204</v>
      </c>
      <c r="T126" s="45">
        <v>0.18081259329999999</v>
      </c>
      <c r="U126" s="46">
        <v>0.25442030929999998</v>
      </c>
      <c r="V126" s="34" t="s">
        <v>231</v>
      </c>
      <c r="W126" s="34" t="s">
        <v>41</v>
      </c>
      <c r="X126" s="17" t="s">
        <v>42</v>
      </c>
      <c r="Y126" s="17" t="s">
        <v>181</v>
      </c>
      <c r="Z126" s="34"/>
      <c r="AA126" s="34"/>
      <c r="AB126" s="22">
        <v>0.61937774658203126</v>
      </c>
      <c r="AC126" s="23" t="s">
        <v>646</v>
      </c>
      <c r="AD126" s="24">
        <v>0.92328767123287669</v>
      </c>
      <c r="AE126" s="25">
        <v>-2.9314648021476208E-2</v>
      </c>
      <c r="AF126" s="26">
        <v>0</v>
      </c>
      <c r="AG126" s="26">
        <v>0</v>
      </c>
      <c r="AH126" s="27">
        <v>-0.22159493106602393</v>
      </c>
      <c r="AI126" s="27">
        <v>-0.22159493106602393</v>
      </c>
      <c r="AJ126" s="27">
        <v>-0.22159493106602393</v>
      </c>
      <c r="AK126" s="28" t="s">
        <v>254</v>
      </c>
      <c r="AL126" s="29" t="s">
        <v>48</v>
      </c>
      <c r="AM126" s="29" t="s">
        <v>48</v>
      </c>
      <c r="AN126" s="29" t="s">
        <v>48</v>
      </c>
      <c r="AO126" s="47" t="s">
        <v>255</v>
      </c>
      <c r="AP126" s="28">
        <v>0</v>
      </c>
      <c r="AQ126" s="26">
        <v>1.4999999999999999E-2</v>
      </c>
      <c r="AR126" s="26">
        <v>0</v>
      </c>
    </row>
    <row r="127" spans="1:44" x14ac:dyDescent="0.15">
      <c r="A127">
        <v>129</v>
      </c>
      <c r="B127" s="11">
        <v>519172</v>
      </c>
      <c r="C127" s="32"/>
      <c r="D127" s="32">
        <v>-4.20900957974068E-4</v>
      </c>
      <c r="E127" s="32">
        <v>61</v>
      </c>
      <c r="F127" s="32">
        <v>0.80130936774464201</v>
      </c>
      <c r="G127" s="11"/>
      <c r="H127" s="11"/>
      <c r="I127" s="11"/>
      <c r="J127" s="18" t="s">
        <v>44</v>
      </c>
      <c r="K127" s="18" t="s">
        <v>45</v>
      </c>
      <c r="L127" s="58" t="s">
        <v>274</v>
      </c>
      <c r="M127" s="18">
        <f>[1]!f_prt_stocktonav(B127,"2017/03/31")</f>
        <v>93.096138000488281</v>
      </c>
      <c r="N127" s="20" t="str">
        <f>[1]!f_info_fundmanager(B127)</f>
        <v>吴勇</v>
      </c>
      <c r="O127" s="21">
        <v>1.1561643835616437</v>
      </c>
      <c r="P127" s="34" t="s">
        <v>647</v>
      </c>
      <c r="Q127" s="34" t="s">
        <v>648</v>
      </c>
      <c r="R127" s="34" t="s">
        <v>649</v>
      </c>
      <c r="S127" s="34">
        <v>20160203</v>
      </c>
      <c r="T127" s="45">
        <v>2.2434723243999999</v>
      </c>
      <c r="U127" s="46">
        <v>2.5211320308</v>
      </c>
      <c r="V127" s="34" t="s">
        <v>231</v>
      </c>
      <c r="W127" s="34" t="s">
        <v>44</v>
      </c>
      <c r="X127" s="17" t="s">
        <v>45</v>
      </c>
      <c r="Y127" s="17" t="s">
        <v>65</v>
      </c>
      <c r="Z127" s="34"/>
      <c r="AA127" s="34"/>
      <c r="AB127" s="22">
        <v>0.9185894775390625</v>
      </c>
      <c r="AC127" s="23" t="s">
        <v>650</v>
      </c>
      <c r="AD127" s="24">
        <v>0.92602739726027394</v>
      </c>
      <c r="AE127" s="25">
        <v>0.11344008671776074</v>
      </c>
      <c r="AF127" s="26">
        <v>0</v>
      </c>
      <c r="AG127" s="26">
        <v>0</v>
      </c>
      <c r="AH127" s="27">
        <v>0.55510964018465103</v>
      </c>
      <c r="AI127" s="27">
        <v>0.55510964018465103</v>
      </c>
      <c r="AJ127" s="27">
        <v>0.55510964018465103</v>
      </c>
      <c r="AK127" s="28" t="s">
        <v>651</v>
      </c>
      <c r="AL127" s="29" t="s">
        <v>48</v>
      </c>
      <c r="AM127" s="29" t="s">
        <v>48</v>
      </c>
      <c r="AN127" s="29" t="s">
        <v>48</v>
      </c>
      <c r="AO127" s="47" t="s">
        <v>652</v>
      </c>
      <c r="AP127" s="28">
        <v>0</v>
      </c>
      <c r="AQ127" s="26">
        <v>1.4999999999999999E-2</v>
      </c>
      <c r="AR127" s="26">
        <v>0</v>
      </c>
    </row>
    <row r="128" spans="1:44" x14ac:dyDescent="0.15">
      <c r="A128">
        <v>273</v>
      </c>
      <c r="B128" s="11">
        <v>1536</v>
      </c>
      <c r="C128" s="32"/>
      <c r="D128" s="32">
        <v>1.0744674100528599E-3</v>
      </c>
      <c r="E128" s="32">
        <v>61</v>
      </c>
      <c r="F128" s="32">
        <v>0.201580035438502</v>
      </c>
      <c r="G128" s="11"/>
      <c r="H128" s="11"/>
      <c r="I128" s="11"/>
      <c r="J128" s="18" t="s">
        <v>44</v>
      </c>
      <c r="K128" s="18" t="s">
        <v>45</v>
      </c>
      <c r="L128" s="58" t="s">
        <v>817</v>
      </c>
      <c r="M128" s="18">
        <f>[1]!f_prt_stocktonav(B128,"2017/03/31")</f>
        <v>90.019828796386719</v>
      </c>
      <c r="N128" s="20" t="str">
        <f>[1]!f_info_fundmanager(B128)</f>
        <v>茅炜</v>
      </c>
      <c r="O128" s="21">
        <v>1.1561643835616437</v>
      </c>
      <c r="P128" s="34" t="s">
        <v>653</v>
      </c>
      <c r="Q128" s="34" t="s">
        <v>654</v>
      </c>
      <c r="R128" s="34" t="s">
        <v>284</v>
      </c>
      <c r="S128" s="34">
        <v>20160203</v>
      </c>
      <c r="T128" s="45">
        <v>1.3229711907999999</v>
      </c>
      <c r="U128" s="46">
        <v>1.5751374064000001</v>
      </c>
      <c r="V128" s="34" t="s">
        <v>231</v>
      </c>
      <c r="W128" s="34" t="s">
        <v>44</v>
      </c>
      <c r="X128" s="34" t="s">
        <v>45</v>
      </c>
      <c r="Y128" s="34" t="s">
        <v>65</v>
      </c>
      <c r="Z128" s="34"/>
      <c r="AA128" s="34"/>
      <c r="AB128" s="22">
        <v>0.77061210632324217</v>
      </c>
      <c r="AC128" s="23" t="s">
        <v>655</v>
      </c>
      <c r="AD128" s="24">
        <v>0.92602739726027394</v>
      </c>
      <c r="AE128" s="25">
        <v>5.3833333512593118E-2</v>
      </c>
      <c r="AF128" s="26">
        <v>0</v>
      </c>
      <c r="AG128" s="26">
        <v>0</v>
      </c>
      <c r="AH128" s="27">
        <v>0.77010269421235855</v>
      </c>
      <c r="AI128" s="27">
        <v>0.77010269421235855</v>
      </c>
      <c r="AJ128" s="27">
        <v>0.77010269421235855</v>
      </c>
      <c r="AK128" s="28" t="s">
        <v>656</v>
      </c>
      <c r="AL128" s="29" t="s">
        <v>48</v>
      </c>
      <c r="AM128" s="29" t="s">
        <v>48</v>
      </c>
      <c r="AN128" s="29" t="s">
        <v>48</v>
      </c>
      <c r="AO128" s="47" t="s">
        <v>287</v>
      </c>
      <c r="AP128" s="28">
        <v>0</v>
      </c>
      <c r="AQ128" s="26">
        <v>1.4999999999999999E-2</v>
      </c>
      <c r="AR128" s="26">
        <v>0</v>
      </c>
    </row>
    <row r="129" spans="1:44" x14ac:dyDescent="0.15">
      <c r="A129">
        <v>285</v>
      </c>
      <c r="B129" s="11">
        <v>1717</v>
      </c>
      <c r="C129" s="32"/>
      <c r="D129" s="32">
        <v>2.3898964787056102E-3</v>
      </c>
      <c r="E129" s="32">
        <v>61</v>
      </c>
      <c r="F129" s="32">
        <v>0.117945952073871</v>
      </c>
      <c r="G129" s="11"/>
      <c r="H129" s="11"/>
      <c r="I129" s="11"/>
      <c r="J129" s="18" t="s">
        <v>44</v>
      </c>
      <c r="K129" s="18" t="s">
        <v>45</v>
      </c>
      <c r="L129" s="58" t="s">
        <v>65</v>
      </c>
      <c r="M129" s="18">
        <f>[1]!f_prt_stocktonav(B129,"2017/03/31")</f>
        <v>89.690727233886719</v>
      </c>
      <c r="N129" s="20" t="str">
        <f>[1]!f_info_fundmanager(B129)</f>
        <v>赵蓓</v>
      </c>
      <c r="O129" s="21">
        <v>1.1561643835616437</v>
      </c>
      <c r="P129" s="34" t="s">
        <v>657</v>
      </c>
      <c r="Q129" s="34" t="s">
        <v>658</v>
      </c>
      <c r="R129" s="34" t="s">
        <v>523</v>
      </c>
      <c r="S129" s="34">
        <v>20160203</v>
      </c>
      <c r="T129" s="45">
        <v>1.1621878197</v>
      </c>
      <c r="U129" s="46">
        <v>1.2151042196999999</v>
      </c>
      <c r="V129" s="34" t="s">
        <v>231</v>
      </c>
      <c r="W129" s="34" t="s">
        <v>44</v>
      </c>
      <c r="X129" s="34" t="s">
        <v>45</v>
      </c>
      <c r="Y129" s="34" t="s">
        <v>65</v>
      </c>
      <c r="Z129" s="34"/>
      <c r="AA129" s="34"/>
      <c r="AB129" s="22">
        <v>0.87234115600585938</v>
      </c>
      <c r="AC129" s="23" t="s">
        <v>659</v>
      </c>
      <c r="AD129" s="24">
        <v>0.92602739726027394</v>
      </c>
      <c r="AE129" s="25">
        <v>0.13780563466682039</v>
      </c>
      <c r="AF129" s="26">
        <v>0</v>
      </c>
      <c r="AG129" s="26">
        <v>0</v>
      </c>
      <c r="AH129" s="27">
        <v>1.2445573706092812</v>
      </c>
      <c r="AI129" s="27">
        <v>1.2445573706092812</v>
      </c>
      <c r="AJ129" s="27">
        <v>1.2445573706092812</v>
      </c>
      <c r="AK129" s="28" t="s">
        <v>660</v>
      </c>
      <c r="AL129" s="29" t="s">
        <v>48</v>
      </c>
      <c r="AM129" s="29" t="s">
        <v>48</v>
      </c>
      <c r="AN129" s="29" t="s">
        <v>48</v>
      </c>
      <c r="AO129" s="47" t="s">
        <v>255</v>
      </c>
      <c r="AP129" s="28">
        <v>0</v>
      </c>
      <c r="AQ129" s="26">
        <v>1.4999999999999999E-2</v>
      </c>
      <c r="AR129" s="26">
        <v>0</v>
      </c>
    </row>
    <row r="130" spans="1:44" x14ac:dyDescent="0.15">
      <c r="A130">
        <v>523</v>
      </c>
      <c r="B130" s="11">
        <v>1645</v>
      </c>
      <c r="C130" s="32"/>
      <c r="D130" s="32">
        <v>4.3721000343510102E-3</v>
      </c>
      <c r="E130" s="32">
        <v>61</v>
      </c>
      <c r="F130" s="32">
        <v>3.6125003974285398E-2</v>
      </c>
      <c r="G130" s="11"/>
      <c r="H130" s="11"/>
      <c r="I130" s="11"/>
      <c r="J130" s="18" t="s">
        <v>44</v>
      </c>
      <c r="K130" s="18" t="s">
        <v>87</v>
      </c>
      <c r="L130" s="58" t="s">
        <v>817</v>
      </c>
      <c r="M130" s="18">
        <f>[1]!f_prt_stocktonav(B130,"2017/03/31")</f>
        <v>84.724479675292969</v>
      </c>
      <c r="N130" s="20" t="str">
        <f>[1]!f_info_fundmanager(B130)</f>
        <v>杨飞</v>
      </c>
      <c r="O130" s="21">
        <v>1.1561643835616437</v>
      </c>
      <c r="P130" s="34" t="s">
        <v>661</v>
      </c>
      <c r="Q130" s="34" t="s">
        <v>662</v>
      </c>
      <c r="R130" s="34" t="s">
        <v>663</v>
      </c>
      <c r="S130" s="34">
        <v>20160203</v>
      </c>
      <c r="T130" s="45">
        <v>2.1169532817999999</v>
      </c>
      <c r="U130" s="46">
        <v>2.2964289214</v>
      </c>
      <c r="V130" s="34" t="s">
        <v>231</v>
      </c>
      <c r="W130" s="34" t="s">
        <v>44</v>
      </c>
      <c r="X130" s="34" t="s">
        <v>45</v>
      </c>
      <c r="Y130" s="34" t="s">
        <v>65</v>
      </c>
      <c r="Z130" s="34"/>
      <c r="AA130" s="34"/>
      <c r="AB130" s="22">
        <v>0.81507255554199221</v>
      </c>
      <c r="AC130" s="23" t="s">
        <v>664</v>
      </c>
      <c r="AD130" s="24">
        <v>0.92602739726027394</v>
      </c>
      <c r="AE130" s="25">
        <v>0.28045342614591062</v>
      </c>
      <c r="AF130" s="26">
        <v>0</v>
      </c>
      <c r="AG130" s="26">
        <v>0</v>
      </c>
      <c r="AH130" s="27">
        <v>1.9232340853880638</v>
      </c>
      <c r="AI130" s="27">
        <v>1.9232340853880638</v>
      </c>
      <c r="AJ130" s="27">
        <v>1.9232340853880638</v>
      </c>
      <c r="AK130" s="28" t="s">
        <v>665</v>
      </c>
      <c r="AL130" s="29" t="s">
        <v>48</v>
      </c>
      <c r="AM130" s="29" t="s">
        <v>48</v>
      </c>
      <c r="AN130" s="29" t="s">
        <v>48</v>
      </c>
      <c r="AO130" s="47" t="s">
        <v>666</v>
      </c>
      <c r="AP130" s="28">
        <v>0</v>
      </c>
      <c r="AQ130" s="26">
        <v>1.4999999999999999E-2</v>
      </c>
      <c r="AR130" s="26">
        <v>0</v>
      </c>
    </row>
    <row r="131" spans="1:44" x14ac:dyDescent="0.15">
      <c r="A131">
        <v>550</v>
      </c>
      <c r="B131" s="11">
        <v>1927</v>
      </c>
      <c r="C131" s="32"/>
      <c r="D131" s="32">
        <v>2.4552090767271202E-3</v>
      </c>
      <c r="E131" s="32">
        <v>61</v>
      </c>
      <c r="F131" s="32">
        <v>0.107326383303322</v>
      </c>
      <c r="G131" s="11"/>
      <c r="H131" s="11"/>
      <c r="I131" s="11"/>
      <c r="J131" s="18" t="s">
        <v>44</v>
      </c>
      <c r="K131" s="18" t="s">
        <v>87</v>
      </c>
      <c r="L131" s="58" t="s">
        <v>354</v>
      </c>
      <c r="M131" s="18">
        <f>[1]!f_prt_stocktonav(B131,"2017/03/31")</f>
        <v>84.020530700683594</v>
      </c>
      <c r="N131" s="20" t="str">
        <f>[1]!f_info_fundmanager(B131)</f>
        <v>黄文倩</v>
      </c>
      <c r="O131" s="21">
        <v>1.1561643835616437</v>
      </c>
      <c r="P131" s="34" t="s">
        <v>667</v>
      </c>
      <c r="Q131" s="34" t="s">
        <v>668</v>
      </c>
      <c r="R131" s="34" t="s">
        <v>143</v>
      </c>
      <c r="S131" s="34">
        <v>20160203</v>
      </c>
      <c r="T131" s="45">
        <v>1.4166292458</v>
      </c>
      <c r="U131" s="46">
        <v>1.3566352536999999</v>
      </c>
      <c r="V131" s="34" t="s">
        <v>231</v>
      </c>
      <c r="W131" s="34" t="s">
        <v>44</v>
      </c>
      <c r="X131" s="17" t="s">
        <v>45</v>
      </c>
      <c r="Y131" s="17" t="s">
        <v>65</v>
      </c>
      <c r="Z131" s="34"/>
      <c r="AA131" s="34"/>
      <c r="AB131" s="22">
        <v>0.77383613586425781</v>
      </c>
      <c r="AC131" s="23" t="s">
        <v>669</v>
      </c>
      <c r="AD131" s="24">
        <v>0.92602739726027394</v>
      </c>
      <c r="AE131" s="25">
        <v>0.16554934822907996</v>
      </c>
      <c r="AF131" s="26">
        <v>0</v>
      </c>
      <c r="AG131" s="26">
        <v>0</v>
      </c>
      <c r="AH131" s="27">
        <v>1.3653391107081236</v>
      </c>
      <c r="AI131" s="27">
        <v>1.3653391107081236</v>
      </c>
      <c r="AJ131" s="27">
        <v>1.3653391107081236</v>
      </c>
      <c r="AK131" s="28" t="s">
        <v>670</v>
      </c>
      <c r="AL131" s="29" t="s">
        <v>48</v>
      </c>
      <c r="AM131" s="29" t="s">
        <v>48</v>
      </c>
      <c r="AN131" s="29" t="s">
        <v>48</v>
      </c>
      <c r="AO131" s="47" t="s">
        <v>101</v>
      </c>
      <c r="AP131" s="28">
        <v>0</v>
      </c>
      <c r="AQ131" s="26">
        <v>1.4999999999999999E-2</v>
      </c>
      <c r="AR131" s="26">
        <v>0</v>
      </c>
    </row>
    <row r="132" spans="1:44" x14ac:dyDescent="0.15">
      <c r="A132">
        <v>601</v>
      </c>
      <c r="B132" s="11">
        <v>2376</v>
      </c>
      <c r="C132" s="32"/>
      <c r="D132" s="32">
        <v>-7.3222806412697502E-4</v>
      </c>
      <c r="E132" s="32">
        <v>61</v>
      </c>
      <c r="F132" s="32">
        <v>0.45069245165927302</v>
      </c>
      <c r="G132" s="11"/>
      <c r="H132" s="11"/>
      <c r="I132" s="11"/>
      <c r="J132" s="18" t="s">
        <v>44</v>
      </c>
      <c r="K132" s="18" t="s">
        <v>45</v>
      </c>
      <c r="L132" s="58" t="s">
        <v>274</v>
      </c>
      <c r="M132" s="18">
        <f>[1]!f_prt_stocktonav(B132,"2017/03/31")</f>
        <v>82.888664245605469</v>
      </c>
      <c r="N132" s="20" t="str">
        <f>[1]!f_info_fundmanager(B132)</f>
        <v>张琦,李丹</v>
      </c>
      <c r="O132" s="21">
        <v>1.1561643835616437</v>
      </c>
      <c r="P132" s="34" t="s">
        <v>671</v>
      </c>
      <c r="Q132" s="34" t="s">
        <v>672</v>
      </c>
      <c r="R132" s="34" t="s">
        <v>224</v>
      </c>
      <c r="S132" s="34">
        <v>20160203</v>
      </c>
      <c r="T132" s="45">
        <v>1.1360322266</v>
      </c>
      <c r="U132" s="46">
        <v>1.4505993925</v>
      </c>
      <c r="V132" s="34" t="s">
        <v>231</v>
      </c>
      <c r="W132" s="34" t="s">
        <v>44</v>
      </c>
      <c r="X132" s="17" t="s">
        <v>45</v>
      </c>
      <c r="Y132" s="17" t="s">
        <v>65</v>
      </c>
      <c r="Z132" s="34"/>
      <c r="AA132" s="34"/>
      <c r="AB132" s="22">
        <v>0.80381027221679691</v>
      </c>
      <c r="AC132" s="23" t="s">
        <v>673</v>
      </c>
      <c r="AD132" s="24">
        <v>0.92602739726027394</v>
      </c>
      <c r="AE132" s="25">
        <v>3.1830696531665703E-2</v>
      </c>
      <c r="AF132" s="26">
        <v>0</v>
      </c>
      <c r="AG132" s="26">
        <v>0</v>
      </c>
      <c r="AH132" s="27">
        <v>0.23425624695419281</v>
      </c>
      <c r="AI132" s="27">
        <v>0.23425624695419281</v>
      </c>
      <c r="AJ132" s="27">
        <v>0.23425624695419281</v>
      </c>
      <c r="AK132" s="28" t="s">
        <v>226</v>
      </c>
      <c r="AL132" s="29" t="s">
        <v>48</v>
      </c>
      <c r="AM132" s="29" t="s">
        <v>48</v>
      </c>
      <c r="AN132" s="29" t="s">
        <v>48</v>
      </c>
      <c r="AO132" s="47" t="s">
        <v>227</v>
      </c>
      <c r="AP132" s="28">
        <v>0</v>
      </c>
      <c r="AQ132" s="26">
        <v>1.4999999999999999E-2</v>
      </c>
      <c r="AR132" s="26">
        <v>0</v>
      </c>
    </row>
    <row r="133" spans="1:44" x14ac:dyDescent="0.15">
      <c r="A133">
        <v>865</v>
      </c>
      <c r="B133" s="11">
        <v>2142</v>
      </c>
      <c r="C133" s="32"/>
      <c r="D133" s="32">
        <v>1.8510828626912799E-3</v>
      </c>
      <c r="E133" s="32">
        <v>61</v>
      </c>
      <c r="F133" s="32">
        <v>7.4536239832993803E-2</v>
      </c>
      <c r="G133" s="11"/>
      <c r="H133" s="11"/>
      <c r="I133" s="11"/>
      <c r="J133" s="18" t="s">
        <v>44</v>
      </c>
      <c r="K133" s="18" t="s">
        <v>87</v>
      </c>
      <c r="L133" s="58" t="s">
        <v>65</v>
      </c>
      <c r="M133" s="18">
        <f>[1]!f_prt_stocktonav(B133,"2017/03/31")</f>
        <v>73.958328247070312</v>
      </c>
      <c r="N133" s="20" t="str">
        <f>[1]!f_info_fundmanager(B133)</f>
        <v>蔡滨</v>
      </c>
      <c r="O133" s="21">
        <v>1.1561643835616437</v>
      </c>
      <c r="P133" s="34" t="s">
        <v>674</v>
      </c>
      <c r="Q133" s="34" t="s">
        <v>675</v>
      </c>
      <c r="R133" s="34" t="s">
        <v>413</v>
      </c>
      <c r="S133" s="34">
        <v>20160203</v>
      </c>
      <c r="T133" s="45">
        <v>0.4923774092</v>
      </c>
      <c r="U133" s="46">
        <v>0.53751602359999995</v>
      </c>
      <c r="V133" s="34" t="s">
        <v>231</v>
      </c>
      <c r="W133" s="34" t="s">
        <v>44</v>
      </c>
      <c r="X133" s="34" t="s">
        <v>87</v>
      </c>
      <c r="Y133" s="34" t="s">
        <v>65</v>
      </c>
      <c r="Z133" s="34" t="s">
        <v>676</v>
      </c>
      <c r="AA133" s="34"/>
      <c r="AB133" s="22">
        <v>0.78382919311523436</v>
      </c>
      <c r="AC133" s="23" t="s">
        <v>677</v>
      </c>
      <c r="AD133" s="24">
        <v>0.92602739726027394</v>
      </c>
      <c r="AE133" s="25">
        <v>0.13780563466682039</v>
      </c>
      <c r="AF133" s="26">
        <v>0</v>
      </c>
      <c r="AG133" s="26">
        <v>0</v>
      </c>
      <c r="AH133" s="27">
        <v>1.2261543115330347</v>
      </c>
      <c r="AI133" s="27">
        <v>1.2261543115330347</v>
      </c>
      <c r="AJ133" s="27">
        <v>1.2261543115330347</v>
      </c>
      <c r="AK133" s="33" t="s">
        <v>678</v>
      </c>
      <c r="AL133" s="29" t="s">
        <v>48</v>
      </c>
      <c r="AM133" s="29" t="s">
        <v>48</v>
      </c>
      <c r="AN133" s="29" t="s">
        <v>48</v>
      </c>
      <c r="AO133" s="47" t="s">
        <v>679</v>
      </c>
      <c r="AP133" s="28">
        <v>0</v>
      </c>
      <c r="AQ133" s="26">
        <v>1.4999999999999999E-2</v>
      </c>
      <c r="AR133" s="26">
        <v>0</v>
      </c>
    </row>
    <row r="134" spans="1:44" x14ac:dyDescent="0.15">
      <c r="A134">
        <v>157</v>
      </c>
      <c r="B134" s="11">
        <v>1604</v>
      </c>
      <c r="C134" s="32"/>
      <c r="D134" s="32">
        <v>-1.45477606951464E-3</v>
      </c>
      <c r="E134" s="32">
        <v>57</v>
      </c>
      <c r="F134" s="32">
        <v>0.20471166920393899</v>
      </c>
      <c r="G134" s="11"/>
      <c r="H134" s="11"/>
      <c r="I134" s="11"/>
      <c r="J134" s="18" t="s">
        <v>44</v>
      </c>
      <c r="K134" s="18" t="s">
        <v>45</v>
      </c>
      <c r="L134" s="58" t="s">
        <v>65</v>
      </c>
      <c r="M134" s="18">
        <f>[1]!f_prt_stocktonav(B134,"2017/03/31")</f>
        <v>92.609092712402344</v>
      </c>
      <c r="N134" s="20" t="str">
        <f>[1]!f_info_fundmanager(B134)</f>
        <v>赵语涛</v>
      </c>
      <c r="O134" s="21">
        <v>1.0849315068493151</v>
      </c>
      <c r="P134" s="34" t="s">
        <v>680</v>
      </c>
      <c r="Q134" s="34" t="s">
        <v>681</v>
      </c>
      <c r="R134" s="34" t="s">
        <v>682</v>
      </c>
      <c r="S134" s="34">
        <v>20160203</v>
      </c>
      <c r="T134" s="45">
        <v>0.56674230869999997</v>
      </c>
      <c r="U134" s="46">
        <v>0.68630218850000002</v>
      </c>
      <c r="V134" s="34" t="s">
        <v>231</v>
      </c>
      <c r="W134" s="34" t="s">
        <v>44</v>
      </c>
      <c r="X134" s="34" t="s">
        <v>45</v>
      </c>
      <c r="Y134" s="34" t="s">
        <v>65</v>
      </c>
      <c r="Z134" s="34"/>
      <c r="AA134" s="34"/>
      <c r="AB134" s="22">
        <v>0.86727607727050782</v>
      </c>
      <c r="AC134" s="23" t="s">
        <v>683</v>
      </c>
      <c r="AD134" s="24">
        <v>0.85479452054794525</v>
      </c>
      <c r="AE134" s="25">
        <v>-4.3758544043259635E-2</v>
      </c>
      <c r="AF134" s="26">
        <v>0</v>
      </c>
      <c r="AG134" s="26">
        <v>0</v>
      </c>
      <c r="AH134" s="27">
        <v>-0.89890105740714932</v>
      </c>
      <c r="AI134" s="27">
        <v>-0.89890105740714932</v>
      </c>
      <c r="AJ134" s="27">
        <v>-0.89890105740714932</v>
      </c>
      <c r="AK134" s="28" t="s">
        <v>684</v>
      </c>
      <c r="AL134" s="29" t="s">
        <v>48</v>
      </c>
      <c r="AM134" s="29" t="s">
        <v>48</v>
      </c>
      <c r="AN134" s="29" t="s">
        <v>48</v>
      </c>
      <c r="AO134" s="47" t="s">
        <v>367</v>
      </c>
      <c r="AP134" s="28">
        <v>0</v>
      </c>
      <c r="AQ134" s="26">
        <v>1.4999999999999999E-2</v>
      </c>
      <c r="AR134" s="26">
        <v>0</v>
      </c>
    </row>
    <row r="135" spans="1:44" x14ac:dyDescent="0.15">
      <c r="A135">
        <v>534</v>
      </c>
      <c r="B135" s="11">
        <v>2124</v>
      </c>
      <c r="C135" s="32"/>
      <c r="D135" s="32">
        <v>4.9585331586044304E-4</v>
      </c>
      <c r="E135" s="32">
        <v>61</v>
      </c>
      <c r="F135" s="32">
        <v>0.78358461893529896</v>
      </c>
      <c r="G135" s="11"/>
      <c r="H135" s="11"/>
      <c r="I135" s="11"/>
      <c r="J135" s="18" t="s">
        <v>44</v>
      </c>
      <c r="K135" s="18" t="s">
        <v>45</v>
      </c>
      <c r="L135" s="58" t="s">
        <v>337</v>
      </c>
      <c r="M135" s="18">
        <f>[1]!f_prt_stocktonav(B135,"2017/03/31")</f>
        <v>84.561042785644531</v>
      </c>
      <c r="N135" s="20" t="str">
        <f>[1]!f_info_fundmanager(B135)</f>
        <v>李巍,王小松</v>
      </c>
      <c r="O135" s="21">
        <v>1.1698630136986301</v>
      </c>
      <c r="P135" s="34" t="s">
        <v>685</v>
      </c>
      <c r="Q135" s="34" t="s">
        <v>686</v>
      </c>
      <c r="R135" s="34" t="s">
        <v>132</v>
      </c>
      <c r="S135" s="34">
        <v>20160129</v>
      </c>
      <c r="T135" s="45">
        <v>1.2048000752000001</v>
      </c>
      <c r="U135" s="46">
        <v>1.0439369324000001</v>
      </c>
      <c r="V135" s="34" t="s">
        <v>231</v>
      </c>
      <c r="W135" s="34" t="s">
        <v>44</v>
      </c>
      <c r="X135" s="17" t="s">
        <v>45</v>
      </c>
      <c r="Y135" s="17" t="s">
        <v>65</v>
      </c>
      <c r="Z135" s="34"/>
      <c r="AA135" s="34"/>
      <c r="AB135" s="22">
        <v>0.73040298461914066</v>
      </c>
      <c r="AC135" s="23" t="s">
        <v>687</v>
      </c>
      <c r="AD135" s="24">
        <v>0.9397260273972603</v>
      </c>
      <c r="AE135" s="25">
        <v>0.1258270766713665</v>
      </c>
      <c r="AF135" s="26">
        <v>0</v>
      </c>
      <c r="AG135" s="26">
        <v>0</v>
      </c>
      <c r="AH135" s="27">
        <v>1.0507952328662657</v>
      </c>
      <c r="AI135" s="27">
        <v>1.0507952328662657</v>
      </c>
      <c r="AJ135" s="27">
        <v>1.0507952328662657</v>
      </c>
      <c r="AK135" s="28" t="s">
        <v>688</v>
      </c>
      <c r="AL135" s="29" t="s">
        <v>48</v>
      </c>
      <c r="AM135" s="29" t="s">
        <v>48</v>
      </c>
      <c r="AN135" s="29" t="s">
        <v>48</v>
      </c>
      <c r="AO135" s="47" t="s">
        <v>689</v>
      </c>
      <c r="AP135" s="28">
        <v>0</v>
      </c>
      <c r="AQ135" s="26">
        <v>1.4999999999999999E-2</v>
      </c>
      <c r="AR135" s="26">
        <v>0</v>
      </c>
    </row>
    <row r="136" spans="1:44" x14ac:dyDescent="0.15">
      <c r="A136">
        <v>543</v>
      </c>
      <c r="B136" s="11">
        <v>1719</v>
      </c>
      <c r="C136" s="32"/>
      <c r="D136" s="32">
        <v>-3.54490490427797E-3</v>
      </c>
      <c r="E136" s="32">
        <v>61</v>
      </c>
      <c r="F136" s="32">
        <v>8.5220439747372798E-2</v>
      </c>
      <c r="G136" s="11"/>
      <c r="H136" s="11"/>
      <c r="I136" s="11"/>
      <c r="J136" s="18" t="s">
        <v>44</v>
      </c>
      <c r="K136" s="18" t="s">
        <v>87</v>
      </c>
      <c r="L136" s="58" t="s">
        <v>274</v>
      </c>
      <c r="M136" s="18">
        <f>[1]!f_prt_stocktonav(B136,"2017/03/31")</f>
        <v>84.166488647460938</v>
      </c>
      <c r="N136" s="20" t="str">
        <f>[1]!f_info_fundmanager(B136)</f>
        <v>黄安乐</v>
      </c>
      <c r="O136" s="21">
        <v>1.1698630136986301</v>
      </c>
      <c r="P136" s="34" t="s">
        <v>690</v>
      </c>
      <c r="Q136" s="34" t="s">
        <v>691</v>
      </c>
      <c r="R136" s="34" t="s">
        <v>523</v>
      </c>
      <c r="S136" s="34">
        <v>20160129</v>
      </c>
      <c r="T136" s="45">
        <v>0.65866639890000001</v>
      </c>
      <c r="U136" s="46">
        <v>0.72284090739999995</v>
      </c>
      <c r="V136" s="34" t="s">
        <v>231</v>
      </c>
      <c r="W136" s="34" t="s">
        <v>44</v>
      </c>
      <c r="X136" s="34" t="s">
        <v>87</v>
      </c>
      <c r="Y136" s="34" t="s">
        <v>65</v>
      </c>
      <c r="Z136" s="34" t="s">
        <v>692</v>
      </c>
      <c r="AA136" s="34"/>
      <c r="AB136" s="22">
        <v>0.91002548217773438</v>
      </c>
      <c r="AC136" s="23" t="s">
        <v>693</v>
      </c>
      <c r="AD136" s="24">
        <v>0.9397260273972603</v>
      </c>
      <c r="AE136" s="25">
        <v>-9.0397550992726838E-2</v>
      </c>
      <c r="AF136" s="26">
        <v>0</v>
      </c>
      <c r="AG136" s="26">
        <v>0</v>
      </c>
      <c r="AH136" s="27">
        <v>-0.60573884097182096</v>
      </c>
      <c r="AI136" s="27">
        <v>-0.60573884097182096</v>
      </c>
      <c r="AJ136" s="27">
        <v>-0.60573884097182096</v>
      </c>
      <c r="AK136" s="33" t="s">
        <v>694</v>
      </c>
      <c r="AL136" s="29" t="s">
        <v>48</v>
      </c>
      <c r="AM136" s="29" t="s">
        <v>48</v>
      </c>
      <c r="AN136" s="29" t="s">
        <v>48</v>
      </c>
      <c r="AO136" s="47" t="s">
        <v>255</v>
      </c>
      <c r="AP136" s="28">
        <v>0</v>
      </c>
      <c r="AQ136" s="26">
        <v>1.4999999999999999E-2</v>
      </c>
      <c r="AR136" s="26">
        <v>0</v>
      </c>
    </row>
    <row r="137" spans="1:44" x14ac:dyDescent="0.15">
      <c r="A137">
        <v>706</v>
      </c>
      <c r="B137" s="11">
        <v>519132</v>
      </c>
      <c r="C137" s="32"/>
      <c r="D137" s="32">
        <v>-2.07967477408456E-3</v>
      </c>
      <c r="E137" s="32">
        <v>61</v>
      </c>
      <c r="F137" s="32">
        <v>2.6296499684153301E-2</v>
      </c>
      <c r="G137" s="11"/>
      <c r="H137" s="11"/>
      <c r="I137" s="11"/>
      <c r="J137" s="18" t="s">
        <v>44</v>
      </c>
      <c r="K137" s="18" t="s">
        <v>45</v>
      </c>
      <c r="L137" s="58" t="s">
        <v>274</v>
      </c>
      <c r="M137" s="18">
        <f>[1]!f_prt_stocktonav(B137,"2017/03/31")</f>
        <v>79.83074951171875</v>
      </c>
      <c r="N137" s="20" t="str">
        <f>[1]!f_info_fundmanager(B137)</f>
        <v>陈甄璞</v>
      </c>
      <c r="O137" s="21">
        <v>1.1698630136986301</v>
      </c>
      <c r="P137" s="34" t="s">
        <v>695</v>
      </c>
      <c r="Q137" s="34" t="s">
        <v>696</v>
      </c>
      <c r="R137" s="34" t="s">
        <v>496</v>
      </c>
      <c r="S137" s="34">
        <v>20160129</v>
      </c>
      <c r="T137" s="45">
        <v>0.66473693899999997</v>
      </c>
      <c r="U137" s="46">
        <v>1.2650195056</v>
      </c>
      <c r="V137" s="34" t="s">
        <v>231</v>
      </c>
      <c r="W137" s="34" t="s">
        <v>44</v>
      </c>
      <c r="X137" s="17" t="s">
        <v>45</v>
      </c>
      <c r="Y137" s="17" t="s">
        <v>65</v>
      </c>
      <c r="Z137" s="34"/>
      <c r="AA137" s="34"/>
      <c r="AB137" s="22">
        <v>0.87340362548828121</v>
      </c>
      <c r="AC137" s="23" t="s">
        <v>697</v>
      </c>
      <c r="AD137" s="24">
        <v>0.9397260273972603</v>
      </c>
      <c r="AE137" s="25">
        <v>3.8931031148442319E-2</v>
      </c>
      <c r="AF137" s="26">
        <v>0</v>
      </c>
      <c r="AG137" s="26">
        <v>0</v>
      </c>
      <c r="AH137" s="27">
        <v>0.25329606333758375</v>
      </c>
      <c r="AI137" s="27">
        <v>0.25329606333758375</v>
      </c>
      <c r="AJ137" s="27">
        <v>0.25329606333758375</v>
      </c>
      <c r="AK137" s="28" t="s">
        <v>323</v>
      </c>
      <c r="AL137" s="29" t="s">
        <v>48</v>
      </c>
      <c r="AM137" s="29" t="s">
        <v>48</v>
      </c>
      <c r="AN137" s="29" t="s">
        <v>48</v>
      </c>
      <c r="AO137" s="47" t="s">
        <v>310</v>
      </c>
      <c r="AP137" s="28">
        <v>0</v>
      </c>
      <c r="AQ137" s="26">
        <v>1.600000023841858E-2</v>
      </c>
      <c r="AR137" s="26">
        <v>0</v>
      </c>
    </row>
    <row r="138" spans="1:44" x14ac:dyDescent="0.15">
      <c r="A138">
        <v>918</v>
      </c>
      <c r="B138" s="11">
        <v>1940</v>
      </c>
      <c r="C138" s="32"/>
      <c r="D138" s="32">
        <v>1.0804991121435999E-3</v>
      </c>
      <c r="E138" s="32">
        <v>61</v>
      </c>
      <c r="F138" s="32">
        <v>0.459195954780453</v>
      </c>
      <c r="G138" s="11"/>
      <c r="H138" s="11"/>
      <c r="I138" s="11"/>
      <c r="J138" s="18" t="s">
        <v>44</v>
      </c>
      <c r="K138" s="18" t="s">
        <v>45</v>
      </c>
      <c r="L138" s="58" t="s">
        <v>65</v>
      </c>
      <c r="M138" s="18">
        <f>[1]!f_prt_stocktonav(B138,"2017/03/31")</f>
        <v>71.676483154296875</v>
      </c>
      <c r="N138" s="20" t="str">
        <f>[1]!f_info_fundmanager(B138)</f>
        <v>郭世凯</v>
      </c>
      <c r="O138" s="21">
        <v>1.1698630136986301</v>
      </c>
      <c r="P138" s="34" t="s">
        <v>698</v>
      </c>
      <c r="Q138" s="34" t="s">
        <v>699</v>
      </c>
      <c r="R138" s="34" t="s">
        <v>424</v>
      </c>
      <c r="S138" s="34">
        <v>20160129</v>
      </c>
      <c r="T138" s="45">
        <v>2.4591034039999999</v>
      </c>
      <c r="U138" s="46">
        <v>3.3271462933999998</v>
      </c>
      <c r="V138" s="34" t="s">
        <v>231</v>
      </c>
      <c r="W138" s="34" t="s">
        <v>41</v>
      </c>
      <c r="X138" s="34" t="s">
        <v>42</v>
      </c>
      <c r="Y138" s="34" t="s">
        <v>181</v>
      </c>
      <c r="Z138" s="34"/>
      <c r="AA138" s="34"/>
      <c r="AB138" s="22">
        <v>0.63142250061035154</v>
      </c>
      <c r="AC138" s="23" t="s">
        <v>700</v>
      </c>
      <c r="AD138" s="24">
        <v>0.9397260273972603</v>
      </c>
      <c r="AE138" s="25">
        <v>1.0046619246983246E-2</v>
      </c>
      <c r="AF138" s="26">
        <v>0</v>
      </c>
      <c r="AG138" s="26">
        <v>0</v>
      </c>
      <c r="AH138" s="27">
        <v>-4.4410875486872989E-2</v>
      </c>
      <c r="AI138" s="27">
        <v>-4.4410875486872989E-2</v>
      </c>
      <c r="AJ138" s="27">
        <v>-4.4410875486872989E-2</v>
      </c>
      <c r="AK138" s="28" t="s">
        <v>701</v>
      </c>
      <c r="AL138" s="29" t="s">
        <v>48</v>
      </c>
      <c r="AM138" s="29" t="s">
        <v>48</v>
      </c>
      <c r="AN138" s="29" t="s">
        <v>48</v>
      </c>
      <c r="AO138" s="47" t="s">
        <v>702</v>
      </c>
      <c r="AP138" s="28">
        <v>0</v>
      </c>
      <c r="AQ138" s="26">
        <v>1.4999999999999999E-2</v>
      </c>
      <c r="AR138" s="26">
        <v>0</v>
      </c>
    </row>
    <row r="139" spans="1:44" x14ac:dyDescent="0.15">
      <c r="A139">
        <v>613</v>
      </c>
      <c r="B139" s="11">
        <v>1223</v>
      </c>
      <c r="C139" s="32"/>
      <c r="D139" s="32">
        <v>-2.1384033513285899E-4</v>
      </c>
      <c r="E139" s="32">
        <v>62</v>
      </c>
      <c r="F139" s="32">
        <v>0.87583771661537901</v>
      </c>
      <c r="G139" s="11"/>
      <c r="H139" s="11"/>
      <c r="I139" s="11"/>
      <c r="J139" s="18" t="s">
        <v>44</v>
      </c>
      <c r="K139" s="18" t="s">
        <v>87</v>
      </c>
      <c r="L139" s="58" t="s">
        <v>817</v>
      </c>
      <c r="M139" s="18">
        <f>[1]!f_prt_stocktonav(B139,"2017/03/31")</f>
        <v>82.538810729980469</v>
      </c>
      <c r="N139" s="20" t="str">
        <f>[1]!f_info_fundmanager(B139)</f>
        <v>谢书英</v>
      </c>
      <c r="O139" s="21">
        <v>1.1753424657534246</v>
      </c>
      <c r="P139" s="34" t="s">
        <v>703</v>
      </c>
      <c r="Q139" s="34" t="s">
        <v>704</v>
      </c>
      <c r="R139" s="34" t="s">
        <v>705</v>
      </c>
      <c r="S139" s="34">
        <v>20160127</v>
      </c>
      <c r="T139" s="45">
        <v>0.56142683029999996</v>
      </c>
      <c r="U139" s="46">
        <v>0.67550626209999998</v>
      </c>
      <c r="V139" s="34" t="s">
        <v>231</v>
      </c>
      <c r="W139" s="34" t="s">
        <v>44</v>
      </c>
      <c r="X139" s="34" t="s">
        <v>45</v>
      </c>
      <c r="Y139" s="34" t="s">
        <v>65</v>
      </c>
      <c r="Z139" s="34"/>
      <c r="AA139" s="34"/>
      <c r="AB139" s="22">
        <v>0.83403579711914066</v>
      </c>
      <c r="AC139" s="23" t="s">
        <v>706</v>
      </c>
      <c r="AD139" s="24">
        <v>0.9452054794520548</v>
      </c>
      <c r="AE139" s="25">
        <v>6.6707717315177995E-2</v>
      </c>
      <c r="AF139" s="26">
        <v>0</v>
      </c>
      <c r="AG139" s="26">
        <v>0</v>
      </c>
      <c r="AH139" s="27">
        <v>0.44897495236608559</v>
      </c>
      <c r="AI139" s="27">
        <v>0.44897495236608559</v>
      </c>
      <c r="AJ139" s="27">
        <v>0.44897495236608559</v>
      </c>
      <c r="AK139" s="28" t="s">
        <v>707</v>
      </c>
      <c r="AL139" s="29" t="s">
        <v>48</v>
      </c>
      <c r="AM139" s="29" t="s">
        <v>48</v>
      </c>
      <c r="AN139" s="29" t="s">
        <v>48</v>
      </c>
      <c r="AO139" s="47" t="s">
        <v>708</v>
      </c>
      <c r="AP139" s="28">
        <v>0</v>
      </c>
      <c r="AQ139" s="26">
        <v>1.4999999999999999E-2</v>
      </c>
      <c r="AR139" s="26">
        <v>0</v>
      </c>
    </row>
    <row r="140" spans="1:44" x14ac:dyDescent="0.15">
      <c r="A140">
        <v>824</v>
      </c>
      <c r="B140" s="11">
        <v>1829</v>
      </c>
      <c r="C140" s="32"/>
      <c r="D140" s="32">
        <v>-1.21357252917536E-3</v>
      </c>
      <c r="E140" s="32">
        <v>62</v>
      </c>
      <c r="F140" s="32">
        <v>0.29161292793709498</v>
      </c>
      <c r="G140" s="11"/>
      <c r="H140" s="11"/>
      <c r="I140" s="11"/>
      <c r="J140" s="18" t="s">
        <v>44</v>
      </c>
      <c r="K140" s="18" t="s">
        <v>87</v>
      </c>
      <c r="L140" s="58" t="s">
        <v>274</v>
      </c>
      <c r="M140" s="18">
        <f>[1]!f_prt_stocktonav(B140,"2017/03/31")</f>
        <v>75.816932678222656</v>
      </c>
      <c r="N140" s="20" t="str">
        <f>[1]!f_info_fundmanager(B140)</f>
        <v>高峰</v>
      </c>
      <c r="O140" s="21">
        <v>1.1753424657534246</v>
      </c>
      <c r="P140" s="34" t="s">
        <v>709</v>
      </c>
      <c r="Q140" s="34" t="s">
        <v>710</v>
      </c>
      <c r="R140" s="34" t="s">
        <v>711</v>
      </c>
      <c r="S140" s="34">
        <v>20160127</v>
      </c>
      <c r="T140" s="45">
        <v>2.3136250054</v>
      </c>
      <c r="U140" s="46">
        <v>0.8290628874</v>
      </c>
      <c r="V140" s="34" t="s">
        <v>231</v>
      </c>
      <c r="W140" s="34" t="s">
        <v>44</v>
      </c>
      <c r="X140" s="34" t="s">
        <v>87</v>
      </c>
      <c r="Y140" s="34" t="s">
        <v>65</v>
      </c>
      <c r="Z140" s="34" t="s">
        <v>712</v>
      </c>
      <c r="AA140" s="34"/>
      <c r="AB140" s="22">
        <v>0.94356727600097656</v>
      </c>
      <c r="AC140" s="23" t="s">
        <v>713</v>
      </c>
      <c r="AD140" s="24">
        <v>0.9452054794520548</v>
      </c>
      <c r="AE140" s="25">
        <v>0.12937194449061784</v>
      </c>
      <c r="AF140" s="26">
        <v>0</v>
      </c>
      <c r="AG140" s="26">
        <v>0</v>
      </c>
      <c r="AH140" s="27">
        <v>1.0724679355845872</v>
      </c>
      <c r="AI140" s="27">
        <v>1.0724679355845872</v>
      </c>
      <c r="AJ140" s="27">
        <v>1.0724679355845872</v>
      </c>
      <c r="AK140" s="33" t="s">
        <v>714</v>
      </c>
      <c r="AL140" s="29" t="s">
        <v>48</v>
      </c>
      <c r="AM140" s="29" t="s">
        <v>48</v>
      </c>
      <c r="AN140" s="29" t="s">
        <v>48</v>
      </c>
      <c r="AO140" s="47" t="s">
        <v>715</v>
      </c>
      <c r="AP140" s="28">
        <v>0</v>
      </c>
      <c r="AQ140" s="26">
        <v>1.4999999999999999E-2</v>
      </c>
      <c r="AR140" s="26">
        <v>0</v>
      </c>
    </row>
    <row r="141" spans="1:44" x14ac:dyDescent="0.15">
      <c r="A141">
        <v>47</v>
      </c>
      <c r="B141" s="11">
        <v>519196</v>
      </c>
      <c r="C141" s="32"/>
      <c r="D141" s="32">
        <v>-2.9664254652713102E-3</v>
      </c>
      <c r="E141" s="32">
        <v>62</v>
      </c>
      <c r="F141" s="32">
        <v>9.9368358739575099E-2</v>
      </c>
      <c r="G141" s="11"/>
      <c r="H141" s="11"/>
      <c r="I141" s="11"/>
      <c r="J141" s="18" t="s">
        <v>44</v>
      </c>
      <c r="K141" s="18" t="s">
        <v>45</v>
      </c>
      <c r="L141" s="58" t="s">
        <v>65</v>
      </c>
      <c r="M141" s="18">
        <f>[1]!f_prt_stocktonav(B141,"2017/03/31")</f>
        <v>94.338020324707031</v>
      </c>
      <c r="N141" s="20" t="str">
        <f>[1]!f_info_fundmanager(B141)</f>
        <v>莫海波</v>
      </c>
      <c r="O141" s="21">
        <v>1.178082191780822</v>
      </c>
      <c r="P141" s="34" t="s">
        <v>716</v>
      </c>
      <c r="Q141" s="34" t="s">
        <v>717</v>
      </c>
      <c r="R141" s="34" t="s">
        <v>718</v>
      </c>
      <c r="S141" s="34">
        <v>20160126</v>
      </c>
      <c r="T141" s="45">
        <v>0.55172388189999999</v>
      </c>
      <c r="U141" s="46">
        <v>0.46248188849999999</v>
      </c>
      <c r="V141" s="34" t="s">
        <v>231</v>
      </c>
      <c r="W141" s="34" t="s">
        <v>44</v>
      </c>
      <c r="X141" s="34" t="s">
        <v>45</v>
      </c>
      <c r="Y141" s="34" t="s">
        <v>65</v>
      </c>
      <c r="Z141" s="34"/>
      <c r="AA141" s="34"/>
      <c r="AB141" s="22">
        <v>0.91349113464355469</v>
      </c>
      <c r="AC141" s="23" t="s">
        <v>719</v>
      </c>
      <c r="AD141" s="24">
        <v>0.94794520547945205</v>
      </c>
      <c r="AE141" s="25">
        <v>0.13609164360938397</v>
      </c>
      <c r="AF141" s="26">
        <v>0</v>
      </c>
      <c r="AG141" s="26">
        <v>0</v>
      </c>
      <c r="AH141" s="27">
        <v>0.67188529091627758</v>
      </c>
      <c r="AI141" s="27">
        <v>0.67188529091627758</v>
      </c>
      <c r="AJ141" s="27">
        <v>0.67188529091627758</v>
      </c>
      <c r="AK141" s="28" t="s">
        <v>720</v>
      </c>
      <c r="AL141" s="29" t="s">
        <v>48</v>
      </c>
      <c r="AM141" s="29" t="s">
        <v>48</v>
      </c>
      <c r="AN141" s="29" t="s">
        <v>48</v>
      </c>
      <c r="AO141" s="47" t="s">
        <v>721</v>
      </c>
      <c r="AP141" s="28">
        <v>0</v>
      </c>
      <c r="AQ141" s="26">
        <v>1.4999999999999999E-2</v>
      </c>
      <c r="AR141" s="26">
        <v>0</v>
      </c>
    </row>
    <row r="142" spans="1:44" x14ac:dyDescent="0.15">
      <c r="A142">
        <v>185</v>
      </c>
      <c r="B142" s="11">
        <v>1956</v>
      </c>
      <c r="C142" s="32"/>
      <c r="D142" s="32">
        <v>1.6783333780962799E-3</v>
      </c>
      <c r="E142" s="32">
        <v>62</v>
      </c>
      <c r="F142" s="32">
        <v>0.38455561031879898</v>
      </c>
      <c r="G142" s="11"/>
      <c r="H142" s="11"/>
      <c r="I142" s="11"/>
      <c r="J142" s="18" t="s">
        <v>44</v>
      </c>
      <c r="K142" s="18" t="s">
        <v>45</v>
      </c>
      <c r="L142" s="58" t="s">
        <v>65</v>
      </c>
      <c r="M142" s="18">
        <f>[1]!f_prt_stocktonav(B142,"2017/03/31")</f>
        <v>92.02655029296875</v>
      </c>
      <c r="N142" s="20" t="str">
        <f>[1]!f_info_fundmanager(B142)</f>
        <v>潘明</v>
      </c>
      <c r="O142" s="21">
        <v>1.178082191780822</v>
      </c>
      <c r="P142" s="34" t="s">
        <v>722</v>
      </c>
      <c r="Q142" s="34" t="s">
        <v>723</v>
      </c>
      <c r="R142" s="34" t="s">
        <v>724</v>
      </c>
      <c r="S142" s="34">
        <v>20160126</v>
      </c>
      <c r="T142" s="45">
        <v>0.53445271319999998</v>
      </c>
      <c r="U142" s="46">
        <v>0.67034324909999998</v>
      </c>
      <c r="V142" s="34" t="s">
        <v>231</v>
      </c>
      <c r="W142" s="34" t="s">
        <v>44</v>
      </c>
      <c r="X142" s="34" t="s">
        <v>45</v>
      </c>
      <c r="Y142" s="34" t="s">
        <v>65</v>
      </c>
      <c r="Z142" s="34"/>
      <c r="AA142" s="34"/>
      <c r="AB142" s="22">
        <v>0.84037010192871098</v>
      </c>
      <c r="AC142" s="23" t="s">
        <v>725</v>
      </c>
      <c r="AD142" s="24">
        <v>0.94794520547945205</v>
      </c>
      <c r="AE142" s="25">
        <v>-6.5150364621593293E-2</v>
      </c>
      <c r="AF142" s="26">
        <v>0</v>
      </c>
      <c r="AG142" s="26">
        <v>0</v>
      </c>
      <c r="AH142" s="27">
        <v>-0.41618653286477525</v>
      </c>
      <c r="AI142" s="27">
        <v>-0.41618653286477525</v>
      </c>
      <c r="AJ142" s="27">
        <v>-0.41618653286477525</v>
      </c>
      <c r="AK142" s="28" t="s">
        <v>726</v>
      </c>
      <c r="AL142" s="29" t="s">
        <v>48</v>
      </c>
      <c r="AM142" s="29" t="s">
        <v>48</v>
      </c>
      <c r="AN142" s="29" t="s">
        <v>48</v>
      </c>
      <c r="AO142" s="47" t="s">
        <v>727</v>
      </c>
      <c r="AP142" s="28">
        <v>0</v>
      </c>
      <c r="AQ142" s="26">
        <v>1.4999999999999999E-2</v>
      </c>
      <c r="AR142" s="26">
        <v>0</v>
      </c>
    </row>
    <row r="143" spans="1:44" x14ac:dyDescent="0.15">
      <c r="A143">
        <v>453</v>
      </c>
      <c r="B143" s="11">
        <v>1972</v>
      </c>
      <c r="C143" s="32"/>
      <c r="D143" s="32">
        <v>7.3374697493296606E-5</v>
      </c>
      <c r="E143" s="32">
        <v>62</v>
      </c>
      <c r="F143" s="32">
        <v>0.95624352123618905</v>
      </c>
      <c r="G143" s="11"/>
      <c r="H143" s="11"/>
      <c r="I143" s="11"/>
      <c r="J143" s="18" t="s">
        <v>44</v>
      </c>
      <c r="K143" s="18" t="s">
        <v>45</v>
      </c>
      <c r="L143" s="58" t="s">
        <v>354</v>
      </c>
      <c r="M143" s="18">
        <f>[1]!f_prt_stocktonav(B143,"2017/03/31")</f>
        <v>86.197074890136719</v>
      </c>
      <c r="N143" s="20" t="str">
        <f>[1]!f_info_fundmanager(B143)</f>
        <v>赵雪芹</v>
      </c>
      <c r="O143" s="21">
        <v>1.178082191780822</v>
      </c>
      <c r="P143" s="34" t="s">
        <v>728</v>
      </c>
      <c r="Q143" s="34" t="s">
        <v>729</v>
      </c>
      <c r="R143" s="34" t="s">
        <v>78</v>
      </c>
      <c r="S143" s="34">
        <v>20160126</v>
      </c>
      <c r="T143" s="45">
        <v>1.0408708909</v>
      </c>
      <c r="U143" s="46">
        <v>1.0725020048</v>
      </c>
      <c r="V143" s="34" t="s">
        <v>231</v>
      </c>
      <c r="W143" s="34" t="s">
        <v>44</v>
      </c>
      <c r="X143" s="17" t="s">
        <v>45</v>
      </c>
      <c r="Y143" s="17" t="s">
        <v>65</v>
      </c>
      <c r="Z143" s="34"/>
      <c r="AA143" s="34"/>
      <c r="AB143" s="22">
        <v>0.77507133483886714</v>
      </c>
      <c r="AC143" s="23" t="s">
        <v>730</v>
      </c>
      <c r="AD143" s="24">
        <v>0.94794520547945205</v>
      </c>
      <c r="AE143" s="25">
        <v>0.12789016099427553</v>
      </c>
      <c r="AF143" s="26">
        <v>0</v>
      </c>
      <c r="AG143" s="26">
        <v>0</v>
      </c>
      <c r="AH143" s="27">
        <v>0.95134901557194684</v>
      </c>
      <c r="AI143" s="27">
        <v>0.95134901557194684</v>
      </c>
      <c r="AJ143" s="27">
        <v>0.95134901557194684</v>
      </c>
      <c r="AK143" s="28" t="s">
        <v>196</v>
      </c>
      <c r="AL143" s="29" t="s">
        <v>48</v>
      </c>
      <c r="AM143" s="29" t="s">
        <v>48</v>
      </c>
      <c r="AN143" s="29" t="s">
        <v>48</v>
      </c>
      <c r="AO143" s="47" t="s">
        <v>270</v>
      </c>
      <c r="AP143" s="28">
        <v>0</v>
      </c>
      <c r="AQ143" s="26">
        <v>1.4999999999999999E-2</v>
      </c>
      <c r="AR143" s="26">
        <v>0</v>
      </c>
    </row>
    <row r="144" spans="1:44" x14ac:dyDescent="0.15">
      <c r="A144">
        <v>170</v>
      </c>
      <c r="B144" s="11">
        <v>2210</v>
      </c>
      <c r="C144" s="32"/>
      <c r="D144" s="32">
        <v>-1.8512652534611201E-3</v>
      </c>
      <c r="E144" s="32">
        <v>62</v>
      </c>
      <c r="F144" s="32">
        <v>4.1148610368715803E-2</v>
      </c>
      <c r="G144" s="11"/>
      <c r="H144" s="11"/>
      <c r="I144" s="11"/>
      <c r="J144" s="18" t="s">
        <v>44</v>
      </c>
      <c r="K144" s="18" t="s">
        <v>64</v>
      </c>
      <c r="L144" s="58" t="s">
        <v>274</v>
      </c>
      <c r="M144" s="18">
        <f>[1]!f_prt_stocktonav(B144,"2017/03/31")</f>
        <v>92.330696105957031</v>
      </c>
      <c r="N144" s="20" t="str">
        <f>[1]!f_info_fundmanager(B144)</f>
        <v>程志田,庞世恩</v>
      </c>
      <c r="O144" s="21">
        <v>1.189041095890411</v>
      </c>
      <c r="P144" s="34" t="s">
        <v>731</v>
      </c>
      <c r="Q144" s="34" t="s">
        <v>732</v>
      </c>
      <c r="R144" s="34" t="s">
        <v>159</v>
      </c>
      <c r="S144" s="34">
        <v>20160122</v>
      </c>
      <c r="T144" s="45">
        <v>18.316157593700002</v>
      </c>
      <c r="U144" s="46">
        <v>2.4388405091999998</v>
      </c>
      <c r="V144" s="34" t="s">
        <v>231</v>
      </c>
      <c r="W144" s="34" t="s">
        <v>44</v>
      </c>
      <c r="X144" s="34" t="s">
        <v>64</v>
      </c>
      <c r="Y144" s="34" t="s">
        <v>65</v>
      </c>
      <c r="Z144" s="34"/>
      <c r="AA144" s="34"/>
      <c r="AB144" s="22">
        <v>0.91363563537597658</v>
      </c>
      <c r="AC144" s="23" t="s">
        <v>733</v>
      </c>
      <c r="AD144" s="24">
        <v>0.95890410958904104</v>
      </c>
      <c r="AE144" s="25">
        <v>0.26413146835317369</v>
      </c>
      <c r="AF144" s="26">
        <v>0</v>
      </c>
      <c r="AG144" s="26">
        <v>0</v>
      </c>
      <c r="AH144" s="27">
        <v>1.7510928338374521</v>
      </c>
      <c r="AI144" s="27">
        <v>1.7510928338374521</v>
      </c>
      <c r="AJ144" s="27">
        <v>1.7510928338374521</v>
      </c>
      <c r="AK144" s="28" t="s">
        <v>734</v>
      </c>
      <c r="AL144" s="29" t="s">
        <v>48</v>
      </c>
      <c r="AM144" s="29" t="s">
        <v>48</v>
      </c>
      <c r="AN144" s="29" t="s">
        <v>48</v>
      </c>
      <c r="AO144" s="47" t="s">
        <v>214</v>
      </c>
      <c r="AP144" s="28">
        <v>0</v>
      </c>
      <c r="AQ144" s="26">
        <v>1.4999999999999999E-2</v>
      </c>
      <c r="AR144" s="26">
        <v>0</v>
      </c>
    </row>
    <row r="145" spans="1:44" x14ac:dyDescent="0.15">
      <c r="A145">
        <v>665</v>
      </c>
      <c r="B145" s="11">
        <v>2152</v>
      </c>
      <c r="C145" s="32"/>
      <c r="D145" s="32">
        <v>2.99447245150607E-4</v>
      </c>
      <c r="E145" s="32">
        <v>62</v>
      </c>
      <c r="F145" s="32">
        <v>0.75206039350102705</v>
      </c>
      <c r="G145" s="11"/>
      <c r="H145" s="11"/>
      <c r="I145" s="11"/>
      <c r="J145" s="18" t="s">
        <v>44</v>
      </c>
      <c r="K145" s="18" t="s">
        <v>45</v>
      </c>
      <c r="L145" s="58" t="s">
        <v>817</v>
      </c>
      <c r="M145" s="18">
        <f>[1]!f_prt_stocktonav(B145,"2017/03/31")</f>
        <v>80.980949401855469</v>
      </c>
      <c r="N145" s="20" t="str">
        <f>[1]!f_info_fundmanager(B145)</f>
        <v>胡戈游</v>
      </c>
      <c r="O145" s="21">
        <v>1.1917808219178083</v>
      </c>
      <c r="P145" s="34" t="s">
        <v>735</v>
      </c>
      <c r="Q145" s="34" t="s">
        <v>736</v>
      </c>
      <c r="R145" s="34" t="s">
        <v>737</v>
      </c>
      <c r="S145" s="34">
        <v>20160121</v>
      </c>
      <c r="T145" s="45">
        <v>2.0471647061999998</v>
      </c>
      <c r="U145" s="46">
        <v>2.7313459887999998</v>
      </c>
      <c r="V145" s="34" t="s">
        <v>231</v>
      </c>
      <c r="W145" s="34" t="s">
        <v>44</v>
      </c>
      <c r="X145" s="34" t="s">
        <v>45</v>
      </c>
      <c r="Y145" s="34" t="s">
        <v>65</v>
      </c>
      <c r="Z145" s="34"/>
      <c r="AA145" s="34"/>
      <c r="AB145" s="22">
        <v>0.78077156066894526</v>
      </c>
      <c r="AC145" s="23" t="s">
        <v>738</v>
      </c>
      <c r="AD145" s="24">
        <v>0.9616438356164384</v>
      </c>
      <c r="AE145" s="25">
        <v>-1.3708957677259215E-2</v>
      </c>
      <c r="AF145" s="26">
        <v>0</v>
      </c>
      <c r="AG145" s="26">
        <v>0</v>
      </c>
      <c r="AH145" s="27">
        <v>-0.25928172910799019</v>
      </c>
      <c r="AI145" s="27">
        <v>-0.25928172910799019</v>
      </c>
      <c r="AJ145" s="27">
        <v>-0.25928172910799019</v>
      </c>
      <c r="AK145" s="28" t="s">
        <v>240</v>
      </c>
      <c r="AL145" s="29" t="s">
        <v>48</v>
      </c>
      <c r="AM145" s="29" t="s">
        <v>48</v>
      </c>
      <c r="AN145" s="29" t="s">
        <v>48</v>
      </c>
      <c r="AO145" s="47" t="s">
        <v>739</v>
      </c>
      <c r="AP145" s="28">
        <v>0</v>
      </c>
      <c r="AQ145" s="26">
        <v>1.4999999999999999E-2</v>
      </c>
      <c r="AR145" s="26">
        <v>0</v>
      </c>
    </row>
    <row r="146" spans="1:44" x14ac:dyDescent="0.15">
      <c r="A146">
        <v>53</v>
      </c>
      <c r="B146" s="11">
        <v>1605</v>
      </c>
      <c r="C146" s="32"/>
      <c r="D146" s="32">
        <v>-3.6893283089391598E-3</v>
      </c>
      <c r="E146" s="32">
        <v>63</v>
      </c>
      <c r="F146" s="32">
        <v>2.0382102550165201E-2</v>
      </c>
      <c r="G146" s="11"/>
      <c r="H146" s="11"/>
      <c r="I146" s="11"/>
      <c r="J146" s="18" t="s">
        <v>44</v>
      </c>
      <c r="K146" s="18" t="s">
        <v>45</v>
      </c>
      <c r="L146" s="58" t="s">
        <v>274</v>
      </c>
      <c r="M146" s="18">
        <f>[1]!f_prt_stocktonav(B146,"2017/03/31")</f>
        <v>94.279861450195313</v>
      </c>
      <c r="N146" s="20" t="str">
        <f>[1]!f_info_fundmanager(B146)</f>
        <v>卫学海</v>
      </c>
      <c r="O146" s="21">
        <v>1.1945205479452055</v>
      </c>
      <c r="P146" s="34" t="s">
        <v>740</v>
      </c>
      <c r="Q146" s="34" t="s">
        <v>741</v>
      </c>
      <c r="R146" s="34" t="s">
        <v>742</v>
      </c>
      <c r="S146" s="34">
        <v>20160120</v>
      </c>
      <c r="T146" s="45">
        <v>0.24897397160000001</v>
      </c>
      <c r="U146" s="46">
        <v>0.51364634300000001</v>
      </c>
      <c r="V146" s="34" t="s">
        <v>231</v>
      </c>
      <c r="W146" s="34" t="s">
        <v>44</v>
      </c>
      <c r="X146" s="34" t="s">
        <v>45</v>
      </c>
      <c r="Y146" s="34" t="s">
        <v>65</v>
      </c>
      <c r="Z146" s="34"/>
      <c r="AA146" s="34"/>
      <c r="AB146" s="22">
        <v>0.94288879394531255</v>
      </c>
      <c r="AC146" s="23" t="s">
        <v>743</v>
      </c>
      <c r="AD146" s="24">
        <v>0.96438356164383565</v>
      </c>
      <c r="AE146" s="25">
        <v>-0.10699759032637435</v>
      </c>
      <c r="AF146" s="26">
        <v>0</v>
      </c>
      <c r="AG146" s="26">
        <v>0</v>
      </c>
      <c r="AH146" s="27">
        <v>-0.70952598873058015</v>
      </c>
      <c r="AI146" s="27">
        <v>-0.70952598873058015</v>
      </c>
      <c r="AJ146" s="27">
        <v>-0.70952598873058015</v>
      </c>
      <c r="AK146" s="28" t="s">
        <v>744</v>
      </c>
      <c r="AL146" s="29" t="s">
        <v>48</v>
      </c>
      <c r="AM146" s="29" t="s">
        <v>48</v>
      </c>
      <c r="AN146" s="29" t="s">
        <v>48</v>
      </c>
      <c r="AO146" s="47" t="s">
        <v>745</v>
      </c>
      <c r="AP146" s="28">
        <v>0</v>
      </c>
      <c r="AQ146" s="26">
        <v>1.4999999999999999E-2</v>
      </c>
      <c r="AR146" s="26">
        <v>0</v>
      </c>
    </row>
    <row r="147" spans="1:44" x14ac:dyDescent="0.15">
      <c r="A147">
        <v>684</v>
      </c>
      <c r="B147" s="11">
        <v>169103</v>
      </c>
      <c r="C147" s="32"/>
      <c r="D147" s="32">
        <v>2.8773672078078001E-3</v>
      </c>
      <c r="E147" s="32">
        <v>63</v>
      </c>
      <c r="F147" s="32">
        <v>1.43934780983826E-2</v>
      </c>
      <c r="G147" s="11"/>
      <c r="H147" s="11"/>
      <c r="I147" s="11"/>
      <c r="J147" s="18" t="s">
        <v>44</v>
      </c>
      <c r="K147" s="18" t="s">
        <v>45</v>
      </c>
      <c r="L147" s="58" t="s">
        <v>354</v>
      </c>
      <c r="M147" s="18">
        <f>[1]!f_prt_stocktonav(B147,"2017/03/31")</f>
        <v>80.467529296875</v>
      </c>
      <c r="N147" s="20" t="str">
        <f>[1]!f_info_fundmanager(B147)</f>
        <v>刚登峰</v>
      </c>
      <c r="O147" s="21">
        <v>1.1945205479452055</v>
      </c>
      <c r="P147" s="34" t="s">
        <v>746</v>
      </c>
      <c r="Q147" s="34" t="s">
        <v>747</v>
      </c>
      <c r="R147" s="34" t="s">
        <v>313</v>
      </c>
      <c r="S147" s="34">
        <v>20160120</v>
      </c>
      <c r="T147" s="45">
        <v>11.1542919778</v>
      </c>
      <c r="U147" s="46">
        <v>11.2267758593</v>
      </c>
      <c r="V147" s="34" t="s">
        <v>231</v>
      </c>
      <c r="W147" s="34" t="s">
        <v>41</v>
      </c>
      <c r="X147" s="34" t="s">
        <v>42</v>
      </c>
      <c r="Y147" s="34" t="s">
        <v>181</v>
      </c>
      <c r="Z147" s="34"/>
      <c r="AA147" s="34"/>
      <c r="AB147" s="22">
        <v>0.68701110839843749</v>
      </c>
      <c r="AC147" s="23" t="s">
        <v>748</v>
      </c>
      <c r="AD147" s="24">
        <v>0.96438356164383565</v>
      </c>
      <c r="AE147" s="25">
        <v>7.7984639754891782E-2</v>
      </c>
      <c r="AF147" s="26">
        <v>0</v>
      </c>
      <c r="AG147" s="26">
        <v>0</v>
      </c>
      <c r="AH147" s="27">
        <v>1.0601405038408438</v>
      </c>
      <c r="AI147" s="27">
        <v>1.0601405038408438</v>
      </c>
      <c r="AJ147" s="27">
        <v>1.0601405038408438</v>
      </c>
      <c r="AK147" s="28" t="s">
        <v>749</v>
      </c>
      <c r="AL147" s="29" t="s">
        <v>48</v>
      </c>
      <c r="AM147" s="29" t="s">
        <v>48</v>
      </c>
      <c r="AN147" s="29" t="s">
        <v>48</v>
      </c>
      <c r="AO147" s="47">
        <v>0</v>
      </c>
      <c r="AP147" s="28">
        <v>0</v>
      </c>
      <c r="AQ147" s="26">
        <v>1.4999999999999999E-2</v>
      </c>
      <c r="AR147" s="26">
        <v>0</v>
      </c>
    </row>
    <row r="148" spans="1:44" x14ac:dyDescent="0.15">
      <c r="A148">
        <v>725</v>
      </c>
      <c r="B148" s="11">
        <v>2259</v>
      </c>
      <c r="C148" s="32"/>
      <c r="D148" s="32">
        <v>3.9226923172163896E-3</v>
      </c>
      <c r="E148" s="32">
        <v>40</v>
      </c>
      <c r="F148" s="32">
        <v>3.0834578117662499E-2</v>
      </c>
      <c r="G148" s="11"/>
      <c r="H148" s="11"/>
      <c r="I148" s="11"/>
      <c r="J148" s="18" t="s">
        <v>44</v>
      </c>
      <c r="K148" s="18" t="s">
        <v>86</v>
      </c>
      <c r="L148" s="58" t="s">
        <v>65</v>
      </c>
      <c r="M148" s="18">
        <f>[1]!f_prt_stocktonav(B148,"2017/03/31")</f>
        <v>79.355354309082031</v>
      </c>
      <c r="N148" s="20" t="str">
        <f>[1]!f_info_fundmanager(B148)</f>
        <v>蒋鑫</v>
      </c>
      <c r="O148" s="21">
        <v>0.76712328767123283</v>
      </c>
      <c r="P148" s="34" t="s">
        <v>750</v>
      </c>
      <c r="Q148" s="34" t="s">
        <v>751</v>
      </c>
      <c r="R148" s="34" t="s">
        <v>705</v>
      </c>
      <c r="S148" s="34">
        <v>20160120</v>
      </c>
      <c r="T148" s="45">
        <v>1.0091170647000001</v>
      </c>
      <c r="U148" s="46">
        <v>1.2628574592999999</v>
      </c>
      <c r="V148" s="34" t="s">
        <v>231</v>
      </c>
      <c r="W148" s="34" t="s">
        <v>44</v>
      </c>
      <c r="X148" s="17" t="s">
        <v>45</v>
      </c>
      <c r="Y148" s="17" t="s">
        <v>65</v>
      </c>
      <c r="Z148" s="34"/>
      <c r="AA148" s="34"/>
      <c r="AB148" s="22">
        <v>0.80460662841796871</v>
      </c>
      <c r="AC148" s="23" t="s">
        <v>752</v>
      </c>
      <c r="AD148" s="24">
        <v>0.96438356164383565</v>
      </c>
      <c r="AE148" s="25">
        <v>2.9473651929778022E-2</v>
      </c>
      <c r="AF148" s="26">
        <v>0</v>
      </c>
      <c r="AG148" s="26">
        <v>0</v>
      </c>
      <c r="AH148" s="27">
        <v>0.23785830022405705</v>
      </c>
      <c r="AI148" s="27">
        <v>0.23785830022405705</v>
      </c>
      <c r="AJ148" s="27">
        <v>0.23785830022405705</v>
      </c>
      <c r="AK148" s="28" t="s">
        <v>753</v>
      </c>
      <c r="AL148" s="29" t="s">
        <v>48</v>
      </c>
      <c r="AM148" s="29" t="s">
        <v>48</v>
      </c>
      <c r="AN148" s="29" t="s">
        <v>48</v>
      </c>
      <c r="AO148" s="47" t="s">
        <v>708</v>
      </c>
      <c r="AP148" s="28">
        <v>0</v>
      </c>
      <c r="AQ148" s="26">
        <v>1.4999999999999999E-2</v>
      </c>
      <c r="AR148" s="26">
        <v>0</v>
      </c>
    </row>
    <row r="149" spans="1:44" x14ac:dyDescent="0.15">
      <c r="A149">
        <v>267</v>
      </c>
      <c r="B149" s="11">
        <v>1877</v>
      </c>
      <c r="C149" s="32"/>
      <c r="D149" s="32">
        <v>-1.3898016419526401E-3</v>
      </c>
      <c r="E149" s="32">
        <v>40</v>
      </c>
      <c r="F149" s="32">
        <v>0.44609858713978101</v>
      </c>
      <c r="G149" s="11"/>
      <c r="H149" s="11"/>
      <c r="I149" s="11"/>
      <c r="J149" s="18" t="s">
        <v>44</v>
      </c>
      <c r="K149" s="18" t="s">
        <v>45</v>
      </c>
      <c r="L149" s="58" t="s">
        <v>274</v>
      </c>
      <c r="M149" s="18">
        <f>[1]!f_prt_stocktonav(B149,"2017/03/31")</f>
        <v>90.096855163574219</v>
      </c>
      <c r="N149" s="20" t="str">
        <f>[1]!f_info_fundmanager(B149)</f>
        <v>易祚兴</v>
      </c>
      <c r="O149" s="21">
        <v>0.75068493150684934</v>
      </c>
      <c r="P149" s="34" t="s">
        <v>754</v>
      </c>
      <c r="Q149" s="34" t="s">
        <v>755</v>
      </c>
      <c r="R149" s="34" t="s">
        <v>402</v>
      </c>
      <c r="S149" s="34">
        <v>20160120</v>
      </c>
      <c r="T149" s="45">
        <v>1.7798727080000001</v>
      </c>
      <c r="U149" s="46">
        <v>2.0987734274999998</v>
      </c>
      <c r="V149" s="34" t="s">
        <v>231</v>
      </c>
      <c r="W149" s="34" t="s">
        <v>44</v>
      </c>
      <c r="X149" s="34" t="s">
        <v>45</v>
      </c>
      <c r="Y149" s="34" t="s">
        <v>65</v>
      </c>
      <c r="Z149" s="34"/>
      <c r="AA149" s="34"/>
      <c r="AB149" s="22">
        <v>0.94507987976074215</v>
      </c>
      <c r="AC149" s="23" t="s">
        <v>756</v>
      </c>
      <c r="AD149" s="24">
        <v>0.96438356164383565</v>
      </c>
      <c r="AE149" s="25">
        <v>0.12025599233326201</v>
      </c>
      <c r="AF149" s="26">
        <v>0</v>
      </c>
      <c r="AG149" s="26">
        <v>0</v>
      </c>
      <c r="AH149" s="27">
        <v>0.82523841092297079</v>
      </c>
      <c r="AI149" s="27">
        <v>0.82523841092297079</v>
      </c>
      <c r="AJ149" s="27">
        <v>0.82523841092297079</v>
      </c>
      <c r="AK149" s="28" t="s">
        <v>757</v>
      </c>
      <c r="AL149" s="29" t="s">
        <v>48</v>
      </c>
      <c r="AM149" s="29" t="s">
        <v>48</v>
      </c>
      <c r="AN149" s="29" t="s">
        <v>48</v>
      </c>
      <c r="AO149" s="47" t="s">
        <v>405</v>
      </c>
      <c r="AP149" s="28">
        <v>0</v>
      </c>
      <c r="AQ149" s="26">
        <v>1.4999999999999999E-2</v>
      </c>
      <c r="AR149" s="26">
        <v>0</v>
      </c>
    </row>
    <row r="150" spans="1:44" x14ac:dyDescent="0.15">
      <c r="A150">
        <v>726</v>
      </c>
      <c r="B150" s="11">
        <v>2132</v>
      </c>
      <c r="C150" s="32"/>
      <c r="D150" s="32">
        <v>-7.9739596580869897E-4</v>
      </c>
      <c r="E150" s="32">
        <v>62</v>
      </c>
      <c r="F150" s="32">
        <v>0.51019347177436003</v>
      </c>
      <c r="G150" s="11"/>
      <c r="H150" s="11"/>
      <c r="I150" s="11"/>
      <c r="J150" s="18" t="s">
        <v>44</v>
      </c>
      <c r="K150" s="18" t="s">
        <v>45</v>
      </c>
      <c r="L150" s="58" t="s">
        <v>65</v>
      </c>
      <c r="M150" s="18">
        <f>[1]!f_prt_stocktonav(B150,"2017/03/31")</f>
        <v>79.273574829101563</v>
      </c>
      <c r="N150" s="20" t="str">
        <f>[1]!f_info_fundmanager(B150)</f>
        <v>易阳方</v>
      </c>
      <c r="O150" s="21">
        <v>1.189041095890411</v>
      </c>
      <c r="P150" s="34" t="s">
        <v>758</v>
      </c>
      <c r="Q150" s="34" t="s">
        <v>759</v>
      </c>
      <c r="R150" s="34" t="s">
        <v>132</v>
      </c>
      <c r="S150" s="34">
        <v>20160115</v>
      </c>
      <c r="T150" s="45">
        <v>2.8483703733999999</v>
      </c>
      <c r="U150" s="46">
        <v>3.0048090410000001</v>
      </c>
      <c r="V150" s="34" t="s">
        <v>231</v>
      </c>
      <c r="W150" s="34" t="s">
        <v>41</v>
      </c>
      <c r="X150" s="17" t="s">
        <v>42</v>
      </c>
      <c r="Y150" s="17" t="s">
        <v>181</v>
      </c>
      <c r="Z150" s="34"/>
      <c r="AA150" s="34"/>
      <c r="AB150" s="22">
        <v>0.56776550292968753</v>
      </c>
      <c r="AC150" s="23" t="s">
        <v>760</v>
      </c>
      <c r="AD150" s="24">
        <v>0.95890410958904104</v>
      </c>
      <c r="AE150" s="25">
        <v>-5.2832882628422444E-2</v>
      </c>
      <c r="AF150" s="26">
        <v>0</v>
      </c>
      <c r="AG150" s="26">
        <v>0</v>
      </c>
      <c r="AH150" s="27">
        <v>-0.68380150330196354</v>
      </c>
      <c r="AI150" s="27">
        <v>-0.68380150330196354</v>
      </c>
      <c r="AJ150" s="27">
        <v>-0.68380150330196354</v>
      </c>
      <c r="AK150" s="28" t="s">
        <v>134</v>
      </c>
      <c r="AL150" s="29" t="s">
        <v>48</v>
      </c>
      <c r="AM150" s="29" t="s">
        <v>48</v>
      </c>
      <c r="AN150" s="29" t="s">
        <v>48</v>
      </c>
      <c r="AO150" s="47" t="s">
        <v>281</v>
      </c>
      <c r="AP150" s="28">
        <v>0</v>
      </c>
      <c r="AQ150" s="26">
        <v>0.01</v>
      </c>
      <c r="AR150" s="26">
        <v>0</v>
      </c>
    </row>
    <row r="151" spans="1:44" x14ac:dyDescent="0.15">
      <c r="A151">
        <v>340</v>
      </c>
      <c r="B151" s="11">
        <v>1616</v>
      </c>
      <c r="C151" s="32"/>
      <c r="D151" s="32">
        <v>2.1420391619729E-3</v>
      </c>
      <c r="E151" s="32">
        <v>66</v>
      </c>
      <c r="F151" s="32">
        <v>0.29379618701124099</v>
      </c>
      <c r="G151" s="11"/>
      <c r="H151" s="11"/>
      <c r="I151" s="11"/>
      <c r="J151" s="18" t="s">
        <v>44</v>
      </c>
      <c r="K151" s="18" t="s">
        <v>87</v>
      </c>
      <c r="L151" s="58" t="s">
        <v>65</v>
      </c>
      <c r="M151" s="18">
        <f>[1]!f_prt_stocktonav(B151,"2017/03/31")</f>
        <v>88.674690246582031</v>
      </c>
      <c r="N151" s="20" t="str">
        <f>[1]!f_info_fundmanager(B151)</f>
        <v>李化松</v>
      </c>
      <c r="O151" s="21">
        <v>1.252054794520548</v>
      </c>
      <c r="P151" s="34" t="s">
        <v>761</v>
      </c>
      <c r="Q151" s="34" t="s">
        <v>762</v>
      </c>
      <c r="R151" s="34" t="s">
        <v>92</v>
      </c>
      <c r="S151" s="34">
        <v>20151230</v>
      </c>
      <c r="T151" s="45">
        <v>12.8692598824</v>
      </c>
      <c r="U151" s="46">
        <v>11.877031646800001</v>
      </c>
      <c r="V151" s="34" t="s">
        <v>231</v>
      </c>
      <c r="W151" s="34" t="s">
        <v>44</v>
      </c>
      <c r="X151" s="34" t="s">
        <v>45</v>
      </c>
      <c r="Y151" s="34" t="s">
        <v>65</v>
      </c>
      <c r="Z151" s="34"/>
      <c r="AA151" s="34"/>
      <c r="AB151" s="22">
        <v>0.93945846557617185</v>
      </c>
      <c r="AC151" s="23" t="s">
        <v>763</v>
      </c>
      <c r="AD151" s="24">
        <v>1.021917808219178</v>
      </c>
      <c r="AE151" s="25">
        <v>0.16355046720411104</v>
      </c>
      <c r="AF151" s="26">
        <v>0</v>
      </c>
      <c r="AG151" s="26">
        <v>0</v>
      </c>
      <c r="AH151" s="27">
        <v>0.84122560303107818</v>
      </c>
      <c r="AI151" s="27">
        <v>0.84122560303107818</v>
      </c>
      <c r="AJ151" s="27">
        <v>0.84122560303107818</v>
      </c>
      <c r="AK151" s="28" t="s">
        <v>764</v>
      </c>
      <c r="AL151" s="29" t="s">
        <v>48</v>
      </c>
      <c r="AM151" s="29" t="s">
        <v>48</v>
      </c>
      <c r="AN151" s="29" t="s">
        <v>48</v>
      </c>
      <c r="AO151" s="47" t="s">
        <v>249</v>
      </c>
      <c r="AP151" s="28">
        <v>0</v>
      </c>
      <c r="AQ151" s="26">
        <v>1.4999999999999999E-2</v>
      </c>
      <c r="AR151" s="26">
        <v>0</v>
      </c>
    </row>
    <row r="152" spans="1:44" x14ac:dyDescent="0.15">
      <c r="A152">
        <v>572</v>
      </c>
      <c r="B152" s="11">
        <v>1714</v>
      </c>
      <c r="C152" s="32"/>
      <c r="D152" s="32">
        <v>2.2776844467343599E-3</v>
      </c>
      <c r="E152" s="32">
        <v>66</v>
      </c>
      <c r="F152" s="32">
        <v>8.4970404568254193E-2</v>
      </c>
      <c r="G152" s="11"/>
      <c r="H152" s="11"/>
      <c r="I152" s="11"/>
      <c r="J152" s="18" t="s">
        <v>44</v>
      </c>
      <c r="K152" s="18" t="s">
        <v>87</v>
      </c>
      <c r="L152" s="58" t="s">
        <v>817</v>
      </c>
      <c r="M152" s="18">
        <f>[1]!f_prt_stocktonav(B152,"2017/03/31")</f>
        <v>83.510284423828125</v>
      </c>
      <c r="N152" s="20" t="str">
        <f>[1]!f_info_fundmanager(B152)</f>
        <v>胡文彪,袁芳</v>
      </c>
      <c r="O152" s="21">
        <v>1.252054794520548</v>
      </c>
      <c r="P152" s="34" t="s">
        <v>765</v>
      </c>
      <c r="Q152" s="34" t="s">
        <v>766</v>
      </c>
      <c r="R152" s="34" t="s">
        <v>523</v>
      </c>
      <c r="S152" s="34">
        <v>20151230</v>
      </c>
      <c r="T152" s="45">
        <v>2.3994603158999999</v>
      </c>
      <c r="U152" s="46">
        <v>1.8096669623999999</v>
      </c>
      <c r="V152" s="34" t="s">
        <v>231</v>
      </c>
      <c r="W152" s="34" t="s">
        <v>44</v>
      </c>
      <c r="X152" s="34" t="s">
        <v>45</v>
      </c>
      <c r="Y152" s="34" t="s">
        <v>65</v>
      </c>
      <c r="Z152" s="34"/>
      <c r="AA152" s="34"/>
      <c r="AB152" s="22">
        <v>0.82232978820800784</v>
      </c>
      <c r="AC152" s="23" t="s">
        <v>767</v>
      </c>
      <c r="AD152" s="24">
        <v>1.021917808219178</v>
      </c>
      <c r="AE152" s="25">
        <v>0.15463466211450161</v>
      </c>
      <c r="AF152" s="26">
        <v>0</v>
      </c>
      <c r="AG152" s="26">
        <v>0</v>
      </c>
      <c r="AH152" s="27">
        <v>1.1568386120044791</v>
      </c>
      <c r="AI152" s="27">
        <v>1.1568386120044791</v>
      </c>
      <c r="AJ152" s="27">
        <v>1.1568386120044791</v>
      </c>
      <c r="AK152" s="28" t="s">
        <v>768</v>
      </c>
      <c r="AL152" s="29" t="s">
        <v>48</v>
      </c>
      <c r="AM152" s="29" t="s">
        <v>48</v>
      </c>
      <c r="AN152" s="29" t="s">
        <v>48</v>
      </c>
      <c r="AO152" s="47" t="s">
        <v>255</v>
      </c>
      <c r="AP152" s="28">
        <v>0</v>
      </c>
      <c r="AQ152" s="26">
        <v>1.4999999999999999E-2</v>
      </c>
      <c r="AR152" s="26">
        <v>0</v>
      </c>
    </row>
    <row r="153" spans="1:44" x14ac:dyDescent="0.15">
      <c r="A153">
        <v>937</v>
      </c>
      <c r="B153" s="11">
        <v>2107</v>
      </c>
      <c r="C153" s="32"/>
      <c r="D153" s="32">
        <v>4.2005991989472102E-4</v>
      </c>
      <c r="E153" s="32">
        <v>66</v>
      </c>
      <c r="F153" s="32">
        <v>0.70866695139772995</v>
      </c>
      <c r="G153" s="11"/>
      <c r="H153" s="11"/>
      <c r="I153" s="11"/>
      <c r="J153" s="18" t="s">
        <v>44</v>
      </c>
      <c r="K153" s="18" t="s">
        <v>45</v>
      </c>
      <c r="L153" s="58" t="s">
        <v>65</v>
      </c>
      <c r="M153" s="18">
        <f>[1]!f_prt_stocktonav(B153,"2017/03/31")</f>
        <v>70.850822448730469</v>
      </c>
      <c r="N153" s="20" t="str">
        <f>[1]!f_info_fundmanager(B153)</f>
        <v>张芊</v>
      </c>
      <c r="O153" s="21">
        <v>1.2547945205479452</v>
      </c>
      <c r="P153" s="34" t="s">
        <v>769</v>
      </c>
      <c r="Q153" s="34" t="s">
        <v>770</v>
      </c>
      <c r="R153" s="34" t="s">
        <v>132</v>
      </c>
      <c r="S153" s="34">
        <v>20151229</v>
      </c>
      <c r="T153" s="45">
        <v>2.3453303821000002</v>
      </c>
      <c r="U153" s="46">
        <v>2.8545757391</v>
      </c>
      <c r="V153" s="34" t="s">
        <v>231</v>
      </c>
      <c r="W153" s="34" t="s">
        <v>41</v>
      </c>
      <c r="X153" s="17" t="s">
        <v>42</v>
      </c>
      <c r="Y153" s="17" t="s">
        <v>181</v>
      </c>
      <c r="Z153" s="34"/>
      <c r="AA153" s="34"/>
      <c r="AB153" s="22">
        <v>0.54498668670654293</v>
      </c>
      <c r="AC153" s="23" t="s">
        <v>771</v>
      </c>
      <c r="AD153" s="24">
        <v>1.0246575342465754</v>
      </c>
      <c r="AE153" s="25">
        <v>-0.11778918896223045</v>
      </c>
      <c r="AF153" s="26">
        <v>0</v>
      </c>
      <c r="AG153" s="26">
        <v>0</v>
      </c>
      <c r="AH153" s="27">
        <v>-0.82456063349848541</v>
      </c>
      <c r="AI153" s="27">
        <v>-0.82456063349848541</v>
      </c>
      <c r="AJ153" s="27">
        <v>-0.82456063349848541</v>
      </c>
      <c r="AK153" s="28" t="s">
        <v>134</v>
      </c>
      <c r="AL153" s="29" t="s">
        <v>48</v>
      </c>
      <c r="AM153" s="29" t="s">
        <v>48</v>
      </c>
      <c r="AN153" s="29" t="s">
        <v>48</v>
      </c>
      <c r="AO153" s="47" t="s">
        <v>772</v>
      </c>
      <c r="AP153" s="28">
        <v>0</v>
      </c>
      <c r="AQ153" s="26">
        <v>6.0000002384185793E-3</v>
      </c>
      <c r="AR153" s="26">
        <v>0</v>
      </c>
    </row>
    <row r="154" spans="1:44" x14ac:dyDescent="0.15">
      <c r="A154">
        <v>1</v>
      </c>
      <c r="B154" s="11">
        <v>2223</v>
      </c>
      <c r="C154" s="32"/>
      <c r="D154" s="32">
        <v>-1.2385729124433299E-3</v>
      </c>
      <c r="E154" s="32">
        <v>66</v>
      </c>
      <c r="F154" s="32">
        <v>0.55740350159390695</v>
      </c>
      <c r="G154" s="11"/>
      <c r="H154" s="11"/>
      <c r="I154" s="11"/>
      <c r="J154" s="18" t="s">
        <v>44</v>
      </c>
      <c r="K154" s="18" t="s">
        <v>45</v>
      </c>
      <c r="L154" s="58" t="s">
        <v>817</v>
      </c>
      <c r="M154" s="18">
        <f>[1]!f_prt_stocktonav(B154,"2017/03/31")</f>
        <v>98.196609497070312</v>
      </c>
      <c r="N154" s="20" t="str">
        <f>[1]!f_info_fundmanager(B154)</f>
        <v>任泽松</v>
      </c>
      <c r="O154" s="21">
        <v>1.2657534246575342</v>
      </c>
      <c r="P154" s="34" t="s">
        <v>773</v>
      </c>
      <c r="Q154" s="34" t="s">
        <v>774</v>
      </c>
      <c r="R154" s="34" t="s">
        <v>85</v>
      </c>
      <c r="S154" s="34">
        <v>20151225</v>
      </c>
      <c r="T154" s="45">
        <v>4.4576421336000003</v>
      </c>
      <c r="U154" s="46">
        <v>8.4604759187000003</v>
      </c>
      <c r="V154" s="34" t="s">
        <v>231</v>
      </c>
      <c r="W154" s="34" t="s">
        <v>44</v>
      </c>
      <c r="X154" s="17" t="s">
        <v>45</v>
      </c>
      <c r="Y154" s="17" t="s">
        <v>65</v>
      </c>
      <c r="Z154" s="34"/>
      <c r="AA154" s="34"/>
      <c r="AB154" s="22">
        <v>0.83878219604492188</v>
      </c>
      <c r="AC154" s="23" t="s">
        <v>775</v>
      </c>
      <c r="AD154" s="24">
        <v>1.0356164383561643</v>
      </c>
      <c r="AE154" s="25">
        <v>-0.11267806698853333</v>
      </c>
      <c r="AF154" s="26">
        <v>0</v>
      </c>
      <c r="AG154" s="26">
        <v>0</v>
      </c>
      <c r="AH154" s="27">
        <v>-0.38249825316481428</v>
      </c>
      <c r="AI154" s="27">
        <v>-0.38249825316481428</v>
      </c>
      <c r="AJ154" s="27">
        <v>-0.38249825316481428</v>
      </c>
      <c r="AK154" s="28" t="s">
        <v>776</v>
      </c>
      <c r="AL154" s="29" t="s">
        <v>48</v>
      </c>
      <c r="AM154" s="29" t="s">
        <v>48</v>
      </c>
      <c r="AN154" s="29" t="s">
        <v>48</v>
      </c>
      <c r="AO154" s="47" t="s">
        <v>367</v>
      </c>
      <c r="AP154" s="28">
        <v>0</v>
      </c>
      <c r="AQ154" s="26">
        <v>0.01</v>
      </c>
      <c r="AR154" s="26">
        <v>0</v>
      </c>
    </row>
    <row r="155" spans="1:44" x14ac:dyDescent="0.15">
      <c r="A155">
        <v>344</v>
      </c>
      <c r="B155" s="11">
        <v>1979</v>
      </c>
      <c r="C155" s="32"/>
      <c r="D155" s="32">
        <v>-4.83336206041997E-4</v>
      </c>
      <c r="E155" s="32">
        <v>67</v>
      </c>
      <c r="F155" s="32">
        <v>0.593126348070103</v>
      </c>
      <c r="G155" s="11"/>
      <c r="H155" s="11"/>
      <c r="I155" s="11"/>
      <c r="J155" s="18" t="s">
        <v>44</v>
      </c>
      <c r="K155" s="18" t="s">
        <v>87</v>
      </c>
      <c r="L155" s="58" t="s">
        <v>65</v>
      </c>
      <c r="M155" s="18">
        <f>[1]!f_prt_stocktonav(B155,"2017/03/31")</f>
        <v>88.629600524902344</v>
      </c>
      <c r="N155" s="20" t="str">
        <f>[1]!f_info_fundmanager(B155)</f>
        <v>刘霄汉</v>
      </c>
      <c r="O155" s="21">
        <v>1.2712328767123289</v>
      </c>
      <c r="P155" s="34" t="s">
        <v>777</v>
      </c>
      <c r="Q155" s="34" t="s">
        <v>778</v>
      </c>
      <c r="R155" s="34" t="s">
        <v>284</v>
      </c>
      <c r="S155" s="34">
        <v>20151223</v>
      </c>
      <c r="T155" s="45">
        <v>4.8159990469</v>
      </c>
      <c r="U155" s="46">
        <v>4.5702751457000002</v>
      </c>
      <c r="V155" s="34" t="s">
        <v>231</v>
      </c>
      <c r="W155" s="34" t="s">
        <v>44</v>
      </c>
      <c r="X155" s="34" t="s">
        <v>87</v>
      </c>
      <c r="Y155" s="34" t="s">
        <v>65</v>
      </c>
      <c r="Z155" s="34" t="s">
        <v>779</v>
      </c>
      <c r="AA155" s="34"/>
      <c r="AB155" s="22">
        <v>0.7126912689208984</v>
      </c>
      <c r="AC155" s="23" t="s">
        <v>780</v>
      </c>
      <c r="AD155" s="24">
        <v>1.0410958904109588</v>
      </c>
      <c r="AE155" s="25">
        <v>-8.7610544525408285E-3</v>
      </c>
      <c r="AF155" s="26">
        <v>0</v>
      </c>
      <c r="AG155" s="26">
        <v>0</v>
      </c>
      <c r="AH155" s="27">
        <v>-0.16902473541975538</v>
      </c>
      <c r="AI155" s="27">
        <v>-0.16902473541975538</v>
      </c>
      <c r="AJ155" s="27">
        <v>-0.16902473541975538</v>
      </c>
      <c r="AK155" s="33" t="s">
        <v>323</v>
      </c>
      <c r="AL155" s="29" t="s">
        <v>48</v>
      </c>
      <c r="AM155" s="29" t="s">
        <v>48</v>
      </c>
      <c r="AN155" s="29" t="s">
        <v>48</v>
      </c>
      <c r="AO155" s="47" t="s">
        <v>781</v>
      </c>
      <c r="AP155" s="28">
        <v>0</v>
      </c>
      <c r="AQ155" s="26">
        <v>1.4999999999999999E-2</v>
      </c>
      <c r="AR155" s="26">
        <v>0</v>
      </c>
    </row>
    <row r="156" spans="1:44" x14ac:dyDescent="0.15">
      <c r="A156">
        <v>571</v>
      </c>
      <c r="B156" s="11">
        <v>2182</v>
      </c>
      <c r="C156" s="32"/>
      <c r="D156" s="32">
        <v>-2.1937910958079402E-3</v>
      </c>
      <c r="E156" s="32">
        <v>67</v>
      </c>
      <c r="F156" s="32">
        <v>0.25057533732314102</v>
      </c>
      <c r="G156" s="11"/>
      <c r="H156" s="11"/>
      <c r="I156" s="11"/>
      <c r="J156" s="18" t="s">
        <v>44</v>
      </c>
      <c r="K156" s="18" t="s">
        <v>45</v>
      </c>
      <c r="L156" s="58" t="s">
        <v>65</v>
      </c>
      <c r="M156" s="18">
        <f>[1]!f_prt_stocktonav(B156,"2017/03/31")</f>
        <v>83.528907775878906</v>
      </c>
      <c r="N156" s="20" t="str">
        <f>[1]!f_info_fundmanager(B156)</f>
        <v>程远,孙继青</v>
      </c>
      <c r="O156" s="21">
        <v>1.2712328767123289</v>
      </c>
      <c r="P156" s="34" t="s">
        <v>782</v>
      </c>
      <c r="Q156" s="34" t="s">
        <v>783</v>
      </c>
      <c r="R156" s="34" t="s">
        <v>180</v>
      </c>
      <c r="S156" s="34">
        <v>20151223</v>
      </c>
      <c r="T156" s="45">
        <v>1.3739807337000001</v>
      </c>
      <c r="U156" s="46">
        <v>1.6128749592</v>
      </c>
      <c r="V156" s="34" t="s">
        <v>231</v>
      </c>
      <c r="W156" s="34" t="s">
        <v>41</v>
      </c>
      <c r="X156" s="17" t="s">
        <v>42</v>
      </c>
      <c r="Y156" s="17" t="s">
        <v>181</v>
      </c>
      <c r="Z156" s="34"/>
      <c r="AA156" s="34"/>
      <c r="AB156" s="22">
        <v>0.40118892669677736</v>
      </c>
      <c r="AC156" s="23" t="s">
        <v>784</v>
      </c>
      <c r="AD156" s="24">
        <v>1.0410958904109588</v>
      </c>
      <c r="AE156" s="25">
        <v>-0.21873432846215957</v>
      </c>
      <c r="AF156" s="26">
        <v>0</v>
      </c>
      <c r="AG156" s="26">
        <v>0</v>
      </c>
      <c r="AH156" s="27">
        <v>-1.2337193403854876</v>
      </c>
      <c r="AI156" s="27">
        <v>-1.2337193403854876</v>
      </c>
      <c r="AJ156" s="27">
        <v>-1.2337193403854876</v>
      </c>
      <c r="AK156" s="28" t="s">
        <v>409</v>
      </c>
      <c r="AL156" s="29" t="s">
        <v>48</v>
      </c>
      <c r="AM156" s="29" t="s">
        <v>48</v>
      </c>
      <c r="AN156" s="29" t="s">
        <v>48</v>
      </c>
      <c r="AO156" s="47" t="s">
        <v>310</v>
      </c>
      <c r="AP156" s="28">
        <v>0</v>
      </c>
      <c r="AQ156" s="26">
        <v>1.4999999999999999E-2</v>
      </c>
      <c r="AR156" s="26">
        <v>0</v>
      </c>
    </row>
    <row r="157" spans="1:44" x14ac:dyDescent="0.15">
      <c r="A157">
        <v>666</v>
      </c>
      <c r="B157" s="11">
        <v>1795</v>
      </c>
      <c r="C157" s="32"/>
      <c r="D157" s="32">
        <v>3.91923974269894E-4</v>
      </c>
      <c r="E157" s="32">
        <v>67</v>
      </c>
      <c r="F157" s="32">
        <v>0.81902811223446204</v>
      </c>
      <c r="G157" s="11"/>
      <c r="H157" s="11"/>
      <c r="I157" s="11"/>
      <c r="J157" s="18" t="s">
        <v>44</v>
      </c>
      <c r="K157" s="19" t="s">
        <v>45</v>
      </c>
      <c r="L157" s="58" t="s">
        <v>817</v>
      </c>
      <c r="M157" s="18">
        <f>[1]!f_prt_stocktonav(B157,"2017/03/31")</f>
        <v>80.951011657714844</v>
      </c>
      <c r="N157" s="20" t="str">
        <f>[1]!f_info_fundmanager(B157)</f>
        <v>周战海</v>
      </c>
      <c r="O157" s="21">
        <v>1.2712328767123289</v>
      </c>
      <c r="P157" s="12" t="s">
        <v>785</v>
      </c>
      <c r="Q157" s="13" t="s">
        <v>786</v>
      </c>
      <c r="R157" s="13" t="s">
        <v>511</v>
      </c>
      <c r="S157" s="13">
        <v>20151223</v>
      </c>
      <c r="T157" s="14">
        <v>1.7294847096999999</v>
      </c>
      <c r="U157" s="15" t="s">
        <v>39</v>
      </c>
      <c r="V157" s="16" t="s">
        <v>40</v>
      </c>
      <c r="W157" s="17" t="s">
        <v>44</v>
      </c>
      <c r="X157" s="17" t="s">
        <v>45</v>
      </c>
      <c r="Y157" s="17" t="s">
        <v>65</v>
      </c>
      <c r="Z157" s="13"/>
      <c r="AA157" s="13"/>
      <c r="AB157" s="22">
        <v>0.71259658813476567</v>
      </c>
      <c r="AC157" s="23" t="s">
        <v>787</v>
      </c>
      <c r="AD157" s="24">
        <v>1.0410958904109588</v>
      </c>
      <c r="AE157" s="25">
        <v>-0.12774008307377527</v>
      </c>
      <c r="AF157" s="26">
        <v>0</v>
      </c>
      <c r="AG157" s="26">
        <v>0</v>
      </c>
      <c r="AH157" s="27">
        <v>-0.71062494536958898</v>
      </c>
      <c r="AI157" s="27">
        <v>-0.71062494536958898</v>
      </c>
      <c r="AJ157" s="27">
        <v>-0.71062494536958898</v>
      </c>
      <c r="AK157" s="28" t="s">
        <v>513</v>
      </c>
      <c r="AL157" s="29" t="s">
        <v>48</v>
      </c>
      <c r="AM157" s="29" t="s">
        <v>48</v>
      </c>
      <c r="AN157" s="29" t="s">
        <v>48</v>
      </c>
      <c r="AO157" s="23" t="s">
        <v>788</v>
      </c>
      <c r="AP157" s="30">
        <v>0</v>
      </c>
      <c r="AQ157" s="31">
        <v>1.4999999999999999E-2</v>
      </c>
      <c r="AR157" s="31">
        <v>0</v>
      </c>
    </row>
    <row r="158" spans="1:44" x14ac:dyDescent="0.15">
      <c r="A158">
        <v>3</v>
      </c>
      <c r="B158" s="11">
        <v>1740</v>
      </c>
      <c r="C158" s="32"/>
      <c r="D158" s="32">
        <v>1.42435204304273E-3</v>
      </c>
      <c r="E158" s="32">
        <v>61</v>
      </c>
      <c r="F158" s="32">
        <v>0.34641975747720599</v>
      </c>
      <c r="G158" s="11"/>
      <c r="H158" s="11"/>
      <c r="I158" s="11"/>
      <c r="J158" s="18" t="s">
        <v>44</v>
      </c>
      <c r="K158" s="18" t="s">
        <v>87</v>
      </c>
      <c r="L158" s="58" t="s">
        <v>65</v>
      </c>
      <c r="M158" s="18">
        <f>[1]!f_prt_stocktonav(B158,"2017/03/31")</f>
        <v>94.995529174804688</v>
      </c>
      <c r="N158" s="20" t="str">
        <f>[1]!f_info_fundmanager(B158)</f>
        <v>何奇</v>
      </c>
      <c r="O158" s="21">
        <v>1.1561643835616437</v>
      </c>
      <c r="P158" s="34" t="s">
        <v>789</v>
      </c>
      <c r="Q158" s="34" t="s">
        <v>790</v>
      </c>
      <c r="R158" s="34" t="s">
        <v>634</v>
      </c>
      <c r="S158" s="34">
        <v>20151223</v>
      </c>
      <c r="T158" s="45">
        <v>2.6075777287999999</v>
      </c>
      <c r="U158" s="46">
        <v>2.1117480228000001</v>
      </c>
      <c r="V158" s="34" t="s">
        <v>201</v>
      </c>
      <c r="W158" s="34" t="s">
        <v>44</v>
      </c>
      <c r="X158" s="17" t="s">
        <v>45</v>
      </c>
      <c r="Y158" s="17" t="s">
        <v>65</v>
      </c>
      <c r="Z158" s="34"/>
      <c r="AA158" s="34"/>
      <c r="AB158" s="22">
        <v>0.94870429992675787</v>
      </c>
      <c r="AC158" s="23" t="s">
        <v>791</v>
      </c>
      <c r="AD158" s="24">
        <v>1.0410958904109588</v>
      </c>
      <c r="AE158" s="25">
        <v>4.5718449185344401E-2</v>
      </c>
      <c r="AF158" s="26">
        <v>0</v>
      </c>
      <c r="AG158" s="26">
        <v>0</v>
      </c>
      <c r="AH158" s="27">
        <v>0.27359527181294857</v>
      </c>
      <c r="AI158" s="27">
        <v>0.27359527181294857</v>
      </c>
      <c r="AJ158" s="27">
        <v>0.27359527181294857</v>
      </c>
      <c r="AK158" s="28" t="s">
        <v>792</v>
      </c>
      <c r="AL158" s="29" t="s">
        <v>48</v>
      </c>
      <c r="AM158" s="29" t="s">
        <v>48</v>
      </c>
      <c r="AN158" s="29" t="s">
        <v>48</v>
      </c>
      <c r="AO158" s="47" t="s">
        <v>793</v>
      </c>
      <c r="AP158" s="28">
        <v>0</v>
      </c>
      <c r="AQ158" s="26">
        <v>1.4999999999999999E-2</v>
      </c>
      <c r="AR158" s="26">
        <v>0</v>
      </c>
    </row>
    <row r="159" spans="1:44" x14ac:dyDescent="0.15">
      <c r="A159">
        <v>135</v>
      </c>
      <c r="B159" s="11">
        <v>1681</v>
      </c>
      <c r="C159" s="32"/>
      <c r="D159" s="32">
        <v>-2.1631230222252299E-4</v>
      </c>
      <c r="E159" s="32">
        <v>67</v>
      </c>
      <c r="F159" s="32">
        <v>0.83343380759333896</v>
      </c>
      <c r="G159" s="11"/>
      <c r="H159" s="11"/>
      <c r="I159" s="11"/>
      <c r="J159" s="18" t="s">
        <v>44</v>
      </c>
      <c r="K159" s="18" t="s">
        <v>45</v>
      </c>
      <c r="L159" s="58" t="s">
        <v>274</v>
      </c>
      <c r="M159" s="18">
        <f>[1]!f_prt_stocktonav(B159,"2017/03/31")</f>
        <v>92.9970703125</v>
      </c>
      <c r="N159" s="20" t="str">
        <f>[1]!f_info_fundmanager(B159)</f>
        <v>李会忠</v>
      </c>
      <c r="O159" s="21">
        <v>1.2767123287671234</v>
      </c>
      <c r="P159" s="34" t="s">
        <v>794</v>
      </c>
      <c r="Q159" s="34" t="s">
        <v>795</v>
      </c>
      <c r="R159" s="34" t="s">
        <v>569</v>
      </c>
      <c r="S159" s="34">
        <v>20151221</v>
      </c>
      <c r="T159" s="45">
        <v>3.2982091805999998</v>
      </c>
      <c r="U159" s="46">
        <v>3.9847885391000002</v>
      </c>
      <c r="V159" s="34" t="s">
        <v>201</v>
      </c>
      <c r="W159" s="34" t="s">
        <v>44</v>
      </c>
      <c r="X159" s="34" t="s">
        <v>45</v>
      </c>
      <c r="Y159" s="34" t="s">
        <v>65</v>
      </c>
      <c r="Z159" s="34"/>
      <c r="AA159" s="34"/>
      <c r="AB159" s="22">
        <v>0.93174575805664062</v>
      </c>
      <c r="AC159" s="23" t="s">
        <v>571</v>
      </c>
      <c r="AD159" s="24">
        <v>1.0465753424657533</v>
      </c>
      <c r="AE159" s="25">
        <v>-4.16602209312531E-2</v>
      </c>
      <c r="AF159" s="26">
        <v>0</v>
      </c>
      <c r="AG159" s="26">
        <v>0</v>
      </c>
      <c r="AH159" s="27">
        <v>-0.21142903346349332</v>
      </c>
      <c r="AI159" s="27">
        <v>-0.21142903346349332</v>
      </c>
      <c r="AJ159" s="27">
        <v>-0.21142903346349332</v>
      </c>
      <c r="AK159" s="28" t="s">
        <v>796</v>
      </c>
      <c r="AL159" s="29" t="s">
        <v>48</v>
      </c>
      <c r="AM159" s="29" t="s">
        <v>48</v>
      </c>
      <c r="AN159" s="29" t="s">
        <v>48</v>
      </c>
      <c r="AO159" s="47" t="s">
        <v>797</v>
      </c>
      <c r="AP159" s="28">
        <v>0</v>
      </c>
      <c r="AQ159" s="26">
        <v>1.4999999999999999E-2</v>
      </c>
      <c r="AR159" s="26">
        <v>0</v>
      </c>
    </row>
    <row r="160" spans="1:44" x14ac:dyDescent="0.15">
      <c r="A160">
        <v>154</v>
      </c>
      <c r="B160" s="11">
        <v>1985</v>
      </c>
      <c r="C160" s="32"/>
      <c r="D160" s="32">
        <v>9.9315982799217891E-4</v>
      </c>
      <c r="E160" s="32">
        <v>67</v>
      </c>
      <c r="F160" s="32">
        <v>0.48495788086823499</v>
      </c>
      <c r="G160" s="11"/>
      <c r="H160" s="11"/>
      <c r="I160" s="11"/>
      <c r="J160" s="18" t="s">
        <v>44</v>
      </c>
      <c r="K160" s="18" t="s">
        <v>45</v>
      </c>
      <c r="L160" s="58" t="s">
        <v>274</v>
      </c>
      <c r="M160" s="18">
        <f>[1]!f_prt_stocktonav(B160,"2017/03/31")</f>
        <v>92.6484375</v>
      </c>
      <c r="N160" s="20" t="str">
        <f>[1]!f_info_fundmanager(B160)</f>
        <v>杨栋</v>
      </c>
      <c r="O160" s="21">
        <v>1.284931506849315</v>
      </c>
      <c r="P160" s="34" t="s">
        <v>798</v>
      </c>
      <c r="Q160" s="34" t="s">
        <v>799</v>
      </c>
      <c r="R160" s="34" t="s">
        <v>396</v>
      </c>
      <c r="S160" s="34">
        <v>20151218</v>
      </c>
      <c r="T160" s="45">
        <v>5.4253954744000001</v>
      </c>
      <c r="U160" s="46">
        <v>5.3263042736999999</v>
      </c>
      <c r="V160" s="34" t="s">
        <v>201</v>
      </c>
      <c r="W160" s="34" t="s">
        <v>44</v>
      </c>
      <c r="X160" s="17" t="s">
        <v>45</v>
      </c>
      <c r="Y160" s="17" t="s">
        <v>274</v>
      </c>
      <c r="Z160" s="34"/>
      <c r="AA160" s="34"/>
      <c r="AB160" s="22">
        <v>0.92857154846191403</v>
      </c>
      <c r="AC160" s="23" t="s">
        <v>800</v>
      </c>
      <c r="AD160" s="24">
        <v>1.0547945205479452</v>
      </c>
      <c r="AE160" s="25">
        <v>0.12934068027812584</v>
      </c>
      <c r="AF160" s="26">
        <v>0</v>
      </c>
      <c r="AG160" s="26">
        <v>0</v>
      </c>
      <c r="AH160" s="27">
        <v>0.65570838177808344</v>
      </c>
      <c r="AI160" s="27">
        <v>0.65570838177808344</v>
      </c>
      <c r="AJ160" s="27">
        <v>0.65570838177808344</v>
      </c>
      <c r="AK160" s="28" t="s">
        <v>801</v>
      </c>
      <c r="AL160" s="29" t="s">
        <v>48</v>
      </c>
      <c r="AM160" s="29" t="s">
        <v>48</v>
      </c>
      <c r="AN160" s="29" t="s">
        <v>48</v>
      </c>
      <c r="AO160" s="47" t="s">
        <v>399</v>
      </c>
      <c r="AP160" s="28">
        <v>0</v>
      </c>
      <c r="AQ160" s="26">
        <v>1.4999999999999999E-2</v>
      </c>
      <c r="AR160" s="26">
        <v>0</v>
      </c>
    </row>
    <row r="161" spans="1:44" x14ac:dyDescent="0.15">
      <c r="A161">
        <v>627</v>
      </c>
      <c r="B161" s="11">
        <v>1959</v>
      </c>
      <c r="C161" s="32"/>
      <c r="D161" s="32">
        <v>1.3204783221440401E-3</v>
      </c>
      <c r="E161" s="32">
        <v>67</v>
      </c>
      <c r="F161" s="32">
        <v>0.44954195393275898</v>
      </c>
      <c r="G161" s="11"/>
      <c r="H161" s="11"/>
      <c r="I161" s="11"/>
      <c r="J161" s="18" t="s">
        <v>44</v>
      </c>
      <c r="K161" s="18" t="s">
        <v>45</v>
      </c>
      <c r="L161" s="58" t="s">
        <v>274</v>
      </c>
      <c r="M161" s="18">
        <f>[1]!f_prt_stocktonav(B161,"2017/03/31")</f>
        <v>82.150665283203125</v>
      </c>
      <c r="N161" s="20" t="str">
        <f>[1]!f_info_fundmanager(B161)</f>
        <v>高兵</v>
      </c>
      <c r="O161" s="21">
        <v>1.284931506849315</v>
      </c>
      <c r="P161" s="34" t="s">
        <v>802</v>
      </c>
      <c r="Q161" s="34" t="s">
        <v>803</v>
      </c>
      <c r="R161" s="34" t="s">
        <v>387</v>
      </c>
      <c r="S161" s="34">
        <v>20151218</v>
      </c>
      <c r="T161" s="45">
        <v>2.8946121637000002</v>
      </c>
      <c r="U161" s="46">
        <v>3.1048258073000001</v>
      </c>
      <c r="V161" s="34" t="s">
        <v>201</v>
      </c>
      <c r="W161" s="34" t="s">
        <v>44</v>
      </c>
      <c r="X161" s="34" t="s">
        <v>45</v>
      </c>
      <c r="Y161" s="34" t="s">
        <v>274</v>
      </c>
      <c r="Z161" s="34"/>
      <c r="AA161" s="34"/>
      <c r="AB161" s="22">
        <v>0.8150014495849609</v>
      </c>
      <c r="AC161" s="23" t="s">
        <v>804</v>
      </c>
      <c r="AD161" s="24">
        <v>1.0547945205479452</v>
      </c>
      <c r="AE161" s="25">
        <v>-0.12134134383173156</v>
      </c>
      <c r="AF161" s="26">
        <v>0</v>
      </c>
      <c r="AG161" s="26">
        <v>0</v>
      </c>
      <c r="AH161" s="27">
        <v>-0.35335932542980036</v>
      </c>
      <c r="AI161" s="27">
        <v>-0.35335932542980036</v>
      </c>
      <c r="AJ161" s="27">
        <v>-0.35335932542980036</v>
      </c>
      <c r="AK161" s="28" t="s">
        <v>390</v>
      </c>
      <c r="AL161" s="29" t="s">
        <v>48</v>
      </c>
      <c r="AM161" s="29" t="s">
        <v>48</v>
      </c>
      <c r="AN161" s="29" t="s">
        <v>48</v>
      </c>
      <c r="AO161" s="47" t="s">
        <v>310</v>
      </c>
      <c r="AP161" s="28">
        <v>0</v>
      </c>
      <c r="AQ161" s="26">
        <v>1.4999999999999999E-2</v>
      </c>
      <c r="AR161" s="26">
        <v>0</v>
      </c>
    </row>
    <row r="162" spans="1:44" x14ac:dyDescent="0.15">
      <c r="A162">
        <v>461</v>
      </c>
      <c r="B162" s="11">
        <v>519644</v>
      </c>
      <c r="C162" s="32"/>
      <c r="D162" s="32">
        <v>-2.7548830365357099E-3</v>
      </c>
      <c r="E162" s="32">
        <v>67</v>
      </c>
      <c r="F162" s="32">
        <v>0.105535408147785</v>
      </c>
      <c r="G162" s="11"/>
      <c r="H162" s="11"/>
      <c r="I162" s="11"/>
      <c r="J162" s="18" t="s">
        <v>44</v>
      </c>
      <c r="K162" s="18" t="s">
        <v>87</v>
      </c>
      <c r="L162" s="58" t="s">
        <v>274</v>
      </c>
      <c r="M162" s="18">
        <f>[1]!f_prt_stocktonav(B162,"2017/03/31")</f>
        <v>86.114227294921875</v>
      </c>
      <c r="N162" s="20" t="str">
        <f>[1]!f_info_fundmanager(B162)</f>
        <v>神玉飞</v>
      </c>
      <c r="O162" s="21">
        <v>1.2876712328767124</v>
      </c>
      <c r="P162" s="34" t="s">
        <v>805</v>
      </c>
      <c r="Q162" s="34" t="s">
        <v>806</v>
      </c>
      <c r="R162" s="34" t="s">
        <v>807</v>
      </c>
      <c r="S162" s="34">
        <v>20151217</v>
      </c>
      <c r="T162" s="45">
        <v>3.9491600993999998</v>
      </c>
      <c r="U162" s="46">
        <v>4.7270000663999996</v>
      </c>
      <c r="V162" s="34" t="s">
        <v>201</v>
      </c>
      <c r="W162" s="34" t="s">
        <v>44</v>
      </c>
      <c r="X162" s="34" t="s">
        <v>87</v>
      </c>
      <c r="Y162" s="34" t="s">
        <v>274</v>
      </c>
      <c r="Z162" s="34" t="s">
        <v>808</v>
      </c>
      <c r="AA162" s="34"/>
      <c r="AB162" s="22">
        <v>0.84479385375976568</v>
      </c>
      <c r="AC162" s="23" t="s">
        <v>809</v>
      </c>
      <c r="AD162" s="24">
        <v>1.0575342465753426</v>
      </c>
      <c r="AE162" s="25">
        <v>-0.14032107467386234</v>
      </c>
      <c r="AF162" s="26">
        <v>0</v>
      </c>
      <c r="AG162" s="26">
        <v>0</v>
      </c>
      <c r="AH162" s="27">
        <v>-1.0915308749088772</v>
      </c>
      <c r="AI162" s="27">
        <v>-1.0915308749088772</v>
      </c>
      <c r="AJ162" s="27">
        <v>-1.0915308749088772</v>
      </c>
      <c r="AK162" s="33" t="s">
        <v>810</v>
      </c>
      <c r="AL162" s="29" t="s">
        <v>48</v>
      </c>
      <c r="AM162" s="29" t="s">
        <v>48</v>
      </c>
      <c r="AN162" s="29" t="s">
        <v>48</v>
      </c>
      <c r="AO162" s="47" t="s">
        <v>101</v>
      </c>
      <c r="AP162" s="28">
        <v>0</v>
      </c>
      <c r="AQ162" s="26">
        <v>1.4999999999999999E-2</v>
      </c>
      <c r="AR162" s="26">
        <v>0</v>
      </c>
    </row>
    <row r="163" spans="1:44" x14ac:dyDescent="0.15">
      <c r="A163">
        <v>838</v>
      </c>
      <c r="B163" s="11">
        <v>1967</v>
      </c>
      <c r="C163" s="32"/>
      <c r="D163" s="32">
        <v>3.1182198481245302E-5</v>
      </c>
      <c r="E163" s="32">
        <v>68</v>
      </c>
      <c r="F163" s="32">
        <v>0.97317645860198798</v>
      </c>
      <c r="G163" s="11"/>
      <c r="H163" s="11"/>
      <c r="I163" s="11"/>
      <c r="J163" s="18" t="s">
        <v>44</v>
      </c>
      <c r="K163" s="18" t="s">
        <v>45</v>
      </c>
      <c r="L163" s="58" t="s">
        <v>274</v>
      </c>
      <c r="M163" s="18">
        <f>[1]!f_prt_stocktonav(B163,"2017/03/31")</f>
        <v>75.193832397460938</v>
      </c>
      <c r="N163" s="20" t="str">
        <f>[1]!f_info_fundmanager(B163)</f>
        <v>区伟良</v>
      </c>
      <c r="O163" s="21">
        <v>1.2931506849315069</v>
      </c>
      <c r="P163" s="34" t="s">
        <v>811</v>
      </c>
      <c r="Q163" s="34" t="s">
        <v>812</v>
      </c>
      <c r="R163" s="34" t="s">
        <v>737</v>
      </c>
      <c r="S163" s="34">
        <v>20151215</v>
      </c>
      <c r="T163" s="45">
        <v>2.8544378950999998</v>
      </c>
      <c r="U163" s="46">
        <v>3.7509188561000002</v>
      </c>
      <c r="V163" s="34" t="s">
        <v>231</v>
      </c>
      <c r="W163" s="34" t="s">
        <v>41</v>
      </c>
      <c r="X163" s="34" t="s">
        <v>42</v>
      </c>
      <c r="Y163" s="34" t="s">
        <v>181</v>
      </c>
      <c r="Z163" s="34"/>
      <c r="AA163" s="34"/>
      <c r="AB163" s="22">
        <v>0.63797218322753901</v>
      </c>
      <c r="AC163" s="23" t="s">
        <v>813</v>
      </c>
      <c r="AD163" s="24">
        <v>1.0630136986301371</v>
      </c>
      <c r="AE163" s="25">
        <v>-1.4300104467858898E-2</v>
      </c>
      <c r="AF163" s="26">
        <v>0</v>
      </c>
      <c r="AG163" s="26">
        <v>0</v>
      </c>
      <c r="AH163" s="27">
        <v>-0.37505694170641091</v>
      </c>
      <c r="AI163" s="27">
        <v>-0.37505694170641091</v>
      </c>
      <c r="AJ163" s="27">
        <v>-0.37505694170641091</v>
      </c>
      <c r="AK163" s="28" t="s">
        <v>814</v>
      </c>
      <c r="AL163" s="29" t="s">
        <v>48</v>
      </c>
      <c r="AM163" s="29" t="s">
        <v>48</v>
      </c>
      <c r="AN163" s="29" t="s">
        <v>48</v>
      </c>
      <c r="AO163" s="47" t="s">
        <v>739</v>
      </c>
      <c r="AP163" s="28">
        <v>0</v>
      </c>
      <c r="AQ163" s="26">
        <v>1.4999999999999999E-2</v>
      </c>
      <c r="AR163" s="26">
        <v>0</v>
      </c>
    </row>
    <row r="164" spans="1:44" x14ac:dyDescent="0.15">
      <c r="A164">
        <v>298</v>
      </c>
      <c r="B164" s="11">
        <v>1521</v>
      </c>
      <c r="C164" s="32"/>
      <c r="D164" s="32">
        <v>1.42499102987416E-3</v>
      </c>
      <c r="E164" s="32">
        <v>68</v>
      </c>
      <c r="F164" s="32">
        <v>0.253395650987981</v>
      </c>
      <c r="G164" s="11"/>
      <c r="H164" s="11"/>
      <c r="I164" s="11"/>
      <c r="J164" s="18" t="s">
        <v>44</v>
      </c>
      <c r="K164" s="18" t="s">
        <v>45</v>
      </c>
      <c r="L164" s="58" t="s">
        <v>65</v>
      </c>
      <c r="M164" s="18">
        <f>[1]!f_prt_stocktonav(B164,"2017/03/31")</f>
        <v>89.494049072265625</v>
      </c>
      <c r="N164" s="20" t="str">
        <f>[1]!f_info_fundmanager(B164)</f>
        <v>吴坚,张琦</v>
      </c>
      <c r="O164" s="21">
        <v>1.3041095890410959</v>
      </c>
      <c r="P164" s="34" t="s">
        <v>815</v>
      </c>
      <c r="Q164" s="34" t="s">
        <v>816</v>
      </c>
      <c r="R164" s="34" t="s">
        <v>224</v>
      </c>
      <c r="S164" s="34">
        <v>20151211</v>
      </c>
      <c r="T164" s="45">
        <v>2.9129095304999999</v>
      </c>
      <c r="U164" s="46">
        <v>3.3237889219999999</v>
      </c>
      <c r="V164" s="34" t="s">
        <v>201</v>
      </c>
      <c r="W164" s="34" t="s">
        <v>44</v>
      </c>
      <c r="X164" s="34" t="s">
        <v>45</v>
      </c>
      <c r="Y164" s="34" t="s">
        <v>817</v>
      </c>
      <c r="Z164" s="34"/>
      <c r="AA164" s="34"/>
      <c r="AB164" s="22">
        <v>0.88815582275390625</v>
      </c>
      <c r="AC164" s="23" t="s">
        <v>818</v>
      </c>
      <c r="AD164" s="24">
        <v>1.0739726027397261</v>
      </c>
      <c r="AE164" s="25">
        <v>3.2036558299518569E-2</v>
      </c>
      <c r="AF164" s="26">
        <v>0</v>
      </c>
      <c r="AG164" s="26">
        <v>0</v>
      </c>
      <c r="AH164" s="27">
        <v>0.18727594242211962</v>
      </c>
      <c r="AI164" s="27">
        <v>0.18727594242211962</v>
      </c>
      <c r="AJ164" s="27">
        <v>0.18727594242211962</v>
      </c>
      <c r="AK164" s="28" t="s">
        <v>819</v>
      </c>
      <c r="AL164" s="29" t="s">
        <v>48</v>
      </c>
      <c r="AM164" s="29" t="s">
        <v>48</v>
      </c>
      <c r="AN164" s="29" t="s">
        <v>48</v>
      </c>
      <c r="AO164" s="47" t="s">
        <v>820</v>
      </c>
      <c r="AP164" s="28">
        <v>0</v>
      </c>
      <c r="AQ164" s="26">
        <v>1.4999999999999999E-2</v>
      </c>
      <c r="AR164" s="26">
        <v>0</v>
      </c>
    </row>
    <row r="165" spans="1:44" x14ac:dyDescent="0.15">
      <c r="A165">
        <v>22</v>
      </c>
      <c r="B165" s="11">
        <v>1849</v>
      </c>
      <c r="C165" s="32"/>
      <c r="D165" s="32">
        <v>-2.5258465785454099E-3</v>
      </c>
      <c r="E165" s="32">
        <v>68</v>
      </c>
      <c r="F165" s="32">
        <v>5.1587906784703E-2</v>
      </c>
      <c r="G165" s="11"/>
      <c r="H165" s="11"/>
      <c r="I165" s="11"/>
      <c r="J165" s="18" t="s">
        <v>44</v>
      </c>
      <c r="K165" s="18" t="s">
        <v>45</v>
      </c>
      <c r="L165" s="58" t="s">
        <v>65</v>
      </c>
      <c r="M165" s="18">
        <f>[1]!f_prt_stocktonav(B165,"2017/03/31")</f>
        <v>94.708518981933594</v>
      </c>
      <c r="N165" s="20" t="str">
        <f>[1]!f_info_fundmanager(B165)</f>
        <v>谢屹</v>
      </c>
      <c r="O165" s="21">
        <v>1.3068493150684932</v>
      </c>
      <c r="P165" s="34" t="s">
        <v>821</v>
      </c>
      <c r="Q165" s="34" t="s">
        <v>822</v>
      </c>
      <c r="R165" s="34" t="s">
        <v>78</v>
      </c>
      <c r="S165" s="34">
        <v>20151210</v>
      </c>
      <c r="T165" s="45">
        <v>0.55537723930000005</v>
      </c>
      <c r="U165" s="46">
        <v>1.1832168782000001</v>
      </c>
      <c r="V165" s="34" t="s">
        <v>231</v>
      </c>
      <c r="W165" s="34" t="s">
        <v>44</v>
      </c>
      <c r="X165" s="34" t="s">
        <v>45</v>
      </c>
      <c r="Y165" s="34" t="s">
        <v>65</v>
      </c>
      <c r="Z165" s="34"/>
      <c r="AA165" s="34"/>
      <c r="AB165" s="22">
        <v>0.95227630615234371</v>
      </c>
      <c r="AC165" s="23" t="s">
        <v>464</v>
      </c>
      <c r="AD165" s="24">
        <v>1.0767123287671232</v>
      </c>
      <c r="AE165" s="25">
        <v>-7.4496084677044605E-2</v>
      </c>
      <c r="AF165" s="26">
        <v>0</v>
      </c>
      <c r="AG165" s="26">
        <v>0</v>
      </c>
      <c r="AH165" s="27">
        <v>-0.30610339287406657</v>
      </c>
      <c r="AI165" s="27">
        <v>-0.30610339287406657</v>
      </c>
      <c r="AJ165" s="27">
        <v>-0.30610339287406657</v>
      </c>
      <c r="AK165" s="28" t="s">
        <v>823</v>
      </c>
      <c r="AL165" s="29" t="s">
        <v>48</v>
      </c>
      <c r="AM165" s="29" t="s">
        <v>48</v>
      </c>
      <c r="AN165" s="29" t="s">
        <v>48</v>
      </c>
      <c r="AO165" s="47" t="s">
        <v>227</v>
      </c>
      <c r="AP165" s="28">
        <v>0</v>
      </c>
      <c r="AQ165" s="26">
        <v>1.4999999999999999E-2</v>
      </c>
      <c r="AR165" s="26">
        <v>0</v>
      </c>
    </row>
    <row r="166" spans="1:44" x14ac:dyDescent="0.15">
      <c r="A166">
        <v>40</v>
      </c>
      <c r="B166" s="11">
        <v>1837</v>
      </c>
      <c r="C166" s="32"/>
      <c r="D166" s="32">
        <v>2.2663080034085801E-3</v>
      </c>
      <c r="E166" s="32">
        <v>69</v>
      </c>
      <c r="F166" s="32">
        <v>0.28702760636712199</v>
      </c>
      <c r="G166" s="11"/>
      <c r="H166" s="11"/>
      <c r="I166" s="11"/>
      <c r="J166" s="18" t="s">
        <v>44</v>
      </c>
      <c r="K166" s="18" t="s">
        <v>45</v>
      </c>
      <c r="L166" s="58" t="s">
        <v>354</v>
      </c>
      <c r="M166" s="18">
        <f>[1]!f_prt_stocktonav(B166,"2017/03/31")</f>
        <v>94.415946960449219</v>
      </c>
      <c r="N166" s="20" t="str">
        <f>[1]!f_info_fundmanager(B166)</f>
        <v>曲扬</v>
      </c>
      <c r="O166" s="21">
        <v>1.3123287671232877</v>
      </c>
      <c r="P166" s="34" t="s">
        <v>824</v>
      </c>
      <c r="Q166" s="34" t="s">
        <v>825</v>
      </c>
      <c r="R166" s="34" t="s">
        <v>78</v>
      </c>
      <c r="S166" s="34">
        <v>20151208</v>
      </c>
      <c r="T166" s="45">
        <v>34.599200574800001</v>
      </c>
      <c r="U166" s="46">
        <v>27.450354367900001</v>
      </c>
      <c r="V166" s="34" t="s">
        <v>231</v>
      </c>
      <c r="W166" s="34" t="s">
        <v>44</v>
      </c>
      <c r="X166" s="17" t="s">
        <v>45</v>
      </c>
      <c r="Y166" s="17" t="s">
        <v>65</v>
      </c>
      <c r="Z166" s="34"/>
      <c r="AA166" s="34"/>
      <c r="AB166" s="22">
        <v>0.92094535827636714</v>
      </c>
      <c r="AC166" s="23" t="s">
        <v>119</v>
      </c>
      <c r="AD166" s="24">
        <v>1.0821917808219179</v>
      </c>
      <c r="AE166" s="25">
        <v>0.10724678302509139</v>
      </c>
      <c r="AF166" s="26">
        <v>0</v>
      </c>
      <c r="AG166" s="26">
        <v>0</v>
      </c>
      <c r="AH166" s="27">
        <v>0.64360882542429787</v>
      </c>
      <c r="AI166" s="27">
        <v>0.64360882542429787</v>
      </c>
      <c r="AJ166" s="27">
        <v>0.64360882542429787</v>
      </c>
      <c r="AK166" s="28" t="s">
        <v>120</v>
      </c>
      <c r="AL166" s="29" t="s">
        <v>48</v>
      </c>
      <c r="AM166" s="29" t="s">
        <v>48</v>
      </c>
      <c r="AN166" s="29" t="s">
        <v>48</v>
      </c>
      <c r="AO166" s="47" t="s">
        <v>270</v>
      </c>
      <c r="AP166" s="28">
        <v>0</v>
      </c>
      <c r="AQ166" s="26">
        <v>1.4999999999999999E-2</v>
      </c>
      <c r="AR166" s="26">
        <v>0</v>
      </c>
    </row>
    <row r="167" spans="1:44" x14ac:dyDescent="0.15">
      <c r="A167">
        <v>336</v>
      </c>
      <c r="B167" s="11">
        <v>1637</v>
      </c>
      <c r="C167" s="32"/>
      <c r="D167" s="32">
        <v>-7.3941841674337E-4</v>
      </c>
      <c r="E167" s="32">
        <v>69</v>
      </c>
      <c r="F167" s="32">
        <v>0.58178010658263701</v>
      </c>
      <c r="G167" s="11"/>
      <c r="H167" s="11"/>
      <c r="I167" s="11"/>
      <c r="J167" s="18" t="s">
        <v>44</v>
      </c>
      <c r="K167" s="18" t="s">
        <v>45</v>
      </c>
      <c r="L167" s="58" t="s">
        <v>274</v>
      </c>
      <c r="M167" s="18">
        <f>[1]!f_prt_stocktonav(B167,"2017/03/31")</f>
        <v>88.7366943359375</v>
      </c>
      <c r="N167" s="20" t="str">
        <f>[1]!f_info_fundmanager(B167)</f>
        <v>刘斌</v>
      </c>
      <c r="O167" s="21">
        <v>1.3150684931506849</v>
      </c>
      <c r="P167" s="34" t="s">
        <v>826</v>
      </c>
      <c r="Q167" s="34" t="s">
        <v>827</v>
      </c>
      <c r="R167" s="34" t="s">
        <v>92</v>
      </c>
      <c r="S167" s="34">
        <v>20151207</v>
      </c>
      <c r="T167" s="45">
        <v>6.9428234888000002</v>
      </c>
      <c r="U167" s="46">
        <v>6.7731059368000004</v>
      </c>
      <c r="V167" s="34" t="s">
        <v>231</v>
      </c>
      <c r="W167" s="34" t="s">
        <v>44</v>
      </c>
      <c r="X167" s="34" t="s">
        <v>45</v>
      </c>
      <c r="Y167" s="34" t="s">
        <v>817</v>
      </c>
      <c r="Z167" s="34"/>
      <c r="AA167" s="34"/>
      <c r="AB167" s="22">
        <v>0.89085334777832026</v>
      </c>
      <c r="AC167" s="23" t="s">
        <v>828</v>
      </c>
      <c r="AD167" s="24">
        <v>1.0849315068493151</v>
      </c>
      <c r="AE167" s="25">
        <v>7.0771682406525871E-2</v>
      </c>
      <c r="AF167" s="26">
        <v>0</v>
      </c>
      <c r="AG167" s="26">
        <v>0</v>
      </c>
      <c r="AH167" s="27">
        <v>0.4667816877217375</v>
      </c>
      <c r="AI167" s="27">
        <v>0.4667816877217375</v>
      </c>
      <c r="AJ167" s="27">
        <v>0.4667816877217375</v>
      </c>
      <c r="AK167" s="28" t="s">
        <v>829</v>
      </c>
      <c r="AL167" s="29" t="s">
        <v>48</v>
      </c>
      <c r="AM167" s="29" t="s">
        <v>48</v>
      </c>
      <c r="AN167" s="29" t="s">
        <v>48</v>
      </c>
      <c r="AO167" s="47" t="s">
        <v>249</v>
      </c>
      <c r="AP167" s="28">
        <v>0</v>
      </c>
      <c r="AQ167" s="26">
        <v>1.4999999999999999E-2</v>
      </c>
      <c r="AR167" s="26">
        <v>0</v>
      </c>
    </row>
    <row r="168" spans="1:44" x14ac:dyDescent="0.15">
      <c r="A168">
        <v>86</v>
      </c>
      <c r="B168" s="11">
        <v>1915</v>
      </c>
      <c r="C168" s="32"/>
      <c r="D168" s="32">
        <v>6.08949017784062E-4</v>
      </c>
      <c r="E168" s="32">
        <v>70</v>
      </c>
      <c r="F168" s="32">
        <v>0.69255435873914095</v>
      </c>
      <c r="G168" s="11"/>
      <c r="H168" s="11"/>
      <c r="I168" s="11"/>
      <c r="J168" s="18" t="s">
        <v>44</v>
      </c>
      <c r="K168" s="18" t="s">
        <v>45</v>
      </c>
      <c r="L168" s="58" t="s">
        <v>65</v>
      </c>
      <c r="M168" s="18">
        <f>[1]!f_prt_stocktonav(B168,"2017/03/31")</f>
        <v>93.838798522949219</v>
      </c>
      <c r="N168" s="20" t="str">
        <f>[1]!f_info_fundmanager(B168)</f>
        <v>段鹏程</v>
      </c>
      <c r="O168" s="21">
        <v>1.3287671232876712</v>
      </c>
      <c r="P168" s="34" t="s">
        <v>830</v>
      </c>
      <c r="Q168" s="34" t="s">
        <v>831</v>
      </c>
      <c r="R168" s="34" t="s">
        <v>402</v>
      </c>
      <c r="S168" s="34">
        <v>20151202</v>
      </c>
      <c r="T168" s="45">
        <v>3.0239353055999998</v>
      </c>
      <c r="U168" s="46">
        <v>3.3532983035999999</v>
      </c>
      <c r="V168" s="34" t="s">
        <v>231</v>
      </c>
      <c r="W168" s="34" t="s">
        <v>44</v>
      </c>
      <c r="X168" s="34" t="s">
        <v>45</v>
      </c>
      <c r="Y168" s="34" t="s">
        <v>274</v>
      </c>
      <c r="Z168" s="34"/>
      <c r="AA168" s="34"/>
      <c r="AB168" s="22">
        <v>0.92348464965820309</v>
      </c>
      <c r="AC168" s="23" t="s">
        <v>832</v>
      </c>
      <c r="AD168" s="24">
        <v>1.0986301369863014</v>
      </c>
      <c r="AE168" s="25">
        <v>-0.12139538361090117</v>
      </c>
      <c r="AF168" s="26">
        <v>0</v>
      </c>
      <c r="AG168" s="26">
        <v>0</v>
      </c>
      <c r="AH168" s="27">
        <v>-0.43437244238009293</v>
      </c>
      <c r="AI168" s="27">
        <v>-0.43437244238009293</v>
      </c>
      <c r="AJ168" s="27">
        <v>-0.43437244238009293</v>
      </c>
      <c r="AK168" s="28" t="s">
        <v>833</v>
      </c>
      <c r="AL168" s="29" t="s">
        <v>48</v>
      </c>
      <c r="AM168" s="29" t="s">
        <v>48</v>
      </c>
      <c r="AN168" s="29" t="s">
        <v>48</v>
      </c>
      <c r="AO168" s="47" t="s">
        <v>405</v>
      </c>
      <c r="AP168" s="28">
        <v>0</v>
      </c>
      <c r="AQ168" s="26">
        <v>1.4999999999999999E-2</v>
      </c>
      <c r="AR168" s="26">
        <v>0</v>
      </c>
    </row>
    <row r="169" spans="1:44" x14ac:dyDescent="0.15">
      <c r="A169">
        <v>108</v>
      </c>
      <c r="B169" s="11">
        <v>1838</v>
      </c>
      <c r="C169" s="32"/>
      <c r="D169" s="32">
        <v>-2.4709811550585399E-3</v>
      </c>
      <c r="E169" s="32">
        <v>70</v>
      </c>
      <c r="F169" s="32">
        <v>0.28878602732217001</v>
      </c>
      <c r="G169" s="11"/>
      <c r="H169" s="11"/>
      <c r="I169" s="11"/>
      <c r="J169" s="18" t="s">
        <v>44</v>
      </c>
      <c r="K169" s="18" t="s">
        <v>45</v>
      </c>
      <c r="L169" s="58" t="s">
        <v>65</v>
      </c>
      <c r="M169" s="18">
        <f>[1]!f_prt_stocktonav(B169,"2017/03/31")</f>
        <v>93.50732421875</v>
      </c>
      <c r="N169" s="20" t="str">
        <f>[1]!f_info_fundmanager(B169)</f>
        <v>李轩</v>
      </c>
      <c r="O169" s="21">
        <v>1.3287671232876712</v>
      </c>
      <c r="P169" s="34" t="s">
        <v>834</v>
      </c>
      <c r="Q169" s="34" t="s">
        <v>835</v>
      </c>
      <c r="R169" s="34" t="s">
        <v>452</v>
      </c>
      <c r="S169" s="34">
        <v>20151202</v>
      </c>
      <c r="T169" s="45">
        <v>5.9039023488</v>
      </c>
      <c r="U169" s="46">
        <v>6.0783171172000001</v>
      </c>
      <c r="V169" s="34" t="s">
        <v>231</v>
      </c>
      <c r="W169" s="34" t="s">
        <v>44</v>
      </c>
      <c r="X169" s="17" t="s">
        <v>45</v>
      </c>
      <c r="Y169" s="17" t="s">
        <v>817</v>
      </c>
      <c r="Z169" s="34"/>
      <c r="AA169" s="34"/>
      <c r="AB169" s="22">
        <v>0.94476730346679683</v>
      </c>
      <c r="AC169" s="23" t="s">
        <v>836</v>
      </c>
      <c r="AD169" s="24">
        <v>1.0986301369863014</v>
      </c>
      <c r="AE169" s="25">
        <v>-7.9543141702073883E-2</v>
      </c>
      <c r="AF169" s="26">
        <v>0</v>
      </c>
      <c r="AG169" s="26">
        <v>0</v>
      </c>
      <c r="AH169" s="27">
        <v>-0.28735038695258663</v>
      </c>
      <c r="AI169" s="27">
        <v>-0.28735038695258663</v>
      </c>
      <c r="AJ169" s="27">
        <v>-0.28735038695258663</v>
      </c>
      <c r="AK169" s="28" t="s">
        <v>409</v>
      </c>
      <c r="AL169" s="29" t="s">
        <v>48</v>
      </c>
      <c r="AM169" s="29" t="s">
        <v>48</v>
      </c>
      <c r="AN169" s="29" t="s">
        <v>48</v>
      </c>
      <c r="AO169" s="47" t="s">
        <v>209</v>
      </c>
      <c r="AP169" s="28">
        <v>0</v>
      </c>
      <c r="AQ169" s="26">
        <v>1.4999999999999999E-2</v>
      </c>
      <c r="AR169" s="26">
        <v>0</v>
      </c>
    </row>
    <row r="170" spans="1:44" x14ac:dyDescent="0.15">
      <c r="A170">
        <v>383</v>
      </c>
      <c r="B170" s="11">
        <v>1726</v>
      </c>
      <c r="C170" s="32"/>
      <c r="D170" s="32">
        <v>1.01978400846164E-3</v>
      </c>
      <c r="E170" s="32">
        <v>70</v>
      </c>
      <c r="F170" s="32">
        <v>0.477810009929442</v>
      </c>
      <c r="G170" s="11"/>
      <c r="H170" s="11"/>
      <c r="I170" s="11"/>
      <c r="J170" s="18" t="s">
        <v>44</v>
      </c>
      <c r="K170" s="18" t="s">
        <v>45</v>
      </c>
      <c r="L170" s="58" t="s">
        <v>65</v>
      </c>
      <c r="M170" s="18">
        <f>[1]!f_prt_stocktonav(B170,"2017/03/31")</f>
        <v>87.835334777832031</v>
      </c>
      <c r="N170" s="20" t="str">
        <f>[1]!f_info_fundmanager(B170)</f>
        <v>雷鸣,刘伟林</v>
      </c>
      <c r="O170" s="21">
        <v>1.3287671232876712</v>
      </c>
      <c r="P170" s="34" t="s">
        <v>837</v>
      </c>
      <c r="Q170" s="34" t="s">
        <v>838</v>
      </c>
      <c r="R170" s="34" t="s">
        <v>331</v>
      </c>
      <c r="S170" s="34">
        <v>20151202</v>
      </c>
      <c r="T170" s="45">
        <v>19.6623524106</v>
      </c>
      <c r="U170" s="46">
        <v>22.536632924399999</v>
      </c>
      <c r="V170" s="34" t="s">
        <v>231</v>
      </c>
      <c r="W170" s="34" t="s">
        <v>44</v>
      </c>
      <c r="X170" s="34" t="s">
        <v>45</v>
      </c>
      <c r="Y170" s="34" t="s">
        <v>65</v>
      </c>
      <c r="Z170" s="34"/>
      <c r="AA170" s="34"/>
      <c r="AB170" s="22">
        <v>0.88230285644531248</v>
      </c>
      <c r="AC170" s="23" t="s">
        <v>839</v>
      </c>
      <c r="AD170" s="24">
        <v>1.0986301369863014</v>
      </c>
      <c r="AE170" s="25">
        <v>-4.988002984899742E-2</v>
      </c>
      <c r="AF170" s="26">
        <v>0</v>
      </c>
      <c r="AG170" s="26">
        <v>0</v>
      </c>
      <c r="AH170" s="27">
        <v>-0.35796291367115746</v>
      </c>
      <c r="AI170" s="27">
        <v>-0.35796291367115746</v>
      </c>
      <c r="AJ170" s="27">
        <v>-0.35796291367115746</v>
      </c>
      <c r="AK170" s="28" t="s">
        <v>840</v>
      </c>
      <c r="AL170" s="29" t="s">
        <v>48</v>
      </c>
      <c r="AM170" s="29" t="s">
        <v>48</v>
      </c>
      <c r="AN170" s="29" t="s">
        <v>48</v>
      </c>
      <c r="AO170" s="47" t="s">
        <v>334</v>
      </c>
      <c r="AP170" s="28">
        <v>0</v>
      </c>
      <c r="AQ170" s="26">
        <v>1.4999999999999999E-2</v>
      </c>
      <c r="AR170" s="26">
        <v>0</v>
      </c>
    </row>
    <row r="171" spans="1:44" x14ac:dyDescent="0.15">
      <c r="A171">
        <v>583</v>
      </c>
      <c r="B171" s="11">
        <v>1677</v>
      </c>
      <c r="C171" s="32"/>
      <c r="D171" s="32">
        <v>1.9459430527372299E-4</v>
      </c>
      <c r="E171" s="32">
        <v>70</v>
      </c>
      <c r="F171" s="32">
        <v>0.87965726886852702</v>
      </c>
      <c r="G171" s="11"/>
      <c r="H171" s="11"/>
      <c r="I171" s="11"/>
      <c r="J171" s="18" t="s">
        <v>44</v>
      </c>
      <c r="K171" s="18" t="s">
        <v>45</v>
      </c>
      <c r="L171" s="58" t="s">
        <v>354</v>
      </c>
      <c r="M171" s="18">
        <f>[1]!f_prt_stocktonav(B171,"2017/03/31")</f>
        <v>83.234878540039063</v>
      </c>
      <c r="N171" s="20" t="str">
        <f>[1]!f_info_fundmanager(B171)</f>
        <v>钱亚风云</v>
      </c>
      <c r="O171" s="21">
        <v>1.3452054794520547</v>
      </c>
      <c r="P171" s="34" t="s">
        <v>841</v>
      </c>
      <c r="Q171" s="34" t="s">
        <v>842</v>
      </c>
      <c r="R171" s="34" t="s">
        <v>71</v>
      </c>
      <c r="S171" s="34">
        <v>20151126</v>
      </c>
      <c r="T171" s="45">
        <v>1.2047758180000001</v>
      </c>
      <c r="U171" s="46">
        <v>1.4780961956000001</v>
      </c>
      <c r="V171" s="34" t="s">
        <v>231</v>
      </c>
      <c r="W171" s="34" t="s">
        <v>44</v>
      </c>
      <c r="X171" s="34" t="s">
        <v>45</v>
      </c>
      <c r="Y171" s="34" t="s">
        <v>817</v>
      </c>
      <c r="Z171" s="34"/>
      <c r="AA171" s="34"/>
      <c r="AB171" s="22">
        <v>0.87447784423828123</v>
      </c>
      <c r="AC171" s="23" t="s">
        <v>843</v>
      </c>
      <c r="AD171" s="24">
        <v>1.1150684931506849</v>
      </c>
      <c r="AE171" s="25">
        <v>3.9870621093146319E-2</v>
      </c>
      <c r="AF171" s="26">
        <v>0</v>
      </c>
      <c r="AG171" s="26">
        <v>0</v>
      </c>
      <c r="AH171" s="27">
        <v>0.32071420111382187</v>
      </c>
      <c r="AI171" s="27">
        <v>0.32071420111382187</v>
      </c>
      <c r="AJ171" s="27">
        <v>0.32071420111382187</v>
      </c>
      <c r="AK171" s="28" t="s">
        <v>844</v>
      </c>
      <c r="AL171" s="29" t="s">
        <v>48</v>
      </c>
      <c r="AM171" s="29" t="s">
        <v>48</v>
      </c>
      <c r="AN171" s="29" t="s">
        <v>48</v>
      </c>
      <c r="AO171" s="47" t="s">
        <v>845</v>
      </c>
      <c r="AP171" s="28">
        <v>0</v>
      </c>
      <c r="AQ171" s="26">
        <v>1.4999999999999999E-2</v>
      </c>
      <c r="AR171" s="26">
        <v>0</v>
      </c>
    </row>
    <row r="172" spans="1:44" x14ac:dyDescent="0.15">
      <c r="A172">
        <v>80</v>
      </c>
      <c r="B172" s="11">
        <v>1924</v>
      </c>
      <c r="C172" s="32"/>
      <c r="D172" s="32">
        <v>-8.5707812768857504E-4</v>
      </c>
      <c r="E172" s="32">
        <v>71</v>
      </c>
      <c r="F172" s="32">
        <v>0.47234163805942497</v>
      </c>
      <c r="G172" s="11"/>
      <c r="H172" s="11"/>
      <c r="I172" s="11"/>
      <c r="J172" s="18" t="s">
        <v>44</v>
      </c>
      <c r="K172" s="18" t="s">
        <v>45</v>
      </c>
      <c r="L172" s="58" t="s">
        <v>65</v>
      </c>
      <c r="M172" s="18">
        <f>[1]!f_prt_stocktonav(B172,"2017/03/31")</f>
        <v>93.898643493652344</v>
      </c>
      <c r="N172" s="20" t="str">
        <f>[1]!f_info_fundmanager(B172)</f>
        <v>郑晓辉</v>
      </c>
      <c r="O172" s="21">
        <v>1.3479452054794521</v>
      </c>
      <c r="P172" s="34" t="s">
        <v>846</v>
      </c>
      <c r="Q172" s="34" t="s">
        <v>847</v>
      </c>
      <c r="R172" s="34" t="s">
        <v>143</v>
      </c>
      <c r="S172" s="34">
        <v>20151125</v>
      </c>
      <c r="T172" s="45">
        <v>15.3624941502</v>
      </c>
      <c r="U172" s="46">
        <v>18.883555912399999</v>
      </c>
      <c r="V172" s="34" t="s">
        <v>231</v>
      </c>
      <c r="W172" s="34" t="s">
        <v>44</v>
      </c>
      <c r="X172" s="17" t="s">
        <v>45</v>
      </c>
      <c r="Y172" s="17" t="s">
        <v>274</v>
      </c>
      <c r="Z172" s="34"/>
      <c r="AA172" s="34"/>
      <c r="AB172" s="22">
        <v>0.92050109863281249</v>
      </c>
      <c r="AC172" s="23" t="s">
        <v>848</v>
      </c>
      <c r="AD172" s="24">
        <v>1.1178082191780823</v>
      </c>
      <c r="AE172" s="25">
        <v>-0.12584495859284262</v>
      </c>
      <c r="AF172" s="26">
        <v>0</v>
      </c>
      <c r="AG172" s="26">
        <v>0</v>
      </c>
      <c r="AH172" s="27">
        <v>-0.75561072410104724</v>
      </c>
      <c r="AI172" s="27">
        <v>-0.75561072410104724</v>
      </c>
      <c r="AJ172" s="27">
        <v>-0.75561072410104724</v>
      </c>
      <c r="AK172" s="28" t="s">
        <v>191</v>
      </c>
      <c r="AL172" s="29" t="s">
        <v>48</v>
      </c>
      <c r="AM172" s="29" t="s">
        <v>48</v>
      </c>
      <c r="AN172" s="29" t="s">
        <v>48</v>
      </c>
      <c r="AO172" s="47" t="s">
        <v>101</v>
      </c>
      <c r="AP172" s="28">
        <v>0</v>
      </c>
      <c r="AQ172" s="26">
        <v>1.4999999999999999E-2</v>
      </c>
      <c r="AR172" s="26">
        <v>0</v>
      </c>
    </row>
    <row r="173" spans="1:44" x14ac:dyDescent="0.15">
      <c r="A173">
        <v>839</v>
      </c>
      <c r="B173" s="11">
        <v>1861</v>
      </c>
      <c r="C173" s="32"/>
      <c r="D173" s="32">
        <v>-1.10357171986161E-3</v>
      </c>
      <c r="E173" s="32">
        <v>66</v>
      </c>
      <c r="F173" s="32">
        <v>0.34965660073646998</v>
      </c>
      <c r="G173" s="11"/>
      <c r="H173" s="11"/>
      <c r="I173" s="11"/>
      <c r="J173" s="18" t="s">
        <v>44</v>
      </c>
      <c r="K173" s="18" t="s">
        <v>45</v>
      </c>
      <c r="L173" s="58" t="s">
        <v>274</v>
      </c>
      <c r="M173" s="18">
        <f>[1]!f_prt_stocktonav(B173,"2017/03/31")</f>
        <v>75.186363220214844</v>
      </c>
      <c r="N173" s="20" t="str">
        <f>[1]!f_info_fundmanager(B173)</f>
        <v>李守峰,纪青</v>
      </c>
      <c r="O173" s="21">
        <v>1.2657534246575342</v>
      </c>
      <c r="P173" s="34" t="s">
        <v>849</v>
      </c>
      <c r="Q173" s="34" t="s">
        <v>850</v>
      </c>
      <c r="R173" s="34" t="s">
        <v>98</v>
      </c>
      <c r="S173" s="34">
        <v>20151125</v>
      </c>
      <c r="T173" s="45">
        <v>1.6139172044000001</v>
      </c>
      <c r="U173" s="46">
        <v>2.2346965810000001</v>
      </c>
      <c r="V173" s="34" t="s">
        <v>231</v>
      </c>
      <c r="W173" s="34" t="s">
        <v>44</v>
      </c>
      <c r="X173" s="17" t="s">
        <v>45</v>
      </c>
      <c r="Y173" s="17" t="s">
        <v>274</v>
      </c>
      <c r="Z173" s="34"/>
      <c r="AA173" s="34"/>
      <c r="AB173" s="22">
        <v>0.72789108276367187</v>
      </c>
      <c r="AC173" s="23" t="s">
        <v>851</v>
      </c>
      <c r="AD173" s="24">
        <v>1.0356164383561643</v>
      </c>
      <c r="AE173" s="25">
        <v>-1.6225930762399865E-2</v>
      </c>
      <c r="AF173" s="26">
        <v>0</v>
      </c>
      <c r="AG173" s="26">
        <v>0</v>
      </c>
      <c r="AH173" s="27">
        <v>-0.23336706804500451</v>
      </c>
      <c r="AI173" s="27">
        <v>-0.23336706804500451</v>
      </c>
      <c r="AJ173" s="27">
        <v>-0.23336706804500451</v>
      </c>
      <c r="AK173" s="28" t="s">
        <v>852</v>
      </c>
      <c r="AL173" s="29" t="s">
        <v>48</v>
      </c>
      <c r="AM173" s="29" t="s">
        <v>48</v>
      </c>
      <c r="AN173" s="29" t="s">
        <v>48</v>
      </c>
      <c r="AO173" s="47" t="s">
        <v>310</v>
      </c>
      <c r="AP173" s="28">
        <v>0</v>
      </c>
      <c r="AQ173" s="26">
        <v>1.4999999999999999E-2</v>
      </c>
      <c r="AR173" s="26">
        <v>0</v>
      </c>
    </row>
    <row r="174" spans="1:44" x14ac:dyDescent="0.15">
      <c r="A174">
        <v>798</v>
      </c>
      <c r="B174" s="11">
        <v>1808</v>
      </c>
      <c r="C174" s="32"/>
      <c r="D174" s="32">
        <v>-5.6743021415995795E-4</v>
      </c>
      <c r="E174" s="32">
        <v>72</v>
      </c>
      <c r="F174" s="32">
        <v>0.70970581663309396</v>
      </c>
      <c r="G174" s="11"/>
      <c r="H174" s="11"/>
      <c r="I174" s="11"/>
      <c r="J174" s="18" t="s">
        <v>44</v>
      </c>
      <c r="K174" s="18" t="s">
        <v>87</v>
      </c>
      <c r="L174" s="58" t="s">
        <v>65</v>
      </c>
      <c r="M174" s="18">
        <f>[1]!f_prt_stocktonav(B174,"2017/03/31")</f>
        <v>76.714668273925781</v>
      </c>
      <c r="N174" s="20" t="str">
        <f>[1]!f_info_fundmanager(B174)</f>
        <v>王浩</v>
      </c>
      <c r="O174" s="21">
        <v>1.3671232876712329</v>
      </c>
      <c r="P174" s="34" t="s">
        <v>853</v>
      </c>
      <c r="Q174" s="34" t="s">
        <v>854</v>
      </c>
      <c r="R174" s="34" t="s">
        <v>57</v>
      </c>
      <c r="S174" s="34">
        <v>20151118</v>
      </c>
      <c r="T174" s="45">
        <v>1.7992559909000001</v>
      </c>
      <c r="U174" s="46">
        <v>2.1641869133</v>
      </c>
      <c r="V174" s="34" t="s">
        <v>231</v>
      </c>
      <c r="W174" s="34" t="s">
        <v>41</v>
      </c>
      <c r="X174" s="34" t="s">
        <v>42</v>
      </c>
      <c r="Y174" s="34" t="s">
        <v>181</v>
      </c>
      <c r="Z174" s="34" t="s">
        <v>855</v>
      </c>
      <c r="AA174" s="34"/>
      <c r="AB174" s="22">
        <v>0.63550441741943364</v>
      </c>
      <c r="AC174" s="23" t="s">
        <v>856</v>
      </c>
      <c r="AD174" s="24">
        <v>1.1369863013698631</v>
      </c>
      <c r="AE174" s="25">
        <v>-0.20392805539837067</v>
      </c>
      <c r="AF174" s="26">
        <v>0</v>
      </c>
      <c r="AG174" s="26">
        <v>0</v>
      </c>
      <c r="AH174" s="27">
        <v>-0.97999116906292938</v>
      </c>
      <c r="AI174" s="27">
        <v>-0.97999116906292938</v>
      </c>
      <c r="AJ174" s="27">
        <v>-0.97999116906292938</v>
      </c>
      <c r="AK174" s="33" t="s">
        <v>857</v>
      </c>
      <c r="AL174" s="29" t="s">
        <v>48</v>
      </c>
      <c r="AM174" s="29" t="s">
        <v>48</v>
      </c>
      <c r="AN174" s="29" t="s">
        <v>48</v>
      </c>
      <c r="AO174" s="47" t="s">
        <v>858</v>
      </c>
      <c r="AP174" s="28">
        <v>0</v>
      </c>
      <c r="AQ174" s="26">
        <v>1.4999999999999999E-2</v>
      </c>
      <c r="AR174" s="26">
        <v>0</v>
      </c>
    </row>
    <row r="175" spans="1:44" x14ac:dyDescent="0.15">
      <c r="A175">
        <v>133</v>
      </c>
      <c r="B175" s="11">
        <v>1574</v>
      </c>
      <c r="C175" s="32"/>
      <c r="D175" s="32">
        <v>1.79069039912892E-3</v>
      </c>
      <c r="E175" s="32">
        <v>73</v>
      </c>
      <c r="F175" s="32">
        <v>0.59956829943489598</v>
      </c>
      <c r="G175" s="11"/>
      <c r="H175" s="11"/>
      <c r="I175" s="11"/>
      <c r="J175" s="18" t="s">
        <v>44</v>
      </c>
      <c r="K175" s="18" t="s">
        <v>87</v>
      </c>
      <c r="L175" s="58" t="s">
        <v>65</v>
      </c>
      <c r="M175" s="18">
        <f>[1]!f_prt_stocktonav(B175,"2017/03/31")</f>
        <v>93.039825439453125</v>
      </c>
      <c r="N175" s="20" t="str">
        <f>[1]!f_info_fundmanager(B175)</f>
        <v>邱红丽</v>
      </c>
      <c r="O175" s="21">
        <v>1.3863013698630138</v>
      </c>
      <c r="P175" s="34" t="s">
        <v>859</v>
      </c>
      <c r="Q175" s="34" t="s">
        <v>860</v>
      </c>
      <c r="R175" s="34" t="s">
        <v>505</v>
      </c>
      <c r="S175" s="34">
        <v>20151111</v>
      </c>
      <c r="T175" s="45">
        <v>0.77448239890000004</v>
      </c>
      <c r="U175" s="46">
        <v>0.90800891989999999</v>
      </c>
      <c r="V175" s="34" t="s">
        <v>231</v>
      </c>
      <c r="W175" s="34" t="s">
        <v>44</v>
      </c>
      <c r="X175" s="34" t="s">
        <v>87</v>
      </c>
      <c r="Y175" s="34" t="s">
        <v>65</v>
      </c>
      <c r="Z175" s="34" t="s">
        <v>861</v>
      </c>
      <c r="AA175" s="34"/>
      <c r="AB175" s="22">
        <v>0.79998512268066402</v>
      </c>
      <c r="AC175" s="23" t="s">
        <v>862</v>
      </c>
      <c r="AD175" s="24">
        <v>1.1561643835616437</v>
      </c>
      <c r="AE175" s="25">
        <v>-0.19274694769001122</v>
      </c>
      <c r="AF175" s="26">
        <v>0</v>
      </c>
      <c r="AG175" s="26">
        <v>0</v>
      </c>
      <c r="AH175" s="27">
        <v>-0.72466134872911792</v>
      </c>
      <c r="AI175" s="27">
        <v>-0.72466134872911792</v>
      </c>
      <c r="AJ175" s="27">
        <v>-0.72466134872911792</v>
      </c>
      <c r="AK175" s="33" t="s">
        <v>720</v>
      </c>
      <c r="AL175" s="29" t="s">
        <v>48</v>
      </c>
      <c r="AM175" s="29" t="s">
        <v>48</v>
      </c>
      <c r="AN175" s="29" t="s">
        <v>48</v>
      </c>
      <c r="AO175" s="47" t="s">
        <v>863</v>
      </c>
      <c r="AP175" s="28">
        <v>0</v>
      </c>
      <c r="AQ175" s="26">
        <v>1.4999999999999999E-2</v>
      </c>
      <c r="AR175" s="26">
        <v>0</v>
      </c>
    </row>
    <row r="176" spans="1:44" x14ac:dyDescent="0.15">
      <c r="A176">
        <v>287</v>
      </c>
      <c r="B176" s="11">
        <v>1897</v>
      </c>
      <c r="C176" s="32"/>
      <c r="D176" s="32">
        <v>7.0294208442029803E-4</v>
      </c>
      <c r="E176" s="32">
        <v>73</v>
      </c>
      <c r="F176" s="32">
        <v>0.46725401198216998</v>
      </c>
      <c r="G176" s="11"/>
      <c r="H176" s="11"/>
      <c r="I176" s="11"/>
      <c r="J176" s="18" t="s">
        <v>44</v>
      </c>
      <c r="K176" s="18" t="s">
        <v>64</v>
      </c>
      <c r="L176" s="58" t="s">
        <v>274</v>
      </c>
      <c r="M176" s="18">
        <f>[1]!f_prt_stocktonav(B176,"2017/03/31")</f>
        <v>89.641532897949219</v>
      </c>
      <c r="N176" s="20" t="str">
        <f>[1]!f_info_fundmanager(B176)</f>
        <v>王玥晰,孟亚强</v>
      </c>
      <c r="O176" s="21">
        <v>1.3890410958904109</v>
      </c>
      <c r="P176" s="34" t="s">
        <v>864</v>
      </c>
      <c r="Q176" s="34" t="s">
        <v>865</v>
      </c>
      <c r="R176" s="34" t="s">
        <v>640</v>
      </c>
      <c r="S176" s="34">
        <v>20151110</v>
      </c>
      <c r="T176" s="45">
        <v>3.1844548359</v>
      </c>
      <c r="U176" s="46">
        <v>2.2081235849</v>
      </c>
      <c r="V176" s="34" t="s">
        <v>231</v>
      </c>
      <c r="W176" s="34" t="s">
        <v>44</v>
      </c>
      <c r="X176" s="34" t="s">
        <v>45</v>
      </c>
      <c r="Y176" s="34" t="s">
        <v>274</v>
      </c>
      <c r="Z176" s="34"/>
      <c r="AA176" s="34"/>
      <c r="AB176" s="22">
        <v>0.90646270751953129</v>
      </c>
      <c r="AC176" s="23" t="s">
        <v>866</v>
      </c>
      <c r="AD176" s="24">
        <v>1.1589041095890411</v>
      </c>
      <c r="AE176" s="25">
        <v>8.9374441789095815E-2</v>
      </c>
      <c r="AF176" s="26">
        <v>0</v>
      </c>
      <c r="AG176" s="26">
        <v>0</v>
      </c>
      <c r="AH176" s="27">
        <v>0.42898793898028881</v>
      </c>
      <c r="AI176" s="27">
        <v>0.42898793898028881</v>
      </c>
      <c r="AJ176" s="27">
        <v>0.42898793898028881</v>
      </c>
      <c r="AK176" s="28" t="s">
        <v>110</v>
      </c>
      <c r="AL176" s="29" t="s">
        <v>48</v>
      </c>
      <c r="AM176" s="29" t="s">
        <v>48</v>
      </c>
      <c r="AN176" s="29" t="s">
        <v>48</v>
      </c>
      <c r="AO176" s="47" t="s">
        <v>643</v>
      </c>
      <c r="AP176" s="28">
        <v>0</v>
      </c>
      <c r="AQ176" s="26">
        <v>1.4999999999999999E-2</v>
      </c>
      <c r="AR176" s="26">
        <v>0</v>
      </c>
    </row>
    <row r="177" spans="1:44" x14ac:dyDescent="0.15">
      <c r="A177">
        <v>538</v>
      </c>
      <c r="B177" s="11">
        <v>1705</v>
      </c>
      <c r="C177" s="32"/>
      <c r="D177" s="32">
        <v>3.1455234505403601E-3</v>
      </c>
      <c r="E177" s="32">
        <v>73</v>
      </c>
      <c r="F177" s="32">
        <v>7.3143004870986801E-3</v>
      </c>
      <c r="G177" s="11"/>
      <c r="H177" s="11"/>
      <c r="I177" s="11"/>
      <c r="J177" s="18" t="s">
        <v>44</v>
      </c>
      <c r="K177" s="18" t="s">
        <v>45</v>
      </c>
      <c r="L177" s="58" t="s">
        <v>65</v>
      </c>
      <c r="M177" s="18">
        <f>[1]!f_prt_stocktonav(B177,"2017/03/31")</f>
        <v>84.360771179199219</v>
      </c>
      <c r="N177" s="20" t="str">
        <f>[1]!f_info_fundmanager(B177)</f>
        <v>郭堃</v>
      </c>
      <c r="O177" s="21">
        <v>1.3890410958904109</v>
      </c>
      <c r="P177" s="34" t="s">
        <v>867</v>
      </c>
      <c r="Q177" s="34" t="s">
        <v>868</v>
      </c>
      <c r="R177" s="34" t="s">
        <v>517</v>
      </c>
      <c r="S177" s="34">
        <v>20151110</v>
      </c>
      <c r="T177" s="45">
        <v>9.5067686091999999</v>
      </c>
      <c r="U177" s="46">
        <v>8.7927769929000004</v>
      </c>
      <c r="V177" s="34" t="s">
        <v>231</v>
      </c>
      <c r="W177" s="34" t="s">
        <v>44</v>
      </c>
      <c r="X177" s="34" t="s">
        <v>45</v>
      </c>
      <c r="Y177" s="34" t="s">
        <v>65</v>
      </c>
      <c r="Z177" s="34"/>
      <c r="AA177" s="34"/>
      <c r="AB177" s="22">
        <v>0.85348670959472661</v>
      </c>
      <c r="AC177" s="23" t="s">
        <v>869</v>
      </c>
      <c r="AD177" s="24">
        <v>1.1589041095890411</v>
      </c>
      <c r="AE177" s="25">
        <v>0.12207569058776023</v>
      </c>
      <c r="AF177" s="26">
        <v>0</v>
      </c>
      <c r="AG177" s="26">
        <v>0</v>
      </c>
      <c r="AH177" s="27">
        <v>0.69885902138492395</v>
      </c>
      <c r="AI177" s="27">
        <v>0.69885902138492395</v>
      </c>
      <c r="AJ177" s="27">
        <v>0.69885902138492395</v>
      </c>
      <c r="AK177" s="28" t="s">
        <v>870</v>
      </c>
      <c r="AL177" s="29" t="s">
        <v>48</v>
      </c>
      <c r="AM177" s="29" t="s">
        <v>48</v>
      </c>
      <c r="AN177" s="29" t="s">
        <v>48</v>
      </c>
      <c r="AO177" s="47" t="s">
        <v>520</v>
      </c>
      <c r="AP177" s="28">
        <v>0</v>
      </c>
      <c r="AQ177" s="26">
        <v>1.4999999999999999E-2</v>
      </c>
      <c r="AR177" s="26">
        <v>0</v>
      </c>
    </row>
    <row r="178" spans="1:44" x14ac:dyDescent="0.15">
      <c r="A178">
        <v>172</v>
      </c>
      <c r="B178" s="11">
        <v>1543</v>
      </c>
      <c r="C178" s="32"/>
      <c r="D178" s="32">
        <v>3.1078892924419699E-3</v>
      </c>
      <c r="E178" s="32">
        <v>12</v>
      </c>
      <c r="F178" s="32">
        <v>0.55060286680609805</v>
      </c>
      <c r="G178" s="11"/>
      <c r="H178" s="11"/>
      <c r="I178" s="11"/>
      <c r="J178" s="18" t="s">
        <v>44</v>
      </c>
      <c r="K178" s="18" t="s">
        <v>45</v>
      </c>
      <c r="L178" s="58" t="s">
        <v>65</v>
      </c>
      <c r="M178" s="18">
        <f>[1]!f_prt_stocktonav(B178,"2017/03/31")</f>
        <v>92.299598693847656</v>
      </c>
      <c r="N178" s="20" t="str">
        <f>[1]!f_info_fundmanager(B178)</f>
        <v>肖肖</v>
      </c>
      <c r="O178" s="21">
        <v>0.22739726027397261</v>
      </c>
      <c r="P178" s="34" t="s">
        <v>871</v>
      </c>
      <c r="Q178" s="34" t="s">
        <v>872</v>
      </c>
      <c r="R178" s="34" t="s">
        <v>402</v>
      </c>
      <c r="S178" s="34">
        <v>20151104</v>
      </c>
      <c r="T178" s="45">
        <v>0.91025683830000004</v>
      </c>
      <c r="U178" s="46">
        <v>1.1061919456</v>
      </c>
      <c r="V178" s="34" t="s">
        <v>231</v>
      </c>
      <c r="W178" s="34" t="s">
        <v>41</v>
      </c>
      <c r="X178" s="34" t="s">
        <v>42</v>
      </c>
      <c r="Y178" s="34" t="s">
        <v>388</v>
      </c>
      <c r="Z178" s="34"/>
      <c r="AA178" s="34"/>
      <c r="AB178" s="22">
        <v>0.1805947494506836</v>
      </c>
      <c r="AC178" s="23" t="s">
        <v>873</v>
      </c>
      <c r="AD178" s="24">
        <v>1.1753424657534246</v>
      </c>
      <c r="AE178" s="25">
        <v>2.0626188846985194E-2</v>
      </c>
      <c r="AF178" s="26">
        <v>0</v>
      </c>
      <c r="AG178" s="26">
        <v>0</v>
      </c>
      <c r="AH178" s="27">
        <v>0.10121841359826228</v>
      </c>
      <c r="AI178" s="27">
        <v>0.10121841359826228</v>
      </c>
      <c r="AJ178" s="27">
        <v>0.10121841359826228</v>
      </c>
      <c r="AK178" s="28" t="s">
        <v>874</v>
      </c>
      <c r="AL178" s="29" t="s">
        <v>48</v>
      </c>
      <c r="AM178" s="29" t="s">
        <v>48</v>
      </c>
      <c r="AN178" s="29" t="s">
        <v>48</v>
      </c>
      <c r="AO178" s="47" t="s">
        <v>405</v>
      </c>
      <c r="AP178" s="28">
        <v>0</v>
      </c>
      <c r="AQ178" s="26">
        <v>1.4999999999999999E-2</v>
      </c>
      <c r="AR178" s="26">
        <v>0</v>
      </c>
    </row>
    <row r="179" spans="1:44" x14ac:dyDescent="0.15">
      <c r="A179">
        <v>331</v>
      </c>
      <c r="B179" s="11">
        <v>1938</v>
      </c>
      <c r="C179" s="32"/>
      <c r="D179" s="32">
        <v>4.7181093871430397E-3</v>
      </c>
      <c r="E179" s="32">
        <v>74</v>
      </c>
      <c r="F179" s="32">
        <v>4.3727594199214096E-3</v>
      </c>
      <c r="G179" s="11"/>
      <c r="H179" s="11"/>
      <c r="I179" s="11"/>
      <c r="J179" s="18" t="s">
        <v>44</v>
      </c>
      <c r="K179" s="18" t="s">
        <v>45</v>
      </c>
      <c r="L179" s="58" t="s">
        <v>274</v>
      </c>
      <c r="M179" s="18">
        <f>[1]!f_prt_stocktonav(B179,"2017/03/31")</f>
        <v>88.777755737304688</v>
      </c>
      <c r="N179" s="20" t="str">
        <f>[1]!f_info_fundmanager(B179)</f>
        <v>周应波</v>
      </c>
      <c r="O179" s="21">
        <v>1.4082191780821918</v>
      </c>
      <c r="P179" s="34" t="s">
        <v>875</v>
      </c>
      <c r="Q179" s="34" t="s">
        <v>876</v>
      </c>
      <c r="R179" s="34" t="s">
        <v>200</v>
      </c>
      <c r="S179" s="34">
        <v>20151103</v>
      </c>
      <c r="T179" s="45">
        <v>1.3815829256000001</v>
      </c>
      <c r="U179" s="46">
        <v>0.90037332280000004</v>
      </c>
      <c r="V179" s="34" t="s">
        <v>231</v>
      </c>
      <c r="W179" s="34" t="s">
        <v>44</v>
      </c>
      <c r="X179" s="34" t="s">
        <v>45</v>
      </c>
      <c r="Y179" s="34" t="s">
        <v>274</v>
      </c>
      <c r="Z179" s="34"/>
      <c r="AA179" s="34"/>
      <c r="AB179" s="22">
        <v>0.86308021545410152</v>
      </c>
      <c r="AC179" s="23" t="s">
        <v>611</v>
      </c>
      <c r="AD179" s="24">
        <v>1.178082191780822</v>
      </c>
      <c r="AE179" s="25">
        <v>0.25562875614189751</v>
      </c>
      <c r="AF179" s="26">
        <v>0</v>
      </c>
      <c r="AG179" s="26">
        <v>0</v>
      </c>
      <c r="AH179" s="27">
        <v>0.99774884685886367</v>
      </c>
      <c r="AI179" s="27">
        <v>0.99774884685886367</v>
      </c>
      <c r="AJ179" s="27">
        <v>0.99774884685886367</v>
      </c>
      <c r="AK179" s="28" t="s">
        <v>877</v>
      </c>
      <c r="AL179" s="29" t="s">
        <v>48</v>
      </c>
      <c r="AM179" s="29" t="s">
        <v>48</v>
      </c>
      <c r="AN179" s="29" t="s">
        <v>48</v>
      </c>
      <c r="AO179" s="47" t="s">
        <v>421</v>
      </c>
      <c r="AP179" s="28">
        <v>0</v>
      </c>
      <c r="AQ179" s="26">
        <v>1.4999999999999999E-2</v>
      </c>
      <c r="AR179" s="26">
        <v>0</v>
      </c>
    </row>
    <row r="180" spans="1:44" x14ac:dyDescent="0.15">
      <c r="A180">
        <v>87</v>
      </c>
      <c r="B180" s="11">
        <v>1815</v>
      </c>
      <c r="C180" s="32"/>
      <c r="D180" s="32">
        <v>1.7665643690890501E-3</v>
      </c>
      <c r="E180" s="32">
        <v>75</v>
      </c>
      <c r="F180" s="32">
        <v>0.106582936151339</v>
      </c>
      <c r="G180" s="11"/>
      <c r="H180" s="11"/>
      <c r="I180" s="11"/>
      <c r="J180" s="18" t="s">
        <v>44</v>
      </c>
      <c r="K180" s="18" t="s">
        <v>45</v>
      </c>
      <c r="L180" s="58" t="s">
        <v>65</v>
      </c>
      <c r="M180" s="18">
        <f>[1]!f_prt_stocktonav(B180,"2017/03/31")</f>
        <v>93.821296691894531</v>
      </c>
      <c r="N180" s="20" t="str">
        <f>[1]!f_info_fundmanager(B180)</f>
        <v>徐晓杰</v>
      </c>
      <c r="O180" s="21">
        <v>1.4246575342465753</v>
      </c>
      <c r="P180" s="34" t="s">
        <v>878</v>
      </c>
      <c r="Q180" s="34" t="s">
        <v>879</v>
      </c>
      <c r="R180" s="34" t="s">
        <v>880</v>
      </c>
      <c r="S180" s="34">
        <v>20151028</v>
      </c>
      <c r="T180" s="45">
        <v>1.1638986535</v>
      </c>
      <c r="U180" s="46">
        <v>1.5962966451</v>
      </c>
      <c r="V180" s="34" t="s">
        <v>231</v>
      </c>
      <c r="W180" s="34" t="s">
        <v>44</v>
      </c>
      <c r="X180" s="34" t="s">
        <v>45</v>
      </c>
      <c r="Y180" s="34" t="s">
        <v>65</v>
      </c>
      <c r="Z180" s="34"/>
      <c r="AA180" s="34"/>
      <c r="AB180" s="22">
        <v>0.83842300415039062</v>
      </c>
      <c r="AC180" s="23" t="s">
        <v>881</v>
      </c>
      <c r="AD180" s="24">
        <v>1.1945205479452055</v>
      </c>
      <c r="AE180" s="25">
        <v>2.6191318008822462E-2</v>
      </c>
      <c r="AF180" s="26">
        <v>0</v>
      </c>
      <c r="AG180" s="26">
        <v>0</v>
      </c>
      <c r="AH180" s="27">
        <v>0.30960273752158102</v>
      </c>
      <c r="AI180" s="27">
        <v>0.30960273752158102</v>
      </c>
      <c r="AJ180" s="27">
        <v>0.30960273752158102</v>
      </c>
      <c r="AK180" s="28" t="s">
        <v>882</v>
      </c>
      <c r="AL180" s="29" t="s">
        <v>48</v>
      </c>
      <c r="AM180" s="29" t="s">
        <v>48</v>
      </c>
      <c r="AN180" s="29" t="s">
        <v>48</v>
      </c>
      <c r="AO180" s="47" t="s">
        <v>405</v>
      </c>
      <c r="AP180" s="28">
        <v>0</v>
      </c>
      <c r="AQ180" s="26">
        <v>1.4999999999999999E-2</v>
      </c>
      <c r="AR180" s="26">
        <v>0</v>
      </c>
    </row>
    <row r="181" spans="1:44" x14ac:dyDescent="0.15">
      <c r="A181">
        <v>664</v>
      </c>
      <c r="B181" s="11">
        <v>1736</v>
      </c>
      <c r="C181" s="32"/>
      <c r="D181" s="32">
        <v>3.4308880385267998E-3</v>
      </c>
      <c r="E181" s="32">
        <v>75</v>
      </c>
      <c r="F181" s="32">
        <v>6.3395638211890901E-3</v>
      </c>
      <c r="G181" s="11"/>
      <c r="H181" s="11"/>
      <c r="I181" s="11"/>
      <c r="J181" s="18" t="s">
        <v>44</v>
      </c>
      <c r="K181" s="18" t="s">
        <v>45</v>
      </c>
      <c r="L181" s="58" t="s">
        <v>817</v>
      </c>
      <c r="M181" s="18">
        <f>[1]!f_prt_stocktonav(B181,"2017/03/31")</f>
        <v>81.007804870605469</v>
      </c>
      <c r="N181" s="20" t="str">
        <f>[1]!f_info_fundmanager(B181)</f>
        <v>范妍,洪流</v>
      </c>
      <c r="O181" s="21">
        <v>1.4246575342465753</v>
      </c>
      <c r="P181" s="34" t="s">
        <v>883</v>
      </c>
      <c r="Q181" s="34" t="s">
        <v>884</v>
      </c>
      <c r="R181" s="34" t="s">
        <v>885</v>
      </c>
      <c r="S181" s="34">
        <v>20151028</v>
      </c>
      <c r="T181" s="45">
        <v>6.0166545448999997</v>
      </c>
      <c r="U181" s="46">
        <v>5.4552914208000001</v>
      </c>
      <c r="V181" s="34" t="s">
        <v>231</v>
      </c>
      <c r="W181" s="34" t="s">
        <v>44</v>
      </c>
      <c r="X181" s="34" t="s">
        <v>45</v>
      </c>
      <c r="Y181" s="34" t="s">
        <v>817</v>
      </c>
      <c r="Z181" s="34"/>
      <c r="AA181" s="34"/>
      <c r="AB181" s="22">
        <v>0.83690078735351559</v>
      </c>
      <c r="AC181" s="23" t="s">
        <v>886</v>
      </c>
      <c r="AD181" s="24">
        <v>1.1945205479452055</v>
      </c>
      <c r="AE181" s="25">
        <v>0.17930169337265453</v>
      </c>
      <c r="AF181" s="26">
        <v>0</v>
      </c>
      <c r="AG181" s="26">
        <v>0</v>
      </c>
      <c r="AH181" s="27">
        <v>1.2586329536511356</v>
      </c>
      <c r="AI181" s="27">
        <v>1.2586329536511356</v>
      </c>
      <c r="AJ181" s="27">
        <v>1.2586329536511356</v>
      </c>
      <c r="AK181" s="28" t="s">
        <v>167</v>
      </c>
      <c r="AL181" s="29" t="s">
        <v>48</v>
      </c>
      <c r="AM181" s="29" t="s">
        <v>48</v>
      </c>
      <c r="AN181" s="29" t="s">
        <v>48</v>
      </c>
      <c r="AO181" s="47" t="s">
        <v>310</v>
      </c>
      <c r="AP181" s="28">
        <v>0</v>
      </c>
      <c r="AQ181" s="26">
        <v>1.4999999999999999E-2</v>
      </c>
      <c r="AR181" s="26">
        <v>0</v>
      </c>
    </row>
    <row r="182" spans="1:44" x14ac:dyDescent="0.15">
      <c r="A182">
        <v>13</v>
      </c>
      <c r="B182" s="11">
        <v>1569</v>
      </c>
      <c r="C182" s="32"/>
      <c r="D182" s="32">
        <v>-4.6618147601064303E-3</v>
      </c>
      <c r="E182" s="32">
        <v>75</v>
      </c>
      <c r="F182" s="32">
        <v>3.3195796187177398E-3</v>
      </c>
      <c r="G182" s="11"/>
      <c r="H182" s="11"/>
      <c r="I182" s="11"/>
      <c r="J182" s="18" t="s">
        <v>44</v>
      </c>
      <c r="K182" s="18" t="s">
        <v>45</v>
      </c>
      <c r="L182" s="58" t="s">
        <v>274</v>
      </c>
      <c r="M182" s="18">
        <f>[1]!f_prt_stocktonav(B182,"2017/03/31")</f>
        <v>94.81097412109375</v>
      </c>
      <c r="N182" s="20" t="str">
        <f>[1]!f_info_fundmanager(B182)</f>
        <v>车广路</v>
      </c>
      <c r="O182" s="21">
        <v>1.4273972602739726</v>
      </c>
      <c r="P182" s="34" t="s">
        <v>887</v>
      </c>
      <c r="Q182" s="34" t="s">
        <v>888</v>
      </c>
      <c r="R182" s="34" t="s">
        <v>889</v>
      </c>
      <c r="S182" s="34">
        <v>20151027</v>
      </c>
      <c r="T182" s="45">
        <v>2.5074258234000002</v>
      </c>
      <c r="U182" s="46">
        <v>2.6841566565999999</v>
      </c>
      <c r="V182" s="34" t="s">
        <v>231</v>
      </c>
      <c r="W182" s="34" t="s">
        <v>44</v>
      </c>
      <c r="X182" s="17" t="s">
        <v>45</v>
      </c>
      <c r="Y182" s="17" t="s">
        <v>65</v>
      </c>
      <c r="Z182" s="34"/>
      <c r="AA182" s="34"/>
      <c r="AB182" s="22">
        <v>0.87359268188476558</v>
      </c>
      <c r="AC182" s="23" t="s">
        <v>890</v>
      </c>
      <c r="AD182" s="24">
        <v>1.1972602739726028</v>
      </c>
      <c r="AE182" s="25">
        <v>-0.15175619975031729</v>
      </c>
      <c r="AF182" s="26">
        <v>0</v>
      </c>
      <c r="AG182" s="26">
        <v>0</v>
      </c>
      <c r="AH182" s="27">
        <v>-0.95025863298800128</v>
      </c>
      <c r="AI182" s="27">
        <v>-0.95025863298800128</v>
      </c>
      <c r="AJ182" s="27">
        <v>-0.95025863298800128</v>
      </c>
      <c r="AK182" s="28" t="s">
        <v>191</v>
      </c>
      <c r="AL182" s="29" t="s">
        <v>48</v>
      </c>
      <c r="AM182" s="29" t="s">
        <v>48</v>
      </c>
      <c r="AN182" s="29" t="s">
        <v>48</v>
      </c>
      <c r="AO182" s="47" t="s">
        <v>249</v>
      </c>
      <c r="AP182" s="28">
        <v>0</v>
      </c>
      <c r="AQ182" s="26">
        <v>1.4999999999999999E-2</v>
      </c>
      <c r="AR182" s="26">
        <v>0</v>
      </c>
    </row>
    <row r="183" spans="1:44" x14ac:dyDescent="0.15">
      <c r="A183">
        <v>127</v>
      </c>
      <c r="B183" s="11">
        <v>1766</v>
      </c>
      <c r="C183" s="32"/>
      <c r="D183" s="32">
        <v>-1.0305049600199099E-3</v>
      </c>
      <c r="E183" s="32">
        <v>76</v>
      </c>
      <c r="F183" s="32">
        <v>0.53596291592227396</v>
      </c>
      <c r="G183" s="11"/>
      <c r="H183" s="11"/>
      <c r="I183" s="11"/>
      <c r="J183" s="18" t="s">
        <v>44</v>
      </c>
      <c r="K183" s="19" t="s">
        <v>45</v>
      </c>
      <c r="L183" s="58" t="s">
        <v>274</v>
      </c>
      <c r="M183" s="18">
        <f>[1]!f_prt_stocktonav(B183,"2017/03/31")</f>
        <v>93.10504150390625</v>
      </c>
      <c r="N183" s="20" t="str">
        <f>[1]!f_info_fundmanager(B183)</f>
        <v>张飞</v>
      </c>
      <c r="O183" s="21">
        <v>1.4438356164383561</v>
      </c>
      <c r="P183" s="12" t="s">
        <v>891</v>
      </c>
      <c r="Q183" s="13" t="s">
        <v>892</v>
      </c>
      <c r="R183" s="13" t="s">
        <v>511</v>
      </c>
      <c r="S183" s="13">
        <v>20151021</v>
      </c>
      <c r="T183" s="14">
        <v>1.6188948564000001</v>
      </c>
      <c r="U183" s="15" t="s">
        <v>39</v>
      </c>
      <c r="V183" s="16" t="s">
        <v>40</v>
      </c>
      <c r="W183" s="17" t="s">
        <v>44</v>
      </c>
      <c r="X183" s="17" t="s">
        <v>45</v>
      </c>
      <c r="Y183" s="17" t="s">
        <v>274</v>
      </c>
      <c r="Z183" s="13"/>
      <c r="AA183" s="13"/>
      <c r="AB183" s="22">
        <v>0.90301651000976557</v>
      </c>
      <c r="AC183" s="23" t="s">
        <v>893</v>
      </c>
      <c r="AD183" s="24">
        <v>1.2136986301369863</v>
      </c>
      <c r="AE183" s="25">
        <v>-0.14984157563112033</v>
      </c>
      <c r="AF183" s="26">
        <v>0</v>
      </c>
      <c r="AG183" s="26">
        <v>0</v>
      </c>
      <c r="AH183" s="27">
        <v>-0.53502963979386053</v>
      </c>
      <c r="AI183" s="27">
        <v>-0.53502963979386053</v>
      </c>
      <c r="AJ183" s="27">
        <v>-0.53502963979386053</v>
      </c>
      <c r="AK183" s="28" t="s">
        <v>894</v>
      </c>
      <c r="AL183" s="29" t="s">
        <v>48</v>
      </c>
      <c r="AM183" s="29" t="s">
        <v>48</v>
      </c>
      <c r="AN183" s="29" t="s">
        <v>48</v>
      </c>
      <c r="AO183" s="23" t="s">
        <v>895</v>
      </c>
      <c r="AP183" s="30">
        <v>0</v>
      </c>
      <c r="AQ183" s="31">
        <v>1.4999999999999999E-2</v>
      </c>
      <c r="AR183" s="31">
        <v>0</v>
      </c>
    </row>
    <row r="184" spans="1:44" x14ac:dyDescent="0.15">
      <c r="A184">
        <v>77</v>
      </c>
      <c r="B184" s="11">
        <v>1830</v>
      </c>
      <c r="C184" s="32"/>
      <c r="D184" s="32">
        <v>1.3752363561281801E-3</v>
      </c>
      <c r="E184" s="32">
        <v>79</v>
      </c>
      <c r="F184" s="32">
        <v>0.443461963976788</v>
      </c>
      <c r="G184" s="11"/>
      <c r="H184" s="11"/>
      <c r="I184" s="11"/>
      <c r="J184" s="18" t="s">
        <v>44</v>
      </c>
      <c r="K184" s="18" t="s">
        <v>45</v>
      </c>
      <c r="L184" s="58" t="s">
        <v>65</v>
      </c>
      <c r="M184" s="18">
        <f>[1]!f_prt_stocktonav(B184,"2017/03/31")</f>
        <v>93.955398559570313</v>
      </c>
      <c r="N184" s="20" t="str">
        <f>[1]!f_info_fundmanager(B184)</f>
        <v>商小虎</v>
      </c>
      <c r="O184" s="21">
        <v>1.5013698630136987</v>
      </c>
      <c r="P184" s="34" t="s">
        <v>896</v>
      </c>
      <c r="Q184" s="34" t="s">
        <v>897</v>
      </c>
      <c r="R184" s="34" t="s">
        <v>230</v>
      </c>
      <c r="S184" s="34">
        <v>20150930</v>
      </c>
      <c r="T184" s="45">
        <v>0.95537295180000004</v>
      </c>
      <c r="U184" s="46">
        <v>1.0657175840999999</v>
      </c>
      <c r="V184" s="34" t="s">
        <v>201</v>
      </c>
      <c r="W184" s="34" t="s">
        <v>44</v>
      </c>
      <c r="X184" s="34" t="s">
        <v>45</v>
      </c>
      <c r="Y184" s="34" t="s">
        <v>274</v>
      </c>
      <c r="Z184" s="34"/>
      <c r="AA184" s="34"/>
      <c r="AB184" s="22">
        <v>0.87022254943847654</v>
      </c>
      <c r="AC184" s="23" t="s">
        <v>898</v>
      </c>
      <c r="AD184" s="24">
        <v>1.2712328767123289</v>
      </c>
      <c r="AE184" s="25">
        <v>5.7628419565740385E-2</v>
      </c>
      <c r="AF184" s="26">
        <v>0</v>
      </c>
      <c r="AG184" s="26">
        <v>0</v>
      </c>
      <c r="AH184" s="27">
        <v>0.28891291655235546</v>
      </c>
      <c r="AI184" s="27">
        <v>0.28891291655235546</v>
      </c>
      <c r="AJ184" s="27">
        <v>0.28891291655235546</v>
      </c>
      <c r="AK184" s="28" t="s">
        <v>291</v>
      </c>
      <c r="AL184" s="29" t="s">
        <v>48</v>
      </c>
      <c r="AM184" s="29" t="s">
        <v>48</v>
      </c>
      <c r="AN184" s="29" t="s">
        <v>48</v>
      </c>
      <c r="AO184" s="47" t="s">
        <v>899</v>
      </c>
      <c r="AP184" s="28" t="s">
        <v>235</v>
      </c>
      <c r="AQ184" s="26">
        <v>1.4999999999999999E-2</v>
      </c>
      <c r="AR184" s="26">
        <v>0</v>
      </c>
    </row>
    <row r="185" spans="1:44" x14ac:dyDescent="0.15">
      <c r="A185">
        <v>168</v>
      </c>
      <c r="B185" s="11">
        <v>1643</v>
      </c>
      <c r="C185" s="32"/>
      <c r="D185" s="32">
        <v>-1.8458801415941299E-3</v>
      </c>
      <c r="E185" s="32">
        <v>79</v>
      </c>
      <c r="F185" s="32">
        <v>0.18439195101882</v>
      </c>
      <c r="G185" s="11"/>
      <c r="H185" s="11"/>
      <c r="I185" s="11"/>
      <c r="J185" s="18" t="s">
        <v>44</v>
      </c>
      <c r="K185" s="18" t="s">
        <v>87</v>
      </c>
      <c r="L185" s="58" t="s">
        <v>274</v>
      </c>
      <c r="M185" s="18">
        <f>[1]!f_prt_stocktonav(B185,"2017/03/31")</f>
        <v>92.408058166503906</v>
      </c>
      <c r="N185" s="20" t="str">
        <f>[1]!f_info_fundmanager(B185)</f>
        <v>吴培文</v>
      </c>
      <c r="O185" s="21">
        <v>1.5013698630136987</v>
      </c>
      <c r="P185" s="34" t="s">
        <v>900</v>
      </c>
      <c r="Q185" s="34" t="s">
        <v>901</v>
      </c>
      <c r="R185" s="34" t="s">
        <v>149</v>
      </c>
      <c r="S185" s="34">
        <v>20150930</v>
      </c>
      <c r="T185" s="45">
        <v>1.8117158464000001</v>
      </c>
      <c r="U185" s="46">
        <v>2.0314821935</v>
      </c>
      <c r="V185" s="34" t="s">
        <v>201</v>
      </c>
      <c r="W185" s="34" t="s">
        <v>44</v>
      </c>
      <c r="X185" s="34" t="s">
        <v>45</v>
      </c>
      <c r="Y185" s="34" t="s">
        <v>274</v>
      </c>
      <c r="Z185" s="34"/>
      <c r="AA185" s="34"/>
      <c r="AB185" s="22">
        <v>0.94589035034179691</v>
      </c>
      <c r="AC185" s="23" t="s">
        <v>902</v>
      </c>
      <c r="AD185" s="24">
        <v>1.2712328767123289</v>
      </c>
      <c r="AE185" s="25">
        <v>-2.2963383148655314E-2</v>
      </c>
      <c r="AF185" s="26">
        <v>0</v>
      </c>
      <c r="AG185" s="26">
        <v>0</v>
      </c>
      <c r="AH185" s="27">
        <v>-9.4186000205847192E-2</v>
      </c>
      <c r="AI185" s="27">
        <v>-9.4186000205847192E-2</v>
      </c>
      <c r="AJ185" s="27">
        <v>-9.4186000205847192E-2</v>
      </c>
      <c r="AK185" s="28" t="s">
        <v>903</v>
      </c>
      <c r="AL185" s="29" t="s">
        <v>48</v>
      </c>
      <c r="AM185" s="29" t="s">
        <v>48</v>
      </c>
      <c r="AN185" s="29" t="s">
        <v>48</v>
      </c>
      <c r="AO185" s="47" t="s">
        <v>410</v>
      </c>
      <c r="AP185" s="28">
        <v>0</v>
      </c>
      <c r="AQ185" s="26">
        <v>1.4999999999999999E-2</v>
      </c>
      <c r="AR185" s="26">
        <v>0</v>
      </c>
    </row>
    <row r="186" spans="1:44" x14ac:dyDescent="0.15">
      <c r="A186">
        <v>893</v>
      </c>
      <c r="B186" s="11">
        <v>1810</v>
      </c>
      <c r="C186" s="32"/>
      <c r="D186" s="32">
        <v>1.22515133967347E-3</v>
      </c>
      <c r="E186" s="32">
        <v>71</v>
      </c>
      <c r="F186" s="32">
        <v>0.18616872734467799</v>
      </c>
      <c r="G186" s="11"/>
      <c r="H186" s="11"/>
      <c r="I186" s="11"/>
      <c r="J186" s="18" t="s">
        <v>44</v>
      </c>
      <c r="K186" s="18" t="s">
        <v>45</v>
      </c>
      <c r="L186" s="58" t="s">
        <v>354</v>
      </c>
      <c r="M186" s="18">
        <f>[1]!f_prt_stocktonav(B186,"2017/03/31")</f>
        <v>72.932144165039063</v>
      </c>
      <c r="N186" s="20" t="str">
        <f>[1]!f_info_fundmanager(B186)</f>
        <v>曹名长,袁维德</v>
      </c>
      <c r="O186" s="21">
        <v>1.3616438356164384</v>
      </c>
      <c r="P186" s="34" t="s">
        <v>904</v>
      </c>
      <c r="Q186" s="34" t="s">
        <v>905</v>
      </c>
      <c r="R186" s="34" t="s">
        <v>200</v>
      </c>
      <c r="S186" s="34">
        <v>20150930</v>
      </c>
      <c r="T186" s="45">
        <v>6.3086468483000004</v>
      </c>
      <c r="U186" s="46">
        <v>4.2131104893</v>
      </c>
      <c r="V186" s="34" t="s">
        <v>231</v>
      </c>
      <c r="W186" s="34" t="s">
        <v>44</v>
      </c>
      <c r="X186" s="34" t="s">
        <v>45</v>
      </c>
      <c r="Y186" s="34" t="s">
        <v>354</v>
      </c>
      <c r="Z186" s="34"/>
      <c r="AA186" s="34"/>
      <c r="AB186" s="22">
        <v>0.90387420654296879</v>
      </c>
      <c r="AC186" s="23" t="s">
        <v>906</v>
      </c>
      <c r="AD186" s="24">
        <v>1.1315068493150684</v>
      </c>
      <c r="AE186" s="25">
        <v>0.14912047234773285</v>
      </c>
      <c r="AF186" s="26">
        <v>0</v>
      </c>
      <c r="AG186" s="26">
        <v>0</v>
      </c>
      <c r="AH186" s="27">
        <v>0.74593834504673284</v>
      </c>
      <c r="AI186" s="27">
        <v>0.74593834504673284</v>
      </c>
      <c r="AJ186" s="27">
        <v>0.74593834504673284</v>
      </c>
      <c r="AK186" s="28" t="s">
        <v>907</v>
      </c>
      <c r="AL186" s="29" t="s">
        <v>48</v>
      </c>
      <c r="AM186" s="29" t="s">
        <v>48</v>
      </c>
      <c r="AN186" s="29" t="s">
        <v>48</v>
      </c>
      <c r="AO186" s="47" t="s">
        <v>908</v>
      </c>
      <c r="AP186" s="28">
        <v>0</v>
      </c>
      <c r="AQ186" s="26">
        <v>1.4999999999999999E-2</v>
      </c>
      <c r="AR186" s="26">
        <v>0</v>
      </c>
    </row>
    <row r="187" spans="1:44" x14ac:dyDescent="0.15">
      <c r="A187">
        <v>927</v>
      </c>
      <c r="B187" s="11">
        <v>1753</v>
      </c>
      <c r="C187" s="32"/>
      <c r="D187" s="32">
        <v>-3.4531954036532801E-3</v>
      </c>
      <c r="E187" s="32">
        <v>80</v>
      </c>
      <c r="F187" s="32">
        <v>2.9469284228346101E-2</v>
      </c>
      <c r="G187" s="11"/>
      <c r="H187" s="11"/>
      <c r="I187" s="11"/>
      <c r="J187" s="18" t="s">
        <v>44</v>
      </c>
      <c r="K187" s="18" t="s">
        <v>45</v>
      </c>
      <c r="L187" s="58" t="s">
        <v>337</v>
      </c>
      <c r="M187" s="18">
        <f>[1]!f_prt_stocktonav(B187,"2017/03/31")</f>
        <v>71.251785278320312</v>
      </c>
      <c r="N187" s="20" t="str">
        <f>[1]!f_info_fundmanager(B187)</f>
        <v>侯世霞</v>
      </c>
      <c r="O187" s="21">
        <v>1.5205479452054795</v>
      </c>
      <c r="P187" s="34" t="s">
        <v>909</v>
      </c>
      <c r="Q187" s="34" t="s">
        <v>910</v>
      </c>
      <c r="R187" s="34" t="s">
        <v>911</v>
      </c>
      <c r="S187" s="34">
        <v>20150923</v>
      </c>
      <c r="T187" s="45">
        <v>1.1117511962</v>
      </c>
      <c r="U187" s="46">
        <v>1.3134967543</v>
      </c>
      <c r="V187" s="34" t="s">
        <v>201</v>
      </c>
      <c r="W187" s="34" t="s">
        <v>44</v>
      </c>
      <c r="X187" s="17" t="s">
        <v>45</v>
      </c>
      <c r="Y187" s="17" t="s">
        <v>65</v>
      </c>
      <c r="Z187" s="34"/>
      <c r="AA187" s="34"/>
      <c r="AB187" s="22">
        <v>0.78792114257812496</v>
      </c>
      <c r="AC187" s="23" t="s">
        <v>912</v>
      </c>
      <c r="AD187" s="24">
        <v>1.2904109589041095</v>
      </c>
      <c r="AE187" s="25">
        <v>-0.12764981579792878</v>
      </c>
      <c r="AF187" s="26">
        <v>0</v>
      </c>
      <c r="AG187" s="26">
        <v>0</v>
      </c>
      <c r="AH187" s="27">
        <v>-0.80785646129814492</v>
      </c>
      <c r="AI187" s="27">
        <v>-0.80785646129814492</v>
      </c>
      <c r="AJ187" s="27">
        <v>-0.80785646129814492</v>
      </c>
      <c r="AK187" s="28" t="s">
        <v>226</v>
      </c>
      <c r="AL187" s="29" t="s">
        <v>48</v>
      </c>
      <c r="AM187" s="29" t="s">
        <v>48</v>
      </c>
      <c r="AN187" s="29" t="s">
        <v>48</v>
      </c>
      <c r="AO187" s="47" t="s">
        <v>101</v>
      </c>
      <c r="AP187" s="28">
        <v>0</v>
      </c>
      <c r="AQ187" s="26">
        <v>1.4999999999999999E-2</v>
      </c>
      <c r="AR187" s="26">
        <v>0</v>
      </c>
    </row>
    <row r="188" spans="1:44" x14ac:dyDescent="0.15">
      <c r="A188">
        <v>510</v>
      </c>
      <c r="B188" s="11">
        <v>1623</v>
      </c>
      <c r="C188" s="32"/>
      <c r="D188" s="32">
        <v>2.4006145278095501E-3</v>
      </c>
      <c r="E188" s="32">
        <v>68</v>
      </c>
      <c r="F188" s="32">
        <v>2.9349072884918202E-2</v>
      </c>
      <c r="G188" s="11"/>
      <c r="H188" s="11"/>
      <c r="I188" s="11"/>
      <c r="J188" s="18" t="s">
        <v>44</v>
      </c>
      <c r="K188" s="18" t="s">
        <v>45</v>
      </c>
      <c r="L188" s="58" t="s">
        <v>65</v>
      </c>
      <c r="M188" s="18">
        <f>[1]!f_prt_stocktonav(B188,"2017/03/31")</f>
        <v>85.060203552246094</v>
      </c>
      <c r="N188" s="20" t="str">
        <f>[1]!f_info_fundmanager(B188)</f>
        <v>刘方旭</v>
      </c>
      <c r="O188" s="21">
        <v>1.2931506849315069</v>
      </c>
      <c r="P188" s="34" t="s">
        <v>913</v>
      </c>
      <c r="Q188" s="34" t="s">
        <v>914</v>
      </c>
      <c r="R188" s="34" t="s">
        <v>430</v>
      </c>
      <c r="S188" s="34">
        <v>20150917</v>
      </c>
      <c r="T188" s="45">
        <v>2.0168592207999998</v>
      </c>
      <c r="U188" s="46">
        <v>2.6180948919999998</v>
      </c>
      <c r="V188" s="34" t="s">
        <v>201</v>
      </c>
      <c r="W188" s="34" t="s">
        <v>44</v>
      </c>
      <c r="X188" s="17" t="s">
        <v>45</v>
      </c>
      <c r="Y188" s="17" t="s">
        <v>274</v>
      </c>
      <c r="Z188" s="34"/>
      <c r="AA188" s="34"/>
      <c r="AB188" s="22">
        <v>0.82994461059570313</v>
      </c>
      <c r="AC188" s="23" t="s">
        <v>431</v>
      </c>
      <c r="AD188" s="24">
        <v>1.0630136986301371</v>
      </c>
      <c r="AE188" s="25">
        <v>1.4661397442025992E-2</v>
      </c>
      <c r="AF188" s="26">
        <v>0</v>
      </c>
      <c r="AG188" s="26">
        <v>0</v>
      </c>
      <c r="AH188" s="27">
        <v>7.6487856045284089E-2</v>
      </c>
      <c r="AI188" s="27">
        <v>7.6487856045284089E-2</v>
      </c>
      <c r="AJ188" s="27">
        <v>7.6487856045284089E-2</v>
      </c>
      <c r="AK188" s="28" t="s">
        <v>915</v>
      </c>
      <c r="AL188" s="29" t="s">
        <v>48</v>
      </c>
      <c r="AM188" s="29" t="s">
        <v>48</v>
      </c>
      <c r="AN188" s="29" t="s">
        <v>48</v>
      </c>
      <c r="AO188" s="47" t="s">
        <v>209</v>
      </c>
      <c r="AP188" s="28">
        <v>0</v>
      </c>
      <c r="AQ188" s="26">
        <v>1.4999999999999999E-2</v>
      </c>
      <c r="AR188" s="26">
        <v>0</v>
      </c>
    </row>
    <row r="189" spans="1:44" x14ac:dyDescent="0.15">
      <c r="A189">
        <v>734</v>
      </c>
      <c r="B189" s="11">
        <v>1723</v>
      </c>
      <c r="C189" s="32"/>
      <c r="D189" s="32">
        <v>-1.1199922017771601E-3</v>
      </c>
      <c r="E189" s="32">
        <v>34</v>
      </c>
      <c r="F189" s="32">
        <v>0.69042466767023902</v>
      </c>
      <c r="G189" s="11"/>
      <c r="H189" s="11"/>
      <c r="I189" s="11"/>
      <c r="J189" s="18" t="s">
        <v>44</v>
      </c>
      <c r="K189" s="18" t="s">
        <v>45</v>
      </c>
      <c r="L189" s="58" t="s">
        <v>65</v>
      </c>
      <c r="M189" s="18">
        <f>[1]!f_prt_stocktonav(B189,"2017/03/31")</f>
        <v>78.961318969726563</v>
      </c>
      <c r="N189" s="20" t="str">
        <f>[1]!f_info_fundmanager(B189)</f>
        <v>刘萌萌</v>
      </c>
      <c r="O189" s="21">
        <v>0.65205479452054793</v>
      </c>
      <c r="P189" s="34" t="s">
        <v>916</v>
      </c>
      <c r="Q189" s="34" t="s">
        <v>917</v>
      </c>
      <c r="R189" s="34" t="s">
        <v>387</v>
      </c>
      <c r="S189" s="34">
        <v>20150917</v>
      </c>
      <c r="T189" s="45">
        <v>0.99564433480000003</v>
      </c>
      <c r="U189" s="46">
        <v>1.2345344027</v>
      </c>
      <c r="V189" s="34" t="s">
        <v>231</v>
      </c>
      <c r="W189" s="34" t="s">
        <v>44</v>
      </c>
      <c r="X189" s="17" t="s">
        <v>45</v>
      </c>
      <c r="Y189" s="17" t="s">
        <v>274</v>
      </c>
      <c r="Z189" s="34"/>
      <c r="AA189" s="34"/>
      <c r="AB189" s="22">
        <v>0.87948722839355464</v>
      </c>
      <c r="AC189" s="23" t="s">
        <v>918</v>
      </c>
      <c r="AD189" s="24">
        <v>1.3068493150684932</v>
      </c>
      <c r="AE189" s="25">
        <v>-7.0334958350368626E-2</v>
      </c>
      <c r="AF189" s="26">
        <v>0</v>
      </c>
      <c r="AG189" s="26">
        <v>0</v>
      </c>
      <c r="AH189" s="27">
        <v>-0.29594197065550337</v>
      </c>
      <c r="AI189" s="27">
        <v>-0.29594197065550337</v>
      </c>
      <c r="AJ189" s="27">
        <v>-0.29594197065550337</v>
      </c>
      <c r="AK189" s="28" t="s">
        <v>390</v>
      </c>
      <c r="AL189" s="29" t="s">
        <v>48</v>
      </c>
      <c r="AM189" s="29" t="s">
        <v>48</v>
      </c>
      <c r="AN189" s="29" t="s">
        <v>48</v>
      </c>
      <c r="AO189" s="47" t="s">
        <v>919</v>
      </c>
      <c r="AP189" s="28">
        <v>0</v>
      </c>
      <c r="AQ189" s="26">
        <v>1.4999999999999999E-2</v>
      </c>
      <c r="AR189" s="26">
        <v>0</v>
      </c>
    </row>
    <row r="190" spans="1:44" x14ac:dyDescent="0.15">
      <c r="A190">
        <v>52</v>
      </c>
      <c r="B190" s="11">
        <v>1679</v>
      </c>
      <c r="C190" s="32"/>
      <c r="D190" s="32">
        <v>-3.5681678081889E-3</v>
      </c>
      <c r="E190" s="32">
        <v>81</v>
      </c>
      <c r="F190" s="32">
        <v>8.5952191889393806E-2</v>
      </c>
      <c r="G190" s="11"/>
      <c r="H190" s="11"/>
      <c r="I190" s="11"/>
      <c r="J190" s="18" t="s">
        <v>44</v>
      </c>
      <c r="K190" s="18" t="s">
        <v>45</v>
      </c>
      <c r="L190" s="58" t="s">
        <v>65</v>
      </c>
      <c r="M190" s="18">
        <f>[1]!f_prt_stocktonav(B190,"2017/03/31")</f>
        <v>94.314987182617188</v>
      </c>
      <c r="N190" s="20" t="str">
        <f>[1]!f_info_fundmanager(B190)</f>
        <v>曲扬</v>
      </c>
      <c r="O190" s="21">
        <v>1.5561643835616439</v>
      </c>
      <c r="P190" s="34" t="s">
        <v>920</v>
      </c>
      <c r="Q190" s="34" t="s">
        <v>921</v>
      </c>
      <c r="R190" s="34" t="s">
        <v>78</v>
      </c>
      <c r="S190" s="34">
        <v>20150910</v>
      </c>
      <c r="T190" s="45">
        <v>0.1356592542</v>
      </c>
      <c r="U190" s="46">
        <v>15.433219039400001</v>
      </c>
      <c r="V190" s="34" t="s">
        <v>231</v>
      </c>
      <c r="W190" s="34" t="s">
        <v>44</v>
      </c>
      <c r="X190" s="34" t="s">
        <v>45</v>
      </c>
      <c r="Y190" s="34" t="s">
        <v>65</v>
      </c>
      <c r="Z190" s="34"/>
      <c r="AA190" s="34"/>
      <c r="AB190" s="22">
        <v>0.80363471984863277</v>
      </c>
      <c r="AC190" s="23" t="s">
        <v>119</v>
      </c>
      <c r="AD190" s="24">
        <v>1.3260273972602741</v>
      </c>
      <c r="AE190" s="25">
        <v>-3.8122924900066968E-3</v>
      </c>
      <c r="AF190" s="26">
        <v>0</v>
      </c>
      <c r="AG190" s="26">
        <v>0</v>
      </c>
      <c r="AH190" s="27">
        <v>-0.15761062809083962</v>
      </c>
      <c r="AI190" s="27">
        <v>-0.15761062809083962</v>
      </c>
      <c r="AJ190" s="27">
        <v>-0.15761062809083962</v>
      </c>
      <c r="AK190" s="28" t="s">
        <v>196</v>
      </c>
      <c r="AL190" s="29" t="s">
        <v>48</v>
      </c>
      <c r="AM190" s="29" t="s">
        <v>48</v>
      </c>
      <c r="AN190" s="29" t="s">
        <v>48</v>
      </c>
      <c r="AO190" s="47" t="s">
        <v>270</v>
      </c>
      <c r="AP190" s="28">
        <v>0</v>
      </c>
      <c r="AQ190" s="26">
        <v>1.4999999999999999E-2</v>
      </c>
      <c r="AR190" s="26">
        <v>0</v>
      </c>
    </row>
    <row r="191" spans="1:44" x14ac:dyDescent="0.15">
      <c r="A191">
        <v>834</v>
      </c>
      <c r="B191" s="11">
        <v>1708</v>
      </c>
      <c r="C191" s="32"/>
      <c r="D191" s="32">
        <v>-1.29510635139663E-3</v>
      </c>
      <c r="E191" s="32">
        <v>82</v>
      </c>
      <c r="F191" s="32">
        <v>0.31666926410282997</v>
      </c>
      <c r="G191" s="11"/>
      <c r="H191" s="11"/>
      <c r="I191" s="11"/>
      <c r="J191" s="18" t="s">
        <v>44</v>
      </c>
      <c r="K191" s="18" t="s">
        <v>45</v>
      </c>
      <c r="L191" s="58" t="s">
        <v>65</v>
      </c>
      <c r="M191" s="18">
        <f>[1]!f_prt_stocktonav(B191,"2017/03/31")</f>
        <v>75.514350891113281</v>
      </c>
      <c r="N191" s="20" t="str">
        <f>[1]!f_info_fundmanager(B191)</f>
        <v>孙继青</v>
      </c>
      <c r="O191" s="21">
        <v>1.5616438356164384</v>
      </c>
      <c r="P191" s="34" t="s">
        <v>922</v>
      </c>
      <c r="Q191" s="34" t="s">
        <v>923</v>
      </c>
      <c r="R191" s="34" t="s">
        <v>180</v>
      </c>
      <c r="S191" s="34">
        <v>20150908</v>
      </c>
      <c r="T191" s="45">
        <v>0.56080007580000002</v>
      </c>
      <c r="U191" s="46">
        <v>0.72683455429999999</v>
      </c>
      <c r="V191" s="34" t="s">
        <v>201</v>
      </c>
      <c r="W191" s="34" t="s">
        <v>41</v>
      </c>
      <c r="X191" s="34" t="s">
        <v>42</v>
      </c>
      <c r="Y191" s="34" t="s">
        <v>181</v>
      </c>
      <c r="Z191" s="34"/>
      <c r="AA191" s="34"/>
      <c r="AB191" s="22">
        <v>0.62497787475585942</v>
      </c>
      <c r="AC191" s="23" t="s">
        <v>924</v>
      </c>
      <c r="AD191" s="24">
        <v>1.3315068493150686</v>
      </c>
      <c r="AE191" s="25">
        <v>-0.14378424164542092</v>
      </c>
      <c r="AF191" s="26">
        <v>0</v>
      </c>
      <c r="AG191" s="26">
        <v>0</v>
      </c>
      <c r="AH191" s="27">
        <v>-0.81475439710646669</v>
      </c>
      <c r="AI191" s="27">
        <v>-0.81475439710646669</v>
      </c>
      <c r="AJ191" s="27">
        <v>-0.81475439710646669</v>
      </c>
      <c r="AK191" s="28" t="s">
        <v>409</v>
      </c>
      <c r="AL191" s="29" t="s">
        <v>48</v>
      </c>
      <c r="AM191" s="29" t="s">
        <v>48</v>
      </c>
      <c r="AN191" s="29" t="s">
        <v>48</v>
      </c>
      <c r="AO191" s="47" t="s">
        <v>310</v>
      </c>
      <c r="AP191" s="28">
        <v>0</v>
      </c>
      <c r="AQ191" s="26">
        <v>1.4999999999999999E-2</v>
      </c>
      <c r="AR191" s="26">
        <v>0</v>
      </c>
    </row>
    <row r="192" spans="1:44" x14ac:dyDescent="0.15">
      <c r="A192">
        <v>844</v>
      </c>
      <c r="B192" s="11">
        <v>1712</v>
      </c>
      <c r="C192" s="32"/>
      <c r="D192" s="32">
        <v>2.3579465863171598E-3</v>
      </c>
      <c r="E192" s="32">
        <v>82</v>
      </c>
      <c r="F192" s="32">
        <v>9.7357852523988306E-2</v>
      </c>
      <c r="G192" s="11"/>
      <c r="H192" s="11"/>
      <c r="I192" s="11"/>
      <c r="J192" s="18" t="s">
        <v>44</v>
      </c>
      <c r="K192" s="18" t="s">
        <v>45</v>
      </c>
      <c r="L192" s="58" t="s">
        <v>65</v>
      </c>
      <c r="M192" s="18">
        <f>[1]!f_prt_stocktonav(B192,"2017/03/31")</f>
        <v>74.808624267578125</v>
      </c>
      <c r="N192" s="20" t="str">
        <f>[1]!f_info_fundmanager(B192)</f>
        <v>刚登峰</v>
      </c>
      <c r="O192" s="21">
        <v>1.5616438356164384</v>
      </c>
      <c r="P192" s="34" t="s">
        <v>925</v>
      </c>
      <c r="Q192" s="34" t="s">
        <v>926</v>
      </c>
      <c r="R192" s="34" t="s">
        <v>313</v>
      </c>
      <c r="S192" s="34">
        <v>20150908</v>
      </c>
      <c r="T192" s="45">
        <v>3.6301551744</v>
      </c>
      <c r="U192" s="46">
        <v>4.1835625951999997</v>
      </c>
      <c r="V192" s="34" t="s">
        <v>231</v>
      </c>
      <c r="W192" s="34" t="s">
        <v>44</v>
      </c>
      <c r="X192" s="17" t="s">
        <v>45</v>
      </c>
      <c r="Y192" s="17" t="s">
        <v>65</v>
      </c>
      <c r="Z192" s="34"/>
      <c r="AA192" s="34"/>
      <c r="AB192" s="22">
        <v>0.79898597717285158</v>
      </c>
      <c r="AC192" s="23" t="s">
        <v>748</v>
      </c>
      <c r="AD192" s="24">
        <v>1.3315068493150686</v>
      </c>
      <c r="AE192" s="25">
        <v>-9.1192712566662282E-3</v>
      </c>
      <c r="AF192" s="26">
        <v>0</v>
      </c>
      <c r="AG192" s="26">
        <v>0</v>
      </c>
      <c r="AH192" s="27">
        <v>-5.7914477044905738E-2</v>
      </c>
      <c r="AI192" s="27">
        <v>-5.7914477044905738E-2</v>
      </c>
      <c r="AJ192" s="27">
        <v>-5.7914477044905738E-2</v>
      </c>
      <c r="AK192" s="28" t="s">
        <v>684</v>
      </c>
      <c r="AL192" s="29" t="s">
        <v>48</v>
      </c>
      <c r="AM192" s="29" t="s">
        <v>48</v>
      </c>
      <c r="AN192" s="29" t="s">
        <v>48</v>
      </c>
      <c r="AO192" s="47" t="s">
        <v>927</v>
      </c>
      <c r="AP192" s="28">
        <v>0</v>
      </c>
      <c r="AQ192" s="26">
        <v>1.4999999999999999E-2</v>
      </c>
      <c r="AR192" s="26">
        <v>0</v>
      </c>
    </row>
    <row r="193" spans="1:44" x14ac:dyDescent="0.15">
      <c r="A193">
        <v>326</v>
      </c>
      <c r="B193" s="11">
        <v>1702</v>
      </c>
      <c r="C193" s="32"/>
      <c r="D193" s="32">
        <v>1.13030396807681E-4</v>
      </c>
      <c r="E193" s="32">
        <v>14</v>
      </c>
      <c r="F193" s="32">
        <v>0.97525234053159204</v>
      </c>
      <c r="G193" s="11"/>
      <c r="H193" s="11"/>
      <c r="I193" s="11"/>
      <c r="J193" s="18" t="s">
        <v>44</v>
      </c>
      <c r="K193" s="18" t="s">
        <v>45</v>
      </c>
      <c r="L193" s="58" t="s">
        <v>65</v>
      </c>
      <c r="M193" s="18">
        <f>[1]!f_prt_stocktonav(B193,"2017/03/31")</f>
        <v>88.949806213378906</v>
      </c>
      <c r="N193" s="20" t="str">
        <f>[1]!f_info_fundmanager(B193)</f>
        <v>郭瑞</v>
      </c>
      <c r="O193" s="21">
        <v>0.25753424657534246</v>
      </c>
      <c r="P193" s="34" t="s">
        <v>928</v>
      </c>
      <c r="Q193" s="34" t="s">
        <v>929</v>
      </c>
      <c r="R193" s="34" t="s">
        <v>252</v>
      </c>
      <c r="S193" s="34">
        <v>20150908</v>
      </c>
      <c r="T193" s="45">
        <v>0.29929668749999999</v>
      </c>
      <c r="U193" s="46">
        <v>0.3764596201</v>
      </c>
      <c r="V193" s="34" t="s">
        <v>231</v>
      </c>
      <c r="W193" s="34" t="s">
        <v>41</v>
      </c>
      <c r="X193" s="17" t="s">
        <v>42</v>
      </c>
      <c r="Y193" s="17" t="s">
        <v>181</v>
      </c>
      <c r="Z193" s="34"/>
      <c r="AA193" s="34"/>
      <c r="AB193" s="22">
        <v>0.61021636962890624</v>
      </c>
      <c r="AC193" s="23" t="s">
        <v>930</v>
      </c>
      <c r="AD193" s="24">
        <v>0.51780821917808217</v>
      </c>
      <c r="AE193" s="25">
        <v>-7.1861449604572192E-2</v>
      </c>
      <c r="AF193" s="26">
        <v>0</v>
      </c>
      <c r="AG193" s="26">
        <v>0</v>
      </c>
      <c r="AH193" s="27">
        <v>-0.14783946122024841</v>
      </c>
      <c r="AI193" s="27">
        <v>-0.14783946122024841</v>
      </c>
      <c r="AJ193" s="27">
        <v>-0.14783946122024841</v>
      </c>
      <c r="AK193" s="28" t="s">
        <v>254</v>
      </c>
      <c r="AL193" s="29" t="s">
        <v>48</v>
      </c>
      <c r="AM193" s="29" t="s">
        <v>48</v>
      </c>
      <c r="AN193" s="29" t="s">
        <v>48</v>
      </c>
      <c r="AO193" s="47" t="s">
        <v>255</v>
      </c>
      <c r="AP193" s="28">
        <v>0</v>
      </c>
      <c r="AQ193" s="26">
        <v>1.4999999999999999E-2</v>
      </c>
      <c r="AR193" s="26">
        <v>0</v>
      </c>
    </row>
    <row r="194" spans="1:44" x14ac:dyDescent="0.15">
      <c r="A194">
        <v>130</v>
      </c>
      <c r="B194" s="11">
        <v>1754</v>
      </c>
      <c r="C194" s="32"/>
      <c r="D194" s="32">
        <v>-2.3862911373870701E-3</v>
      </c>
      <c r="E194" s="32">
        <v>83</v>
      </c>
      <c r="F194" s="32">
        <v>1.9882368403779899E-2</v>
      </c>
      <c r="G194" s="11"/>
      <c r="H194" s="11"/>
      <c r="I194" s="11"/>
      <c r="J194" s="18" t="s">
        <v>44</v>
      </c>
      <c r="K194" s="18" t="s">
        <v>64</v>
      </c>
      <c r="L194" s="58" t="s">
        <v>337</v>
      </c>
      <c r="M194" s="18">
        <f>[1]!f_prt_stocktonav(B194,"2017/03/31")</f>
        <v>93.0947265625</v>
      </c>
      <c r="N194" s="20" t="str">
        <f>[1]!f_info_fundmanager(B194)</f>
        <v>张大木</v>
      </c>
      <c r="O194" s="21">
        <v>1.5808219178082192</v>
      </c>
      <c r="P194" s="34" t="s">
        <v>931</v>
      </c>
      <c r="Q194" s="34" t="s">
        <v>932</v>
      </c>
      <c r="R194" s="34" t="s">
        <v>933</v>
      </c>
      <c r="S194" s="34">
        <v>20150901</v>
      </c>
      <c r="T194" s="45">
        <v>0.60002958630000003</v>
      </c>
      <c r="U194" s="46">
        <v>0.78854958850000001</v>
      </c>
      <c r="V194" s="34" t="s">
        <v>231</v>
      </c>
      <c r="W194" s="34" t="s">
        <v>44</v>
      </c>
      <c r="X194" s="34" t="s">
        <v>45</v>
      </c>
      <c r="Y194" s="34" t="s">
        <v>337</v>
      </c>
      <c r="Z194" s="34"/>
      <c r="AA194" s="34"/>
      <c r="AB194" s="22">
        <v>0.92015556335449222</v>
      </c>
      <c r="AC194" s="23" t="s">
        <v>934</v>
      </c>
      <c r="AD194" s="24">
        <v>1.3506849315068492</v>
      </c>
      <c r="AE194" s="25">
        <v>1.1943242202564486E-2</v>
      </c>
      <c r="AF194" s="26">
        <v>0</v>
      </c>
      <c r="AG194" s="26">
        <v>0</v>
      </c>
      <c r="AH194" s="27">
        <v>8.5623746936971931E-2</v>
      </c>
      <c r="AI194" s="27">
        <v>8.5623746936971931E-2</v>
      </c>
      <c r="AJ194" s="27">
        <v>8.5623746936971931E-2</v>
      </c>
      <c r="AK194" s="28" t="s">
        <v>935</v>
      </c>
      <c r="AL194" s="29" t="s">
        <v>48</v>
      </c>
      <c r="AM194" s="29" t="s">
        <v>48</v>
      </c>
      <c r="AN194" s="29" t="s">
        <v>48</v>
      </c>
      <c r="AO194" s="47" t="s">
        <v>405</v>
      </c>
      <c r="AP194" s="28">
        <v>0</v>
      </c>
      <c r="AQ194" s="26">
        <v>1.4999999999999999E-2</v>
      </c>
      <c r="AR194" s="26">
        <v>0</v>
      </c>
    </row>
    <row r="195" spans="1:44" x14ac:dyDescent="0.15">
      <c r="A195">
        <v>221</v>
      </c>
      <c r="B195" s="11">
        <v>1672</v>
      </c>
      <c r="C195" s="32"/>
      <c r="D195" s="32">
        <v>7.2065279580131798E-4</v>
      </c>
      <c r="E195" s="32">
        <v>83</v>
      </c>
      <c r="F195" s="32">
        <v>0.53783208881442801</v>
      </c>
      <c r="G195" s="11"/>
      <c r="H195" s="11"/>
      <c r="I195" s="11"/>
      <c r="J195" s="18" t="s">
        <v>44</v>
      </c>
      <c r="K195" s="18" t="s">
        <v>45</v>
      </c>
      <c r="L195" s="58" t="s">
        <v>65</v>
      </c>
      <c r="M195" s="18">
        <f>[1]!f_prt_stocktonav(B195,"2017/03/31")</f>
        <v>91.420845031738281</v>
      </c>
      <c r="N195" s="20" t="str">
        <f>[1]!f_info_fundmanager(B195)</f>
        <v>吴坚,张琦</v>
      </c>
      <c r="O195" s="21">
        <v>1.5808219178082192</v>
      </c>
      <c r="P195" s="34" t="s">
        <v>936</v>
      </c>
      <c r="Q195" s="34" t="s">
        <v>937</v>
      </c>
      <c r="R195" s="34" t="s">
        <v>224</v>
      </c>
      <c r="S195" s="34">
        <v>20150901</v>
      </c>
      <c r="T195" s="45">
        <v>5.4009742095000002</v>
      </c>
      <c r="U195" s="46">
        <v>6.1088254107999997</v>
      </c>
      <c r="V195" s="34" t="s">
        <v>201</v>
      </c>
      <c r="W195" s="34" t="s">
        <v>44</v>
      </c>
      <c r="X195" s="34" t="s">
        <v>45</v>
      </c>
      <c r="Y195" s="34" t="s">
        <v>274</v>
      </c>
      <c r="Z195" s="34"/>
      <c r="AA195" s="34"/>
      <c r="AB195" s="22">
        <v>0.86744850158691411</v>
      </c>
      <c r="AC195" s="23" t="s">
        <v>938</v>
      </c>
      <c r="AD195" s="24">
        <v>1.3506849315068492</v>
      </c>
      <c r="AE195" s="25">
        <v>7.0967610589473207E-2</v>
      </c>
      <c r="AF195" s="26">
        <v>0</v>
      </c>
      <c r="AG195" s="26">
        <v>0</v>
      </c>
      <c r="AH195" s="27">
        <v>0.36428543255079343</v>
      </c>
      <c r="AI195" s="27">
        <v>0.36428543255079343</v>
      </c>
      <c r="AJ195" s="27">
        <v>0.36428543255079343</v>
      </c>
      <c r="AK195" s="28" t="s">
        <v>819</v>
      </c>
      <c r="AL195" s="29" t="s">
        <v>48</v>
      </c>
      <c r="AM195" s="29" t="s">
        <v>48</v>
      </c>
      <c r="AN195" s="29" t="s">
        <v>48</v>
      </c>
      <c r="AO195" s="47" t="s">
        <v>939</v>
      </c>
      <c r="AP195" s="28">
        <v>0</v>
      </c>
      <c r="AQ195" s="26">
        <v>1.4999999999999999E-2</v>
      </c>
      <c r="AR195" s="26">
        <v>0</v>
      </c>
    </row>
    <row r="196" spans="1:44" x14ac:dyDescent="0.15">
      <c r="A196">
        <v>687</v>
      </c>
      <c r="B196" s="11">
        <v>1626</v>
      </c>
      <c r="C196" s="32"/>
      <c r="D196" s="32">
        <v>1.13410815339884E-4</v>
      </c>
      <c r="E196" s="32">
        <v>83</v>
      </c>
      <c r="F196" s="32">
        <v>0.93502570449907496</v>
      </c>
      <c r="G196" s="11"/>
      <c r="H196" s="11"/>
      <c r="I196" s="11"/>
      <c r="J196" s="18" t="s">
        <v>44</v>
      </c>
      <c r="K196" s="18" t="s">
        <v>87</v>
      </c>
      <c r="L196" s="58" t="s">
        <v>65</v>
      </c>
      <c r="M196" s="18">
        <f>[1]!f_prt_stocktonav(B196,"2017/03/31")</f>
        <v>80.437850952148438</v>
      </c>
      <c r="N196" s="20" t="str">
        <f>[1]!f_info_fundmanager(B196)</f>
        <v>邓时锋,饶玉涵</v>
      </c>
      <c r="O196" s="21">
        <v>1.5808219178082192</v>
      </c>
      <c r="P196" s="34" t="s">
        <v>940</v>
      </c>
      <c r="Q196" s="34" t="s">
        <v>941</v>
      </c>
      <c r="R196" s="34" t="s">
        <v>663</v>
      </c>
      <c r="S196" s="34">
        <v>20150901</v>
      </c>
      <c r="T196" s="45">
        <v>0.99435379219999998</v>
      </c>
      <c r="U196" s="46">
        <v>0.94592139090000005</v>
      </c>
      <c r="V196" s="34" t="s">
        <v>231</v>
      </c>
      <c r="W196" s="34" t="s">
        <v>44</v>
      </c>
      <c r="X196" s="34" t="s">
        <v>45</v>
      </c>
      <c r="Y196" s="34" t="s">
        <v>274</v>
      </c>
      <c r="Z196" s="34"/>
      <c r="AA196" s="34"/>
      <c r="AB196" s="22">
        <v>0.81753974914550787</v>
      </c>
      <c r="AC196" s="23" t="s">
        <v>942</v>
      </c>
      <c r="AD196" s="24">
        <v>1.3506849315068492</v>
      </c>
      <c r="AE196" s="25">
        <v>1.4177304621361797E-2</v>
      </c>
      <c r="AF196" s="26">
        <v>0</v>
      </c>
      <c r="AG196" s="26">
        <v>0</v>
      </c>
      <c r="AH196" s="27">
        <v>0.12041970266049269</v>
      </c>
      <c r="AI196" s="27">
        <v>0.12041970266049269</v>
      </c>
      <c r="AJ196" s="27">
        <v>0.12041970266049269</v>
      </c>
      <c r="AK196" s="28" t="s">
        <v>943</v>
      </c>
      <c r="AL196" s="29" t="s">
        <v>48</v>
      </c>
      <c r="AM196" s="29" t="s">
        <v>48</v>
      </c>
      <c r="AN196" s="29" t="s">
        <v>48</v>
      </c>
      <c r="AO196" s="47" t="s">
        <v>666</v>
      </c>
      <c r="AP196" s="28">
        <v>0</v>
      </c>
      <c r="AQ196" s="26">
        <v>1.4999999999999999E-2</v>
      </c>
      <c r="AR196" s="26">
        <v>0</v>
      </c>
    </row>
    <row r="197" spans="1:44" x14ac:dyDescent="0.15">
      <c r="A197">
        <v>459</v>
      </c>
      <c r="B197" s="11">
        <v>1692</v>
      </c>
      <c r="C197" s="32"/>
      <c r="D197" s="32">
        <v>-8.4676000569703399E-4</v>
      </c>
      <c r="E197" s="32">
        <v>84</v>
      </c>
      <c r="F197" s="32">
        <v>0.42102580179702298</v>
      </c>
      <c r="G197" s="11"/>
      <c r="H197" s="11"/>
      <c r="I197" s="11"/>
      <c r="J197" s="18" t="s">
        <v>44</v>
      </c>
      <c r="K197" s="18" t="s">
        <v>45</v>
      </c>
      <c r="L197" s="58" t="s">
        <v>274</v>
      </c>
      <c r="M197" s="18">
        <f>[1]!f_prt_stocktonav(B197,"2017/03/31")</f>
        <v>86.127906799316406</v>
      </c>
      <c r="N197" s="20" t="str">
        <f>[1]!f_info_fundmanager(B197)</f>
        <v>刘霄汉</v>
      </c>
      <c r="O197" s="21">
        <v>1.5972602739726027</v>
      </c>
      <c r="P197" s="34" t="s">
        <v>944</v>
      </c>
      <c r="Q197" s="34" t="s">
        <v>945</v>
      </c>
      <c r="R197" s="34" t="s">
        <v>284</v>
      </c>
      <c r="S197" s="34">
        <v>20150826</v>
      </c>
      <c r="T197" s="45">
        <v>2.8005623818999998</v>
      </c>
      <c r="U197" s="46">
        <v>3.3014352692000002</v>
      </c>
      <c r="V197" s="34" t="s">
        <v>231</v>
      </c>
      <c r="W197" s="34" t="s">
        <v>44</v>
      </c>
      <c r="X197" s="34" t="s">
        <v>45</v>
      </c>
      <c r="Y197" s="34" t="s">
        <v>274</v>
      </c>
      <c r="Z197" s="34"/>
      <c r="AA197" s="34"/>
      <c r="AB197" s="22">
        <v>0.86909667968750004</v>
      </c>
      <c r="AC197" s="23" t="s">
        <v>780</v>
      </c>
      <c r="AD197" s="24">
        <v>1.3671232876712329</v>
      </c>
      <c r="AE197" s="25">
        <v>5.1585644280402354E-2</v>
      </c>
      <c r="AF197" s="26">
        <v>0</v>
      </c>
      <c r="AG197" s="26">
        <v>0</v>
      </c>
      <c r="AH197" s="27">
        <v>0.20573593917301961</v>
      </c>
      <c r="AI197" s="27">
        <v>0.20573593917301961</v>
      </c>
      <c r="AJ197" s="27">
        <v>0.20573593917301961</v>
      </c>
      <c r="AK197" s="28" t="s">
        <v>946</v>
      </c>
      <c r="AL197" s="29" t="s">
        <v>48</v>
      </c>
      <c r="AM197" s="29" t="s">
        <v>48</v>
      </c>
      <c r="AN197" s="29" t="s">
        <v>48</v>
      </c>
      <c r="AO197" s="47" t="s">
        <v>287</v>
      </c>
      <c r="AP197" s="28">
        <v>0</v>
      </c>
      <c r="AQ197" s="26">
        <v>1.4999999999999999E-2</v>
      </c>
      <c r="AR197" s="26">
        <v>0</v>
      </c>
    </row>
    <row r="198" spans="1:44" x14ac:dyDescent="0.15">
      <c r="A198">
        <v>463</v>
      </c>
      <c r="B198" s="11">
        <v>1487</v>
      </c>
      <c r="C198" s="32"/>
      <c r="D198" s="32">
        <v>-4.35026752870369E-4</v>
      </c>
      <c r="E198" s="32">
        <v>32</v>
      </c>
      <c r="F198" s="32">
        <v>0.83915557745847302</v>
      </c>
      <c r="G198" s="11"/>
      <c r="H198" s="11"/>
      <c r="I198" s="11"/>
      <c r="J198" s="18" t="s">
        <v>44</v>
      </c>
      <c r="K198" s="18" t="s">
        <v>45</v>
      </c>
      <c r="L198" s="58" t="s">
        <v>817</v>
      </c>
      <c r="M198" s="18">
        <f>[1]!f_prt_stocktonav(B198,"2017/03/31")</f>
        <v>85.982841491699219</v>
      </c>
      <c r="N198" s="20" t="str">
        <f>[1]!f_info_fundmanager(B198)</f>
        <v>段鹏程,肖肖</v>
      </c>
      <c r="O198" s="21">
        <v>0.61095890410958908</v>
      </c>
      <c r="P198" s="34" t="s">
        <v>947</v>
      </c>
      <c r="Q198" s="34" t="s">
        <v>948</v>
      </c>
      <c r="R198" s="34" t="s">
        <v>402</v>
      </c>
      <c r="S198" s="34">
        <v>20150825</v>
      </c>
      <c r="T198" s="45">
        <v>1.0858723237000001</v>
      </c>
      <c r="U198" s="46">
        <v>1.3865314355</v>
      </c>
      <c r="V198" s="34" t="s">
        <v>201</v>
      </c>
      <c r="W198" s="34" t="s">
        <v>44</v>
      </c>
      <c r="X198" s="34" t="s">
        <v>45</v>
      </c>
      <c r="Y198" s="34" t="s">
        <v>65</v>
      </c>
      <c r="Z198" s="34"/>
      <c r="AA198" s="34"/>
      <c r="AB198" s="22">
        <v>0.92945549011230466</v>
      </c>
      <c r="AC198" s="23" t="s">
        <v>832</v>
      </c>
      <c r="AD198" s="24">
        <v>0.38082191780821917</v>
      </c>
      <c r="AE198" s="25">
        <v>3.006553953764235E-2</v>
      </c>
      <c r="AF198" s="26">
        <v>0</v>
      </c>
      <c r="AG198" s="26">
        <v>0</v>
      </c>
      <c r="AH198" s="27">
        <v>0.18333373725760388</v>
      </c>
      <c r="AI198" s="27">
        <v>0.18333373725760388</v>
      </c>
      <c r="AJ198" s="27">
        <v>0.18333373725760388</v>
      </c>
      <c r="AK198" s="28" t="s">
        <v>183</v>
      </c>
      <c r="AL198" s="29" t="s">
        <v>48</v>
      </c>
      <c r="AM198" s="29" t="s">
        <v>48</v>
      </c>
      <c r="AN198" s="29" t="s">
        <v>48</v>
      </c>
      <c r="AO198" s="47" t="s">
        <v>405</v>
      </c>
      <c r="AP198" s="28">
        <v>0</v>
      </c>
      <c r="AQ198" s="26">
        <v>1.4999999999999999E-2</v>
      </c>
      <c r="AR198" s="26">
        <v>0</v>
      </c>
    </row>
    <row r="199" spans="1:44" x14ac:dyDescent="0.15">
      <c r="A199">
        <v>763</v>
      </c>
      <c r="B199" s="11">
        <v>1500</v>
      </c>
      <c r="C199" s="32"/>
      <c r="D199" s="32">
        <v>9.3722743411039304E-4</v>
      </c>
      <c r="E199" s="32">
        <v>84</v>
      </c>
      <c r="F199" s="32">
        <v>0.25710843329348199</v>
      </c>
      <c r="G199" s="11"/>
      <c r="H199" s="11"/>
      <c r="I199" s="11"/>
      <c r="J199" s="18" t="s">
        <v>44</v>
      </c>
      <c r="K199" s="18" t="s">
        <v>45</v>
      </c>
      <c r="L199" s="58" t="s">
        <v>65</v>
      </c>
      <c r="M199" s="18">
        <f>[1]!f_prt_stocktonav(B199,"2017/03/31")</f>
        <v>77.775802612304688</v>
      </c>
      <c r="N199" s="20" t="str">
        <f>[1]!f_info_fundmanager(B199)</f>
        <v>邬传雁</v>
      </c>
      <c r="O199" s="21">
        <v>1.6027397260273972</v>
      </c>
      <c r="P199" s="34" t="s">
        <v>949</v>
      </c>
      <c r="Q199" s="34" t="s">
        <v>950</v>
      </c>
      <c r="R199" s="34" t="s">
        <v>517</v>
      </c>
      <c r="S199" s="34">
        <v>20150824</v>
      </c>
      <c r="T199" s="45">
        <v>11.169526488700001</v>
      </c>
      <c r="U199" s="46">
        <v>11.509655951699999</v>
      </c>
      <c r="V199" s="34" t="s">
        <v>231</v>
      </c>
      <c r="W199" s="34" t="s">
        <v>44</v>
      </c>
      <c r="X199" s="34" t="s">
        <v>45</v>
      </c>
      <c r="Y199" s="34" t="s">
        <v>65</v>
      </c>
      <c r="Z199" s="34"/>
      <c r="AA199" s="34"/>
      <c r="AB199" s="22">
        <v>0.73995132446289058</v>
      </c>
      <c r="AC199" s="23" t="s">
        <v>951</v>
      </c>
      <c r="AD199" s="24">
        <v>1.3726027397260274</v>
      </c>
      <c r="AE199" s="25">
        <v>0.13445513023693212</v>
      </c>
      <c r="AF199" s="26">
        <v>0</v>
      </c>
      <c r="AG199" s="26">
        <v>0</v>
      </c>
      <c r="AH199" s="27">
        <v>0.88684957070784864</v>
      </c>
      <c r="AI199" s="27">
        <v>0.88684957070784864</v>
      </c>
      <c r="AJ199" s="27">
        <v>0.88684957070784864</v>
      </c>
      <c r="AK199" s="28" t="s">
        <v>952</v>
      </c>
      <c r="AL199" s="29" t="s">
        <v>48</v>
      </c>
      <c r="AM199" s="29" t="s">
        <v>48</v>
      </c>
      <c r="AN199" s="29" t="s">
        <v>48</v>
      </c>
      <c r="AO199" s="47" t="s">
        <v>520</v>
      </c>
      <c r="AP199" s="28">
        <v>0</v>
      </c>
      <c r="AQ199" s="26">
        <v>1.4999999999999999E-2</v>
      </c>
      <c r="AR199" s="26">
        <v>0</v>
      </c>
    </row>
    <row r="200" spans="1:44" x14ac:dyDescent="0.15">
      <c r="A200">
        <v>617</v>
      </c>
      <c r="B200" s="11">
        <v>1528</v>
      </c>
      <c r="C200" s="32"/>
      <c r="D200" s="32">
        <v>3.69893477529146E-3</v>
      </c>
      <c r="E200" s="32">
        <v>73</v>
      </c>
      <c r="F200" s="32">
        <v>4.7049151682423398E-3</v>
      </c>
      <c r="G200" s="11"/>
      <c r="H200" s="11"/>
      <c r="I200" s="11"/>
      <c r="J200" s="18" t="s">
        <v>44</v>
      </c>
      <c r="K200" s="18" t="s">
        <v>45</v>
      </c>
      <c r="L200" s="58" t="s">
        <v>65</v>
      </c>
      <c r="M200" s="18">
        <f>[1]!f_prt_stocktonav(B200,"2017/03/31")</f>
        <v>82.425735473632812</v>
      </c>
      <c r="N200" s="20" t="str">
        <f>[1]!f_info_fundmanager(B200)</f>
        <v>韩冬燕</v>
      </c>
      <c r="O200" s="21">
        <v>1.4027397260273973</v>
      </c>
      <c r="P200" s="34" t="s">
        <v>953</v>
      </c>
      <c r="Q200" s="34" t="s">
        <v>954</v>
      </c>
      <c r="R200" s="34" t="s">
        <v>955</v>
      </c>
      <c r="S200" s="34">
        <v>20150821</v>
      </c>
      <c r="T200" s="45">
        <v>0.71411333389999998</v>
      </c>
      <c r="U200" s="46">
        <v>0.87167451309999999</v>
      </c>
      <c r="V200" s="34" t="s">
        <v>231</v>
      </c>
      <c r="W200" s="34" t="s">
        <v>44</v>
      </c>
      <c r="X200" s="34" t="s">
        <v>45</v>
      </c>
      <c r="Y200" s="34" t="s">
        <v>817</v>
      </c>
      <c r="Z200" s="34"/>
      <c r="AA200" s="34"/>
      <c r="AB200" s="22">
        <v>0.81523826599121096</v>
      </c>
      <c r="AC200" s="23" t="s">
        <v>956</v>
      </c>
      <c r="AD200" s="24">
        <v>1.1726027397260275</v>
      </c>
      <c r="AE200" s="25">
        <v>9.2807494966660187E-2</v>
      </c>
      <c r="AF200" s="26">
        <v>0</v>
      </c>
      <c r="AG200" s="26">
        <v>0</v>
      </c>
      <c r="AH200" s="27">
        <v>0.62024051605488073</v>
      </c>
      <c r="AI200" s="27">
        <v>0.62024051605488073</v>
      </c>
      <c r="AJ200" s="27">
        <v>0.62024051605488073</v>
      </c>
      <c r="AK200" s="28" t="s">
        <v>957</v>
      </c>
      <c r="AL200" s="29" t="s">
        <v>48</v>
      </c>
      <c r="AM200" s="29" t="s">
        <v>48</v>
      </c>
      <c r="AN200" s="29" t="s">
        <v>48</v>
      </c>
      <c r="AO200" s="47" t="s">
        <v>255</v>
      </c>
      <c r="AP200" s="28">
        <v>0</v>
      </c>
      <c r="AQ200" s="26">
        <v>1.4999999999999999E-2</v>
      </c>
      <c r="AR200" s="26">
        <v>0</v>
      </c>
    </row>
    <row r="201" spans="1:44" x14ac:dyDescent="0.15">
      <c r="A201">
        <v>591</v>
      </c>
      <c r="B201" s="11">
        <v>1628</v>
      </c>
      <c r="C201" s="32"/>
      <c r="D201" s="32">
        <v>-4.2257892814289901E-3</v>
      </c>
      <c r="E201" s="32">
        <v>85</v>
      </c>
      <c r="F201" s="32">
        <v>6.1471066721444E-2</v>
      </c>
      <c r="G201" s="11"/>
      <c r="H201" s="11"/>
      <c r="I201" s="11"/>
      <c r="J201" s="18" t="s">
        <v>44</v>
      </c>
      <c r="K201" s="18" t="s">
        <v>45</v>
      </c>
      <c r="L201" s="58" t="s">
        <v>65</v>
      </c>
      <c r="M201" s="18">
        <f>[1]!f_prt_stocktonav(B201,"2017/03/31")</f>
        <v>83.02947998046875</v>
      </c>
      <c r="N201" s="20" t="str">
        <f>[1]!f_info_fundmanager(B201)</f>
        <v>王宠,李佳存</v>
      </c>
      <c r="O201" s="21">
        <v>1.6191780821917807</v>
      </c>
      <c r="P201" s="34" t="s">
        <v>958</v>
      </c>
      <c r="Q201" s="34" t="s">
        <v>959</v>
      </c>
      <c r="R201" s="34" t="s">
        <v>165</v>
      </c>
      <c r="S201" s="34">
        <v>20150818</v>
      </c>
      <c r="T201" s="45">
        <v>0.76899938749999996</v>
      </c>
      <c r="U201" s="46">
        <v>0.84688148939999996</v>
      </c>
      <c r="V201" s="34" t="s">
        <v>231</v>
      </c>
      <c r="W201" s="34" t="s">
        <v>44</v>
      </c>
      <c r="X201" s="34" t="s">
        <v>45</v>
      </c>
      <c r="Y201" s="34" t="s">
        <v>65</v>
      </c>
      <c r="Z201" s="34"/>
      <c r="AA201" s="34"/>
      <c r="AB201" s="22">
        <v>0.88915092468261714</v>
      </c>
      <c r="AC201" s="23" t="s">
        <v>960</v>
      </c>
      <c r="AD201" s="24">
        <v>1.3890410958904109</v>
      </c>
      <c r="AE201" s="25">
        <v>-0.16916995370785018</v>
      </c>
      <c r="AF201" s="26">
        <v>0</v>
      </c>
      <c r="AG201" s="26">
        <v>0</v>
      </c>
      <c r="AH201" s="27">
        <v>-0.67451715342166807</v>
      </c>
      <c r="AI201" s="27">
        <v>-0.67451715342166807</v>
      </c>
      <c r="AJ201" s="27">
        <v>-0.67451715342166807</v>
      </c>
      <c r="AK201" s="28" t="s">
        <v>167</v>
      </c>
      <c r="AL201" s="29" t="s">
        <v>48</v>
      </c>
      <c r="AM201" s="29" t="s">
        <v>48</v>
      </c>
      <c r="AN201" s="29" t="s">
        <v>48</v>
      </c>
      <c r="AO201" s="47" t="s">
        <v>961</v>
      </c>
      <c r="AP201" s="28">
        <v>0</v>
      </c>
      <c r="AQ201" s="26">
        <v>1.4999999999999999E-2</v>
      </c>
      <c r="AR201" s="26">
        <v>0</v>
      </c>
    </row>
    <row r="202" spans="1:44" x14ac:dyDescent="0.15">
      <c r="A202">
        <v>126</v>
      </c>
      <c r="B202" s="11">
        <v>168101</v>
      </c>
      <c r="C202" s="32"/>
      <c r="D202" s="32">
        <v>1.95039966758512E-3</v>
      </c>
      <c r="E202" s="32">
        <v>85</v>
      </c>
      <c r="F202" s="32">
        <v>0.24558873866803099</v>
      </c>
      <c r="G202" s="11"/>
      <c r="H202" s="11"/>
      <c r="I202" s="11"/>
      <c r="J202" s="18" t="s">
        <v>44</v>
      </c>
      <c r="K202" s="18" t="s">
        <v>45</v>
      </c>
      <c r="L202" s="58" t="s">
        <v>65</v>
      </c>
      <c r="M202" s="18">
        <f>[1]!f_prt_stocktonav(B202,"2017/03/31")</f>
        <v>93.143806457519531</v>
      </c>
      <c r="N202" s="20" t="str">
        <f>[1]!f_info_fundmanager(B202)</f>
        <v>刘开运</v>
      </c>
      <c r="O202" s="21">
        <v>1.6301369863013699</v>
      </c>
      <c r="P202" s="34" t="s">
        <v>962</v>
      </c>
      <c r="Q202" s="34" t="s">
        <v>963</v>
      </c>
      <c r="R202" s="34" t="s">
        <v>640</v>
      </c>
      <c r="S202" s="34">
        <v>20150814</v>
      </c>
      <c r="T202" s="45">
        <v>4.1923182453000001</v>
      </c>
      <c r="U202" s="46">
        <v>4.8151679188000003</v>
      </c>
      <c r="V202" s="34" t="s">
        <v>231</v>
      </c>
      <c r="W202" s="34" t="s">
        <v>44</v>
      </c>
      <c r="X202" s="17" t="s">
        <v>45</v>
      </c>
      <c r="Y202" s="17" t="s">
        <v>817</v>
      </c>
      <c r="Z202" s="34"/>
      <c r="AA202" s="34"/>
      <c r="AB202" s="22">
        <v>0.89202697753906246</v>
      </c>
      <c r="AC202" s="23" t="s">
        <v>641</v>
      </c>
      <c r="AD202" s="24">
        <v>1.4</v>
      </c>
      <c r="AE202" s="25">
        <v>0.24016177271376057</v>
      </c>
      <c r="AF202" s="26">
        <v>0</v>
      </c>
      <c r="AG202" s="26">
        <v>0</v>
      </c>
      <c r="AH202" s="27">
        <v>1.8728241540217641</v>
      </c>
      <c r="AI202" s="27">
        <v>1.8728241540217641</v>
      </c>
      <c r="AJ202" s="27">
        <v>1.8728241540217641</v>
      </c>
      <c r="AK202" s="28" t="s">
        <v>642</v>
      </c>
      <c r="AL202" s="29" t="s">
        <v>48</v>
      </c>
      <c r="AM202" s="29" t="s">
        <v>48</v>
      </c>
      <c r="AN202" s="29" t="s">
        <v>48</v>
      </c>
      <c r="AO202" s="47" t="s">
        <v>964</v>
      </c>
      <c r="AP202" s="28">
        <v>0</v>
      </c>
      <c r="AQ202" s="26">
        <v>0.02</v>
      </c>
      <c r="AR202" s="26">
        <v>0</v>
      </c>
    </row>
    <row r="203" spans="1:44" x14ac:dyDescent="0.15">
      <c r="A203">
        <v>158</v>
      </c>
      <c r="B203" s="11">
        <v>1606</v>
      </c>
      <c r="C203" s="32"/>
      <c r="D203" s="32">
        <v>8.8045467077930696E-5</v>
      </c>
      <c r="E203" s="32">
        <v>85</v>
      </c>
      <c r="F203" s="32">
        <v>0.96749794938495504</v>
      </c>
      <c r="G203" s="11"/>
      <c r="H203" s="11"/>
      <c r="I203" s="11"/>
      <c r="J203" s="18" t="s">
        <v>44</v>
      </c>
      <c r="K203" s="18" t="s">
        <v>45</v>
      </c>
      <c r="L203" s="58" t="s">
        <v>274</v>
      </c>
      <c r="M203" s="18">
        <f>[1]!f_prt_stocktonav(B203,"2017/03/31")</f>
        <v>92.600563049316406</v>
      </c>
      <c r="N203" s="20" t="str">
        <f>[1]!f_info_fundmanager(B203)</f>
        <v>颜伟鹏</v>
      </c>
      <c r="O203" s="21">
        <v>1.6328767123287671</v>
      </c>
      <c r="P203" s="34" t="s">
        <v>965</v>
      </c>
      <c r="Q203" s="34" t="s">
        <v>966</v>
      </c>
      <c r="R203" s="34" t="s">
        <v>424</v>
      </c>
      <c r="S203" s="34">
        <v>20150813</v>
      </c>
      <c r="T203" s="45">
        <v>1.4444629222000001</v>
      </c>
      <c r="U203" s="46">
        <v>1.4190976437</v>
      </c>
      <c r="V203" s="34" t="s">
        <v>231</v>
      </c>
      <c r="W203" s="34" t="s">
        <v>44</v>
      </c>
      <c r="X203" s="34" t="s">
        <v>45</v>
      </c>
      <c r="Y203" s="34" t="s">
        <v>274</v>
      </c>
      <c r="Z203" s="34"/>
      <c r="AA203" s="34"/>
      <c r="AB203" s="22">
        <v>0.8027230072021484</v>
      </c>
      <c r="AC203" s="23" t="s">
        <v>967</v>
      </c>
      <c r="AD203" s="24">
        <v>1.4027397260273973</v>
      </c>
      <c r="AE203" s="25">
        <v>4.3191637776307523E-4</v>
      </c>
      <c r="AF203" s="26">
        <v>0</v>
      </c>
      <c r="AG203" s="26">
        <v>0</v>
      </c>
      <c r="AH203" s="27">
        <v>9.6667974006103177E-2</v>
      </c>
      <c r="AI203" s="27">
        <v>9.6667974006103177E-2</v>
      </c>
      <c r="AJ203" s="27">
        <v>9.6667974006103177E-2</v>
      </c>
      <c r="AK203" s="28" t="s">
        <v>968</v>
      </c>
      <c r="AL203" s="29" t="s">
        <v>48</v>
      </c>
      <c r="AM203" s="29" t="s">
        <v>48</v>
      </c>
      <c r="AN203" s="29" t="s">
        <v>48</v>
      </c>
      <c r="AO203" s="47" t="s">
        <v>427</v>
      </c>
      <c r="AP203" s="28">
        <v>0</v>
      </c>
      <c r="AQ203" s="26">
        <v>1.4999999999999999E-2</v>
      </c>
      <c r="AR203" s="26">
        <v>0</v>
      </c>
    </row>
    <row r="204" spans="1:44" x14ac:dyDescent="0.15">
      <c r="A204">
        <v>559</v>
      </c>
      <c r="B204" s="11">
        <v>1541</v>
      </c>
      <c r="C204" s="32"/>
      <c r="D204" s="32">
        <v>-1.6767308476629101E-3</v>
      </c>
      <c r="E204" s="32">
        <v>86</v>
      </c>
      <c r="F204" s="32">
        <v>0.15671749132202301</v>
      </c>
      <c r="G204" s="11"/>
      <c r="H204" s="11"/>
      <c r="I204" s="11"/>
      <c r="J204" s="18" t="s">
        <v>44</v>
      </c>
      <c r="K204" s="18" t="s">
        <v>87</v>
      </c>
      <c r="L204" s="58" t="s">
        <v>65</v>
      </c>
      <c r="M204" s="18">
        <f>[1]!f_prt_stocktonav(B204,"2017/03/31")</f>
        <v>83.874259948730469</v>
      </c>
      <c r="N204" s="20" t="str">
        <f>[1]!f_info_fundmanager(B204)</f>
        <v>谭志强</v>
      </c>
      <c r="O204" s="21">
        <v>1.6493150684931508</v>
      </c>
      <c r="P204" s="34" t="s">
        <v>969</v>
      </c>
      <c r="Q204" s="34" t="s">
        <v>970</v>
      </c>
      <c r="R204" s="34" t="s">
        <v>331</v>
      </c>
      <c r="S204" s="34">
        <v>20150807</v>
      </c>
      <c r="T204" s="45">
        <v>8.1601362002000002</v>
      </c>
      <c r="U204" s="46">
        <v>9.2257181818999996</v>
      </c>
      <c r="V204" s="34" t="s">
        <v>231</v>
      </c>
      <c r="W204" s="34" t="s">
        <v>44</v>
      </c>
      <c r="X204" s="34" t="s">
        <v>45</v>
      </c>
      <c r="Y204" s="34" t="s">
        <v>274</v>
      </c>
      <c r="Z204" s="34"/>
      <c r="AA204" s="34"/>
      <c r="AB204" s="22">
        <v>0.84118995666503904</v>
      </c>
      <c r="AC204" s="23" t="s">
        <v>971</v>
      </c>
      <c r="AD204" s="24">
        <v>1.4191780821917808</v>
      </c>
      <c r="AE204" s="25">
        <v>-8.104176300956023E-2</v>
      </c>
      <c r="AF204" s="26">
        <v>0</v>
      </c>
      <c r="AG204" s="26">
        <v>0</v>
      </c>
      <c r="AH204" s="27">
        <v>-0.36350424416135413</v>
      </c>
      <c r="AI204" s="27">
        <v>-0.36350424416135413</v>
      </c>
      <c r="AJ204" s="27">
        <v>-0.36350424416135413</v>
      </c>
      <c r="AK204" s="28" t="s">
        <v>972</v>
      </c>
      <c r="AL204" s="29" t="s">
        <v>48</v>
      </c>
      <c r="AM204" s="29" t="s">
        <v>48</v>
      </c>
      <c r="AN204" s="29" t="s">
        <v>48</v>
      </c>
      <c r="AO204" s="47" t="s">
        <v>334</v>
      </c>
      <c r="AP204" s="28">
        <v>0</v>
      </c>
      <c r="AQ204" s="26">
        <v>1.4999999999999999E-2</v>
      </c>
      <c r="AR204" s="26">
        <v>0</v>
      </c>
    </row>
    <row r="205" spans="1:44" x14ac:dyDescent="0.15">
      <c r="A205">
        <v>650</v>
      </c>
      <c r="B205" s="11">
        <v>1583</v>
      </c>
      <c r="C205" s="32"/>
      <c r="D205" s="32">
        <v>3.9705323615212597E-3</v>
      </c>
      <c r="E205" s="32">
        <v>74</v>
      </c>
      <c r="F205" s="32">
        <v>1.72843982419295E-2</v>
      </c>
      <c r="G205" s="11"/>
      <c r="H205" s="11"/>
      <c r="I205" s="11"/>
      <c r="J205" s="18" t="s">
        <v>44</v>
      </c>
      <c r="K205" s="18" t="s">
        <v>45</v>
      </c>
      <c r="L205" s="58" t="s">
        <v>65</v>
      </c>
      <c r="M205" s="18">
        <f>[1]!f_prt_stocktonav(B205,"2017/03/31")</f>
        <v>81.410125732421875</v>
      </c>
      <c r="N205" s="20" t="str">
        <f>[1]!f_info_fundmanager(B205)</f>
        <v>蓝雁书,袁玮</v>
      </c>
      <c r="O205" s="21">
        <v>1.4109589041095891</v>
      </c>
      <c r="P205" s="34" t="s">
        <v>973</v>
      </c>
      <c r="Q205" s="34" t="s">
        <v>974</v>
      </c>
      <c r="R205" s="34" t="s">
        <v>975</v>
      </c>
      <c r="S205" s="34">
        <v>20150807</v>
      </c>
      <c r="T205" s="45">
        <v>0.24103124179999999</v>
      </c>
      <c r="U205" s="46">
        <v>0.28441906119999999</v>
      </c>
      <c r="V205" s="34" t="s">
        <v>231</v>
      </c>
      <c r="W205" s="34" t="s">
        <v>44</v>
      </c>
      <c r="X205" s="34" t="s">
        <v>45</v>
      </c>
      <c r="Y205" s="34" t="s">
        <v>65</v>
      </c>
      <c r="Z205" s="34"/>
      <c r="AA205" s="34"/>
      <c r="AB205" s="22">
        <v>0.87268280029296874</v>
      </c>
      <c r="AC205" s="23" t="s">
        <v>976</v>
      </c>
      <c r="AD205" s="24">
        <v>1.1808219178082191</v>
      </c>
      <c r="AE205" s="25">
        <v>-4.1621213709262417E-2</v>
      </c>
      <c r="AF205" s="26">
        <v>0</v>
      </c>
      <c r="AG205" s="26">
        <v>0</v>
      </c>
      <c r="AH205" s="27">
        <v>-9.7439457772373769E-2</v>
      </c>
      <c r="AI205" s="27">
        <v>-9.7439457772373769E-2</v>
      </c>
      <c r="AJ205" s="27">
        <v>-9.7439457772373769E-2</v>
      </c>
      <c r="AK205" s="28" t="s">
        <v>176</v>
      </c>
      <c r="AL205" s="29" t="s">
        <v>48</v>
      </c>
      <c r="AM205" s="29" t="s">
        <v>48</v>
      </c>
      <c r="AN205" s="29" t="s">
        <v>48</v>
      </c>
      <c r="AO205" s="47" t="s">
        <v>209</v>
      </c>
      <c r="AP205" s="28">
        <v>0</v>
      </c>
      <c r="AQ205" s="26">
        <v>1.4999999999999999E-2</v>
      </c>
      <c r="AR205" s="26">
        <v>0</v>
      </c>
    </row>
    <row r="206" spans="1:44" x14ac:dyDescent="0.15">
      <c r="A206">
        <v>71</v>
      </c>
      <c r="B206" s="11">
        <v>519195</v>
      </c>
      <c r="C206" s="32"/>
      <c r="D206" s="32">
        <v>-1.02409360092953E-4</v>
      </c>
      <c r="E206" s="32">
        <v>86</v>
      </c>
      <c r="F206" s="32">
        <v>0.94702189404576798</v>
      </c>
      <c r="G206" s="11"/>
      <c r="H206" s="11"/>
      <c r="I206" s="11"/>
      <c r="J206" s="18" t="s">
        <v>44</v>
      </c>
      <c r="K206" s="18" t="s">
        <v>45</v>
      </c>
      <c r="L206" s="58" t="s">
        <v>65</v>
      </c>
      <c r="M206" s="18">
        <f>[1]!f_prt_stocktonav(B206,"2017/03/31")</f>
        <v>94.041610717773438</v>
      </c>
      <c r="N206" s="20" t="str">
        <f>[1]!f_info_fundmanager(B206)</f>
        <v>莫海波</v>
      </c>
      <c r="O206" s="21">
        <v>1.6520547945205479</v>
      </c>
      <c r="P206" s="34" t="s">
        <v>977</v>
      </c>
      <c r="Q206" s="34" t="s">
        <v>978</v>
      </c>
      <c r="R206" s="34" t="s">
        <v>718</v>
      </c>
      <c r="S206" s="34">
        <v>20150806</v>
      </c>
      <c r="T206" s="45">
        <v>1.0246432379999999</v>
      </c>
      <c r="U206" s="46">
        <v>0.93516804499999995</v>
      </c>
      <c r="V206" s="34" t="s">
        <v>231</v>
      </c>
      <c r="W206" s="34" t="s">
        <v>44</v>
      </c>
      <c r="X206" s="17" t="s">
        <v>45</v>
      </c>
      <c r="Y206" s="17" t="s">
        <v>65</v>
      </c>
      <c r="Z206" s="34"/>
      <c r="AA206" s="34"/>
      <c r="AB206" s="22">
        <v>0.91302368164062497</v>
      </c>
      <c r="AC206" s="23" t="s">
        <v>719</v>
      </c>
      <c r="AD206" s="24">
        <v>1.4219178082191781</v>
      </c>
      <c r="AE206" s="25">
        <v>0.13707920762076298</v>
      </c>
      <c r="AF206" s="26">
        <v>0</v>
      </c>
      <c r="AG206" s="26">
        <v>0</v>
      </c>
      <c r="AH206" s="27">
        <v>0.56899222451493847</v>
      </c>
      <c r="AI206" s="27">
        <v>0.56899222451493847</v>
      </c>
      <c r="AJ206" s="27">
        <v>0.56899222451493847</v>
      </c>
      <c r="AK206" s="28" t="s">
        <v>191</v>
      </c>
      <c r="AL206" s="29" t="s">
        <v>48</v>
      </c>
      <c r="AM206" s="29" t="s">
        <v>48</v>
      </c>
      <c r="AN206" s="29" t="s">
        <v>48</v>
      </c>
      <c r="AO206" s="47" t="s">
        <v>979</v>
      </c>
      <c r="AP206" s="28">
        <v>0</v>
      </c>
      <c r="AQ206" s="26">
        <v>1.4999999999999999E-2</v>
      </c>
      <c r="AR206" s="26">
        <v>0</v>
      </c>
    </row>
    <row r="207" spans="1:44" x14ac:dyDescent="0.15">
      <c r="A207">
        <v>473</v>
      </c>
      <c r="B207" s="11">
        <v>1482</v>
      </c>
      <c r="C207" s="32"/>
      <c r="D207" s="32">
        <v>-1.9746016105760102E-3</v>
      </c>
      <c r="E207" s="32">
        <v>86</v>
      </c>
      <c r="F207" s="32">
        <v>0.32899308915325498</v>
      </c>
      <c r="G207" s="11"/>
      <c r="H207" s="11"/>
      <c r="I207" s="11"/>
      <c r="J207" s="18" t="s">
        <v>44</v>
      </c>
      <c r="K207" s="19" t="s">
        <v>45</v>
      </c>
      <c r="L207" s="58" t="s">
        <v>65</v>
      </c>
      <c r="M207" s="18">
        <f>[1]!f_prt_stocktonav(B207,"2017/03/31")</f>
        <v>85.783668518066406</v>
      </c>
      <c r="N207" s="20" t="str">
        <f>[1]!f_info_fundmanager(B207)</f>
        <v>郭晨,杨景喻</v>
      </c>
      <c r="O207" s="21">
        <v>1.6520547945205479</v>
      </c>
      <c r="P207" s="12" t="s">
        <v>980</v>
      </c>
      <c r="Q207" s="13" t="s">
        <v>981</v>
      </c>
      <c r="R207" s="13" t="s">
        <v>511</v>
      </c>
      <c r="S207" s="13">
        <v>20150806</v>
      </c>
      <c r="T207" s="14">
        <v>1.0648891835000001</v>
      </c>
      <c r="U207" s="15" t="s">
        <v>39</v>
      </c>
      <c r="V207" s="16" t="s">
        <v>40</v>
      </c>
      <c r="W207" s="17" t="s">
        <v>44</v>
      </c>
      <c r="X207" s="17" t="s">
        <v>45</v>
      </c>
      <c r="Y207" s="17" t="s">
        <v>274</v>
      </c>
      <c r="Z207" s="13"/>
      <c r="AA207" s="13"/>
      <c r="AB207" s="22">
        <v>0.85720893859863279</v>
      </c>
      <c r="AC207" s="23" t="s">
        <v>982</v>
      </c>
      <c r="AD207" s="24">
        <v>1.4219178082191781</v>
      </c>
      <c r="AE207" s="25">
        <v>-7.2087894896674776E-2</v>
      </c>
      <c r="AF207" s="26">
        <v>0</v>
      </c>
      <c r="AG207" s="26">
        <v>0</v>
      </c>
      <c r="AH207" s="27">
        <v>-0.17868088679545358</v>
      </c>
      <c r="AI207" s="27">
        <v>-0.17868088679545358</v>
      </c>
      <c r="AJ207" s="27">
        <v>-0.17868088679545358</v>
      </c>
      <c r="AK207" s="28" t="s">
        <v>983</v>
      </c>
      <c r="AL207" s="29" t="s">
        <v>48</v>
      </c>
      <c r="AM207" s="29" t="s">
        <v>48</v>
      </c>
      <c r="AN207" s="29" t="s">
        <v>48</v>
      </c>
      <c r="AO207" s="23" t="s">
        <v>984</v>
      </c>
      <c r="AP207" s="30">
        <v>0</v>
      </c>
      <c r="AQ207" s="31">
        <v>1.4999999999999999E-2</v>
      </c>
      <c r="AR207" s="31">
        <v>0</v>
      </c>
    </row>
    <row r="208" spans="1:44" x14ac:dyDescent="0.15">
      <c r="A208">
        <v>656</v>
      </c>
      <c r="B208" s="11">
        <v>1651</v>
      </c>
      <c r="C208" s="32"/>
      <c r="D208" s="32">
        <v>8.2083407148932596E-4</v>
      </c>
      <c r="E208" s="32">
        <v>86</v>
      </c>
      <c r="F208" s="32">
        <v>0.54541837556459205</v>
      </c>
      <c r="G208" s="11"/>
      <c r="H208" s="11"/>
      <c r="I208" s="11"/>
      <c r="J208" s="18" t="s">
        <v>44</v>
      </c>
      <c r="K208" s="18" t="s">
        <v>45</v>
      </c>
      <c r="L208" s="58" t="s">
        <v>354</v>
      </c>
      <c r="M208" s="18">
        <f>[1]!f_prt_stocktonav(B208,"2017/03/31")</f>
        <v>81.268882751464844</v>
      </c>
      <c r="N208" s="20" t="str">
        <f>[1]!f_info_fundmanager(B208)</f>
        <v>王筱苓</v>
      </c>
      <c r="O208" s="21">
        <v>1.6520547945205479</v>
      </c>
      <c r="P208" s="34" t="s">
        <v>985</v>
      </c>
      <c r="Q208" s="34" t="s">
        <v>986</v>
      </c>
      <c r="R208" s="34" t="s">
        <v>523</v>
      </c>
      <c r="S208" s="34">
        <v>20150806</v>
      </c>
      <c r="T208" s="45">
        <v>1.8632087224</v>
      </c>
      <c r="U208" s="46">
        <v>1.9970295002</v>
      </c>
      <c r="V208" s="34" t="s">
        <v>231</v>
      </c>
      <c r="W208" s="34" t="s">
        <v>44</v>
      </c>
      <c r="X208" s="34" t="s">
        <v>45</v>
      </c>
      <c r="Y208" s="34" t="s">
        <v>65</v>
      </c>
      <c r="Z208" s="34"/>
      <c r="AA208" s="34"/>
      <c r="AB208" s="22">
        <v>0.82225234985351559</v>
      </c>
      <c r="AC208" s="23" t="s">
        <v>987</v>
      </c>
      <c r="AD208" s="24">
        <v>1.4219178082191781</v>
      </c>
      <c r="AE208" s="25">
        <v>4.50370810422005E-2</v>
      </c>
      <c r="AF208" s="26">
        <v>0</v>
      </c>
      <c r="AG208" s="26">
        <v>0</v>
      </c>
      <c r="AH208" s="27">
        <v>0.28505490549295015</v>
      </c>
      <c r="AI208" s="27">
        <v>0.28505490549295015</v>
      </c>
      <c r="AJ208" s="27">
        <v>0.28505490549295015</v>
      </c>
      <c r="AK208" s="28" t="s">
        <v>694</v>
      </c>
      <c r="AL208" s="29" t="s">
        <v>48</v>
      </c>
      <c r="AM208" s="29" t="s">
        <v>48</v>
      </c>
      <c r="AN208" s="29" t="s">
        <v>48</v>
      </c>
      <c r="AO208" s="47" t="s">
        <v>255</v>
      </c>
      <c r="AP208" s="28">
        <v>0</v>
      </c>
      <c r="AQ208" s="26">
        <v>1.4999999999999999E-2</v>
      </c>
      <c r="AR208" s="26">
        <v>0</v>
      </c>
    </row>
    <row r="209" spans="1:44" x14ac:dyDescent="0.15">
      <c r="A209">
        <v>699</v>
      </c>
      <c r="B209" s="11">
        <v>1663</v>
      </c>
      <c r="C209" s="32"/>
      <c r="D209" s="32">
        <v>-2.0068117599955299E-3</v>
      </c>
      <c r="E209" s="32">
        <v>86</v>
      </c>
      <c r="F209" s="32">
        <v>0.35809492929032899</v>
      </c>
      <c r="G209" s="11"/>
      <c r="H209" s="11"/>
      <c r="I209" s="11"/>
      <c r="J209" s="18" t="s">
        <v>44</v>
      </c>
      <c r="K209" s="18" t="s">
        <v>45</v>
      </c>
      <c r="L209" s="58" t="s">
        <v>274</v>
      </c>
      <c r="M209" s="18">
        <f>[1]!f_prt_stocktonav(B209,"2017/03/31")</f>
        <v>80.040992736816406</v>
      </c>
      <c r="N209" s="20" t="str">
        <f>[1]!f_info_fundmanager(B209)</f>
        <v>邬炜</v>
      </c>
      <c r="O209" s="21">
        <v>1.6520547945205479</v>
      </c>
      <c r="P209" s="34" t="s">
        <v>988</v>
      </c>
      <c r="Q209" s="34" t="s">
        <v>989</v>
      </c>
      <c r="R209" s="34" t="s">
        <v>71</v>
      </c>
      <c r="S209" s="34">
        <v>20150806</v>
      </c>
      <c r="T209" s="45">
        <v>1.0809746708000001</v>
      </c>
      <c r="U209" s="46">
        <v>1.2414076213</v>
      </c>
      <c r="V209" s="34" t="s">
        <v>231</v>
      </c>
      <c r="W209" s="34" t="s">
        <v>44</v>
      </c>
      <c r="X209" s="34" t="s">
        <v>45</v>
      </c>
      <c r="Y209" s="34" t="s">
        <v>274</v>
      </c>
      <c r="Z209" s="34"/>
      <c r="AA209" s="34"/>
      <c r="AB209" s="22">
        <v>0.83352592468261721</v>
      </c>
      <c r="AC209" s="23" t="s">
        <v>990</v>
      </c>
      <c r="AD209" s="24">
        <v>1.4219178082191781</v>
      </c>
      <c r="AE209" s="25">
        <v>-8.6778312730054541E-2</v>
      </c>
      <c r="AF209" s="26">
        <v>0</v>
      </c>
      <c r="AG209" s="26">
        <v>0</v>
      </c>
      <c r="AH209" s="27">
        <v>-0.227588982010927</v>
      </c>
      <c r="AI209" s="27">
        <v>-0.227588982010927</v>
      </c>
      <c r="AJ209" s="27">
        <v>-0.227588982010927</v>
      </c>
      <c r="AK209" s="28" t="s">
        <v>844</v>
      </c>
      <c r="AL209" s="29" t="s">
        <v>48</v>
      </c>
      <c r="AM209" s="29" t="s">
        <v>48</v>
      </c>
      <c r="AN209" s="29" t="s">
        <v>48</v>
      </c>
      <c r="AO209" s="47" t="s">
        <v>845</v>
      </c>
      <c r="AP209" s="28">
        <v>0</v>
      </c>
      <c r="AQ209" s="26">
        <v>1.4999999999999999E-2</v>
      </c>
      <c r="AR209" s="26">
        <v>0</v>
      </c>
    </row>
    <row r="210" spans="1:44" x14ac:dyDescent="0.15">
      <c r="A210">
        <v>903</v>
      </c>
      <c r="B210" s="11">
        <v>1565</v>
      </c>
      <c r="C210" s="32"/>
      <c r="D210" s="32">
        <v>-3.31606111654779E-3</v>
      </c>
      <c r="E210" s="32">
        <v>86</v>
      </c>
      <c r="F210" s="32">
        <v>1.1058234009208E-5</v>
      </c>
      <c r="G210" s="11"/>
      <c r="H210" s="11"/>
      <c r="I210" s="11"/>
      <c r="J210" s="18" t="s">
        <v>44</v>
      </c>
      <c r="K210" s="18" t="s">
        <v>64</v>
      </c>
      <c r="L210" s="58" t="s">
        <v>337</v>
      </c>
      <c r="M210" s="18">
        <f>[1]!f_prt_stocktonav(B210,"2017/03/31")</f>
        <v>72.445289611816406</v>
      </c>
      <c r="N210" s="20" t="str">
        <f>[1]!f_info_fundmanager(B210)</f>
        <v>张大木</v>
      </c>
      <c r="O210" s="21">
        <v>1.6520547945205479</v>
      </c>
      <c r="P210" s="34" t="s">
        <v>991</v>
      </c>
      <c r="Q210" s="34" t="s">
        <v>992</v>
      </c>
      <c r="R210" s="34" t="s">
        <v>933</v>
      </c>
      <c r="S210" s="34">
        <v>20150806</v>
      </c>
      <c r="T210" s="45">
        <v>0.83613412499999995</v>
      </c>
      <c r="U210" s="46">
        <v>1.0159662608</v>
      </c>
      <c r="V210" s="34" t="s">
        <v>231</v>
      </c>
      <c r="W210" s="34" t="s">
        <v>41</v>
      </c>
      <c r="X210" s="34" t="s">
        <v>42</v>
      </c>
      <c r="Y210" s="34" t="s">
        <v>181</v>
      </c>
      <c r="Z210" s="34"/>
      <c r="AA210" s="34"/>
      <c r="AB210" s="22">
        <v>0.64027351379394526</v>
      </c>
      <c r="AC210" s="23" t="s">
        <v>934</v>
      </c>
      <c r="AD210" s="24">
        <v>1.4219178082191781</v>
      </c>
      <c r="AE210" s="25">
        <v>-0.12393566682987099</v>
      </c>
      <c r="AF210" s="26">
        <v>0</v>
      </c>
      <c r="AG210" s="26">
        <v>0</v>
      </c>
      <c r="AH210" s="27">
        <v>-2.7711616070629139</v>
      </c>
      <c r="AI210" s="27">
        <v>-2.7711616070629139</v>
      </c>
      <c r="AJ210" s="27">
        <v>-2.7711616070629139</v>
      </c>
      <c r="AK210" s="28" t="s">
        <v>993</v>
      </c>
      <c r="AL210" s="29" t="s">
        <v>48</v>
      </c>
      <c r="AM210" s="29" t="s">
        <v>48</v>
      </c>
      <c r="AN210" s="29" t="s">
        <v>48</v>
      </c>
      <c r="AO210" s="47" t="s">
        <v>249</v>
      </c>
      <c r="AP210" s="28">
        <v>0</v>
      </c>
      <c r="AQ210" s="26">
        <v>1.2000000476837159E-2</v>
      </c>
      <c r="AR210" s="26">
        <v>0</v>
      </c>
    </row>
    <row r="211" spans="1:44" x14ac:dyDescent="0.15">
      <c r="A211">
        <v>49</v>
      </c>
      <c r="B211" s="11">
        <v>1456</v>
      </c>
      <c r="C211" s="32"/>
      <c r="D211" s="32">
        <v>-2.51577537415535E-3</v>
      </c>
      <c r="E211" s="32">
        <v>87</v>
      </c>
      <c r="F211" s="32">
        <v>0.26784609888255401</v>
      </c>
      <c r="G211" s="11"/>
      <c r="H211" s="11"/>
      <c r="I211" s="11"/>
      <c r="J211" s="18" t="s">
        <v>44</v>
      </c>
      <c r="K211" s="18" t="s">
        <v>87</v>
      </c>
      <c r="L211" s="58" t="s">
        <v>274</v>
      </c>
      <c r="M211" s="18">
        <f>[1]!f_prt_stocktonav(B211,"2017/03/31")</f>
        <v>94.32965087890625</v>
      </c>
      <c r="N211" s="20" t="str">
        <f>[1]!f_info_fundmanager(B211)</f>
        <v>李灿</v>
      </c>
      <c r="O211" s="21">
        <v>1.6575342465753424</v>
      </c>
      <c r="P211" s="34" t="s">
        <v>994</v>
      </c>
      <c r="Q211" s="34" t="s">
        <v>995</v>
      </c>
      <c r="R211" s="34" t="s">
        <v>880</v>
      </c>
      <c r="S211" s="34">
        <v>20150804</v>
      </c>
      <c r="T211" s="45">
        <v>0.75880026550000002</v>
      </c>
      <c r="U211" s="46">
        <v>0.8544904338</v>
      </c>
      <c r="V211" s="34" t="s">
        <v>231</v>
      </c>
      <c r="W211" s="34" t="s">
        <v>44</v>
      </c>
      <c r="X211" s="34" t="s">
        <v>45</v>
      </c>
      <c r="Y211" s="34" t="s">
        <v>274</v>
      </c>
      <c r="Z211" s="34"/>
      <c r="AA211" s="34"/>
      <c r="AB211" s="22">
        <v>0.90502883911132814</v>
      </c>
      <c r="AC211" s="23" t="s">
        <v>996</v>
      </c>
      <c r="AD211" s="24">
        <v>1.4273972602739726</v>
      </c>
      <c r="AE211" s="25">
        <v>-7.9125821577496147E-2</v>
      </c>
      <c r="AF211" s="26">
        <v>0</v>
      </c>
      <c r="AG211" s="26">
        <v>0</v>
      </c>
      <c r="AH211" s="27">
        <v>-0.2271847854918741</v>
      </c>
      <c r="AI211" s="27">
        <v>-0.2271847854918741</v>
      </c>
      <c r="AJ211" s="27">
        <v>-0.2271847854918741</v>
      </c>
      <c r="AK211" s="28" t="s">
        <v>997</v>
      </c>
      <c r="AL211" s="29" t="s">
        <v>48</v>
      </c>
      <c r="AM211" s="29" t="s">
        <v>48</v>
      </c>
      <c r="AN211" s="29" t="s">
        <v>48</v>
      </c>
      <c r="AO211" s="47" t="s">
        <v>405</v>
      </c>
      <c r="AP211" s="28">
        <v>0</v>
      </c>
      <c r="AQ211" s="26">
        <v>1.4999999999999999E-2</v>
      </c>
      <c r="AR211" s="26">
        <v>0</v>
      </c>
    </row>
    <row r="212" spans="1:44" x14ac:dyDescent="0.15">
      <c r="A212">
        <v>599</v>
      </c>
      <c r="B212" s="11">
        <v>1563</v>
      </c>
      <c r="C212" s="32"/>
      <c r="D212" s="32">
        <v>-2.8671218072699001E-3</v>
      </c>
      <c r="E212" s="32">
        <v>87</v>
      </c>
      <c r="F212" s="32">
        <v>2.4672645823111301E-2</v>
      </c>
      <c r="G212" s="11"/>
      <c r="H212" s="11"/>
      <c r="I212" s="11"/>
      <c r="J212" s="18" t="s">
        <v>44</v>
      </c>
      <c r="K212" s="18" t="s">
        <v>45</v>
      </c>
      <c r="L212" s="58" t="s">
        <v>274</v>
      </c>
      <c r="M212" s="18">
        <f>[1]!f_prt_stocktonav(B212,"2017/03/31")</f>
        <v>82.924346923828125</v>
      </c>
      <c r="N212" s="20" t="str">
        <f>[1]!f_info_fundmanager(B212)</f>
        <v>陈启明,高靖瑜</v>
      </c>
      <c r="O212" s="21">
        <v>1.6575342465753424</v>
      </c>
      <c r="P212" s="34" t="s">
        <v>998</v>
      </c>
      <c r="Q212" s="34" t="s">
        <v>999</v>
      </c>
      <c r="R212" s="34" t="s">
        <v>1000</v>
      </c>
      <c r="S212" s="34">
        <v>20150804</v>
      </c>
      <c r="T212" s="45">
        <v>0.75526703539999995</v>
      </c>
      <c r="U212" s="46">
        <v>0.99031461430000001</v>
      </c>
      <c r="V212" s="34" t="s">
        <v>231</v>
      </c>
      <c r="W212" s="34" t="s">
        <v>44</v>
      </c>
      <c r="X212" s="34" t="s">
        <v>45</v>
      </c>
      <c r="Y212" s="34" t="s">
        <v>274</v>
      </c>
      <c r="Z212" s="34"/>
      <c r="AA212" s="34"/>
      <c r="AB212" s="22">
        <v>0.89269287109374995</v>
      </c>
      <c r="AC212" s="23" t="s">
        <v>1001</v>
      </c>
      <c r="AD212" s="24">
        <v>1.4273972602739726</v>
      </c>
      <c r="AE212" s="25">
        <v>-5.2930604586049486E-2</v>
      </c>
      <c r="AF212" s="26">
        <v>0</v>
      </c>
      <c r="AG212" s="26">
        <v>0</v>
      </c>
      <c r="AH212" s="27">
        <v>-0.13068804111812893</v>
      </c>
      <c r="AI212" s="27">
        <v>-0.13068804111812893</v>
      </c>
      <c r="AJ212" s="27">
        <v>-0.13068804111812893</v>
      </c>
      <c r="AK212" s="28" t="s">
        <v>191</v>
      </c>
      <c r="AL212" s="29" t="s">
        <v>48</v>
      </c>
      <c r="AM212" s="29" t="s">
        <v>48</v>
      </c>
      <c r="AN212" s="29" t="s">
        <v>48</v>
      </c>
      <c r="AO212" s="47" t="s">
        <v>1002</v>
      </c>
      <c r="AP212" s="28">
        <v>0</v>
      </c>
      <c r="AQ212" s="26">
        <v>1.4999999999999999E-2</v>
      </c>
      <c r="AR212" s="26">
        <v>0</v>
      </c>
    </row>
    <row r="213" spans="1:44" x14ac:dyDescent="0.15">
      <c r="A213">
        <v>403</v>
      </c>
      <c r="B213" s="11">
        <v>1542</v>
      </c>
      <c r="C213" s="32"/>
      <c r="D213" s="32">
        <v>4.6760481790912301E-3</v>
      </c>
      <c r="E213" s="32">
        <v>70</v>
      </c>
      <c r="F213" s="32">
        <v>3.3251849881071202E-2</v>
      </c>
      <c r="G213" s="11"/>
      <c r="H213" s="11"/>
      <c r="I213" s="11"/>
      <c r="J213" s="18" t="s">
        <v>44</v>
      </c>
      <c r="K213" s="18" t="s">
        <v>45</v>
      </c>
      <c r="L213" s="58" t="s">
        <v>65</v>
      </c>
      <c r="M213" s="18">
        <f>[1]!f_prt_stocktonav(B213,"2017/03/31")</f>
        <v>87.499130249023438</v>
      </c>
      <c r="N213" s="20" t="str">
        <f>[1]!f_info_fundmanager(B213)</f>
        <v>彭凌志</v>
      </c>
      <c r="O213" s="21">
        <v>1.3315068493150686</v>
      </c>
      <c r="P213" s="34" t="s">
        <v>1003</v>
      </c>
      <c r="Q213" s="34" t="s">
        <v>1004</v>
      </c>
      <c r="R213" s="34" t="s">
        <v>663</v>
      </c>
      <c r="S213" s="34">
        <v>20150804</v>
      </c>
      <c r="T213" s="45">
        <v>6.0033638273000003</v>
      </c>
      <c r="U213" s="46">
        <v>6.8989249283999996</v>
      </c>
      <c r="V213" s="34" t="s">
        <v>231</v>
      </c>
      <c r="W213" s="34" t="s">
        <v>44</v>
      </c>
      <c r="X213" s="34" t="s">
        <v>45</v>
      </c>
      <c r="Y213" s="34" t="s">
        <v>817</v>
      </c>
      <c r="Z213" s="34"/>
      <c r="AA213" s="34"/>
      <c r="AB213" s="22">
        <v>0.82296836853027344</v>
      </c>
      <c r="AC213" s="23" t="s">
        <v>1005</v>
      </c>
      <c r="AD213" s="24">
        <v>1.1013698630136985</v>
      </c>
      <c r="AE213" s="25">
        <v>0.17694084402090524</v>
      </c>
      <c r="AF213" s="26">
        <v>0</v>
      </c>
      <c r="AG213" s="26">
        <v>0</v>
      </c>
      <c r="AH213" s="27">
        <v>0.71855866284512593</v>
      </c>
      <c r="AI213" s="27">
        <v>0.71855866284512593</v>
      </c>
      <c r="AJ213" s="27">
        <v>0.71855866284512593</v>
      </c>
      <c r="AK213" s="28" t="s">
        <v>380</v>
      </c>
      <c r="AL213" s="29" t="s">
        <v>48</v>
      </c>
      <c r="AM213" s="29" t="s">
        <v>48</v>
      </c>
      <c r="AN213" s="29" t="s">
        <v>48</v>
      </c>
      <c r="AO213" s="47" t="s">
        <v>666</v>
      </c>
      <c r="AP213" s="28">
        <v>0</v>
      </c>
      <c r="AQ213" s="26">
        <v>1.4999999999999999E-2</v>
      </c>
      <c r="AR213" s="26">
        <v>0</v>
      </c>
    </row>
    <row r="214" spans="1:44" x14ac:dyDescent="0.15">
      <c r="A214">
        <v>214</v>
      </c>
      <c r="B214" s="11">
        <v>1410</v>
      </c>
      <c r="C214" s="32"/>
      <c r="D214" s="32">
        <v>8.7295051726459603E-3</v>
      </c>
      <c r="E214" s="32">
        <v>24</v>
      </c>
      <c r="F214" s="32">
        <v>7.7594528442390099E-4</v>
      </c>
      <c r="G214" s="11"/>
      <c r="H214" s="11"/>
      <c r="I214" s="11"/>
      <c r="J214" s="18" t="s">
        <v>44</v>
      </c>
      <c r="K214" s="18" t="s">
        <v>45</v>
      </c>
      <c r="L214" s="58" t="s">
        <v>65</v>
      </c>
      <c r="M214" s="18">
        <f>[1]!f_prt_stocktonav(B214,"2017/03/31")</f>
        <v>91.533981323242188</v>
      </c>
      <c r="N214" s="20" t="str">
        <f>[1]!f_info_fundmanager(B214)</f>
        <v>冯明远</v>
      </c>
      <c r="O214" s="21">
        <v>0.44657534246575342</v>
      </c>
      <c r="P214" s="34" t="s">
        <v>1006</v>
      </c>
      <c r="Q214" s="34" t="s">
        <v>1007</v>
      </c>
      <c r="R214" s="34" t="s">
        <v>189</v>
      </c>
      <c r="S214" s="34">
        <v>20150731</v>
      </c>
      <c r="T214" s="45">
        <v>0.55353262479999998</v>
      </c>
      <c r="U214" s="46">
        <v>0.64239996899999996</v>
      </c>
      <c r="V214" s="34" t="s">
        <v>201</v>
      </c>
      <c r="W214" s="34" t="s">
        <v>44</v>
      </c>
      <c r="X214" s="34" t="s">
        <v>45</v>
      </c>
      <c r="Y214" s="34" t="s">
        <v>65</v>
      </c>
      <c r="Z214" s="34"/>
      <c r="AA214" s="34"/>
      <c r="AB214" s="22">
        <v>0.92747314453124996</v>
      </c>
      <c r="AC214" s="23" t="s">
        <v>1008</v>
      </c>
      <c r="AD214" s="24">
        <v>0.21643835616438356</v>
      </c>
      <c r="AE214" s="25">
        <v>4.6572348226306959E-2</v>
      </c>
      <c r="AF214" s="26">
        <v>0</v>
      </c>
      <c r="AG214" s="26">
        <v>0</v>
      </c>
      <c r="AH214" s="27">
        <v>0.24840217482258484</v>
      </c>
      <c r="AI214" s="27">
        <v>0.24840217482258484</v>
      </c>
      <c r="AJ214" s="27">
        <v>0.24840217482258484</v>
      </c>
      <c r="AK214" s="28" t="s">
        <v>1009</v>
      </c>
      <c r="AL214" s="29" t="s">
        <v>48</v>
      </c>
      <c r="AM214" s="29" t="s">
        <v>48</v>
      </c>
      <c r="AN214" s="29" t="s">
        <v>48</v>
      </c>
      <c r="AO214" s="47" t="s">
        <v>1002</v>
      </c>
      <c r="AP214" s="28">
        <v>0</v>
      </c>
      <c r="AQ214" s="26">
        <v>1.4999999999999999E-2</v>
      </c>
      <c r="AR214" s="26">
        <v>0</v>
      </c>
    </row>
    <row r="215" spans="1:44" x14ac:dyDescent="0.15">
      <c r="A215">
        <v>532</v>
      </c>
      <c r="B215" s="11">
        <v>1473</v>
      </c>
      <c r="C215" s="32"/>
      <c r="D215" s="32">
        <v>9.3945352994423501E-4</v>
      </c>
      <c r="E215" s="32">
        <v>88</v>
      </c>
      <c r="F215" s="32">
        <v>0.46125254893857198</v>
      </c>
      <c r="G215" s="11"/>
      <c r="H215" s="11"/>
      <c r="I215" s="11"/>
      <c r="J215" s="18" t="s">
        <v>44</v>
      </c>
      <c r="K215" s="18" t="s">
        <v>45</v>
      </c>
      <c r="L215" s="58" t="s">
        <v>65</v>
      </c>
      <c r="M215" s="18">
        <f>[1]!f_prt_stocktonav(B215,"2017/03/31")</f>
        <v>84.570899963378906</v>
      </c>
      <c r="N215" s="20" t="str">
        <f>[1]!f_info_fundmanager(B215)</f>
        <v>王东杰</v>
      </c>
      <c r="O215" s="21">
        <v>1.6739726027397259</v>
      </c>
      <c r="P215" s="34" t="s">
        <v>1010</v>
      </c>
      <c r="Q215" s="34" t="s">
        <v>1011</v>
      </c>
      <c r="R215" s="34" t="s">
        <v>307</v>
      </c>
      <c r="S215" s="34">
        <v>20150729</v>
      </c>
      <c r="T215" s="45">
        <v>1.0454970803000001</v>
      </c>
      <c r="U215" s="46">
        <v>1.2274503262000001</v>
      </c>
      <c r="V215" s="34" t="s">
        <v>201</v>
      </c>
      <c r="W215" s="34" t="s">
        <v>44</v>
      </c>
      <c r="X215" s="34" t="s">
        <v>45</v>
      </c>
      <c r="Y215" s="34" t="s">
        <v>274</v>
      </c>
      <c r="Z215" s="34"/>
      <c r="AA215" s="34"/>
      <c r="AB215" s="22">
        <v>0.86143432617187499</v>
      </c>
      <c r="AC215" s="23" t="s">
        <v>1012</v>
      </c>
      <c r="AD215" s="24">
        <v>1.4438356164383561</v>
      </c>
      <c r="AE215" s="25">
        <v>9.8366423222517874E-2</v>
      </c>
      <c r="AF215" s="26">
        <v>0</v>
      </c>
      <c r="AG215" s="26">
        <v>0</v>
      </c>
      <c r="AH215" s="27">
        <v>0.46237670615730903</v>
      </c>
      <c r="AI215" s="27">
        <v>0.46237670615730903</v>
      </c>
      <c r="AJ215" s="27">
        <v>0.46237670615730903</v>
      </c>
      <c r="AK215" s="28" t="s">
        <v>1013</v>
      </c>
      <c r="AL215" s="29" t="s">
        <v>48</v>
      </c>
      <c r="AM215" s="29" t="s">
        <v>48</v>
      </c>
      <c r="AN215" s="29" t="s">
        <v>48</v>
      </c>
      <c r="AO215" s="47" t="s">
        <v>310</v>
      </c>
      <c r="AP215" s="28">
        <v>0</v>
      </c>
      <c r="AQ215" s="26">
        <v>1.4999999999999999E-2</v>
      </c>
      <c r="AR215" s="26">
        <v>0</v>
      </c>
    </row>
    <row r="216" spans="1:44" x14ac:dyDescent="0.15">
      <c r="A216">
        <v>445</v>
      </c>
      <c r="B216" s="11">
        <v>1577</v>
      </c>
      <c r="C216" s="32"/>
      <c r="D216" s="32">
        <v>5.6215533615483699E-4</v>
      </c>
      <c r="E216" s="32">
        <v>88</v>
      </c>
      <c r="F216" s="32">
        <v>0.57707735461407095</v>
      </c>
      <c r="G216" s="11"/>
      <c r="H216" s="11"/>
      <c r="I216" s="11"/>
      <c r="J216" s="18" t="s">
        <v>44</v>
      </c>
      <c r="K216" s="18" t="s">
        <v>45</v>
      </c>
      <c r="L216" s="58" t="s">
        <v>354</v>
      </c>
      <c r="M216" s="18">
        <f>[1]!f_prt_stocktonav(B216,"2017/03/31")</f>
        <v>86.410392761230469</v>
      </c>
      <c r="N216" s="20" t="str">
        <f>[1]!f_info_fundmanager(B216)</f>
        <v>李帅</v>
      </c>
      <c r="O216" s="21">
        <v>1.6794520547945206</v>
      </c>
      <c r="P216" s="34" t="s">
        <v>1014</v>
      </c>
      <c r="Q216" s="34" t="s">
        <v>1015</v>
      </c>
      <c r="R216" s="34" t="s">
        <v>92</v>
      </c>
      <c r="S216" s="34">
        <v>20150727</v>
      </c>
      <c r="T216" s="45">
        <v>3.7571782088000001</v>
      </c>
      <c r="U216" s="46">
        <v>3.7948452128999999</v>
      </c>
      <c r="V216" s="34" t="s">
        <v>231</v>
      </c>
      <c r="W216" s="34" t="s">
        <v>44</v>
      </c>
      <c r="X216" s="34" t="s">
        <v>45</v>
      </c>
      <c r="Y216" s="34" t="s">
        <v>65</v>
      </c>
      <c r="Z216" s="34"/>
      <c r="AA216" s="34"/>
      <c r="AB216" s="22">
        <v>0.8150534057617187</v>
      </c>
      <c r="AC216" s="23" t="s">
        <v>1016</v>
      </c>
      <c r="AD216" s="24">
        <v>1.4493150684931506</v>
      </c>
      <c r="AE216" s="25">
        <v>2.7845715759016176E-3</v>
      </c>
      <c r="AF216" s="26">
        <v>0</v>
      </c>
      <c r="AG216" s="26">
        <v>0</v>
      </c>
      <c r="AH216" s="27">
        <v>0.10457681396722236</v>
      </c>
      <c r="AI216" s="27">
        <v>0.10457681396722236</v>
      </c>
      <c r="AJ216" s="27">
        <v>0.10457681396722236</v>
      </c>
      <c r="AK216" s="28" t="s">
        <v>208</v>
      </c>
      <c r="AL216" s="29" t="s">
        <v>48</v>
      </c>
      <c r="AM216" s="29" t="s">
        <v>48</v>
      </c>
      <c r="AN216" s="29" t="s">
        <v>48</v>
      </c>
      <c r="AO216" s="47" t="s">
        <v>249</v>
      </c>
      <c r="AP216" s="28">
        <v>0</v>
      </c>
      <c r="AQ216" s="26">
        <v>1.4999999999999999E-2</v>
      </c>
      <c r="AR216" s="26">
        <v>0</v>
      </c>
    </row>
    <row r="217" spans="1:44" x14ac:dyDescent="0.15">
      <c r="A217">
        <v>622</v>
      </c>
      <c r="B217" s="11">
        <v>1540</v>
      </c>
      <c r="C217" s="32"/>
      <c r="D217" s="32">
        <v>-2.9778911375197602E-3</v>
      </c>
      <c r="E217" s="32">
        <v>83</v>
      </c>
      <c r="F217" s="32">
        <v>4.7143674402700397E-2</v>
      </c>
      <c r="G217" s="11"/>
      <c r="H217" s="11"/>
      <c r="I217" s="11"/>
      <c r="J217" s="18" t="s">
        <v>44</v>
      </c>
      <c r="K217" s="18" t="s">
        <v>45</v>
      </c>
      <c r="L217" s="58" t="s">
        <v>274</v>
      </c>
      <c r="M217" s="18">
        <f>[1]!f_prt_stocktonav(B217,"2017/03/31")</f>
        <v>82.267440795898438</v>
      </c>
      <c r="N217" s="20" t="str">
        <f>[1]!f_info_fundmanager(B217)</f>
        <v>唐光英</v>
      </c>
      <c r="O217" s="21">
        <v>1.5917808219178082</v>
      </c>
      <c r="P217" s="34" t="s">
        <v>1017</v>
      </c>
      <c r="Q217" s="34" t="s">
        <v>1018</v>
      </c>
      <c r="R217" s="34" t="s">
        <v>682</v>
      </c>
      <c r="S217" s="34">
        <v>20150727</v>
      </c>
      <c r="T217" s="45">
        <v>5.4434675021999999</v>
      </c>
      <c r="U217" s="46">
        <v>6.6416419149000001</v>
      </c>
      <c r="V217" s="34" t="s">
        <v>201</v>
      </c>
      <c r="W217" s="34" t="s">
        <v>44</v>
      </c>
      <c r="X217" s="34" t="s">
        <v>45</v>
      </c>
      <c r="Y217" s="34" t="s">
        <v>274</v>
      </c>
      <c r="Z217" s="34"/>
      <c r="AA217" s="34"/>
      <c r="AB217" s="22">
        <v>0.76062973022460934</v>
      </c>
      <c r="AC217" s="23" t="s">
        <v>1019</v>
      </c>
      <c r="AD217" s="24">
        <v>1.3616438356164384</v>
      </c>
      <c r="AE217" s="25">
        <v>-0.20453179278790012</v>
      </c>
      <c r="AF217" s="26">
        <v>0</v>
      </c>
      <c r="AG217" s="26">
        <v>0</v>
      </c>
      <c r="AH217" s="27">
        <v>-0.96233516646371109</v>
      </c>
      <c r="AI217" s="27">
        <v>-0.96233516646371109</v>
      </c>
      <c r="AJ217" s="27">
        <v>-0.96233516646371109</v>
      </c>
      <c r="AK217" s="28" t="s">
        <v>1020</v>
      </c>
      <c r="AL217" s="29" t="s">
        <v>48</v>
      </c>
      <c r="AM217" s="29" t="s">
        <v>48</v>
      </c>
      <c r="AN217" s="29" t="s">
        <v>48</v>
      </c>
      <c r="AO217" s="47" t="s">
        <v>367</v>
      </c>
      <c r="AP217" s="28">
        <v>0</v>
      </c>
      <c r="AQ217" s="26">
        <v>1.4999999999999999E-2</v>
      </c>
      <c r="AR217" s="26">
        <v>0</v>
      </c>
    </row>
    <row r="218" spans="1:44" x14ac:dyDescent="0.15">
      <c r="A218">
        <v>584</v>
      </c>
      <c r="B218" s="11">
        <v>1518</v>
      </c>
      <c r="C218" s="32"/>
      <c r="D218" s="32">
        <v>-4.7706520152062602E-4</v>
      </c>
      <c r="E218" s="32">
        <v>69</v>
      </c>
      <c r="F218" s="32">
        <v>0.71813982471806803</v>
      </c>
      <c r="G218" s="11"/>
      <c r="H218" s="11"/>
      <c r="I218" s="11"/>
      <c r="J218" s="18" t="s">
        <v>44</v>
      </c>
      <c r="K218" s="18" t="s">
        <v>45</v>
      </c>
      <c r="L218" s="58" t="s">
        <v>337</v>
      </c>
      <c r="M218" s="18">
        <f>[1]!f_prt_stocktonav(B218,"2017/03/31")</f>
        <v>83.152969360351562</v>
      </c>
      <c r="N218" s="20" t="str">
        <f>[1]!f_info_fundmanager(B218)</f>
        <v>莫海波,李文宾</v>
      </c>
      <c r="O218" s="21">
        <v>1.3205479452054794</v>
      </c>
      <c r="P218" s="34" t="s">
        <v>1021</v>
      </c>
      <c r="Q218" s="34" t="s">
        <v>1022</v>
      </c>
      <c r="R218" s="34" t="s">
        <v>718</v>
      </c>
      <c r="S218" s="34">
        <v>20150723</v>
      </c>
      <c r="T218" s="45">
        <v>7.5322555553999999</v>
      </c>
      <c r="U218" s="46">
        <v>6.1331575272999999</v>
      </c>
      <c r="V218" s="34" t="s">
        <v>201</v>
      </c>
      <c r="W218" s="34" t="s">
        <v>44</v>
      </c>
      <c r="X218" s="17" t="s">
        <v>45</v>
      </c>
      <c r="Y218" s="17" t="s">
        <v>354</v>
      </c>
      <c r="Z218" s="34"/>
      <c r="AA218" s="34"/>
      <c r="AB218" s="22">
        <v>0.9455696105957031</v>
      </c>
      <c r="AC218" s="23" t="s">
        <v>719</v>
      </c>
      <c r="AD218" s="24">
        <v>1.0904109589041096</v>
      </c>
      <c r="AE218" s="25">
        <v>0.50277810025465342</v>
      </c>
      <c r="AF218" s="26">
        <v>0</v>
      </c>
      <c r="AG218" s="26">
        <v>0</v>
      </c>
      <c r="AH218" s="27">
        <v>1.0858134139549456</v>
      </c>
      <c r="AI218" s="27">
        <v>1.0858134139549456</v>
      </c>
      <c r="AJ218" s="27">
        <v>1.0858134139549456</v>
      </c>
      <c r="AK218" s="28" t="s">
        <v>720</v>
      </c>
      <c r="AL218" s="29" t="s">
        <v>48</v>
      </c>
      <c r="AM218" s="29" t="s">
        <v>48</v>
      </c>
      <c r="AN218" s="29" t="s">
        <v>48</v>
      </c>
      <c r="AO218" s="47" t="s">
        <v>1023</v>
      </c>
      <c r="AP218" s="28">
        <v>0</v>
      </c>
      <c r="AQ218" s="26">
        <v>6.0000002384185793E-3</v>
      </c>
      <c r="AR218" s="26">
        <v>0</v>
      </c>
    </row>
    <row r="219" spans="1:44" x14ac:dyDescent="0.15">
      <c r="A219">
        <v>560</v>
      </c>
      <c r="B219" s="11">
        <v>519965</v>
      </c>
      <c r="C219" s="32"/>
      <c r="D219" s="32">
        <v>1.3191789413898101E-4</v>
      </c>
      <c r="E219" s="32">
        <v>90</v>
      </c>
      <c r="F219" s="32">
        <v>0.86308959585907896</v>
      </c>
      <c r="G219" s="11"/>
      <c r="H219" s="11"/>
      <c r="I219" s="11"/>
      <c r="J219" s="18" t="s">
        <v>44</v>
      </c>
      <c r="K219" s="18" t="s">
        <v>64</v>
      </c>
      <c r="L219" s="58" t="s">
        <v>274</v>
      </c>
      <c r="M219" s="18">
        <f>[1]!f_prt_stocktonav(B219,"2017/03/31")</f>
        <v>83.873954772949219</v>
      </c>
      <c r="N219" s="20" t="str">
        <f>[1]!f_info_fundmanager(B219)</f>
        <v>常松,左金保</v>
      </c>
      <c r="O219" s="21">
        <v>1.715068493150685</v>
      </c>
      <c r="P219" s="34" t="s">
        <v>1024</v>
      </c>
      <c r="Q219" s="34" t="s">
        <v>1025</v>
      </c>
      <c r="R219" s="34" t="s">
        <v>206</v>
      </c>
      <c r="S219" s="34">
        <v>20150714</v>
      </c>
      <c r="T219" s="45">
        <v>2.0941079222000001</v>
      </c>
      <c r="U219" s="46">
        <v>1.4602413825</v>
      </c>
      <c r="V219" s="34" t="s">
        <v>231</v>
      </c>
      <c r="W219" s="34" t="s">
        <v>44</v>
      </c>
      <c r="X219" s="34" t="s">
        <v>64</v>
      </c>
      <c r="Y219" s="34" t="s">
        <v>274</v>
      </c>
      <c r="Z219" s="34"/>
      <c r="AA219" s="34"/>
      <c r="AB219" s="22">
        <v>0.8473368072509766</v>
      </c>
      <c r="AC219" s="23" t="s">
        <v>1026</v>
      </c>
      <c r="AD219" s="24">
        <v>1.484931506849315</v>
      </c>
      <c r="AE219" s="25">
        <v>0.17577189940721816</v>
      </c>
      <c r="AF219" s="26">
        <v>0</v>
      </c>
      <c r="AG219" s="26">
        <v>0</v>
      </c>
      <c r="AH219" s="27">
        <v>0.61688714191026628</v>
      </c>
      <c r="AI219" s="27">
        <v>0.61688714191026628</v>
      </c>
      <c r="AJ219" s="27">
        <v>0.61688714191026628</v>
      </c>
      <c r="AK219" s="28" t="s">
        <v>1027</v>
      </c>
      <c r="AL219" s="29" t="s">
        <v>48</v>
      </c>
      <c r="AM219" s="29" t="s">
        <v>48</v>
      </c>
      <c r="AN219" s="29" t="s">
        <v>48</v>
      </c>
      <c r="AO219" s="47" t="s">
        <v>209</v>
      </c>
      <c r="AP219" s="28">
        <v>0</v>
      </c>
      <c r="AQ219" s="26">
        <v>1.4999999999999999E-2</v>
      </c>
      <c r="AR219" s="26">
        <v>0</v>
      </c>
    </row>
    <row r="220" spans="1:44" x14ac:dyDescent="0.15">
      <c r="A220">
        <v>892</v>
      </c>
      <c r="B220" s="11">
        <v>1683</v>
      </c>
      <c r="C220" s="32"/>
      <c r="D220" s="32">
        <v>4.9977630703131404E-6</v>
      </c>
      <c r="E220" s="32">
        <v>90</v>
      </c>
      <c r="F220" s="32">
        <v>0.99134457226798101</v>
      </c>
      <c r="G220" s="11"/>
      <c r="H220" s="11"/>
      <c r="I220" s="11"/>
      <c r="J220" s="18" t="s">
        <v>44</v>
      </c>
      <c r="K220" s="18" t="s">
        <v>45</v>
      </c>
      <c r="L220" s="58" t="s">
        <v>354</v>
      </c>
      <c r="M220" s="18">
        <f>[1]!f_prt_stocktonav(B220,"2017/03/31")</f>
        <v>72.979034423828125</v>
      </c>
      <c r="N220" s="20" t="str">
        <f>[1]!f_info_fundmanager(B220)</f>
        <v>彭海伟</v>
      </c>
      <c r="O220" s="21">
        <v>1.7178082191780821</v>
      </c>
      <c r="P220" s="34" t="s">
        <v>1028</v>
      </c>
      <c r="Q220" s="34" t="s">
        <v>1029</v>
      </c>
      <c r="R220" s="34" t="s">
        <v>143</v>
      </c>
      <c r="S220" s="34">
        <v>20150713</v>
      </c>
      <c r="T220" s="45">
        <v>387.41256708499998</v>
      </c>
      <c r="U220" s="46">
        <v>386.57627082929997</v>
      </c>
      <c r="V220" s="34" t="s">
        <v>231</v>
      </c>
      <c r="W220" s="34" t="s">
        <v>44</v>
      </c>
      <c r="X220" s="17" t="s">
        <v>45</v>
      </c>
      <c r="Y220" s="17" t="s">
        <v>354</v>
      </c>
      <c r="Z220" s="34"/>
      <c r="AA220" s="34"/>
      <c r="AB220" s="22">
        <v>0.72673332214355468</v>
      </c>
      <c r="AC220" s="23" t="s">
        <v>586</v>
      </c>
      <c r="AD220" s="24">
        <v>1.4876712328767123</v>
      </c>
      <c r="AE220" s="25">
        <v>-2.1823339356773164E-2</v>
      </c>
      <c r="AF220" s="26">
        <v>0</v>
      </c>
      <c r="AG220" s="26">
        <v>0</v>
      </c>
      <c r="AH220" s="27">
        <v>-0.10065198009692221</v>
      </c>
      <c r="AI220" s="27">
        <v>-0.10065198009692221</v>
      </c>
      <c r="AJ220" s="27">
        <v>-0.10065198009692221</v>
      </c>
      <c r="AK220" s="28" t="s">
        <v>191</v>
      </c>
      <c r="AL220" s="29" t="s">
        <v>48</v>
      </c>
      <c r="AM220" s="29" t="s">
        <v>48</v>
      </c>
      <c r="AN220" s="29" t="s">
        <v>48</v>
      </c>
      <c r="AO220" s="47" t="s">
        <v>1030</v>
      </c>
      <c r="AP220" s="28">
        <v>0</v>
      </c>
      <c r="AQ220" s="26">
        <v>0</v>
      </c>
      <c r="AR220" s="26">
        <v>0</v>
      </c>
    </row>
    <row r="221" spans="1:44" x14ac:dyDescent="0.15">
      <c r="A221">
        <v>432</v>
      </c>
      <c r="B221" s="11">
        <v>1490</v>
      </c>
      <c r="C221" s="32"/>
      <c r="D221" s="32">
        <v>-2.7445567443131998E-4</v>
      </c>
      <c r="E221" s="32">
        <v>90</v>
      </c>
      <c r="F221" s="32">
        <v>0.84694136239497697</v>
      </c>
      <c r="G221" s="11"/>
      <c r="H221" s="11"/>
      <c r="I221" s="11"/>
      <c r="J221" s="18" t="s">
        <v>44</v>
      </c>
      <c r="K221" s="18" t="s">
        <v>87</v>
      </c>
      <c r="L221" s="58" t="s">
        <v>274</v>
      </c>
      <c r="M221" s="18">
        <f>[1]!f_prt_stocktonav(B221,"2017/03/31")</f>
        <v>86.642601013183594</v>
      </c>
      <c r="N221" s="20" t="str">
        <f>[1]!f_info_fundmanager(B221)</f>
        <v>劳杰男,李威</v>
      </c>
      <c r="O221" s="21">
        <v>1.726027397260274</v>
      </c>
      <c r="P221" s="34" t="s">
        <v>1031</v>
      </c>
      <c r="Q221" s="34" t="s">
        <v>1032</v>
      </c>
      <c r="R221" s="34" t="s">
        <v>331</v>
      </c>
      <c r="S221" s="34">
        <v>20150710</v>
      </c>
      <c r="T221" s="45">
        <v>14.4492950951</v>
      </c>
      <c r="U221" s="46">
        <v>15.8931068474</v>
      </c>
      <c r="V221" s="34" t="s">
        <v>231</v>
      </c>
      <c r="W221" s="34" t="s">
        <v>44</v>
      </c>
      <c r="X221" s="34" t="s">
        <v>45</v>
      </c>
      <c r="Y221" s="34" t="s">
        <v>274</v>
      </c>
      <c r="Z221" s="34"/>
      <c r="AA221" s="34"/>
      <c r="AB221" s="22">
        <v>0.89853477478027344</v>
      </c>
      <c r="AC221" s="23" t="s">
        <v>1033</v>
      </c>
      <c r="AD221" s="24">
        <v>1.4958904109589042</v>
      </c>
      <c r="AE221" s="25">
        <v>-1.6256128894639565E-2</v>
      </c>
      <c r="AF221" s="26">
        <v>0</v>
      </c>
      <c r="AG221" s="26">
        <v>0</v>
      </c>
      <c r="AH221" s="27">
        <v>1.6142225723765773E-2</v>
      </c>
      <c r="AI221" s="27">
        <v>1.6142225723765773E-2</v>
      </c>
      <c r="AJ221" s="27">
        <v>1.6142225723765773E-2</v>
      </c>
      <c r="AK221" s="28" t="s">
        <v>1034</v>
      </c>
      <c r="AL221" s="29" t="s">
        <v>48</v>
      </c>
      <c r="AM221" s="29" t="s">
        <v>48</v>
      </c>
      <c r="AN221" s="29" t="s">
        <v>48</v>
      </c>
      <c r="AO221" s="47" t="s">
        <v>334</v>
      </c>
      <c r="AP221" s="28">
        <v>0</v>
      </c>
      <c r="AQ221" s="26">
        <v>1.4999999999999999E-2</v>
      </c>
      <c r="AR221" s="26">
        <v>0</v>
      </c>
    </row>
    <row r="222" spans="1:44" x14ac:dyDescent="0.15">
      <c r="A222">
        <v>85</v>
      </c>
      <c r="B222" s="11">
        <v>1302</v>
      </c>
      <c r="C222" s="32"/>
      <c r="D222" s="32">
        <v>-2.1928286964023901E-3</v>
      </c>
      <c r="E222" s="32">
        <v>90</v>
      </c>
      <c r="F222" s="32">
        <v>0.45695370956872</v>
      </c>
      <c r="G222" s="11"/>
      <c r="H222" s="11"/>
      <c r="I222" s="11"/>
      <c r="J222" s="18" t="s">
        <v>44</v>
      </c>
      <c r="K222" s="18" t="s">
        <v>87</v>
      </c>
      <c r="L222" s="58" t="s">
        <v>65</v>
      </c>
      <c r="M222" s="18">
        <f>[1]!f_prt_stocktonav(B222,"2017/03/31")</f>
        <v>93.86004638671875</v>
      </c>
      <c r="N222" s="20" t="str">
        <f>[1]!f_info_fundmanager(B222)</f>
        <v>谢屹</v>
      </c>
      <c r="O222" s="21">
        <v>1.7287671232876711</v>
      </c>
      <c r="P222" s="34" t="s">
        <v>1035</v>
      </c>
      <c r="Q222" s="34" t="s">
        <v>1036</v>
      </c>
      <c r="R222" s="34" t="s">
        <v>78</v>
      </c>
      <c r="S222" s="34">
        <v>20150709</v>
      </c>
      <c r="T222" s="45">
        <v>19.4485376503</v>
      </c>
      <c r="U222" s="46">
        <v>8.0206967921000007</v>
      </c>
      <c r="V222" s="34" t="s">
        <v>231</v>
      </c>
      <c r="W222" s="34" t="s">
        <v>44</v>
      </c>
      <c r="X222" s="34" t="s">
        <v>87</v>
      </c>
      <c r="Y222" s="34" t="s">
        <v>65</v>
      </c>
      <c r="Z222" s="34" t="s">
        <v>1037</v>
      </c>
      <c r="AA222" s="34"/>
      <c r="AB222" s="22">
        <v>0.95182632446289062</v>
      </c>
      <c r="AC222" s="23" t="s">
        <v>464</v>
      </c>
      <c r="AD222" s="24">
        <v>1.4986301369863013</v>
      </c>
      <c r="AE222" s="25">
        <v>0.10126380531175716</v>
      </c>
      <c r="AF222" s="26">
        <v>0</v>
      </c>
      <c r="AG222" s="26">
        <v>0</v>
      </c>
      <c r="AH222" s="27">
        <v>0.53108188425507963</v>
      </c>
      <c r="AI222" s="27">
        <v>0.53108188425507963</v>
      </c>
      <c r="AJ222" s="27">
        <v>0.53108188425507963</v>
      </c>
      <c r="AK222" s="33" t="s">
        <v>226</v>
      </c>
      <c r="AL222" s="29" t="s">
        <v>48</v>
      </c>
      <c r="AM222" s="29" t="s">
        <v>48</v>
      </c>
      <c r="AN222" s="29" t="s">
        <v>48</v>
      </c>
      <c r="AO222" s="47" t="s">
        <v>270</v>
      </c>
      <c r="AP222" s="28">
        <v>0</v>
      </c>
      <c r="AQ222" s="26">
        <v>1.4999999999999999E-2</v>
      </c>
      <c r="AR222" s="26">
        <v>0</v>
      </c>
    </row>
    <row r="223" spans="1:44" x14ac:dyDescent="0.15">
      <c r="A223">
        <v>773</v>
      </c>
      <c r="B223" s="11">
        <v>1538</v>
      </c>
      <c r="C223" s="32"/>
      <c r="D223" s="32">
        <v>5.4104233086434902E-3</v>
      </c>
      <c r="E223" s="32">
        <v>19</v>
      </c>
      <c r="F223" s="32">
        <v>0.165653993166685</v>
      </c>
      <c r="G223" s="11"/>
      <c r="H223" s="11"/>
      <c r="I223" s="11"/>
      <c r="J223" s="18" t="s">
        <v>44</v>
      </c>
      <c r="K223" s="19" t="s">
        <v>45</v>
      </c>
      <c r="L223" s="58" t="s">
        <v>65</v>
      </c>
      <c r="M223" s="18">
        <f>[1]!f_prt_stocktonav(B223,"2017/03/31")</f>
        <v>77.483833312988281</v>
      </c>
      <c r="N223" s="20" t="str">
        <f>[1]!f_info_fundmanager(B223)</f>
        <v>李德辉</v>
      </c>
      <c r="O223" s="21">
        <v>0.36438356164383562</v>
      </c>
      <c r="P223" s="12" t="s">
        <v>1038</v>
      </c>
      <c r="Q223" s="13" t="s">
        <v>1039</v>
      </c>
      <c r="R223" s="13" t="s">
        <v>511</v>
      </c>
      <c r="S223" s="13">
        <v>20150709</v>
      </c>
      <c r="T223" s="14">
        <v>0.89160437920000002</v>
      </c>
      <c r="U223" s="15" t="s">
        <v>39</v>
      </c>
      <c r="V223" s="16" t="s">
        <v>40</v>
      </c>
      <c r="W223" s="17" t="s">
        <v>44</v>
      </c>
      <c r="X223" s="17" t="s">
        <v>45</v>
      </c>
      <c r="Y223" s="17" t="s">
        <v>65</v>
      </c>
      <c r="Z223" s="13"/>
      <c r="AA223" s="13"/>
      <c r="AB223" s="22">
        <v>0.80836639404296873</v>
      </c>
      <c r="AC223" s="23" t="s">
        <v>1040</v>
      </c>
      <c r="AD223" s="24">
        <v>0.13424657534246576</v>
      </c>
      <c r="AE223" s="25">
        <v>-7.5477203243460078E-2</v>
      </c>
      <c r="AF223" s="26">
        <v>0</v>
      </c>
      <c r="AG223" s="26">
        <v>0</v>
      </c>
      <c r="AH223" s="27">
        <v>-0.23086912896459358</v>
      </c>
      <c r="AI223" s="27">
        <v>-0.23086912896459358</v>
      </c>
      <c r="AJ223" s="27">
        <v>-0.23086912896459358</v>
      </c>
      <c r="AK223" s="28" t="s">
        <v>513</v>
      </c>
      <c r="AL223" s="29" t="s">
        <v>48</v>
      </c>
      <c r="AM223" s="29" t="s">
        <v>48</v>
      </c>
      <c r="AN223" s="29" t="s">
        <v>48</v>
      </c>
      <c r="AO223" s="23">
        <v>0</v>
      </c>
      <c r="AP223" s="30">
        <v>0</v>
      </c>
      <c r="AQ223" s="31">
        <v>1.4999999999999999E-2</v>
      </c>
      <c r="AR223" s="31">
        <v>0</v>
      </c>
    </row>
    <row r="224" spans="1:44" x14ac:dyDescent="0.15">
      <c r="A224">
        <v>236</v>
      </c>
      <c r="B224" s="11">
        <v>1365</v>
      </c>
      <c r="C224" s="32"/>
      <c r="D224" s="32">
        <v>-2.6028700639875702E-3</v>
      </c>
      <c r="E224" s="32">
        <v>91</v>
      </c>
      <c r="F224" s="32">
        <v>0.21332033759340099</v>
      </c>
      <c r="G224" s="11"/>
      <c r="H224" s="11"/>
      <c r="I224" s="11"/>
      <c r="J224" s="18" t="s">
        <v>44</v>
      </c>
      <c r="K224" s="18" t="s">
        <v>45</v>
      </c>
      <c r="L224" s="58" t="s">
        <v>274</v>
      </c>
      <c r="M224" s="18">
        <f>[1]!f_prt_stocktonav(B224,"2017/03/31")</f>
        <v>90.957931518554687</v>
      </c>
      <c r="N224" s="20" t="str">
        <f>[1]!f_info_fundmanager(B224)</f>
        <v>杨挺</v>
      </c>
      <c r="O224" s="21">
        <v>1.7315068493150685</v>
      </c>
      <c r="P224" s="34" t="s">
        <v>1041</v>
      </c>
      <c r="Q224" s="34" t="s">
        <v>1042</v>
      </c>
      <c r="R224" s="34" t="s">
        <v>486</v>
      </c>
      <c r="S224" s="34">
        <v>20150708</v>
      </c>
      <c r="T224" s="45">
        <v>1.8592949111999999</v>
      </c>
      <c r="U224" s="46">
        <v>1.9990961625000001</v>
      </c>
      <c r="V224" s="34" t="s">
        <v>231</v>
      </c>
      <c r="W224" s="34" t="s">
        <v>44</v>
      </c>
      <c r="X224" s="34" t="s">
        <v>45</v>
      </c>
      <c r="Y224" s="34" t="s">
        <v>274</v>
      </c>
      <c r="Z224" s="34"/>
      <c r="AA224" s="34"/>
      <c r="AB224" s="22">
        <v>0.82850021362304682</v>
      </c>
      <c r="AC224" s="23" t="s">
        <v>1043</v>
      </c>
      <c r="AD224" s="24">
        <v>1.5013698630136987</v>
      </c>
      <c r="AE224" s="25">
        <v>-0.24446200381953209</v>
      </c>
      <c r="AF224" s="26">
        <v>0</v>
      </c>
      <c r="AG224" s="26">
        <v>0</v>
      </c>
      <c r="AH224" s="27">
        <v>-0.70020971765563433</v>
      </c>
      <c r="AI224" s="27">
        <v>-0.70020971765563433</v>
      </c>
      <c r="AJ224" s="27">
        <v>-0.70020971765563433</v>
      </c>
      <c r="AK224" s="28" t="s">
        <v>1044</v>
      </c>
      <c r="AL224" s="29" t="s">
        <v>48</v>
      </c>
      <c r="AM224" s="29" t="s">
        <v>48</v>
      </c>
      <c r="AN224" s="29" t="s">
        <v>48</v>
      </c>
      <c r="AO224" s="47" t="s">
        <v>82</v>
      </c>
      <c r="AP224" s="28">
        <v>0</v>
      </c>
      <c r="AQ224" s="26">
        <v>1.4999999999999999E-2</v>
      </c>
      <c r="AR224" s="26">
        <v>0</v>
      </c>
    </row>
    <row r="225" spans="1:44" x14ac:dyDescent="0.15">
      <c r="A225">
        <v>879</v>
      </c>
      <c r="B225" s="11">
        <v>1449</v>
      </c>
      <c r="C225" s="32"/>
      <c r="D225" s="32">
        <v>1.07425079274514E-3</v>
      </c>
      <c r="E225" s="32">
        <v>91</v>
      </c>
      <c r="F225" s="32">
        <v>0.30881189261376002</v>
      </c>
      <c r="G225" s="11"/>
      <c r="H225" s="11"/>
      <c r="I225" s="11"/>
      <c r="J225" s="18" t="s">
        <v>44</v>
      </c>
      <c r="K225" s="18" t="s">
        <v>45</v>
      </c>
      <c r="L225" s="58" t="s">
        <v>65</v>
      </c>
      <c r="M225" s="18">
        <f>[1]!f_prt_stocktonav(B225,"2017/03/31")</f>
        <v>73.580879211425781</v>
      </c>
      <c r="N225" s="20" t="str">
        <f>[1]!f_info_fundmanager(B225)</f>
        <v>李双全</v>
      </c>
      <c r="O225" s="21">
        <v>1.7315068493150685</v>
      </c>
      <c r="P225" s="34" t="s">
        <v>1045</v>
      </c>
      <c r="Q225" s="34" t="s">
        <v>1046</v>
      </c>
      <c r="R225" s="34" t="s">
        <v>387</v>
      </c>
      <c r="S225" s="34">
        <v>20150708</v>
      </c>
      <c r="T225" s="45">
        <v>10.3711749201</v>
      </c>
      <c r="U225" s="46">
        <v>5.6429823750999999</v>
      </c>
      <c r="V225" s="34" t="s">
        <v>231</v>
      </c>
      <c r="W225" s="34" t="s">
        <v>44</v>
      </c>
      <c r="X225" s="17" t="s">
        <v>45</v>
      </c>
      <c r="Y225" s="17" t="s">
        <v>65</v>
      </c>
      <c r="Z225" s="34"/>
      <c r="AA225" s="34"/>
      <c r="AB225" s="22">
        <v>0.79015007019042971</v>
      </c>
      <c r="AC225" s="23" t="s">
        <v>1047</v>
      </c>
      <c r="AD225" s="24">
        <v>1.5013698630136987</v>
      </c>
      <c r="AE225" s="25">
        <v>0.17553442310377254</v>
      </c>
      <c r="AF225" s="26">
        <v>0</v>
      </c>
      <c r="AG225" s="26">
        <v>0</v>
      </c>
      <c r="AH225" s="27">
        <v>0.69858017762619773</v>
      </c>
      <c r="AI225" s="27">
        <v>0.69858017762619773</v>
      </c>
      <c r="AJ225" s="27">
        <v>0.69858017762619773</v>
      </c>
      <c r="AK225" s="28" t="s">
        <v>1048</v>
      </c>
      <c r="AL225" s="29" t="s">
        <v>48</v>
      </c>
      <c r="AM225" s="29" t="s">
        <v>48</v>
      </c>
      <c r="AN225" s="29" t="s">
        <v>48</v>
      </c>
      <c r="AO225" s="47" t="s">
        <v>1049</v>
      </c>
      <c r="AP225" s="28">
        <v>0</v>
      </c>
      <c r="AQ225" s="26">
        <v>1.4999999999999999E-2</v>
      </c>
      <c r="AR225" s="26">
        <v>0</v>
      </c>
    </row>
    <row r="226" spans="1:44" x14ac:dyDescent="0.15">
      <c r="A226">
        <v>390</v>
      </c>
      <c r="B226" s="11">
        <v>501000</v>
      </c>
      <c r="C226" s="32"/>
      <c r="D226" s="32">
        <v>-7.8597762227977303E-5</v>
      </c>
      <c r="E226" s="32">
        <v>91</v>
      </c>
      <c r="F226" s="32">
        <v>0.86672345399414796</v>
      </c>
      <c r="G226" s="11"/>
      <c r="H226" s="11"/>
      <c r="I226" s="11"/>
      <c r="J226" s="18" t="s">
        <v>44</v>
      </c>
      <c r="K226" s="18" t="s">
        <v>45</v>
      </c>
      <c r="L226" s="58" t="s">
        <v>65</v>
      </c>
      <c r="M226" s="18">
        <f>[1]!f_prt_stocktonav(B226,"2017/03/31")</f>
        <v>87.679061889648438</v>
      </c>
      <c r="N226" s="20" t="str">
        <f>[1]!f_info_fundmanager(B226)</f>
        <v>宫雪</v>
      </c>
      <c r="O226" s="21">
        <v>1.7452054794520548</v>
      </c>
      <c r="P226" s="34" t="s">
        <v>1050</v>
      </c>
      <c r="Q226" s="34" t="s">
        <v>1051</v>
      </c>
      <c r="R226" s="34" t="s">
        <v>1052</v>
      </c>
      <c r="S226" s="34">
        <v>20150703</v>
      </c>
      <c r="T226" s="45">
        <v>4.7054496299999998E-2</v>
      </c>
      <c r="U226" s="46">
        <v>1.0419792472</v>
      </c>
      <c r="V226" s="34" t="s">
        <v>231</v>
      </c>
      <c r="W226" s="34" t="s">
        <v>41</v>
      </c>
      <c r="X226" s="34" t="s">
        <v>42</v>
      </c>
      <c r="Y226" s="34" t="s">
        <v>43</v>
      </c>
      <c r="Z226" s="34"/>
      <c r="AA226" s="34"/>
      <c r="AB226" s="22">
        <v>0</v>
      </c>
      <c r="AC226" s="23" t="s">
        <v>1053</v>
      </c>
      <c r="AD226" s="24">
        <v>1.515068493150685</v>
      </c>
      <c r="AE226" s="25">
        <v>1.0628664633708595E-2</v>
      </c>
      <c r="AF226" s="26">
        <v>0</v>
      </c>
      <c r="AG226" s="26">
        <v>0</v>
      </c>
      <c r="AH226" s="27">
        <v>-0.38702166364647494</v>
      </c>
      <c r="AI226" s="27">
        <v>-0.38702166364647494</v>
      </c>
      <c r="AJ226" s="27">
        <v>-0.38702166364647494</v>
      </c>
      <c r="AK226" s="28" t="s">
        <v>1054</v>
      </c>
      <c r="AL226" s="29" t="s">
        <v>48</v>
      </c>
      <c r="AM226" s="29" t="s">
        <v>48</v>
      </c>
      <c r="AN226" s="29" t="s">
        <v>48</v>
      </c>
      <c r="AO226" s="47" t="s">
        <v>367</v>
      </c>
      <c r="AP226" s="28">
        <v>0</v>
      </c>
      <c r="AQ226" s="26">
        <v>1.2000000476837159E-2</v>
      </c>
      <c r="AR226" s="26">
        <v>0</v>
      </c>
    </row>
    <row r="227" spans="1:44" x14ac:dyDescent="0.15">
      <c r="A227">
        <v>857</v>
      </c>
      <c r="B227" s="11">
        <v>1322</v>
      </c>
      <c r="C227" s="32"/>
      <c r="D227" s="32">
        <v>-2.76199823861177E-3</v>
      </c>
      <c r="E227" s="32">
        <v>92</v>
      </c>
      <c r="F227" s="32">
        <v>0.162302861928664</v>
      </c>
      <c r="G227" s="11"/>
      <c r="H227" s="11"/>
      <c r="I227" s="11"/>
      <c r="J227" s="18" t="s">
        <v>44</v>
      </c>
      <c r="K227" s="18" t="s">
        <v>45</v>
      </c>
      <c r="L227" s="58" t="s">
        <v>274</v>
      </c>
      <c r="M227" s="18">
        <f>[1]!f_prt_stocktonav(B227,"2017/03/31")</f>
        <v>74.17205810546875</v>
      </c>
      <c r="N227" s="20" t="str">
        <f>[1]!f_info_fundmanager(B227)</f>
        <v>戴斌</v>
      </c>
      <c r="O227" s="21">
        <v>1.7506849315068493</v>
      </c>
      <c r="P227" s="34" t="s">
        <v>1055</v>
      </c>
      <c r="Q227" s="34" t="s">
        <v>1056</v>
      </c>
      <c r="R227" s="34" t="s">
        <v>1057</v>
      </c>
      <c r="S227" s="34">
        <v>20150701</v>
      </c>
      <c r="T227" s="45">
        <v>4.9991506221000002</v>
      </c>
      <c r="U227" s="46">
        <v>5.4889331469</v>
      </c>
      <c r="V227" s="34" t="s">
        <v>231</v>
      </c>
      <c r="W227" s="34" t="s">
        <v>41</v>
      </c>
      <c r="X227" s="34" t="s">
        <v>42</v>
      </c>
      <c r="Y227" s="34" t="s">
        <v>181</v>
      </c>
      <c r="Z227" s="34"/>
      <c r="AA227" s="34"/>
      <c r="AB227" s="22">
        <v>0.52839229583740233</v>
      </c>
      <c r="AC227" s="23" t="s">
        <v>1058</v>
      </c>
      <c r="AD227" s="24">
        <v>1.5205479452054795</v>
      </c>
      <c r="AE227" s="25">
        <v>-0.1730673492763467</v>
      </c>
      <c r="AF227" s="26">
        <v>0</v>
      </c>
      <c r="AG227" s="26">
        <v>0</v>
      </c>
      <c r="AH227" s="27">
        <v>-0.75472075143441708</v>
      </c>
      <c r="AI227" s="27">
        <v>-0.75472075143441708</v>
      </c>
      <c r="AJ227" s="27">
        <v>-0.75472075143441708</v>
      </c>
      <c r="AK227" s="28" t="s">
        <v>1059</v>
      </c>
      <c r="AL227" s="29" t="s">
        <v>48</v>
      </c>
      <c r="AM227" s="29" t="s">
        <v>48</v>
      </c>
      <c r="AN227" s="29" t="s">
        <v>48</v>
      </c>
      <c r="AO227" s="47" t="s">
        <v>797</v>
      </c>
      <c r="AP227" s="28">
        <v>0</v>
      </c>
      <c r="AQ227" s="26">
        <v>1.4999999999999999E-2</v>
      </c>
      <c r="AR227" s="26">
        <v>0</v>
      </c>
    </row>
    <row r="228" spans="1:44" x14ac:dyDescent="0.15">
      <c r="A228">
        <v>851</v>
      </c>
      <c r="B228" s="11">
        <v>519959</v>
      </c>
      <c r="C228" s="32"/>
      <c r="D228" s="32">
        <v>-2.13643801963972E-4</v>
      </c>
      <c r="E228" s="32">
        <v>4</v>
      </c>
      <c r="F228" s="32" t="s">
        <v>3745</v>
      </c>
      <c r="G228" s="11"/>
      <c r="H228" s="11"/>
      <c r="I228" s="11"/>
      <c r="J228" s="18" t="s">
        <v>44</v>
      </c>
      <c r="K228" s="18" t="s">
        <v>45</v>
      </c>
      <c r="L228" s="58">
        <v>0</v>
      </c>
      <c r="M228" s="18">
        <f>[1]!f_prt_stocktonav(B228,"2017/03/31")</f>
        <v>74.331649780273438</v>
      </c>
      <c r="N228" s="20" t="str">
        <f>[1]!f_info_fundmanager(B228)</f>
        <v>叶松</v>
      </c>
      <c r="O228" s="21">
        <v>6.0273972602739728E-2</v>
      </c>
      <c r="P228" s="34" t="s">
        <v>1060</v>
      </c>
      <c r="Q228" s="34" t="s">
        <v>1061</v>
      </c>
      <c r="R228" s="34" t="s">
        <v>206</v>
      </c>
      <c r="S228" s="34">
        <v>20150701</v>
      </c>
      <c r="T228" s="45">
        <v>6.6649540191999996</v>
      </c>
      <c r="U228" s="46">
        <v>7.4691268887</v>
      </c>
      <c r="V228" s="34" t="s">
        <v>201</v>
      </c>
      <c r="W228" s="34" t="s">
        <v>44</v>
      </c>
      <c r="X228" s="34" t="s">
        <v>45</v>
      </c>
      <c r="Y228" s="34" t="s">
        <v>65</v>
      </c>
      <c r="Z228" s="34"/>
      <c r="AA228" s="34"/>
      <c r="AB228" s="22">
        <v>0.8377536010742187</v>
      </c>
      <c r="AC228" s="23" t="s">
        <v>1062</v>
      </c>
      <c r="AD228" s="24">
        <v>1.5205479452054795</v>
      </c>
      <c r="AE228" s="25">
        <v>-5.7247625019316024E-2</v>
      </c>
      <c r="AF228" s="26">
        <v>0</v>
      </c>
      <c r="AG228" s="26">
        <v>0</v>
      </c>
      <c r="AH228" s="27">
        <v>-0.13639395200479576</v>
      </c>
      <c r="AI228" s="27">
        <v>-0.13639395200479576</v>
      </c>
      <c r="AJ228" s="27">
        <v>-0.13639395200479576</v>
      </c>
      <c r="AK228" s="28" t="s">
        <v>226</v>
      </c>
      <c r="AL228" s="29" t="s">
        <v>48</v>
      </c>
      <c r="AM228" s="29" t="s">
        <v>48</v>
      </c>
      <c r="AN228" s="29" t="s">
        <v>48</v>
      </c>
      <c r="AO228" s="47" t="s">
        <v>209</v>
      </c>
      <c r="AP228" s="28">
        <v>0</v>
      </c>
      <c r="AQ228" s="26">
        <v>1.4999999999999999E-2</v>
      </c>
      <c r="AR228" s="26">
        <v>0</v>
      </c>
    </row>
    <row r="229" spans="1:44" x14ac:dyDescent="0.15">
      <c r="A229">
        <v>896</v>
      </c>
      <c r="B229" s="11">
        <v>1534</v>
      </c>
      <c r="C229" s="32"/>
      <c r="D229" s="32">
        <v>-9.1438419290918403E-4</v>
      </c>
      <c r="E229" s="32">
        <v>92</v>
      </c>
      <c r="F229" s="32">
        <v>0.56395801618142105</v>
      </c>
      <c r="G229" s="11"/>
      <c r="H229" s="11"/>
      <c r="I229" s="11"/>
      <c r="J229" s="18" t="s">
        <v>44</v>
      </c>
      <c r="K229" s="18" t="s">
        <v>45</v>
      </c>
      <c r="L229" s="58" t="s">
        <v>274</v>
      </c>
      <c r="M229" s="18">
        <f>[1]!f_prt_stocktonav(B229,"2017/03/31")</f>
        <v>72.788719177246094</v>
      </c>
      <c r="N229" s="20" t="str">
        <f>[1]!f_info_fundmanager(B229)</f>
        <v>楼鸿强</v>
      </c>
      <c r="O229" s="21">
        <v>1.7534246575342465</v>
      </c>
      <c r="P229" s="34" t="s">
        <v>1063</v>
      </c>
      <c r="Q229" s="34" t="s">
        <v>1064</v>
      </c>
      <c r="R229" s="34" t="s">
        <v>737</v>
      </c>
      <c r="S229" s="34">
        <v>20150630</v>
      </c>
      <c r="T229" s="45">
        <v>4.8186665271000004</v>
      </c>
      <c r="U229" s="46">
        <v>5.2679541963999998</v>
      </c>
      <c r="V229" s="34" t="s">
        <v>231</v>
      </c>
      <c r="W229" s="34" t="s">
        <v>44</v>
      </c>
      <c r="X229" s="34" t="s">
        <v>45</v>
      </c>
      <c r="Y229" s="34" t="s">
        <v>274</v>
      </c>
      <c r="Z229" s="34"/>
      <c r="AA229" s="34"/>
      <c r="AB229" s="22">
        <v>0.79883903503417963</v>
      </c>
      <c r="AC229" s="23" t="s">
        <v>1065</v>
      </c>
      <c r="AD229" s="24">
        <v>1.5232876712328767</v>
      </c>
      <c r="AE229" s="25">
        <v>-0.15103728750058476</v>
      </c>
      <c r="AF229" s="26">
        <v>0</v>
      </c>
      <c r="AG229" s="26">
        <v>0</v>
      </c>
      <c r="AH229" s="27">
        <v>-0.38636576605727535</v>
      </c>
      <c r="AI229" s="27">
        <v>-0.38636576605727535</v>
      </c>
      <c r="AJ229" s="27">
        <v>-0.38636576605727535</v>
      </c>
      <c r="AK229" s="28" t="s">
        <v>240</v>
      </c>
      <c r="AL229" s="29" t="s">
        <v>48</v>
      </c>
      <c r="AM229" s="29" t="s">
        <v>48</v>
      </c>
      <c r="AN229" s="29" t="s">
        <v>48</v>
      </c>
      <c r="AO229" s="47" t="s">
        <v>739</v>
      </c>
      <c r="AP229" s="28">
        <v>0</v>
      </c>
      <c r="AQ229" s="26">
        <v>1.4999999999999999E-2</v>
      </c>
      <c r="AR229" s="26">
        <v>0</v>
      </c>
    </row>
    <row r="230" spans="1:44" x14ac:dyDescent="0.15">
      <c r="A230">
        <v>517</v>
      </c>
      <c r="B230" s="11">
        <v>1421</v>
      </c>
      <c r="C230" s="32"/>
      <c r="D230" s="32">
        <v>2.6957388341802E-4</v>
      </c>
      <c r="E230" s="32">
        <v>92</v>
      </c>
      <c r="F230" s="32">
        <v>0.67596481619959703</v>
      </c>
      <c r="G230" s="11"/>
      <c r="H230" s="11"/>
      <c r="I230" s="11"/>
      <c r="J230" s="18" t="s">
        <v>44</v>
      </c>
      <c r="K230" s="18" t="s">
        <v>64</v>
      </c>
      <c r="L230" s="58" t="s">
        <v>274</v>
      </c>
      <c r="M230" s="18">
        <f>[1]!f_prt_stocktonav(B230,"2017/03/31")</f>
        <v>84.931617736816406</v>
      </c>
      <c r="N230" s="20" t="str">
        <f>[1]!f_info_fundmanager(B230)</f>
        <v>雷俊</v>
      </c>
      <c r="O230" s="21">
        <v>1.7561643835616438</v>
      </c>
      <c r="P230" s="34" t="s">
        <v>1066</v>
      </c>
      <c r="Q230" s="34" t="s">
        <v>1067</v>
      </c>
      <c r="R230" s="34" t="s">
        <v>284</v>
      </c>
      <c r="S230" s="34">
        <v>20150629</v>
      </c>
      <c r="T230" s="45">
        <v>12.946263543400001</v>
      </c>
      <c r="U230" s="46">
        <v>4.3304570288999997</v>
      </c>
      <c r="V230" s="34" t="s">
        <v>231</v>
      </c>
      <c r="W230" s="34" t="s">
        <v>44</v>
      </c>
      <c r="X230" s="34" t="s">
        <v>64</v>
      </c>
      <c r="Y230" s="34" t="s">
        <v>274</v>
      </c>
      <c r="Z230" s="34"/>
      <c r="AA230" s="34"/>
      <c r="AB230" s="22">
        <v>0.81347015380859378</v>
      </c>
      <c r="AC230" s="23" t="s">
        <v>1068</v>
      </c>
      <c r="AD230" s="24">
        <v>1.526027397260274</v>
      </c>
      <c r="AE230" s="25">
        <v>0.19004611834430604</v>
      </c>
      <c r="AF230" s="26">
        <v>0</v>
      </c>
      <c r="AG230" s="26">
        <v>0</v>
      </c>
      <c r="AH230" s="27">
        <v>0.68471196429324332</v>
      </c>
      <c r="AI230" s="27">
        <v>0.68471196429324332</v>
      </c>
      <c r="AJ230" s="27">
        <v>0.68471196429324332</v>
      </c>
      <c r="AK230" s="28" t="s">
        <v>1069</v>
      </c>
      <c r="AL230" s="29" t="s">
        <v>48</v>
      </c>
      <c r="AM230" s="29" t="s">
        <v>48</v>
      </c>
      <c r="AN230" s="29" t="s">
        <v>48</v>
      </c>
      <c r="AO230" s="47" t="s">
        <v>287</v>
      </c>
      <c r="AP230" s="28">
        <v>0</v>
      </c>
      <c r="AQ230" s="26">
        <v>1.4999999999999999E-2</v>
      </c>
      <c r="AR230" s="26">
        <v>0</v>
      </c>
    </row>
    <row r="231" spans="1:44" x14ac:dyDescent="0.15">
      <c r="A231">
        <v>630</v>
      </c>
      <c r="B231" s="11">
        <v>1294</v>
      </c>
      <c r="C231" s="32"/>
      <c r="D231" s="32">
        <v>-1.76732714933949E-3</v>
      </c>
      <c r="E231" s="32">
        <v>92</v>
      </c>
      <c r="F231" s="32">
        <v>0.394631534206632</v>
      </c>
      <c r="G231" s="11"/>
      <c r="H231" s="11"/>
      <c r="I231" s="11"/>
      <c r="J231" s="18" t="s">
        <v>44</v>
      </c>
      <c r="K231" s="18" t="s">
        <v>87</v>
      </c>
      <c r="L231" s="58" t="s">
        <v>274</v>
      </c>
      <c r="M231" s="18">
        <f>[1]!f_prt_stocktonav(B231,"2017/03/31")</f>
        <v>82.0592041015625</v>
      </c>
      <c r="N231" s="20" t="str">
        <f>[1]!f_info_fundmanager(B231)</f>
        <v>付伟,崔建波</v>
      </c>
      <c r="O231" s="21">
        <v>1.7561643835616438</v>
      </c>
      <c r="P231" s="34" t="s">
        <v>1070</v>
      </c>
      <c r="Q231" s="34" t="s">
        <v>1071</v>
      </c>
      <c r="R231" s="34" t="s">
        <v>569</v>
      </c>
      <c r="S231" s="34">
        <v>20150629</v>
      </c>
      <c r="T231" s="45">
        <v>3.3651455539000001</v>
      </c>
      <c r="U231" s="46">
        <v>5.9627675492999996</v>
      </c>
      <c r="V231" s="34" t="s">
        <v>201</v>
      </c>
      <c r="W231" s="34" t="s">
        <v>44</v>
      </c>
      <c r="X231" s="34" t="s">
        <v>45</v>
      </c>
      <c r="Y231" s="34" t="s">
        <v>274</v>
      </c>
      <c r="Z231" s="34"/>
      <c r="AA231" s="34"/>
      <c r="AB231" s="22">
        <v>0.88543708801269527</v>
      </c>
      <c r="AC231" s="23" t="s">
        <v>1072</v>
      </c>
      <c r="AD231" s="24">
        <v>1.526027397260274</v>
      </c>
      <c r="AE231" s="25">
        <v>-0.10049321788985865</v>
      </c>
      <c r="AF231" s="26">
        <v>0</v>
      </c>
      <c r="AG231" s="26">
        <v>0</v>
      </c>
      <c r="AH231" s="27">
        <v>-0.34394932752195462</v>
      </c>
      <c r="AI231" s="27">
        <v>-0.34394932752195462</v>
      </c>
      <c r="AJ231" s="27">
        <v>-0.34394932752195462</v>
      </c>
      <c r="AK231" s="28" t="s">
        <v>1073</v>
      </c>
      <c r="AL231" s="29" t="s">
        <v>48</v>
      </c>
      <c r="AM231" s="29" t="s">
        <v>48</v>
      </c>
      <c r="AN231" s="29" t="s">
        <v>48</v>
      </c>
      <c r="AO231" s="47" t="s">
        <v>1074</v>
      </c>
      <c r="AP231" s="28">
        <v>0</v>
      </c>
      <c r="AQ231" s="26">
        <v>1.4999999999999999E-2</v>
      </c>
      <c r="AR231" s="26">
        <v>0</v>
      </c>
    </row>
    <row r="232" spans="1:44" x14ac:dyDescent="0.15">
      <c r="A232">
        <v>644</v>
      </c>
      <c r="B232" s="11">
        <v>1480</v>
      </c>
      <c r="C232" s="32"/>
      <c r="D232" s="32">
        <v>3.1546558669380299E-4</v>
      </c>
      <c r="E232" s="32">
        <v>92</v>
      </c>
      <c r="F232" s="32">
        <v>0.90050154696866502</v>
      </c>
      <c r="G232" s="11"/>
      <c r="H232" s="11"/>
      <c r="I232" s="11"/>
      <c r="J232" s="18" t="s">
        <v>44</v>
      </c>
      <c r="K232" s="18" t="s">
        <v>45</v>
      </c>
      <c r="L232" s="58" t="s">
        <v>274</v>
      </c>
      <c r="M232" s="18">
        <f>[1]!f_prt_stocktonav(B232,"2017/03/31")</f>
        <v>81.633125305175781</v>
      </c>
      <c r="N232" s="20" t="str">
        <f>[1]!f_info_fundmanager(B232)</f>
        <v>金梓才</v>
      </c>
      <c r="O232" s="21">
        <v>1.7561643835616438</v>
      </c>
      <c r="P232" s="34" t="s">
        <v>1075</v>
      </c>
      <c r="Q232" s="34" t="s">
        <v>1076</v>
      </c>
      <c r="R232" s="34" t="s">
        <v>238</v>
      </c>
      <c r="S232" s="34">
        <v>20150629</v>
      </c>
      <c r="T232" s="45">
        <v>7.3890675452999997</v>
      </c>
      <c r="U232" s="46">
        <v>8.2631185247999994</v>
      </c>
      <c r="V232" s="34" t="s">
        <v>231</v>
      </c>
      <c r="W232" s="34" t="s">
        <v>44</v>
      </c>
      <c r="X232" s="34" t="s">
        <v>45</v>
      </c>
      <c r="Y232" s="34" t="s">
        <v>274</v>
      </c>
      <c r="Z232" s="34"/>
      <c r="AA232" s="34"/>
      <c r="AB232" s="22">
        <v>0.72162231445312497</v>
      </c>
      <c r="AC232" s="23" t="s">
        <v>1077</v>
      </c>
      <c r="AD232" s="24">
        <v>1.526027397260274</v>
      </c>
      <c r="AE232" s="25">
        <v>-0.12509998281326162</v>
      </c>
      <c r="AF232" s="26">
        <v>0</v>
      </c>
      <c r="AG232" s="26">
        <v>0</v>
      </c>
      <c r="AH232" s="27">
        <v>-0.39997660549641706</v>
      </c>
      <c r="AI232" s="27">
        <v>-0.39997660549641706</v>
      </c>
      <c r="AJ232" s="27">
        <v>-0.39997660549641706</v>
      </c>
      <c r="AK232" s="28" t="s">
        <v>240</v>
      </c>
      <c r="AL232" s="29" t="s">
        <v>48</v>
      </c>
      <c r="AM232" s="29" t="s">
        <v>48</v>
      </c>
      <c r="AN232" s="29" t="s">
        <v>48</v>
      </c>
      <c r="AO232" s="47" t="s">
        <v>82</v>
      </c>
      <c r="AP232" s="28">
        <v>0</v>
      </c>
      <c r="AQ232" s="26">
        <v>1.4999999999999999E-2</v>
      </c>
      <c r="AR232" s="26">
        <v>0</v>
      </c>
    </row>
    <row r="233" spans="1:44" x14ac:dyDescent="0.15">
      <c r="A233">
        <v>934</v>
      </c>
      <c r="B233" s="11">
        <v>1471</v>
      </c>
      <c r="C233" s="32"/>
      <c r="D233" s="32">
        <v>1.1983152477342701E-3</v>
      </c>
      <c r="E233" s="32">
        <v>92</v>
      </c>
      <c r="F233" s="32">
        <v>0.53358324413221803</v>
      </c>
      <c r="G233" s="11"/>
      <c r="H233" s="11"/>
      <c r="I233" s="11"/>
      <c r="J233" s="18" t="s">
        <v>44</v>
      </c>
      <c r="K233" s="18" t="s">
        <v>45</v>
      </c>
      <c r="L233" s="58" t="s">
        <v>65</v>
      </c>
      <c r="M233" s="18">
        <f>[1]!f_prt_stocktonav(B233,"2017/03/31")</f>
        <v>70.916633605957031</v>
      </c>
      <c r="N233" s="20" t="str">
        <f>[1]!f_info_fundmanager(B233)</f>
        <v>付伟琦</v>
      </c>
      <c r="O233" s="21">
        <v>1.7561643835616438</v>
      </c>
      <c r="P233" s="34" t="s">
        <v>1078</v>
      </c>
      <c r="Q233" s="34" t="s">
        <v>1079</v>
      </c>
      <c r="R233" s="34" t="s">
        <v>230</v>
      </c>
      <c r="S233" s="34">
        <v>20150629</v>
      </c>
      <c r="T233" s="45">
        <v>13.472863782299999</v>
      </c>
      <c r="U233" s="46">
        <v>16.2984897768</v>
      </c>
      <c r="V233" s="34" t="s">
        <v>201</v>
      </c>
      <c r="W233" s="34" t="s">
        <v>44</v>
      </c>
      <c r="X233" s="17" t="s">
        <v>45</v>
      </c>
      <c r="Y233" s="17" t="s">
        <v>65</v>
      </c>
      <c r="Z233" s="34"/>
      <c r="AA233" s="34"/>
      <c r="AB233" s="22">
        <v>0.87056846618652339</v>
      </c>
      <c r="AC233" s="23" t="s">
        <v>1080</v>
      </c>
      <c r="AD233" s="24">
        <v>1.526027397260274</v>
      </c>
      <c r="AE233" s="25">
        <v>6.2487936399702848E-2</v>
      </c>
      <c r="AF233" s="26">
        <v>0</v>
      </c>
      <c r="AG233" s="26">
        <v>0</v>
      </c>
      <c r="AH233" s="27">
        <v>0.34624064432388768</v>
      </c>
      <c r="AI233" s="27">
        <v>0.34624064432388768</v>
      </c>
      <c r="AJ233" s="27">
        <v>0.34624064432388768</v>
      </c>
      <c r="AK233" s="28" t="s">
        <v>1081</v>
      </c>
      <c r="AL233" s="29" t="s">
        <v>48</v>
      </c>
      <c r="AM233" s="29" t="s">
        <v>48</v>
      </c>
      <c r="AN233" s="29" t="s">
        <v>48</v>
      </c>
      <c r="AO233" s="47" t="s">
        <v>445</v>
      </c>
      <c r="AP233" s="28" t="s">
        <v>235</v>
      </c>
      <c r="AQ233" s="26">
        <v>1.4999999999999999E-2</v>
      </c>
      <c r="AR233" s="26">
        <v>0</v>
      </c>
    </row>
    <row r="234" spans="1:44" x14ac:dyDescent="0.15">
      <c r="A234">
        <v>688</v>
      </c>
      <c r="B234" s="11">
        <v>1403</v>
      </c>
      <c r="C234" s="32"/>
      <c r="D234" s="32">
        <v>-2.3604432487843502E-3</v>
      </c>
      <c r="E234" s="32">
        <v>90</v>
      </c>
      <c r="F234" s="32">
        <v>4.6203941039974702E-2</v>
      </c>
      <c r="G234" s="11"/>
      <c r="H234" s="11"/>
      <c r="I234" s="11"/>
      <c r="J234" s="18" t="s">
        <v>44</v>
      </c>
      <c r="K234" s="18" t="s">
        <v>87</v>
      </c>
      <c r="L234" s="58" t="s">
        <v>274</v>
      </c>
      <c r="M234" s="18">
        <f>[1]!f_prt_stocktonav(B234,"2017/03/31")</f>
        <v>80.425552368164062</v>
      </c>
      <c r="N234" s="20" t="str">
        <f>[1]!f_info_fundmanager(B234)</f>
        <v>李亚</v>
      </c>
      <c r="O234" s="21">
        <v>1.7287671232876711</v>
      </c>
      <c r="P234" s="34" t="s">
        <v>1082</v>
      </c>
      <c r="Q234" s="34" t="s">
        <v>1083</v>
      </c>
      <c r="R234" s="34" t="s">
        <v>165</v>
      </c>
      <c r="S234" s="34">
        <v>20150629</v>
      </c>
      <c r="T234" s="45">
        <v>13.1948155391</v>
      </c>
      <c r="U234" s="46">
        <v>14.7081979902</v>
      </c>
      <c r="V234" s="34" t="s">
        <v>231</v>
      </c>
      <c r="W234" s="34" t="s">
        <v>44</v>
      </c>
      <c r="X234" s="34" t="s">
        <v>87</v>
      </c>
      <c r="Y234" s="34" t="s">
        <v>274</v>
      </c>
      <c r="Z234" s="34" t="s">
        <v>1084</v>
      </c>
      <c r="AA234" s="34"/>
      <c r="AB234" s="22">
        <v>0.77383338928222656</v>
      </c>
      <c r="AC234" s="23" t="s">
        <v>1085</v>
      </c>
      <c r="AD234" s="24">
        <v>1.526027397260274</v>
      </c>
      <c r="AE234" s="25">
        <v>-7.4849867983548424E-2</v>
      </c>
      <c r="AF234" s="26">
        <v>0</v>
      </c>
      <c r="AG234" s="26">
        <v>0</v>
      </c>
      <c r="AH234" s="27">
        <v>-0.3031563894765304</v>
      </c>
      <c r="AI234" s="27">
        <v>-0.3031563894765304</v>
      </c>
      <c r="AJ234" s="27">
        <v>-0.3031563894765304</v>
      </c>
      <c r="AK234" s="33" t="s">
        <v>1086</v>
      </c>
      <c r="AL234" s="29" t="s">
        <v>48</v>
      </c>
      <c r="AM234" s="29" t="s">
        <v>48</v>
      </c>
      <c r="AN234" s="29" t="s">
        <v>48</v>
      </c>
      <c r="AO234" s="47" t="s">
        <v>961</v>
      </c>
      <c r="AP234" s="28">
        <v>0</v>
      </c>
      <c r="AQ234" s="26">
        <v>1.4999999999999999E-2</v>
      </c>
      <c r="AR234" s="26">
        <v>0</v>
      </c>
    </row>
    <row r="235" spans="1:44" x14ac:dyDescent="0.15">
      <c r="A235">
        <v>629</v>
      </c>
      <c r="B235" s="11">
        <v>1457</v>
      </c>
      <c r="C235" s="32"/>
      <c r="D235" s="32">
        <v>-1.0766780145788301E-3</v>
      </c>
      <c r="E235" s="32">
        <v>34</v>
      </c>
      <c r="F235" s="32">
        <v>0.62277158404270605</v>
      </c>
      <c r="G235" s="11"/>
      <c r="H235" s="11"/>
      <c r="I235" s="11"/>
      <c r="J235" s="18" t="s">
        <v>44</v>
      </c>
      <c r="K235" s="18" t="s">
        <v>45</v>
      </c>
      <c r="L235" s="58" t="s">
        <v>65</v>
      </c>
      <c r="M235" s="18">
        <f>[1]!f_prt_stocktonav(B235,"2017/03/31")</f>
        <v>82.136817932128906</v>
      </c>
      <c r="N235" s="20" t="str">
        <f>[1]!f_info_fundmanager(B235)</f>
        <v>高兵</v>
      </c>
      <c r="O235" s="21">
        <v>0.65205479452054793</v>
      </c>
      <c r="P235" s="34" t="s">
        <v>1087</v>
      </c>
      <c r="Q235" s="34" t="s">
        <v>1088</v>
      </c>
      <c r="R235" s="34" t="s">
        <v>387</v>
      </c>
      <c r="S235" s="34">
        <v>20150629</v>
      </c>
      <c r="T235" s="45">
        <v>9.5060328904000002</v>
      </c>
      <c r="U235" s="46">
        <v>13.6285563092</v>
      </c>
      <c r="V235" s="34" t="s">
        <v>231</v>
      </c>
      <c r="W235" s="34" t="s">
        <v>44</v>
      </c>
      <c r="X235" s="34" t="s">
        <v>45</v>
      </c>
      <c r="Y235" s="34" t="s">
        <v>65</v>
      </c>
      <c r="Z235" s="34"/>
      <c r="AA235" s="34"/>
      <c r="AB235" s="22">
        <v>0.82253410339355471</v>
      </c>
      <c r="AC235" s="23" t="s">
        <v>804</v>
      </c>
      <c r="AD235" s="24">
        <v>0.42191780821917807</v>
      </c>
      <c r="AE235" s="25">
        <v>0.11745595476184922</v>
      </c>
      <c r="AF235" s="26">
        <v>0</v>
      </c>
      <c r="AG235" s="26">
        <v>0</v>
      </c>
      <c r="AH235" s="27">
        <v>0.68958495706793232</v>
      </c>
      <c r="AI235" s="27">
        <v>0.68958495706793232</v>
      </c>
      <c r="AJ235" s="27">
        <v>0.68958495706793232</v>
      </c>
      <c r="AK235" s="28" t="s">
        <v>1048</v>
      </c>
      <c r="AL235" s="29" t="s">
        <v>48</v>
      </c>
      <c r="AM235" s="29" t="s">
        <v>48</v>
      </c>
      <c r="AN235" s="29" t="s">
        <v>48</v>
      </c>
      <c r="AO235" s="47" t="s">
        <v>919</v>
      </c>
      <c r="AP235" s="28">
        <v>0</v>
      </c>
      <c r="AQ235" s="26">
        <v>1.4999999999999999E-2</v>
      </c>
      <c r="AR235" s="26">
        <v>0</v>
      </c>
    </row>
    <row r="236" spans="1:44" x14ac:dyDescent="0.15">
      <c r="A236">
        <v>23</v>
      </c>
      <c r="B236" s="11">
        <v>1463</v>
      </c>
      <c r="C236" s="32"/>
      <c r="D236" s="32">
        <v>-8.6627002622215003E-4</v>
      </c>
      <c r="E236" s="32">
        <v>92</v>
      </c>
      <c r="F236" s="32">
        <v>0.40148645086070001</v>
      </c>
      <c r="G236" s="11"/>
      <c r="H236" s="11"/>
      <c r="I236" s="11"/>
      <c r="J236" s="18" t="s">
        <v>44</v>
      </c>
      <c r="K236" s="18" t="s">
        <v>87</v>
      </c>
      <c r="L236" s="58" t="s">
        <v>65</v>
      </c>
      <c r="M236" s="18">
        <f>[1]!f_prt_stocktonav(B236,"2017/03/31")</f>
        <v>94.696403503417969</v>
      </c>
      <c r="N236" s="20" t="str">
        <f>[1]!f_info_fundmanager(B236)</f>
        <v>黄兴亮</v>
      </c>
      <c r="O236" s="21">
        <v>1.7643835616438357</v>
      </c>
      <c r="P236" s="34" t="s">
        <v>1089</v>
      </c>
      <c r="Q236" s="34" t="s">
        <v>1090</v>
      </c>
      <c r="R236" s="34" t="s">
        <v>634</v>
      </c>
      <c r="S236" s="34">
        <v>20150626</v>
      </c>
      <c r="T236" s="45">
        <v>7.0783360681999996</v>
      </c>
      <c r="U236" s="46">
        <v>7.5907565680999998</v>
      </c>
      <c r="V236" s="34" t="s">
        <v>231</v>
      </c>
      <c r="W236" s="34" t="s">
        <v>44</v>
      </c>
      <c r="X236" s="34" t="s">
        <v>87</v>
      </c>
      <c r="Y236" s="34" t="s">
        <v>65</v>
      </c>
      <c r="Z236" s="34" t="s">
        <v>1091</v>
      </c>
      <c r="AA236" s="34"/>
      <c r="AB236" s="22">
        <v>0.94372871398925784</v>
      </c>
      <c r="AC236" s="23" t="s">
        <v>1092</v>
      </c>
      <c r="AD236" s="24">
        <v>1.5342465753424657</v>
      </c>
      <c r="AE236" s="25">
        <v>-0.11182915922180492</v>
      </c>
      <c r="AF236" s="26">
        <v>0</v>
      </c>
      <c r="AG236" s="26">
        <v>0</v>
      </c>
      <c r="AH236" s="27">
        <v>-0.37754649536406798</v>
      </c>
      <c r="AI236" s="27">
        <v>-0.37754649536406798</v>
      </c>
      <c r="AJ236" s="27">
        <v>-0.37754649536406798</v>
      </c>
      <c r="AK236" s="33" t="s">
        <v>1093</v>
      </c>
      <c r="AL236" s="29" t="s">
        <v>48</v>
      </c>
      <c r="AM236" s="29" t="s">
        <v>48</v>
      </c>
      <c r="AN236" s="29" t="s">
        <v>48</v>
      </c>
      <c r="AO236" s="47" t="s">
        <v>1094</v>
      </c>
      <c r="AP236" s="28">
        <v>0</v>
      </c>
      <c r="AQ236" s="26">
        <v>1.4999999999999999E-2</v>
      </c>
      <c r="AR236" s="26">
        <v>0</v>
      </c>
    </row>
    <row r="237" spans="1:44" x14ac:dyDescent="0.15">
      <c r="A237">
        <v>314</v>
      </c>
      <c r="B237" s="11">
        <v>1437</v>
      </c>
      <c r="C237" s="32"/>
      <c r="D237" s="32">
        <v>-1.0408687674432701E-3</v>
      </c>
      <c r="E237" s="32">
        <v>62</v>
      </c>
      <c r="F237" s="32">
        <v>0.62431220130782095</v>
      </c>
      <c r="G237" s="11"/>
      <c r="H237" s="11"/>
      <c r="I237" s="11"/>
      <c r="J237" s="18" t="s">
        <v>44</v>
      </c>
      <c r="K237" s="18" t="s">
        <v>45</v>
      </c>
      <c r="L237" s="58" t="s">
        <v>65</v>
      </c>
      <c r="M237" s="18">
        <f>[1]!f_prt_stocktonav(B237,"2017/03/31")</f>
        <v>89.196624755859375</v>
      </c>
      <c r="N237" s="20" t="str">
        <f>[1]!f_info_fundmanager(B237)</f>
        <v>梁裕宁</v>
      </c>
      <c r="O237" s="21">
        <v>1.1863013698630136</v>
      </c>
      <c r="P237" s="34" t="s">
        <v>1095</v>
      </c>
      <c r="Q237" s="34" t="s">
        <v>1096</v>
      </c>
      <c r="R237" s="34" t="s">
        <v>218</v>
      </c>
      <c r="S237" s="34">
        <v>20150626</v>
      </c>
      <c r="T237" s="45">
        <v>1.9129938984999999</v>
      </c>
      <c r="U237" s="46">
        <v>1.7978175357999999</v>
      </c>
      <c r="V237" s="34" t="s">
        <v>201</v>
      </c>
      <c r="W237" s="34" t="s">
        <v>44</v>
      </c>
      <c r="X237" s="34" t="s">
        <v>45</v>
      </c>
      <c r="Y237" s="34" t="s">
        <v>65</v>
      </c>
      <c r="Z237" s="34"/>
      <c r="AA237" s="34"/>
      <c r="AB237" s="22">
        <v>0.92097930908203129</v>
      </c>
      <c r="AC237" s="23" t="s">
        <v>1097</v>
      </c>
      <c r="AD237" s="24">
        <v>0.95616438356164379</v>
      </c>
      <c r="AE237" s="25">
        <v>0.18712368221807865</v>
      </c>
      <c r="AF237" s="26">
        <v>0</v>
      </c>
      <c r="AG237" s="26">
        <v>0</v>
      </c>
      <c r="AH237" s="27">
        <v>0.76832208511338362</v>
      </c>
      <c r="AI237" s="27">
        <v>0.76832208511338362</v>
      </c>
      <c r="AJ237" s="27">
        <v>0.76832208511338362</v>
      </c>
      <c r="AK237" s="28" t="s">
        <v>1098</v>
      </c>
      <c r="AL237" s="29" t="s">
        <v>48</v>
      </c>
      <c r="AM237" s="29" t="s">
        <v>48</v>
      </c>
      <c r="AN237" s="29" t="s">
        <v>48</v>
      </c>
      <c r="AO237" s="47" t="s">
        <v>1099</v>
      </c>
      <c r="AP237" s="28">
        <v>0</v>
      </c>
      <c r="AQ237" s="26">
        <v>8.0000001192092902E-3</v>
      </c>
      <c r="AR237" s="26">
        <v>0</v>
      </c>
    </row>
    <row r="238" spans="1:44" x14ac:dyDescent="0.15">
      <c r="A238">
        <v>50</v>
      </c>
      <c r="B238" s="11">
        <v>1496</v>
      </c>
      <c r="C238" s="32"/>
      <c r="D238" s="32">
        <v>-1.4930291724679801E-3</v>
      </c>
      <c r="E238" s="32">
        <v>92</v>
      </c>
      <c r="F238" s="32">
        <v>0.35386079369061602</v>
      </c>
      <c r="G238" s="11"/>
      <c r="H238" s="11"/>
      <c r="I238" s="11"/>
      <c r="J238" s="18" t="s">
        <v>44</v>
      </c>
      <c r="K238" s="18" t="s">
        <v>45</v>
      </c>
      <c r="L238" s="58" t="s">
        <v>274</v>
      </c>
      <c r="M238" s="18">
        <f>[1]!f_prt_stocktonav(B238,"2017/03/31")</f>
        <v>94.328536987304688</v>
      </c>
      <c r="N238" s="20" t="str">
        <f>[1]!f_info_fundmanager(B238)</f>
        <v>胡文彪</v>
      </c>
      <c r="O238" s="21">
        <v>1.7671232876712328</v>
      </c>
      <c r="P238" s="34" t="s">
        <v>1100</v>
      </c>
      <c r="Q238" s="34" t="s">
        <v>1101</v>
      </c>
      <c r="R238" s="34" t="s">
        <v>523</v>
      </c>
      <c r="S238" s="34">
        <v>20150625</v>
      </c>
      <c r="T238" s="45">
        <v>4.0746003760000002</v>
      </c>
      <c r="U238" s="46">
        <v>4.2967012700999998</v>
      </c>
      <c r="V238" s="34" t="s">
        <v>231</v>
      </c>
      <c r="W238" s="34" t="s">
        <v>44</v>
      </c>
      <c r="X238" s="34" t="s">
        <v>45</v>
      </c>
      <c r="Y238" s="34" t="s">
        <v>274</v>
      </c>
      <c r="Z238" s="34"/>
      <c r="AA238" s="34"/>
      <c r="AB238" s="22">
        <v>0.95003677368164063</v>
      </c>
      <c r="AC238" s="23" t="s">
        <v>1102</v>
      </c>
      <c r="AD238" s="24">
        <v>1.536986301369863</v>
      </c>
      <c r="AE238" s="25">
        <v>-8.5990793731609116E-2</v>
      </c>
      <c r="AF238" s="26">
        <v>0</v>
      </c>
      <c r="AG238" s="26">
        <v>0</v>
      </c>
      <c r="AH238" s="27">
        <v>-0.20600259655172651</v>
      </c>
      <c r="AI238" s="27">
        <v>-0.20600259655172651</v>
      </c>
      <c r="AJ238" s="27">
        <v>-0.20600259655172651</v>
      </c>
      <c r="AK238" s="28" t="s">
        <v>1103</v>
      </c>
      <c r="AL238" s="29" t="s">
        <v>48</v>
      </c>
      <c r="AM238" s="29" t="s">
        <v>48</v>
      </c>
      <c r="AN238" s="29" t="s">
        <v>48</v>
      </c>
      <c r="AO238" s="47" t="s">
        <v>255</v>
      </c>
      <c r="AP238" s="28">
        <v>0</v>
      </c>
      <c r="AQ238" s="26">
        <v>1.4999999999999999E-2</v>
      </c>
      <c r="AR238" s="26">
        <v>0</v>
      </c>
    </row>
    <row r="239" spans="1:44" x14ac:dyDescent="0.15">
      <c r="A239">
        <v>912</v>
      </c>
      <c r="B239" s="11">
        <v>1384</v>
      </c>
      <c r="C239" s="32"/>
      <c r="D239" s="32">
        <v>5.1944995584643603E-4</v>
      </c>
      <c r="E239" s="32">
        <v>92</v>
      </c>
      <c r="F239" s="32">
        <v>0.75160327381264702</v>
      </c>
      <c r="G239" s="11"/>
      <c r="H239" s="11"/>
      <c r="I239" s="11"/>
      <c r="J239" s="18" t="s">
        <v>44</v>
      </c>
      <c r="K239" s="18" t="s">
        <v>45</v>
      </c>
      <c r="L239" s="58" t="s">
        <v>274</v>
      </c>
      <c r="M239" s="18">
        <f>[1]!f_prt_stocktonav(B239,"2017/03/31")</f>
        <v>71.820274353027344</v>
      </c>
      <c r="N239" s="20" t="str">
        <f>[1]!f_info_fundmanager(B239)</f>
        <v>王然,姚航</v>
      </c>
      <c r="O239" s="21">
        <v>1.7671232876712328</v>
      </c>
      <c r="P239" s="34" t="s">
        <v>1104</v>
      </c>
      <c r="Q239" s="34" t="s">
        <v>1105</v>
      </c>
      <c r="R239" s="34" t="s">
        <v>252</v>
      </c>
      <c r="S239" s="34">
        <v>20150625</v>
      </c>
      <c r="T239" s="45">
        <v>7.0533719599999998</v>
      </c>
      <c r="U239" s="46">
        <v>8.1611929128000007</v>
      </c>
      <c r="V239" s="34" t="s">
        <v>231</v>
      </c>
      <c r="W239" s="34" t="s">
        <v>41</v>
      </c>
      <c r="X239" s="17" t="s">
        <v>42</v>
      </c>
      <c r="Y239" s="17" t="s">
        <v>181</v>
      </c>
      <c r="Z239" s="34"/>
      <c r="AA239" s="34"/>
      <c r="AB239" s="22">
        <v>0.69784629821777344</v>
      </c>
      <c r="AC239" s="23" t="s">
        <v>1106</v>
      </c>
      <c r="AD239" s="24">
        <v>1.536986301369863</v>
      </c>
      <c r="AE239" s="25">
        <v>-0.14664484678903322</v>
      </c>
      <c r="AF239" s="26">
        <v>0</v>
      </c>
      <c r="AG239" s="26">
        <v>0</v>
      </c>
      <c r="AH239" s="27">
        <v>-0.28802799969859089</v>
      </c>
      <c r="AI239" s="27">
        <v>-0.28802799969859089</v>
      </c>
      <c r="AJ239" s="27">
        <v>-0.28802799969859089</v>
      </c>
      <c r="AK239" s="28" t="s">
        <v>1107</v>
      </c>
      <c r="AL239" s="29" t="s">
        <v>48</v>
      </c>
      <c r="AM239" s="29" t="s">
        <v>48</v>
      </c>
      <c r="AN239" s="29" t="s">
        <v>48</v>
      </c>
      <c r="AO239" s="47" t="s">
        <v>1108</v>
      </c>
      <c r="AP239" s="28">
        <v>0</v>
      </c>
      <c r="AQ239" s="26">
        <v>0.01</v>
      </c>
      <c r="AR239" s="26">
        <v>0</v>
      </c>
    </row>
    <row r="240" spans="1:44" x14ac:dyDescent="0.15">
      <c r="A240">
        <v>259</v>
      </c>
      <c r="B240" s="11">
        <v>1193</v>
      </c>
      <c r="C240" s="32"/>
      <c r="D240" s="32">
        <v>-6.8225358342280796E-4</v>
      </c>
      <c r="E240" s="32">
        <v>93</v>
      </c>
      <c r="F240" s="32">
        <v>0.66057615239834</v>
      </c>
      <c r="G240" s="11"/>
      <c r="H240" s="11"/>
      <c r="I240" s="11"/>
      <c r="J240" s="18" t="s">
        <v>44</v>
      </c>
      <c r="K240" s="18" t="s">
        <v>86</v>
      </c>
      <c r="L240" s="58" t="s">
        <v>274</v>
      </c>
      <c r="M240" s="18">
        <f>[1]!f_prt_stocktonav(B240,"2017/03/31")</f>
        <v>90.28076171875</v>
      </c>
      <c r="N240" s="20" t="str">
        <f>[1]!f_info_fundmanager(B240)</f>
        <v>郭党钰</v>
      </c>
      <c r="O240" s="21">
        <v>1.7698630136986302</v>
      </c>
      <c r="P240" s="34" t="s">
        <v>1109</v>
      </c>
      <c r="Q240" s="34" t="s">
        <v>1110</v>
      </c>
      <c r="R240" s="34" t="s">
        <v>1111</v>
      </c>
      <c r="S240" s="34">
        <v>20150624</v>
      </c>
      <c r="T240" s="45">
        <v>3.3241047728000002</v>
      </c>
      <c r="U240" s="46">
        <v>3.6825512470000001</v>
      </c>
      <c r="V240" s="34" t="s">
        <v>231</v>
      </c>
      <c r="W240" s="34" t="s">
        <v>44</v>
      </c>
      <c r="X240" s="34" t="s">
        <v>45</v>
      </c>
      <c r="Y240" s="34" t="s">
        <v>274</v>
      </c>
      <c r="Z240" s="34"/>
      <c r="AA240" s="34"/>
      <c r="AB240" s="22">
        <v>0.87849906921386722</v>
      </c>
      <c r="AC240" s="23" t="s">
        <v>1112</v>
      </c>
      <c r="AD240" s="24">
        <v>1.5397260273972602</v>
      </c>
      <c r="AE240" s="25">
        <v>-8.9969998484478508E-2</v>
      </c>
      <c r="AF240" s="26">
        <v>0</v>
      </c>
      <c r="AG240" s="26">
        <v>0</v>
      </c>
      <c r="AH240" s="27">
        <v>-0.1802613959269698</v>
      </c>
      <c r="AI240" s="27">
        <v>-0.1802613959269698</v>
      </c>
      <c r="AJ240" s="27">
        <v>-0.1802613959269698</v>
      </c>
      <c r="AK240" s="28" t="s">
        <v>1113</v>
      </c>
      <c r="AL240" s="29" t="s">
        <v>48</v>
      </c>
      <c r="AM240" s="29" t="s">
        <v>48</v>
      </c>
      <c r="AN240" s="29" t="s">
        <v>48</v>
      </c>
      <c r="AO240" s="47" t="s">
        <v>249</v>
      </c>
      <c r="AP240" s="28">
        <v>0</v>
      </c>
      <c r="AQ240" s="26">
        <v>1.4999999999999999E-2</v>
      </c>
      <c r="AR240" s="26">
        <v>0</v>
      </c>
    </row>
    <row r="241" spans="1:44" x14ac:dyDescent="0.15">
      <c r="A241">
        <v>558</v>
      </c>
      <c r="B241" s="11">
        <v>1371</v>
      </c>
      <c r="C241" s="32"/>
      <c r="D241" s="32">
        <v>2.3536526338643802E-3</v>
      </c>
      <c r="E241" s="32">
        <v>93</v>
      </c>
      <c r="F241" s="32">
        <v>0.138803634205242</v>
      </c>
      <c r="G241" s="11"/>
      <c r="H241" s="11"/>
      <c r="I241" s="11"/>
      <c r="J241" s="18" t="s">
        <v>44</v>
      </c>
      <c r="K241" s="18" t="s">
        <v>45</v>
      </c>
      <c r="L241" s="58" t="s">
        <v>354</v>
      </c>
      <c r="M241" s="18">
        <f>[1]!f_prt_stocktonav(B241,"2017/03/31")</f>
        <v>83.889183044433594</v>
      </c>
      <c r="N241" s="20" t="str">
        <f>[1]!f_info_fundmanager(B241)</f>
        <v>汪孟海,张峰</v>
      </c>
      <c r="O241" s="21">
        <v>1.7698630136986302</v>
      </c>
      <c r="P241" s="34" t="s">
        <v>1114</v>
      </c>
      <c r="Q241" s="34" t="s">
        <v>1115</v>
      </c>
      <c r="R241" s="34" t="s">
        <v>396</v>
      </c>
      <c r="S241" s="34">
        <v>20150624</v>
      </c>
      <c r="T241" s="45">
        <v>25.8578489322</v>
      </c>
      <c r="U241" s="46">
        <v>23.9312151757</v>
      </c>
      <c r="V241" s="34" t="s">
        <v>231</v>
      </c>
      <c r="W241" s="34" t="s">
        <v>44</v>
      </c>
      <c r="X241" s="17" t="s">
        <v>45</v>
      </c>
      <c r="Y241" s="17" t="s">
        <v>65</v>
      </c>
      <c r="Z241" s="34"/>
      <c r="AA241" s="34"/>
      <c r="AB241" s="22">
        <v>0.86041496276855467</v>
      </c>
      <c r="AC241" s="23" t="s">
        <v>1116</v>
      </c>
      <c r="AD241" s="24">
        <v>1.5397260273972602</v>
      </c>
      <c r="AE241" s="25">
        <v>1.0456032075436994E-2</v>
      </c>
      <c r="AF241" s="26">
        <v>0</v>
      </c>
      <c r="AG241" s="26">
        <v>0</v>
      </c>
      <c r="AH241" s="27">
        <v>3.9326228456581666E-2</v>
      </c>
      <c r="AI241" s="27">
        <v>3.9326228456581666E-2</v>
      </c>
      <c r="AJ241" s="27">
        <v>3.9326228456581666E-2</v>
      </c>
      <c r="AK241" s="28" t="s">
        <v>440</v>
      </c>
      <c r="AL241" s="29" t="s">
        <v>48</v>
      </c>
      <c r="AM241" s="29" t="s">
        <v>48</v>
      </c>
      <c r="AN241" s="29" t="s">
        <v>48</v>
      </c>
      <c r="AO241" s="47" t="s">
        <v>1117</v>
      </c>
      <c r="AP241" s="28" t="s">
        <v>608</v>
      </c>
      <c r="AQ241" s="26">
        <v>1.4999999999999999E-2</v>
      </c>
      <c r="AR241" s="26">
        <v>0</v>
      </c>
    </row>
    <row r="242" spans="1:44" x14ac:dyDescent="0.15">
      <c r="A242">
        <v>611</v>
      </c>
      <c r="B242" s="11">
        <v>1319</v>
      </c>
      <c r="C242" s="32"/>
      <c r="D242" s="32">
        <v>0</v>
      </c>
      <c r="E242" s="32">
        <v>0</v>
      </c>
      <c r="F242" s="32">
        <v>0</v>
      </c>
      <c r="G242" s="11"/>
      <c r="H242" s="11"/>
      <c r="I242" s="11"/>
      <c r="J242" s="18" t="s">
        <v>44</v>
      </c>
      <c r="K242" s="18" t="s">
        <v>87</v>
      </c>
      <c r="L242" s="58">
        <v>0</v>
      </c>
      <c r="M242" s="18">
        <f>[1]!f_prt_stocktonav(B242,"2017/03/31")</f>
        <v>82.577888488769531</v>
      </c>
      <c r="N242" s="20" t="str">
        <f>[1]!f_info_fundmanager(B242)</f>
        <v>韩林,张燕,郭世凯</v>
      </c>
      <c r="O242" s="21">
        <v>2.7397260273972601E-2</v>
      </c>
      <c r="P242" s="34" t="s">
        <v>1118</v>
      </c>
      <c r="Q242" s="34" t="s">
        <v>1119</v>
      </c>
      <c r="R242" s="34" t="s">
        <v>424</v>
      </c>
      <c r="S242" s="34">
        <v>20150624</v>
      </c>
      <c r="T242" s="45">
        <v>23.5563771395</v>
      </c>
      <c r="U242" s="46">
        <v>25.5252419955</v>
      </c>
      <c r="V242" s="34" t="s">
        <v>231</v>
      </c>
      <c r="W242" s="34" t="s">
        <v>44</v>
      </c>
      <c r="X242" s="34" t="s">
        <v>87</v>
      </c>
      <c r="Y242" s="34" t="s">
        <v>274</v>
      </c>
      <c r="Z242" s="34" t="s">
        <v>1120</v>
      </c>
      <c r="AA242" s="34"/>
      <c r="AB242" s="22">
        <v>0.86418556213378905</v>
      </c>
      <c r="AC242" s="23" t="s">
        <v>1121</v>
      </c>
      <c r="AD242" s="24">
        <v>1.5397260273972602</v>
      </c>
      <c r="AE242" s="25">
        <v>-0.17543577652874287</v>
      </c>
      <c r="AF242" s="26">
        <v>0</v>
      </c>
      <c r="AG242" s="26">
        <v>0</v>
      </c>
      <c r="AH242" s="27">
        <v>-0.59235387961692709</v>
      </c>
      <c r="AI242" s="27">
        <v>-0.59235387961692709</v>
      </c>
      <c r="AJ242" s="27">
        <v>-0.59235387961692709</v>
      </c>
      <c r="AK242" s="33" t="s">
        <v>1122</v>
      </c>
      <c r="AL242" s="29" t="s">
        <v>48</v>
      </c>
      <c r="AM242" s="29" t="s">
        <v>48</v>
      </c>
      <c r="AN242" s="29" t="s">
        <v>48</v>
      </c>
      <c r="AO242" s="47" t="s">
        <v>427</v>
      </c>
      <c r="AP242" s="28">
        <v>0</v>
      </c>
      <c r="AQ242" s="26">
        <v>1.4999999999999999E-2</v>
      </c>
      <c r="AR242" s="26">
        <v>0</v>
      </c>
    </row>
    <row r="243" spans="1:44" x14ac:dyDescent="0.15">
      <c r="A243">
        <v>330</v>
      </c>
      <c r="B243" s="11">
        <v>1396</v>
      </c>
      <c r="C243" s="32"/>
      <c r="D243" s="32">
        <v>-1.4307227290216999E-3</v>
      </c>
      <c r="E243" s="32">
        <v>93</v>
      </c>
      <c r="F243" s="32">
        <v>0.220332244762248</v>
      </c>
      <c r="G243" s="11"/>
      <c r="H243" s="11"/>
      <c r="I243" s="11"/>
      <c r="J243" s="18" t="s">
        <v>44</v>
      </c>
      <c r="K243" s="18" t="s">
        <v>45</v>
      </c>
      <c r="L243" s="58" t="s">
        <v>274</v>
      </c>
      <c r="M243" s="18">
        <f>[1]!f_prt_stocktonav(B243,"2017/03/31")</f>
        <v>88.833992004394531</v>
      </c>
      <c r="N243" s="20" t="str">
        <f>[1]!f_info_fundmanager(B243)</f>
        <v>何珅华</v>
      </c>
      <c r="O243" s="21">
        <v>1.7726027397260273</v>
      </c>
      <c r="P243" s="34" t="s">
        <v>1123</v>
      </c>
      <c r="Q243" s="34" t="s">
        <v>1124</v>
      </c>
      <c r="R243" s="34" t="s">
        <v>307</v>
      </c>
      <c r="S243" s="34">
        <v>20150623</v>
      </c>
      <c r="T243" s="45">
        <v>15.3454486714</v>
      </c>
      <c r="U243" s="46">
        <v>17.174253549900001</v>
      </c>
      <c r="V243" s="34" t="s">
        <v>231</v>
      </c>
      <c r="W243" s="34" t="s">
        <v>44</v>
      </c>
      <c r="X243" s="34" t="s">
        <v>45</v>
      </c>
      <c r="Y243" s="34" t="s">
        <v>274</v>
      </c>
      <c r="Z243" s="34"/>
      <c r="AA243" s="34"/>
      <c r="AB243" s="22">
        <v>0.86957725524902341</v>
      </c>
      <c r="AC243" s="23" t="s">
        <v>1125</v>
      </c>
      <c r="AD243" s="24">
        <v>1.5424657534246575</v>
      </c>
      <c r="AE243" s="25">
        <v>-0.21402288597461328</v>
      </c>
      <c r="AF243" s="26">
        <v>0</v>
      </c>
      <c r="AG243" s="26">
        <v>0</v>
      </c>
      <c r="AH243" s="27">
        <v>-0.68396793655562582</v>
      </c>
      <c r="AI243" s="27">
        <v>-0.68396793655562582</v>
      </c>
      <c r="AJ243" s="27">
        <v>-0.68396793655562582</v>
      </c>
      <c r="AK243" s="28" t="s">
        <v>1126</v>
      </c>
      <c r="AL243" s="29" t="s">
        <v>48</v>
      </c>
      <c r="AM243" s="29" t="s">
        <v>48</v>
      </c>
      <c r="AN243" s="29" t="s">
        <v>48</v>
      </c>
      <c r="AO243" s="47" t="s">
        <v>310</v>
      </c>
      <c r="AP243" s="28">
        <v>0</v>
      </c>
      <c r="AQ243" s="26">
        <v>1.4999999999999999E-2</v>
      </c>
      <c r="AR243" s="26">
        <v>0</v>
      </c>
    </row>
    <row r="244" spans="1:44" x14ac:dyDescent="0.15">
      <c r="A244">
        <v>495</v>
      </c>
      <c r="B244" s="11">
        <v>1476</v>
      </c>
      <c r="C244" s="32"/>
      <c r="D244" s="32">
        <v>-1.1037077307046101E-3</v>
      </c>
      <c r="E244" s="32">
        <v>93</v>
      </c>
      <c r="F244" s="32">
        <v>0.61460238128389699</v>
      </c>
      <c r="G244" s="11"/>
      <c r="H244" s="11"/>
      <c r="I244" s="11"/>
      <c r="J244" s="18" t="s">
        <v>44</v>
      </c>
      <c r="K244" s="18" t="s">
        <v>87</v>
      </c>
      <c r="L244" s="58" t="s">
        <v>65</v>
      </c>
      <c r="M244" s="18">
        <f>[1]!f_prt_stocktonav(B244,"2017/03/31")</f>
        <v>85.449562072753906</v>
      </c>
      <c r="N244" s="20" t="str">
        <f>[1]!f_info_fundmanager(B244)</f>
        <v>王伟</v>
      </c>
      <c r="O244" s="21">
        <v>1.7835616438356163</v>
      </c>
      <c r="P244" s="34" t="s">
        <v>1127</v>
      </c>
      <c r="Q244" s="34" t="s">
        <v>1128</v>
      </c>
      <c r="R244" s="34" t="s">
        <v>71</v>
      </c>
      <c r="S244" s="34">
        <v>20150619</v>
      </c>
      <c r="T244" s="45">
        <v>25.497915401499998</v>
      </c>
      <c r="U244" s="46">
        <v>28.1822260661</v>
      </c>
      <c r="V244" s="34" t="s">
        <v>201</v>
      </c>
      <c r="W244" s="34" t="s">
        <v>44</v>
      </c>
      <c r="X244" s="34" t="s">
        <v>45</v>
      </c>
      <c r="Y244" s="34" t="s">
        <v>65</v>
      </c>
      <c r="Z244" s="34"/>
      <c r="AA244" s="34"/>
      <c r="AB244" s="22">
        <v>0.88843383789062502</v>
      </c>
      <c r="AC244" s="23" t="s">
        <v>1129</v>
      </c>
      <c r="AD244" s="24">
        <v>1.5534246575342465</v>
      </c>
      <c r="AE244" s="25">
        <v>-0.1906717640652088</v>
      </c>
      <c r="AF244" s="26">
        <v>0</v>
      </c>
      <c r="AG244" s="26">
        <v>0</v>
      </c>
      <c r="AH244" s="27">
        <v>-0.78925160500197056</v>
      </c>
      <c r="AI244" s="27">
        <v>-0.78925160500197056</v>
      </c>
      <c r="AJ244" s="27">
        <v>-0.78925160500197056</v>
      </c>
      <c r="AK244" s="28" t="s">
        <v>1130</v>
      </c>
      <c r="AL244" s="29" t="s">
        <v>48</v>
      </c>
      <c r="AM244" s="29" t="s">
        <v>48</v>
      </c>
      <c r="AN244" s="29" t="s">
        <v>48</v>
      </c>
      <c r="AO244" s="47" t="s">
        <v>845</v>
      </c>
      <c r="AP244" s="28">
        <v>0</v>
      </c>
      <c r="AQ244" s="26">
        <v>1.4999999999999999E-2</v>
      </c>
      <c r="AR244" s="26">
        <v>0</v>
      </c>
    </row>
    <row r="245" spans="1:44" x14ac:dyDescent="0.15">
      <c r="A245">
        <v>537</v>
      </c>
      <c r="B245" s="11">
        <v>1475</v>
      </c>
      <c r="C245" s="32"/>
      <c r="D245" s="32">
        <v>-1.0693981259724101E-3</v>
      </c>
      <c r="E245" s="32">
        <v>93</v>
      </c>
      <c r="F245" s="32">
        <v>0.44226065357712202</v>
      </c>
      <c r="G245" s="11"/>
      <c r="H245" s="11"/>
      <c r="I245" s="11"/>
      <c r="J245" s="18" t="s">
        <v>44</v>
      </c>
      <c r="K245" s="18" t="s">
        <v>86</v>
      </c>
      <c r="L245" s="58" t="s">
        <v>274</v>
      </c>
      <c r="M245" s="18">
        <f>[1]!f_prt_stocktonav(B245,"2017/03/31")</f>
        <v>84.374862670898438</v>
      </c>
      <c r="N245" s="20" t="str">
        <f>[1]!f_info_fundmanager(B245)</f>
        <v>陈皓</v>
      </c>
      <c r="O245" s="21">
        <v>1.7835616438356163</v>
      </c>
      <c r="P245" s="34" t="s">
        <v>1131</v>
      </c>
      <c r="Q245" s="34" t="s">
        <v>1132</v>
      </c>
      <c r="R245" s="34" t="s">
        <v>218</v>
      </c>
      <c r="S245" s="34">
        <v>20150619</v>
      </c>
      <c r="T245" s="45">
        <v>45.929578309100002</v>
      </c>
      <c r="U245" s="46">
        <v>49.876847532799999</v>
      </c>
      <c r="V245" s="34" t="s">
        <v>201</v>
      </c>
      <c r="W245" s="34" t="s">
        <v>44</v>
      </c>
      <c r="X245" s="34" t="s">
        <v>45</v>
      </c>
      <c r="Y245" s="34" t="s">
        <v>274</v>
      </c>
      <c r="Z245" s="34"/>
      <c r="AA245" s="34"/>
      <c r="AB245" s="22">
        <v>0.81328865051269528</v>
      </c>
      <c r="AC245" s="23" t="s">
        <v>1133</v>
      </c>
      <c r="AD245" s="24">
        <v>1.5534246575342465</v>
      </c>
      <c r="AE245" s="25">
        <v>-9.7423120754454029E-2</v>
      </c>
      <c r="AF245" s="26">
        <v>0</v>
      </c>
      <c r="AG245" s="26">
        <v>0</v>
      </c>
      <c r="AH245" s="27">
        <v>-0.22217920181351714</v>
      </c>
      <c r="AI245" s="27">
        <v>-0.22217920181351714</v>
      </c>
      <c r="AJ245" s="27">
        <v>-0.22217920181351714</v>
      </c>
      <c r="AK245" s="28" t="s">
        <v>1134</v>
      </c>
      <c r="AL245" s="29" t="s">
        <v>48</v>
      </c>
      <c r="AM245" s="29" t="s">
        <v>48</v>
      </c>
      <c r="AN245" s="29" t="s">
        <v>48</v>
      </c>
      <c r="AO245" s="47" t="s">
        <v>1135</v>
      </c>
      <c r="AP245" s="28">
        <v>0</v>
      </c>
      <c r="AQ245" s="26">
        <v>1.4999999999999999E-2</v>
      </c>
      <c r="AR245" s="26">
        <v>0</v>
      </c>
    </row>
    <row r="246" spans="1:44" x14ac:dyDescent="0.15">
      <c r="A246">
        <v>667</v>
      </c>
      <c r="B246" s="11">
        <v>1404</v>
      </c>
      <c r="C246" s="32"/>
      <c r="D246" s="32">
        <v>-2.6513079528036401E-3</v>
      </c>
      <c r="E246" s="32">
        <v>93</v>
      </c>
      <c r="F246" s="32">
        <v>4.2938425852861097E-2</v>
      </c>
      <c r="G246" s="11"/>
      <c r="H246" s="11"/>
      <c r="I246" s="11"/>
      <c r="J246" s="18" t="s">
        <v>44</v>
      </c>
      <c r="K246" s="18" t="s">
        <v>87</v>
      </c>
      <c r="L246" s="58" t="s">
        <v>274</v>
      </c>
      <c r="M246" s="18">
        <f>[1]!f_prt_stocktonav(B246,"2017/03/31")</f>
        <v>80.918205261230469</v>
      </c>
      <c r="N246" s="20" t="str">
        <f>[1]!f_info_fundmanager(B246)</f>
        <v>韩冰,钟赟</v>
      </c>
      <c r="O246" s="21">
        <v>1.7835616438356163</v>
      </c>
      <c r="P246" s="34" t="s">
        <v>1136</v>
      </c>
      <c r="Q246" s="34" t="s">
        <v>1137</v>
      </c>
      <c r="R246" s="34" t="s">
        <v>165</v>
      </c>
      <c r="S246" s="34">
        <v>20150619</v>
      </c>
      <c r="T246" s="45">
        <v>20.4693514585</v>
      </c>
      <c r="U246" s="46">
        <v>24.977975117</v>
      </c>
      <c r="V246" s="34" t="s">
        <v>231</v>
      </c>
      <c r="W246" s="34" t="s">
        <v>44</v>
      </c>
      <c r="X246" s="34" t="s">
        <v>45</v>
      </c>
      <c r="Y246" s="34" t="s">
        <v>274</v>
      </c>
      <c r="Z246" s="34"/>
      <c r="AA246" s="34"/>
      <c r="AB246" s="22">
        <v>0.83577087402343753</v>
      </c>
      <c r="AC246" s="23" t="s">
        <v>1138</v>
      </c>
      <c r="AD246" s="24">
        <v>1.5534246575342465</v>
      </c>
      <c r="AE246" s="25">
        <v>-0.16826973986693528</v>
      </c>
      <c r="AF246" s="26">
        <v>0</v>
      </c>
      <c r="AG246" s="26">
        <v>0</v>
      </c>
      <c r="AH246" s="27">
        <v>-0.33695625962908399</v>
      </c>
      <c r="AI246" s="27">
        <v>-0.33695625962908399</v>
      </c>
      <c r="AJ246" s="27">
        <v>-0.33695625962908399</v>
      </c>
      <c r="AK246" s="28" t="s">
        <v>1139</v>
      </c>
      <c r="AL246" s="29" t="s">
        <v>48</v>
      </c>
      <c r="AM246" s="29" t="s">
        <v>48</v>
      </c>
      <c r="AN246" s="29" t="s">
        <v>48</v>
      </c>
      <c r="AO246" s="47" t="s">
        <v>1140</v>
      </c>
      <c r="AP246" s="28">
        <v>0</v>
      </c>
      <c r="AQ246" s="26">
        <v>1.4999999999999999E-2</v>
      </c>
      <c r="AR246" s="26">
        <v>0</v>
      </c>
    </row>
    <row r="247" spans="1:44" x14ac:dyDescent="0.15">
      <c r="A247">
        <v>10</v>
      </c>
      <c r="B247" s="11">
        <v>1398</v>
      </c>
      <c r="C247" s="32"/>
      <c r="D247" s="32">
        <v>-7.9504471836825698E-4</v>
      </c>
      <c r="E247" s="32">
        <v>93</v>
      </c>
      <c r="F247" s="32">
        <v>0.62636191960143095</v>
      </c>
      <c r="G247" s="11"/>
      <c r="H247" s="11"/>
      <c r="I247" s="11"/>
      <c r="J247" s="18" t="s">
        <v>44</v>
      </c>
      <c r="K247" s="18" t="s">
        <v>45</v>
      </c>
      <c r="L247" s="58" t="s">
        <v>65</v>
      </c>
      <c r="M247" s="18">
        <f>[1]!f_prt_stocktonav(B247,"2017/03/31")</f>
        <v>94.817359924316406</v>
      </c>
      <c r="N247" s="20" t="str">
        <f>[1]!f_info_fundmanager(B247)</f>
        <v>吕慧建,徐晓杰</v>
      </c>
      <c r="O247" s="21">
        <v>1.7863013698630137</v>
      </c>
      <c r="P247" s="34" t="s">
        <v>1141</v>
      </c>
      <c r="Q247" s="34" t="s">
        <v>1142</v>
      </c>
      <c r="R247" s="34" t="s">
        <v>880</v>
      </c>
      <c r="S247" s="34">
        <v>20150618</v>
      </c>
      <c r="T247" s="45">
        <v>8.6803117643000007</v>
      </c>
      <c r="U247" s="46">
        <v>10.2001065415</v>
      </c>
      <c r="V247" s="34" t="s">
        <v>201</v>
      </c>
      <c r="W247" s="34" t="s">
        <v>44</v>
      </c>
      <c r="X247" s="34" t="s">
        <v>45</v>
      </c>
      <c r="Y247" s="34" t="s">
        <v>274</v>
      </c>
      <c r="Z247" s="34"/>
      <c r="AA247" s="34"/>
      <c r="AB247" s="22">
        <v>0.94506790161132814</v>
      </c>
      <c r="AC247" s="23" t="s">
        <v>1143</v>
      </c>
      <c r="AD247" s="24">
        <v>1.5561643835616439</v>
      </c>
      <c r="AE247" s="25">
        <v>-0.22642932615502787</v>
      </c>
      <c r="AF247" s="26">
        <v>0</v>
      </c>
      <c r="AG247" s="26">
        <v>0</v>
      </c>
      <c r="AH247" s="27">
        <v>-0.56093716853315212</v>
      </c>
      <c r="AI247" s="27">
        <v>-0.56093716853315212</v>
      </c>
      <c r="AJ247" s="27">
        <v>-0.56093716853315212</v>
      </c>
      <c r="AK247" s="28" t="s">
        <v>946</v>
      </c>
      <c r="AL247" s="29" t="s">
        <v>48</v>
      </c>
      <c r="AM247" s="29" t="s">
        <v>48</v>
      </c>
      <c r="AN247" s="29" t="s">
        <v>48</v>
      </c>
      <c r="AO247" s="47" t="s">
        <v>405</v>
      </c>
      <c r="AP247" s="28">
        <v>0</v>
      </c>
      <c r="AQ247" s="26">
        <v>1.4999999999999999E-2</v>
      </c>
      <c r="AR247" s="26">
        <v>0</v>
      </c>
    </row>
    <row r="248" spans="1:44" x14ac:dyDescent="0.15">
      <c r="A248">
        <v>551</v>
      </c>
      <c r="B248" s="11">
        <v>1417</v>
      </c>
      <c r="C248" s="32"/>
      <c r="D248" s="32">
        <v>-7.7449584546940297E-4</v>
      </c>
      <c r="E248" s="32">
        <v>93</v>
      </c>
      <c r="F248" s="32">
        <v>0.46360980569621801</v>
      </c>
      <c r="G248" s="11"/>
      <c r="H248" s="11"/>
      <c r="I248" s="11"/>
      <c r="J248" s="18" t="s">
        <v>44</v>
      </c>
      <c r="K248" s="18" t="s">
        <v>86</v>
      </c>
      <c r="L248" s="58" t="s">
        <v>65</v>
      </c>
      <c r="M248" s="18">
        <f>[1]!f_prt_stocktonav(B248,"2017/03/31")</f>
        <v>84.008094787597656</v>
      </c>
      <c r="N248" s="20" t="str">
        <f>[1]!f_info_fundmanager(B248)</f>
        <v>刘江</v>
      </c>
      <c r="O248" s="21">
        <v>1.7863013698630137</v>
      </c>
      <c r="P248" s="34" t="s">
        <v>1144</v>
      </c>
      <c r="Q248" s="34" t="s">
        <v>1145</v>
      </c>
      <c r="R248" s="34" t="s">
        <v>331</v>
      </c>
      <c r="S248" s="34">
        <v>20150618</v>
      </c>
      <c r="T248" s="45">
        <v>151.24353962590001</v>
      </c>
      <c r="U248" s="46">
        <v>166.4902932043</v>
      </c>
      <c r="V248" s="34" t="s">
        <v>231</v>
      </c>
      <c r="W248" s="34" t="s">
        <v>44</v>
      </c>
      <c r="X248" s="34" t="s">
        <v>45</v>
      </c>
      <c r="Y248" s="34" t="s">
        <v>274</v>
      </c>
      <c r="Z248" s="34"/>
      <c r="AA248" s="34"/>
      <c r="AB248" s="22">
        <v>0.71843162536621097</v>
      </c>
      <c r="AC248" s="23" t="s">
        <v>1146</v>
      </c>
      <c r="AD248" s="24">
        <v>1.5561643835616439</v>
      </c>
      <c r="AE248" s="25">
        <v>-0.11794726465618301</v>
      </c>
      <c r="AF248" s="26">
        <v>0</v>
      </c>
      <c r="AG248" s="26">
        <v>0</v>
      </c>
      <c r="AH248" s="27">
        <v>-0.4811708196336949</v>
      </c>
      <c r="AI248" s="27">
        <v>-0.4811708196336949</v>
      </c>
      <c r="AJ248" s="27">
        <v>-0.4811708196336949</v>
      </c>
      <c r="AK248" s="28" t="s">
        <v>1147</v>
      </c>
      <c r="AL248" s="29" t="s">
        <v>48</v>
      </c>
      <c r="AM248" s="29" t="s">
        <v>48</v>
      </c>
      <c r="AN248" s="29" t="s">
        <v>48</v>
      </c>
      <c r="AO248" s="47" t="s">
        <v>1148</v>
      </c>
      <c r="AP248" s="28">
        <v>0</v>
      </c>
      <c r="AQ248" s="26">
        <v>1.4999999999999999E-2</v>
      </c>
      <c r="AR248" s="26">
        <v>0</v>
      </c>
    </row>
    <row r="249" spans="1:44" x14ac:dyDescent="0.15">
      <c r="A249">
        <v>392</v>
      </c>
      <c r="B249" s="11">
        <v>1366</v>
      </c>
      <c r="C249" s="32"/>
      <c r="D249" s="32">
        <v>-4.7225229813370904E-3</v>
      </c>
      <c r="E249" s="32">
        <v>94</v>
      </c>
      <c r="F249" s="32">
        <v>1.1013859051334E-2</v>
      </c>
      <c r="G249" s="11"/>
      <c r="H249" s="11"/>
      <c r="I249" s="11"/>
      <c r="J249" s="18" t="s">
        <v>44</v>
      </c>
      <c r="K249" s="18" t="s">
        <v>45</v>
      </c>
      <c r="L249" s="58" t="s">
        <v>65</v>
      </c>
      <c r="M249" s="18">
        <f>[1]!f_prt_stocktonav(B249,"2017/03/31")</f>
        <v>87.655784606933594</v>
      </c>
      <c r="N249" s="20" t="str">
        <f>[1]!f_info_fundmanager(B249)</f>
        <v>于利强</v>
      </c>
      <c r="O249" s="21">
        <v>1.7917808219178082</v>
      </c>
      <c r="P249" s="34" t="s">
        <v>1149</v>
      </c>
      <c r="Q249" s="34" t="s">
        <v>1150</v>
      </c>
      <c r="R249" s="34" t="s">
        <v>273</v>
      </c>
      <c r="S249" s="34">
        <v>20150616</v>
      </c>
      <c r="T249" s="45">
        <v>4.34013209</v>
      </c>
      <c r="U249" s="46">
        <v>6.5771481816000001</v>
      </c>
      <c r="V249" s="34" t="s">
        <v>231</v>
      </c>
      <c r="W249" s="34" t="s">
        <v>44</v>
      </c>
      <c r="X249" s="17" t="s">
        <v>45</v>
      </c>
      <c r="Y249" s="17" t="s">
        <v>65</v>
      </c>
      <c r="Z249" s="34"/>
      <c r="AA249" s="34"/>
      <c r="AB249" s="22">
        <v>0.89038032531738276</v>
      </c>
      <c r="AC249" s="23" t="s">
        <v>1151</v>
      </c>
      <c r="AD249" s="24">
        <v>1.5616438356164384</v>
      </c>
      <c r="AE249" s="25">
        <v>-0.17246374405245601</v>
      </c>
      <c r="AF249" s="26">
        <v>0</v>
      </c>
      <c r="AG249" s="26">
        <v>0</v>
      </c>
      <c r="AH249" s="27">
        <v>-1.116566288612451</v>
      </c>
      <c r="AI249" s="27">
        <v>-1.116566288612451</v>
      </c>
      <c r="AJ249" s="27">
        <v>-1.116566288612451</v>
      </c>
      <c r="AK249" s="28" t="s">
        <v>226</v>
      </c>
      <c r="AL249" s="29" t="s">
        <v>48</v>
      </c>
      <c r="AM249" s="29" t="s">
        <v>48</v>
      </c>
      <c r="AN249" s="29" t="s">
        <v>48</v>
      </c>
      <c r="AO249" s="47" t="s">
        <v>559</v>
      </c>
      <c r="AP249" s="28">
        <v>0</v>
      </c>
      <c r="AQ249" s="26">
        <v>1.4999999999999999E-2</v>
      </c>
      <c r="AR249" s="26">
        <v>0</v>
      </c>
    </row>
    <row r="250" spans="1:44" x14ac:dyDescent="0.15">
      <c r="A250">
        <v>702</v>
      </c>
      <c r="B250" s="11">
        <v>1278</v>
      </c>
      <c r="C250" s="32"/>
      <c r="D250" s="32">
        <v>1.6717178631801899E-3</v>
      </c>
      <c r="E250" s="32">
        <v>94</v>
      </c>
      <c r="F250" s="32">
        <v>0.37054552346387598</v>
      </c>
      <c r="G250" s="11"/>
      <c r="H250" s="11"/>
      <c r="I250" s="11"/>
      <c r="J250" s="18" t="s">
        <v>44</v>
      </c>
      <c r="K250" s="54" t="s">
        <v>87</v>
      </c>
      <c r="L250" s="58" t="s">
        <v>65</v>
      </c>
      <c r="M250" s="18">
        <f>[1]!f_prt_stocktonav(B250,"2017/03/31")</f>
        <v>79.990531921386719</v>
      </c>
      <c r="N250" s="20" t="str">
        <f>[1]!f_info_fundmanager(B250)</f>
        <v>邱杰</v>
      </c>
      <c r="O250" s="21">
        <v>1.7917808219178082</v>
      </c>
      <c r="P250" s="34" t="s">
        <v>1152</v>
      </c>
      <c r="Q250" s="34" t="s">
        <v>1153</v>
      </c>
      <c r="R250" s="34" t="s">
        <v>78</v>
      </c>
      <c r="S250" s="34">
        <v>20150616</v>
      </c>
      <c r="T250" s="45">
        <v>11.2912293054</v>
      </c>
      <c r="U250" s="46">
        <v>12.1896600409</v>
      </c>
      <c r="V250" s="34" t="s">
        <v>231</v>
      </c>
      <c r="W250" s="34" t="s">
        <v>44</v>
      </c>
      <c r="X250" s="34" t="s">
        <v>87</v>
      </c>
      <c r="Y250" s="34" t="s">
        <v>65</v>
      </c>
      <c r="Z250" s="34" t="s">
        <v>1154</v>
      </c>
      <c r="AA250" s="53"/>
      <c r="AB250" s="22">
        <v>0.78250366210937505</v>
      </c>
      <c r="AC250" s="23" t="s">
        <v>1155</v>
      </c>
      <c r="AD250" s="24">
        <v>1.5616438356164384</v>
      </c>
      <c r="AE250" s="25">
        <v>6.3322992954816471E-2</v>
      </c>
      <c r="AF250" s="26">
        <v>0</v>
      </c>
      <c r="AG250" s="26">
        <v>0</v>
      </c>
      <c r="AH250" s="27">
        <v>0.40777438899280455</v>
      </c>
      <c r="AI250" s="27">
        <v>0.40777438899280455</v>
      </c>
      <c r="AJ250" s="27">
        <v>0.40777438899280455</v>
      </c>
      <c r="AK250" s="33" t="s">
        <v>196</v>
      </c>
      <c r="AL250" s="29" t="s">
        <v>48</v>
      </c>
      <c r="AM250" s="29" t="s">
        <v>48</v>
      </c>
      <c r="AN250" s="29" t="s">
        <v>48</v>
      </c>
      <c r="AO250" s="47" t="s">
        <v>270</v>
      </c>
      <c r="AP250" s="28">
        <v>0</v>
      </c>
      <c r="AQ250" s="26">
        <v>1.4999999999999999E-2</v>
      </c>
      <c r="AR250" s="26">
        <v>0</v>
      </c>
    </row>
    <row r="251" spans="1:44" x14ac:dyDescent="0.15">
      <c r="A251">
        <v>689</v>
      </c>
      <c r="B251" s="11">
        <v>519756</v>
      </c>
      <c r="C251" s="32"/>
      <c r="D251" s="32">
        <v>2.9161884134449602E-4</v>
      </c>
      <c r="E251" s="32">
        <v>95</v>
      </c>
      <c r="F251" s="32">
        <v>0.82463567363127299</v>
      </c>
      <c r="G251" s="11"/>
      <c r="H251" s="11"/>
      <c r="I251" s="11"/>
      <c r="J251" s="18" t="s">
        <v>44</v>
      </c>
      <c r="K251" s="18" t="s">
        <v>45</v>
      </c>
      <c r="L251" s="58" t="s">
        <v>65</v>
      </c>
      <c r="M251" s="18">
        <f>[1]!f_prt_stocktonav(B251,"2017/03/31")</f>
        <v>80.40887451171875</v>
      </c>
      <c r="N251" s="20" t="str">
        <f>[1]!f_info_fundmanager(B251)</f>
        <v>沈楠</v>
      </c>
      <c r="O251" s="21">
        <v>1.8082191780821917</v>
      </c>
      <c r="P251" s="34" t="s">
        <v>1156</v>
      </c>
      <c r="Q251" s="34" t="s">
        <v>1157</v>
      </c>
      <c r="R251" s="34" t="s">
        <v>138</v>
      </c>
      <c r="S251" s="34">
        <v>20150610</v>
      </c>
      <c r="T251" s="45">
        <v>12.8889498933</v>
      </c>
      <c r="U251" s="46">
        <v>14.4663056897</v>
      </c>
      <c r="V251" s="34" t="s">
        <v>231</v>
      </c>
      <c r="W251" s="34" t="s">
        <v>44</v>
      </c>
      <c r="X251" s="17" t="s">
        <v>45</v>
      </c>
      <c r="Y251" s="17" t="s">
        <v>65</v>
      </c>
      <c r="Z251" s="34"/>
      <c r="AA251" s="34"/>
      <c r="AB251" s="22">
        <v>0.83204498291015627</v>
      </c>
      <c r="AC251" s="23" t="s">
        <v>1158</v>
      </c>
      <c r="AD251" s="24">
        <v>1.5780821917808219</v>
      </c>
      <c r="AE251" s="25">
        <v>2.1602520145586057E-2</v>
      </c>
      <c r="AF251" s="26">
        <v>0</v>
      </c>
      <c r="AG251" s="26">
        <v>0</v>
      </c>
      <c r="AH251" s="27">
        <v>0.14237743872617328</v>
      </c>
      <c r="AI251" s="27">
        <v>0.14237743872617328</v>
      </c>
      <c r="AJ251" s="27">
        <v>0.14237743872617328</v>
      </c>
      <c r="AK251" s="28" t="s">
        <v>474</v>
      </c>
      <c r="AL251" s="29" t="s">
        <v>48</v>
      </c>
      <c r="AM251" s="29" t="s">
        <v>48</v>
      </c>
      <c r="AN251" s="29" t="s">
        <v>48</v>
      </c>
      <c r="AO251" s="47" t="s">
        <v>1159</v>
      </c>
      <c r="AP251" s="28">
        <v>0</v>
      </c>
      <c r="AQ251" s="26">
        <v>1.4999999999999999E-2</v>
      </c>
      <c r="AR251" s="26">
        <v>0</v>
      </c>
    </row>
    <row r="252" spans="1:44" x14ac:dyDescent="0.15">
      <c r="A252">
        <v>281</v>
      </c>
      <c r="B252" s="11">
        <v>1305</v>
      </c>
      <c r="C252" s="32"/>
      <c r="D252" s="32">
        <v>-4.4187265694400502E-3</v>
      </c>
      <c r="E252" s="32">
        <v>69</v>
      </c>
      <c r="F252" s="32">
        <v>7.55963054603223E-4</v>
      </c>
      <c r="G252" s="11"/>
      <c r="H252" s="11"/>
      <c r="I252" s="11"/>
      <c r="J252" s="18" t="s">
        <v>44</v>
      </c>
      <c r="K252" s="18" t="s">
        <v>45</v>
      </c>
      <c r="L252" s="58" t="s">
        <v>274</v>
      </c>
      <c r="M252" s="18">
        <f>[1]!f_prt_stocktonav(B252,"2017/03/31")</f>
        <v>89.79180908203125</v>
      </c>
      <c r="N252" s="20" t="str">
        <f>[1]!f_info_fundmanager(B252)</f>
        <v>吴祖尧,孟亚强</v>
      </c>
      <c r="O252" s="21">
        <v>1.3095890410958904</v>
      </c>
      <c r="P252" s="34" t="s">
        <v>1160</v>
      </c>
      <c r="Q252" s="34" t="s">
        <v>1161</v>
      </c>
      <c r="R252" s="34" t="s">
        <v>640</v>
      </c>
      <c r="S252" s="34">
        <v>20150610</v>
      </c>
      <c r="T252" s="45">
        <v>9.6587237949000002</v>
      </c>
      <c r="U252" s="46">
        <v>11.478594510500001</v>
      </c>
      <c r="V252" s="34" t="s">
        <v>231</v>
      </c>
      <c r="W252" s="34" t="s">
        <v>44</v>
      </c>
      <c r="X252" s="34" t="s">
        <v>45</v>
      </c>
      <c r="Y252" s="34" t="s">
        <v>817</v>
      </c>
      <c r="Z252" s="34"/>
      <c r="AA252" s="34"/>
      <c r="AB252" s="22">
        <v>0.90912643432617191</v>
      </c>
      <c r="AC252" s="23" t="s">
        <v>1162</v>
      </c>
      <c r="AD252" s="24">
        <v>1.0794520547945206</v>
      </c>
      <c r="AE252" s="25">
        <v>-0.23474770094204944</v>
      </c>
      <c r="AF252" s="26">
        <v>0</v>
      </c>
      <c r="AG252" s="26">
        <v>0</v>
      </c>
      <c r="AH252" s="27">
        <v>-1.2475132017170651</v>
      </c>
      <c r="AI252" s="27">
        <v>-1.2475132017170651</v>
      </c>
      <c r="AJ252" s="27">
        <v>-1.2475132017170651</v>
      </c>
      <c r="AK252" s="28" t="s">
        <v>678</v>
      </c>
      <c r="AL252" s="29" t="s">
        <v>48</v>
      </c>
      <c r="AM252" s="29" t="s">
        <v>48</v>
      </c>
      <c r="AN252" s="29" t="s">
        <v>48</v>
      </c>
      <c r="AO252" s="47" t="s">
        <v>643</v>
      </c>
      <c r="AP252" s="28">
        <v>0</v>
      </c>
      <c r="AQ252" s="26">
        <v>1.4999999999999999E-2</v>
      </c>
      <c r="AR252" s="26">
        <v>0</v>
      </c>
    </row>
    <row r="253" spans="1:44" x14ac:dyDescent="0.15">
      <c r="A253">
        <v>97</v>
      </c>
      <c r="B253" s="11">
        <v>1313</v>
      </c>
      <c r="C253" s="32"/>
      <c r="D253" s="32">
        <v>-3.2104936554524298E-5</v>
      </c>
      <c r="E253" s="32">
        <v>95</v>
      </c>
      <c r="F253" s="32">
        <v>0.98686962947830004</v>
      </c>
      <c r="G253" s="11"/>
      <c r="H253" s="11"/>
      <c r="I253" s="11"/>
      <c r="J253" s="18" t="s">
        <v>44</v>
      </c>
      <c r="K253" s="19" t="s">
        <v>45</v>
      </c>
      <c r="L253" s="58" t="s">
        <v>274</v>
      </c>
      <c r="M253" s="18">
        <f>[1]!f_prt_stocktonav(B253,"2017/03/31")</f>
        <v>93.645721435546875</v>
      </c>
      <c r="N253" s="20" t="str">
        <f>[1]!f_info_fundmanager(B253)</f>
        <v>郭晨</v>
      </c>
      <c r="O253" s="21">
        <v>1.810958904109589</v>
      </c>
      <c r="P253" s="32" t="s">
        <v>1163</v>
      </c>
      <c r="Q253" s="13" t="s">
        <v>1164</v>
      </c>
      <c r="R253" s="13" t="s">
        <v>511</v>
      </c>
      <c r="S253" s="13">
        <v>20150609</v>
      </c>
      <c r="T253" s="14">
        <v>17.995362795799998</v>
      </c>
      <c r="U253" s="15" t="s">
        <v>39</v>
      </c>
      <c r="V253" s="16" t="s">
        <v>40</v>
      </c>
      <c r="W253" s="17" t="s">
        <v>44</v>
      </c>
      <c r="X253" s="17" t="s">
        <v>45</v>
      </c>
      <c r="Y253" s="17" t="s">
        <v>274</v>
      </c>
      <c r="Z253" s="13"/>
      <c r="AA253" s="13"/>
      <c r="AB253" s="22">
        <v>0.89682846069335942</v>
      </c>
      <c r="AC253" s="23" t="s">
        <v>1165</v>
      </c>
      <c r="AD253" s="24">
        <v>1.5808219178082192</v>
      </c>
      <c r="AE253" s="25">
        <v>-0.23661892528126927</v>
      </c>
      <c r="AF253" s="26">
        <v>0</v>
      </c>
      <c r="AG253" s="26">
        <v>0</v>
      </c>
      <c r="AH253" s="27">
        <v>-0.63987764506525835</v>
      </c>
      <c r="AI253" s="27">
        <v>-0.63987764506525835</v>
      </c>
      <c r="AJ253" s="27">
        <v>-0.63987764506525835</v>
      </c>
      <c r="AK253" s="28" t="s">
        <v>983</v>
      </c>
      <c r="AL253" s="29" t="s">
        <v>48</v>
      </c>
      <c r="AM253" s="29" t="s">
        <v>48</v>
      </c>
      <c r="AN253" s="29" t="s">
        <v>48</v>
      </c>
      <c r="AO253" s="23" t="s">
        <v>1166</v>
      </c>
      <c r="AP253" s="30">
        <v>0</v>
      </c>
      <c r="AQ253" s="31">
        <v>1.4999999999999999E-2</v>
      </c>
      <c r="AR253" s="31">
        <v>0</v>
      </c>
    </row>
    <row r="254" spans="1:44" x14ac:dyDescent="0.15">
      <c r="A254">
        <v>590</v>
      </c>
      <c r="B254" s="11">
        <v>1416</v>
      </c>
      <c r="C254" s="32"/>
      <c r="D254" s="32">
        <v>-1.50200831751632E-4</v>
      </c>
      <c r="E254" s="32">
        <v>95</v>
      </c>
      <c r="F254" s="32">
        <v>0.89051724818655698</v>
      </c>
      <c r="G254" s="11"/>
      <c r="H254" s="11"/>
      <c r="I254" s="11"/>
      <c r="J254" s="18" t="s">
        <v>44</v>
      </c>
      <c r="K254" s="18" t="s">
        <v>45</v>
      </c>
      <c r="L254" s="58" t="s">
        <v>274</v>
      </c>
      <c r="M254" s="18">
        <f>[1]!f_prt_stocktonav(B254,"2017/03/31")</f>
        <v>83.060638427734375</v>
      </c>
      <c r="N254" s="20" t="str">
        <f>[1]!f_info_fundmanager(B254)</f>
        <v>张自力,陶羽</v>
      </c>
      <c r="O254" s="21">
        <v>1.810958904109589</v>
      </c>
      <c r="P254" s="34" t="s">
        <v>1167</v>
      </c>
      <c r="Q254" s="34" t="s">
        <v>1168</v>
      </c>
      <c r="R254" s="34" t="s">
        <v>92</v>
      </c>
      <c r="S254" s="34">
        <v>20150609</v>
      </c>
      <c r="T254" s="45">
        <v>93.373692792200004</v>
      </c>
      <c r="U254" s="46">
        <v>99.967993300900005</v>
      </c>
      <c r="V254" s="34" t="s">
        <v>231</v>
      </c>
      <c r="W254" s="34" t="s">
        <v>44</v>
      </c>
      <c r="X254" s="34" t="s">
        <v>45</v>
      </c>
      <c r="Y254" s="34" t="s">
        <v>274</v>
      </c>
      <c r="Z254" s="34"/>
      <c r="AA254" s="34"/>
      <c r="AB254" s="22">
        <v>0.82519355773925784</v>
      </c>
      <c r="AC254" s="23" t="s">
        <v>1169</v>
      </c>
      <c r="AD254" s="24">
        <v>1.5808219178082192</v>
      </c>
      <c r="AE254" s="25">
        <v>-0.11278540456980257</v>
      </c>
      <c r="AF254" s="26">
        <v>0</v>
      </c>
      <c r="AG254" s="26">
        <v>0</v>
      </c>
      <c r="AH254" s="27">
        <v>-0.38675304158483137</v>
      </c>
      <c r="AI254" s="27">
        <v>-0.38675304158483137</v>
      </c>
      <c r="AJ254" s="27">
        <v>-0.38675304158483137</v>
      </c>
      <c r="AK254" s="28" t="s">
        <v>208</v>
      </c>
      <c r="AL254" s="29" t="s">
        <v>48</v>
      </c>
      <c r="AM254" s="29" t="s">
        <v>48</v>
      </c>
      <c r="AN254" s="29" t="s">
        <v>48</v>
      </c>
      <c r="AO254" s="47" t="s">
        <v>249</v>
      </c>
      <c r="AP254" s="28">
        <v>0</v>
      </c>
      <c r="AQ254" s="26">
        <v>1.4999999999999999E-2</v>
      </c>
      <c r="AR254" s="26">
        <v>0</v>
      </c>
    </row>
    <row r="255" spans="1:44" x14ac:dyDescent="0.15">
      <c r="A255">
        <v>875</v>
      </c>
      <c r="B255" s="11">
        <v>1255</v>
      </c>
      <c r="C255" s="32"/>
      <c r="D255" s="32">
        <v>-1.6465914924579099E-3</v>
      </c>
      <c r="E255" s="32">
        <v>62</v>
      </c>
      <c r="F255" s="32">
        <v>9.48739030735824E-2</v>
      </c>
      <c r="G255" s="11"/>
      <c r="H255" s="11"/>
      <c r="I255" s="11"/>
      <c r="J255" s="18" t="s">
        <v>44</v>
      </c>
      <c r="K255" s="18" t="s">
        <v>45</v>
      </c>
      <c r="L255" s="58" t="s">
        <v>274</v>
      </c>
      <c r="M255" s="18">
        <f>[1]!f_prt_stocktonav(B255,"2017/03/31")</f>
        <v>73.705497741699219</v>
      </c>
      <c r="N255" s="20" t="str">
        <f>[1]!f_info_fundmanager(B255)</f>
        <v>赵波,郑帮强</v>
      </c>
      <c r="O255" s="21">
        <v>1.1917808219178083</v>
      </c>
      <c r="P255" s="34" t="s">
        <v>1170</v>
      </c>
      <c r="Q255" s="34" t="s">
        <v>1171</v>
      </c>
      <c r="R255" s="34" t="s">
        <v>1172</v>
      </c>
      <c r="S255" s="34">
        <v>20150609</v>
      </c>
      <c r="T255" s="45">
        <v>14.2227536131</v>
      </c>
      <c r="U255" s="46">
        <v>15.207756333600001</v>
      </c>
      <c r="V255" s="34" t="s">
        <v>231</v>
      </c>
      <c r="W255" s="34" t="s">
        <v>44</v>
      </c>
      <c r="X255" s="34" t="s">
        <v>45</v>
      </c>
      <c r="Y255" s="34" t="s">
        <v>274</v>
      </c>
      <c r="Z255" s="34"/>
      <c r="AA255" s="34"/>
      <c r="AB255" s="22">
        <v>0.82518714904785151</v>
      </c>
      <c r="AC255" s="23" t="s">
        <v>1173</v>
      </c>
      <c r="AD255" s="24">
        <v>1.5808219178082192</v>
      </c>
      <c r="AE255" s="25">
        <v>-0.14591843373955904</v>
      </c>
      <c r="AF255" s="26">
        <v>0</v>
      </c>
      <c r="AG255" s="26">
        <v>0</v>
      </c>
      <c r="AH255" s="27">
        <v>-0.28723006315471489</v>
      </c>
      <c r="AI255" s="27">
        <v>-0.28723006315471489</v>
      </c>
      <c r="AJ255" s="27">
        <v>-0.28723006315471489</v>
      </c>
      <c r="AK255" s="28" t="s">
        <v>1174</v>
      </c>
      <c r="AL255" s="29" t="s">
        <v>48</v>
      </c>
      <c r="AM255" s="29" t="s">
        <v>48</v>
      </c>
      <c r="AN255" s="29" t="s">
        <v>48</v>
      </c>
      <c r="AO255" s="47" t="s">
        <v>1175</v>
      </c>
      <c r="AP255" s="28">
        <v>0</v>
      </c>
      <c r="AQ255" s="26">
        <v>1.4999999999999999E-2</v>
      </c>
      <c r="AR255" s="26">
        <v>0</v>
      </c>
    </row>
    <row r="256" spans="1:44" x14ac:dyDescent="0.15">
      <c r="A256">
        <v>600</v>
      </c>
      <c r="B256" s="11">
        <v>1297</v>
      </c>
      <c r="C256" s="32"/>
      <c r="D256" s="32">
        <v>-5.0019718540505699E-3</v>
      </c>
      <c r="E256" s="32">
        <v>35</v>
      </c>
      <c r="F256" s="32">
        <v>2.64559059736546E-2</v>
      </c>
      <c r="G256" s="11"/>
      <c r="H256" s="11"/>
      <c r="I256" s="11"/>
      <c r="J256" s="18" t="s">
        <v>44</v>
      </c>
      <c r="K256" s="18" t="s">
        <v>45</v>
      </c>
      <c r="L256" s="58" t="s">
        <v>65</v>
      </c>
      <c r="M256" s="18">
        <f>[1]!f_prt_stocktonav(B256,"2017/03/31")</f>
        <v>82.902908325195313</v>
      </c>
      <c r="N256" s="20" t="str">
        <f>[1]!f_info_fundmanager(B256)</f>
        <v>神爱前</v>
      </c>
      <c r="O256" s="21">
        <v>0.66027397260273968</v>
      </c>
      <c r="P256" s="34" t="s">
        <v>1176</v>
      </c>
      <c r="Q256" s="34" t="s">
        <v>1177</v>
      </c>
      <c r="R256" s="34" t="s">
        <v>344</v>
      </c>
      <c r="S256" s="34">
        <v>20150609</v>
      </c>
      <c r="T256" s="45">
        <v>7.3455000638000003</v>
      </c>
      <c r="U256" s="46">
        <v>8.4344740899000001</v>
      </c>
      <c r="V256" s="34" t="s">
        <v>231</v>
      </c>
      <c r="W256" s="34" t="s">
        <v>44</v>
      </c>
      <c r="X256" s="34" t="s">
        <v>45</v>
      </c>
      <c r="Y256" s="34" t="s">
        <v>65</v>
      </c>
      <c r="Z256" s="34"/>
      <c r="AA256" s="34"/>
      <c r="AB256" s="22">
        <v>0.76855781555175784</v>
      </c>
      <c r="AC256" s="23" t="s">
        <v>1178</v>
      </c>
      <c r="AD256" s="24">
        <v>0.43013698630136987</v>
      </c>
      <c r="AE256" s="25">
        <v>-0.31636268783081223</v>
      </c>
      <c r="AF256" s="26">
        <v>0</v>
      </c>
      <c r="AG256" s="26">
        <v>0</v>
      </c>
      <c r="AH256" s="27">
        <v>-1.0850391888953219</v>
      </c>
      <c r="AI256" s="27">
        <v>-1.0850391888953219</v>
      </c>
      <c r="AJ256" s="27">
        <v>-1.0850391888953219</v>
      </c>
      <c r="AK256" s="28" t="s">
        <v>208</v>
      </c>
      <c r="AL256" s="29" t="s">
        <v>48</v>
      </c>
      <c r="AM256" s="29" t="s">
        <v>48</v>
      </c>
      <c r="AN256" s="29" t="s">
        <v>48</v>
      </c>
      <c r="AO256" s="47" t="s">
        <v>334</v>
      </c>
      <c r="AP256" s="28">
        <v>0</v>
      </c>
      <c r="AQ256" s="26">
        <v>1.4999999999999999E-2</v>
      </c>
      <c r="AR256" s="26">
        <v>0</v>
      </c>
    </row>
    <row r="257" spans="1:44" x14ac:dyDescent="0.15">
      <c r="A257">
        <v>5</v>
      </c>
      <c r="B257" s="11">
        <v>1409</v>
      </c>
      <c r="C257" s="32"/>
      <c r="D257" s="32">
        <v>-3.28541695289879E-3</v>
      </c>
      <c r="E257" s="32">
        <v>95</v>
      </c>
      <c r="F257" s="32">
        <v>9.2364075109464903E-3</v>
      </c>
      <c r="G257" s="11"/>
      <c r="H257" s="11"/>
      <c r="I257" s="11"/>
      <c r="J257" s="18" t="s">
        <v>44</v>
      </c>
      <c r="K257" s="18" t="s">
        <v>45</v>
      </c>
      <c r="L257" s="58" t="s">
        <v>65</v>
      </c>
      <c r="M257" s="18">
        <f>[1]!f_prt_stocktonav(B257,"2017/03/31")</f>
        <v>94.937789916992188</v>
      </c>
      <c r="N257" s="20" t="str">
        <f>[1]!f_info_fundmanager(B257)</f>
        <v>刘天任,单文,黄安乐</v>
      </c>
      <c r="O257" s="21">
        <v>1.821917808219178</v>
      </c>
      <c r="P257" s="34" t="s">
        <v>1179</v>
      </c>
      <c r="Q257" s="34" t="s">
        <v>1180</v>
      </c>
      <c r="R257" s="34" t="s">
        <v>523</v>
      </c>
      <c r="S257" s="34">
        <v>20150605</v>
      </c>
      <c r="T257" s="45">
        <v>70.630324676000001</v>
      </c>
      <c r="U257" s="46">
        <v>77.626754583600004</v>
      </c>
      <c r="V257" s="34" t="s">
        <v>231</v>
      </c>
      <c r="W257" s="34" t="s">
        <v>44</v>
      </c>
      <c r="X257" s="34" t="s">
        <v>45</v>
      </c>
      <c r="Y257" s="34" t="s">
        <v>65</v>
      </c>
      <c r="Z257" s="34"/>
      <c r="AA257" s="34"/>
      <c r="AB257" s="22">
        <v>0.94921195983886719</v>
      </c>
      <c r="AC257" s="23" t="s">
        <v>1181</v>
      </c>
      <c r="AD257" s="24">
        <v>1.5917808219178082</v>
      </c>
      <c r="AE257" s="25">
        <v>-0.38779930884229263</v>
      </c>
      <c r="AF257" s="26">
        <v>0</v>
      </c>
      <c r="AG257" s="26">
        <v>0</v>
      </c>
      <c r="AH257" s="27">
        <v>-1.0853541870262788</v>
      </c>
      <c r="AI257" s="27">
        <v>-1.0853541870262788</v>
      </c>
      <c r="AJ257" s="27">
        <v>-1.0853541870262788</v>
      </c>
      <c r="AK257" s="28" t="s">
        <v>489</v>
      </c>
      <c r="AL257" s="29" t="s">
        <v>48</v>
      </c>
      <c r="AM257" s="29" t="s">
        <v>48</v>
      </c>
      <c r="AN257" s="29" t="s">
        <v>48</v>
      </c>
      <c r="AO257" s="47" t="s">
        <v>255</v>
      </c>
      <c r="AP257" s="28">
        <v>0</v>
      </c>
      <c r="AQ257" s="26">
        <v>1.4999999999999999E-2</v>
      </c>
      <c r="AR257" s="26">
        <v>0</v>
      </c>
    </row>
    <row r="258" spans="1:44" x14ac:dyDescent="0.15">
      <c r="A258">
        <v>956</v>
      </c>
      <c r="B258" s="11">
        <v>1306</v>
      </c>
      <c r="C258" s="32"/>
      <c r="D258" s="32">
        <v>-9.6344014761387E-4</v>
      </c>
      <c r="E258" s="32">
        <v>95</v>
      </c>
      <c r="F258" s="32">
        <v>0.36392886881673697</v>
      </c>
      <c r="G258" s="11"/>
      <c r="H258" s="11"/>
      <c r="I258" s="11"/>
      <c r="J258" s="18" t="s">
        <v>44</v>
      </c>
      <c r="K258" s="18" t="s">
        <v>45</v>
      </c>
      <c r="L258" s="58" t="s">
        <v>337</v>
      </c>
      <c r="M258" s="18">
        <f>[1]!f_prt_stocktonav(B258,"2017/03/31")</f>
        <v>70.214897155761719</v>
      </c>
      <c r="N258" s="20" t="str">
        <f>[1]!f_info_fundmanager(B258)</f>
        <v>魏博,庄波</v>
      </c>
      <c r="O258" s="21">
        <v>1.8246575342465754</v>
      </c>
      <c r="P258" s="34" t="s">
        <v>1182</v>
      </c>
      <c r="Q258" s="34" t="s">
        <v>1183</v>
      </c>
      <c r="R258" s="34" t="s">
        <v>200</v>
      </c>
      <c r="S258" s="34">
        <v>20150604</v>
      </c>
      <c r="T258" s="45">
        <v>35.537006559300004</v>
      </c>
      <c r="U258" s="46">
        <v>40.933399072699999</v>
      </c>
      <c r="V258" s="34" t="s">
        <v>231</v>
      </c>
      <c r="W258" s="34" t="s">
        <v>44</v>
      </c>
      <c r="X258" s="34" t="s">
        <v>45</v>
      </c>
      <c r="Y258" s="17" t="s">
        <v>337</v>
      </c>
      <c r="Z258" s="34"/>
      <c r="AA258" s="34"/>
      <c r="AB258" s="22">
        <v>0.7684121704101563</v>
      </c>
      <c r="AC258" s="23" t="s">
        <v>1184</v>
      </c>
      <c r="AD258" s="24">
        <v>1.5945205479452054</v>
      </c>
      <c r="AE258" s="25">
        <v>-7.9008483852635814E-2</v>
      </c>
      <c r="AF258" s="26">
        <v>0</v>
      </c>
      <c r="AG258" s="26">
        <v>0</v>
      </c>
      <c r="AH258" s="27">
        <v>-0.30485568715981426</v>
      </c>
      <c r="AI258" s="27">
        <v>-0.30485568715981426</v>
      </c>
      <c r="AJ258" s="27">
        <v>-0.30485568715981426</v>
      </c>
      <c r="AK258" s="28" t="s">
        <v>167</v>
      </c>
      <c r="AL258" s="29" t="s">
        <v>48</v>
      </c>
      <c r="AM258" s="29" t="s">
        <v>48</v>
      </c>
      <c r="AN258" s="29" t="s">
        <v>48</v>
      </c>
      <c r="AO258" s="47" t="s">
        <v>1185</v>
      </c>
      <c r="AP258" s="28">
        <v>0</v>
      </c>
      <c r="AQ258" s="26">
        <v>1.4999999999999999E-2</v>
      </c>
      <c r="AR258" s="26">
        <v>0</v>
      </c>
    </row>
    <row r="259" spans="1:44" x14ac:dyDescent="0.15">
      <c r="A259">
        <v>235</v>
      </c>
      <c r="B259" s="11">
        <v>1244</v>
      </c>
      <c r="C259" s="32"/>
      <c r="D259" s="32">
        <v>7.8127389452213299E-4</v>
      </c>
      <c r="E259" s="32">
        <v>96</v>
      </c>
      <c r="F259" s="32">
        <v>0.434992612564224</v>
      </c>
      <c r="G259" s="11"/>
      <c r="H259" s="11"/>
      <c r="I259" s="11"/>
      <c r="J259" s="18" t="s">
        <v>44</v>
      </c>
      <c r="K259" s="18" t="s">
        <v>64</v>
      </c>
      <c r="L259" s="58" t="s">
        <v>65</v>
      </c>
      <c r="M259" s="18">
        <f>[1]!f_prt_stocktonav(B259,"2017/03/31")</f>
        <v>90.969703674316406</v>
      </c>
      <c r="N259" s="20" t="str">
        <f>[1]!f_info_fundmanager(B259)</f>
        <v>田汉卿</v>
      </c>
      <c r="O259" s="21">
        <v>1.8273972602739725</v>
      </c>
      <c r="P259" s="34" t="s">
        <v>1186</v>
      </c>
      <c r="Q259" s="34" t="s">
        <v>1187</v>
      </c>
      <c r="R259" s="34" t="s">
        <v>880</v>
      </c>
      <c r="S259" s="34">
        <v>20150603</v>
      </c>
      <c r="T259" s="45">
        <v>3.6540489534999998</v>
      </c>
      <c r="U259" s="46">
        <v>4.7400803420999997</v>
      </c>
      <c r="V259" s="34" t="s">
        <v>231</v>
      </c>
      <c r="W259" s="34" t="s">
        <v>44</v>
      </c>
      <c r="X259" s="34" t="s">
        <v>45</v>
      </c>
      <c r="Y259" s="34" t="s">
        <v>65</v>
      </c>
      <c r="Z259" s="34"/>
      <c r="AA259" s="34"/>
      <c r="AB259" s="22">
        <v>0.84595481872558598</v>
      </c>
      <c r="AC259" s="23" t="s">
        <v>1188</v>
      </c>
      <c r="AD259" s="24">
        <v>1.5972602739726027</v>
      </c>
      <c r="AE259" s="25">
        <v>1.6403500772997459E-2</v>
      </c>
      <c r="AF259" s="26">
        <v>0</v>
      </c>
      <c r="AG259" s="26">
        <v>0</v>
      </c>
      <c r="AH259" s="27">
        <v>0.14464182533881392</v>
      </c>
      <c r="AI259" s="27">
        <v>0.14464182533881392</v>
      </c>
      <c r="AJ259" s="27">
        <v>0.14464182533881392</v>
      </c>
      <c r="AK259" s="28" t="s">
        <v>1189</v>
      </c>
      <c r="AL259" s="29" t="s">
        <v>48</v>
      </c>
      <c r="AM259" s="29" t="s">
        <v>48</v>
      </c>
      <c r="AN259" s="29" t="s">
        <v>48</v>
      </c>
      <c r="AO259" s="47" t="s">
        <v>405</v>
      </c>
      <c r="AP259" s="28">
        <v>0</v>
      </c>
      <c r="AQ259" s="26">
        <v>1.4999999999999999E-2</v>
      </c>
      <c r="AR259" s="26">
        <v>0</v>
      </c>
    </row>
    <row r="260" spans="1:44" x14ac:dyDescent="0.15">
      <c r="A260">
        <v>628</v>
      </c>
      <c r="B260" s="11">
        <v>1267</v>
      </c>
      <c r="C260" s="32"/>
      <c r="D260" s="32">
        <v>-2.04464105751755E-3</v>
      </c>
      <c r="E260" s="32">
        <v>96</v>
      </c>
      <c r="F260" s="32">
        <v>0.234847379239565</v>
      </c>
      <c r="G260" s="11"/>
      <c r="H260" s="11"/>
      <c r="I260" s="11"/>
      <c r="J260" s="18" t="s">
        <v>44</v>
      </c>
      <c r="K260" s="18" t="s">
        <v>45</v>
      </c>
      <c r="L260" s="58" t="s">
        <v>65</v>
      </c>
      <c r="M260" s="18">
        <f>[1]!f_prt_stocktonav(B260,"2017/03/31")</f>
        <v>82.146461486816406</v>
      </c>
      <c r="N260" s="20" t="str">
        <f>[1]!f_info_fundmanager(B260)</f>
        <v>陈丹琳</v>
      </c>
      <c r="O260" s="21">
        <v>1.8273972602739725</v>
      </c>
      <c r="P260" s="34" t="s">
        <v>1190</v>
      </c>
      <c r="Q260" s="34" t="s">
        <v>1191</v>
      </c>
      <c r="R260" s="34" t="s">
        <v>263</v>
      </c>
      <c r="S260" s="34">
        <v>20150603</v>
      </c>
      <c r="T260" s="45">
        <v>1.3077801419999999</v>
      </c>
      <c r="U260" s="46">
        <v>1.4100428653999999</v>
      </c>
      <c r="V260" s="34" t="s">
        <v>231</v>
      </c>
      <c r="W260" s="34" t="s">
        <v>44</v>
      </c>
      <c r="X260" s="34" t="s">
        <v>45</v>
      </c>
      <c r="Y260" s="34" t="s">
        <v>65</v>
      </c>
      <c r="Z260" s="34"/>
      <c r="AA260" s="34"/>
      <c r="AB260" s="22">
        <v>0.84271774291992185</v>
      </c>
      <c r="AC260" s="23" t="s">
        <v>1192</v>
      </c>
      <c r="AD260" s="24">
        <v>1.5972602739726027</v>
      </c>
      <c r="AE260" s="25">
        <v>-0.32472288530111471</v>
      </c>
      <c r="AF260" s="26">
        <v>0</v>
      </c>
      <c r="AG260" s="26">
        <v>0</v>
      </c>
      <c r="AH260" s="27">
        <v>-1.2998088528496514</v>
      </c>
      <c r="AI260" s="27">
        <v>-1.2998088528496514</v>
      </c>
      <c r="AJ260" s="27">
        <v>-1.2998088528496514</v>
      </c>
      <c r="AK260" s="28" t="s">
        <v>1193</v>
      </c>
      <c r="AL260" s="29" t="s">
        <v>48</v>
      </c>
      <c r="AM260" s="29" t="s">
        <v>48</v>
      </c>
      <c r="AN260" s="29" t="s">
        <v>48</v>
      </c>
      <c r="AO260" s="47" t="s">
        <v>1194</v>
      </c>
      <c r="AP260" s="28">
        <v>0</v>
      </c>
      <c r="AQ260" s="26">
        <v>1.4999999999999999E-2</v>
      </c>
      <c r="AR260" s="26">
        <v>0</v>
      </c>
    </row>
    <row r="261" spans="1:44" x14ac:dyDescent="0.15">
      <c r="A261">
        <v>39</v>
      </c>
      <c r="B261" s="11">
        <v>1245</v>
      </c>
      <c r="C261" s="32"/>
      <c r="D261" s="32">
        <v>-1.73142876989205E-3</v>
      </c>
      <c r="E261" s="32">
        <v>96</v>
      </c>
      <c r="F261" s="32">
        <v>0.35985681283323401</v>
      </c>
      <c r="G261" s="11"/>
      <c r="H261" s="11"/>
      <c r="I261" s="11"/>
      <c r="J261" s="18" t="s">
        <v>44</v>
      </c>
      <c r="K261" s="18" t="s">
        <v>87</v>
      </c>
      <c r="L261" s="58" t="s">
        <v>274</v>
      </c>
      <c r="M261" s="18">
        <f>[1]!f_prt_stocktonav(B261,"2017/03/31")</f>
        <v>94.441055297851562</v>
      </c>
      <c r="N261" s="20" t="str">
        <f>[1]!f_info_fundmanager(B261)</f>
        <v>何肖颉,梅韬</v>
      </c>
      <c r="O261" s="21">
        <v>1.8301369863013699</v>
      </c>
      <c r="P261" s="34" t="s">
        <v>1195</v>
      </c>
      <c r="Q261" s="34" t="s">
        <v>1196</v>
      </c>
      <c r="R261" s="34" t="s">
        <v>523</v>
      </c>
      <c r="S261" s="34">
        <v>20150602</v>
      </c>
      <c r="T261" s="45">
        <v>20.690556205</v>
      </c>
      <c r="U261" s="46">
        <v>20.411444058099999</v>
      </c>
      <c r="V261" s="34" t="s">
        <v>231</v>
      </c>
      <c r="W261" s="34" t="s">
        <v>44</v>
      </c>
      <c r="X261" s="34" t="s">
        <v>86</v>
      </c>
      <c r="Y261" s="34" t="s">
        <v>274</v>
      </c>
      <c r="Z261" s="34" t="s">
        <v>1197</v>
      </c>
      <c r="AA261" s="34"/>
      <c r="AB261" s="22">
        <v>0.91300926208496092</v>
      </c>
      <c r="AC261" s="23" t="s">
        <v>1198</v>
      </c>
      <c r="AD261" s="24">
        <v>1.6</v>
      </c>
      <c r="AE261" s="25">
        <v>-7.0171094060745509E-2</v>
      </c>
      <c r="AF261" s="26">
        <v>0</v>
      </c>
      <c r="AG261" s="26">
        <v>0</v>
      </c>
      <c r="AH261" s="27">
        <v>-0.23595456733204953</v>
      </c>
      <c r="AI261" s="27">
        <v>-0.23595456733204953</v>
      </c>
      <c r="AJ261" s="27">
        <v>-0.23595456733204953</v>
      </c>
      <c r="AK261" s="33" t="s">
        <v>1199</v>
      </c>
      <c r="AL261" s="29" t="s">
        <v>48</v>
      </c>
      <c r="AM261" s="29" t="s">
        <v>48</v>
      </c>
      <c r="AN261" s="29" t="s">
        <v>48</v>
      </c>
      <c r="AO261" s="47" t="s">
        <v>255</v>
      </c>
      <c r="AP261" s="28">
        <v>0</v>
      </c>
      <c r="AQ261" s="26">
        <v>1.4999999999999999E-2</v>
      </c>
      <c r="AR261" s="26">
        <v>0</v>
      </c>
    </row>
    <row r="262" spans="1:44" x14ac:dyDescent="0.15">
      <c r="A262">
        <v>764</v>
      </c>
      <c r="B262" s="11">
        <v>1219</v>
      </c>
      <c r="C262" s="32"/>
      <c r="D262" s="32">
        <v>-1.43116334303158E-3</v>
      </c>
      <c r="E262" s="32">
        <v>96</v>
      </c>
      <c r="F262" s="32">
        <v>0.22779359952723599</v>
      </c>
      <c r="G262" s="11"/>
      <c r="H262" s="11"/>
      <c r="I262" s="11"/>
      <c r="J262" s="18" t="s">
        <v>44</v>
      </c>
      <c r="K262" s="19" t="s">
        <v>64</v>
      </c>
      <c r="L262" s="58" t="s">
        <v>274</v>
      </c>
      <c r="M262" s="18">
        <f>[1]!f_prt_stocktonav(B262,"2017/03/31")</f>
        <v>77.760383605957031</v>
      </c>
      <c r="N262" s="20" t="str">
        <f>[1]!f_info_fundmanager(B262)</f>
        <v>黄栋</v>
      </c>
      <c r="O262" s="21">
        <v>1.8301369863013699</v>
      </c>
      <c r="P262" s="32" t="s">
        <v>1200</v>
      </c>
      <c r="Q262" s="13" t="s">
        <v>1201</v>
      </c>
      <c r="R262" s="13" t="s">
        <v>511</v>
      </c>
      <c r="S262" s="13">
        <v>20150602</v>
      </c>
      <c r="T262" s="14">
        <v>15.840061016</v>
      </c>
      <c r="U262" s="15" t="s">
        <v>39</v>
      </c>
      <c r="V262" s="16" t="s">
        <v>40</v>
      </c>
      <c r="W262" s="17" t="s">
        <v>44</v>
      </c>
      <c r="X262" s="17" t="s">
        <v>64</v>
      </c>
      <c r="Y262" s="17" t="s">
        <v>274</v>
      </c>
      <c r="Z262" s="13"/>
      <c r="AA262" s="13"/>
      <c r="AB262" s="22">
        <v>0.81013336181640627</v>
      </c>
      <c r="AC262" s="23" t="s">
        <v>1202</v>
      </c>
      <c r="AD262" s="24">
        <v>1.6</v>
      </c>
      <c r="AE262" s="25">
        <v>-6.6885149901401708E-2</v>
      </c>
      <c r="AF262" s="26">
        <v>0</v>
      </c>
      <c r="AG262" s="26">
        <v>0</v>
      </c>
      <c r="AH262" s="27">
        <v>-0.11215523961701253</v>
      </c>
      <c r="AI262" s="27">
        <v>-0.11215523961701253</v>
      </c>
      <c r="AJ262" s="27">
        <v>-0.11215523961701253</v>
      </c>
      <c r="AK262" s="28" t="s">
        <v>852</v>
      </c>
      <c r="AL262" s="29" t="s">
        <v>48</v>
      </c>
      <c r="AM262" s="29" t="s">
        <v>48</v>
      </c>
      <c r="AN262" s="29" t="s">
        <v>48</v>
      </c>
      <c r="AO262" s="23">
        <v>0</v>
      </c>
      <c r="AP262" s="30">
        <v>0</v>
      </c>
      <c r="AQ262" s="31">
        <v>1.4999999999999999E-2</v>
      </c>
      <c r="AR262" s="31">
        <v>0</v>
      </c>
    </row>
    <row r="263" spans="1:44" x14ac:dyDescent="0.15">
      <c r="A263">
        <v>305</v>
      </c>
      <c r="B263" s="11">
        <v>1291</v>
      </c>
      <c r="C263" s="32"/>
      <c r="D263" s="32">
        <v>-1.0056757357577799E-3</v>
      </c>
      <c r="E263" s="32">
        <v>88</v>
      </c>
      <c r="F263" s="32">
        <v>7.1057047494385406E-2</v>
      </c>
      <c r="G263" s="11"/>
      <c r="H263" s="11"/>
      <c r="I263" s="11"/>
      <c r="J263" s="18" t="s">
        <v>44</v>
      </c>
      <c r="K263" s="18" t="s">
        <v>64</v>
      </c>
      <c r="L263" s="58" t="s">
        <v>274</v>
      </c>
      <c r="M263" s="18">
        <f>[1]!f_prt_stocktonav(B263,"2017/03/31")</f>
        <v>89.323982238769531</v>
      </c>
      <c r="N263" s="20" t="str">
        <f>[1]!f_info_fundmanager(B263)</f>
        <v>杨雨龙</v>
      </c>
      <c r="O263" s="21">
        <v>1.6849315068493151</v>
      </c>
      <c r="P263" s="34" t="s">
        <v>1203</v>
      </c>
      <c r="Q263" s="34" t="s">
        <v>1204</v>
      </c>
      <c r="R263" s="34" t="s">
        <v>378</v>
      </c>
      <c r="S263" s="34">
        <v>20150602</v>
      </c>
      <c r="T263" s="45">
        <v>12.387316671400001</v>
      </c>
      <c r="U263" s="46">
        <v>16.564483599999999</v>
      </c>
      <c r="V263" s="34" t="s">
        <v>231</v>
      </c>
      <c r="W263" s="34" t="s">
        <v>44</v>
      </c>
      <c r="X263" s="34" t="s">
        <v>64</v>
      </c>
      <c r="Y263" s="34" t="s">
        <v>274</v>
      </c>
      <c r="Z263" s="34"/>
      <c r="AA263" s="34"/>
      <c r="AB263" s="22">
        <v>0.88773033142089841</v>
      </c>
      <c r="AC263" s="23" t="s">
        <v>1205</v>
      </c>
      <c r="AD263" s="24">
        <v>1.4547945205479451</v>
      </c>
      <c r="AE263" s="25">
        <v>1.0056748030855323E-2</v>
      </c>
      <c r="AF263" s="26">
        <v>0</v>
      </c>
      <c r="AG263" s="26">
        <v>0</v>
      </c>
      <c r="AH263" s="27">
        <v>0.10404559491458004</v>
      </c>
      <c r="AI263" s="27">
        <v>0.10404559491458004</v>
      </c>
      <c r="AJ263" s="27">
        <v>0.10404559491458004</v>
      </c>
      <c r="AK263" s="28" t="s">
        <v>1206</v>
      </c>
      <c r="AL263" s="29" t="s">
        <v>48</v>
      </c>
      <c r="AM263" s="29" t="s">
        <v>48</v>
      </c>
      <c r="AN263" s="29" t="s">
        <v>48</v>
      </c>
      <c r="AO263" s="47" t="s">
        <v>1207</v>
      </c>
      <c r="AP263" s="28">
        <v>0</v>
      </c>
      <c r="AQ263" s="26">
        <v>1.4999999999999999E-2</v>
      </c>
      <c r="AR263" s="26">
        <v>0</v>
      </c>
    </row>
    <row r="264" spans="1:44" x14ac:dyDescent="0.15">
      <c r="A264">
        <v>260</v>
      </c>
      <c r="B264" s="11">
        <v>1230</v>
      </c>
      <c r="C264" s="32"/>
      <c r="D264" s="32">
        <v>2.3568601180260101E-3</v>
      </c>
      <c r="E264" s="32">
        <v>40</v>
      </c>
      <c r="F264" s="32">
        <v>0.132385849175406</v>
      </c>
      <c r="G264" s="11"/>
      <c r="H264" s="11"/>
      <c r="I264" s="11"/>
      <c r="J264" s="18" t="s">
        <v>44</v>
      </c>
      <c r="K264" s="18" t="s">
        <v>86</v>
      </c>
      <c r="L264" s="58" t="s">
        <v>65</v>
      </c>
      <c r="M264" s="18">
        <f>[1]!f_prt_stocktonav(B264,"2017/03/31")</f>
        <v>90.222763061523438</v>
      </c>
      <c r="N264" s="20" t="str">
        <f>[1]!f_info_fundmanager(B264)</f>
        <v>梁浩,金笑非</v>
      </c>
      <c r="O264" s="21">
        <v>0.76712328767123283</v>
      </c>
      <c r="P264" s="34" t="s">
        <v>1208</v>
      </c>
      <c r="Q264" s="34" t="s">
        <v>1209</v>
      </c>
      <c r="R264" s="34" t="s">
        <v>705</v>
      </c>
      <c r="S264" s="34">
        <v>20150602</v>
      </c>
      <c r="T264" s="45">
        <v>16.861689047399999</v>
      </c>
      <c r="U264" s="46">
        <v>17.901313817599998</v>
      </c>
      <c r="V264" s="34" t="s">
        <v>231</v>
      </c>
      <c r="W264" s="34" t="s">
        <v>44</v>
      </c>
      <c r="X264" s="34" t="s">
        <v>45</v>
      </c>
      <c r="Y264" s="34" t="s">
        <v>65</v>
      </c>
      <c r="Z264" s="34"/>
      <c r="AA264" s="34"/>
      <c r="AB264" s="22">
        <v>0.89090599060058595</v>
      </c>
      <c r="AC264" s="23" t="s">
        <v>1210</v>
      </c>
      <c r="AD264" s="24">
        <v>0.53698630136986303</v>
      </c>
      <c r="AE264" s="25">
        <v>-0.33783031755915538</v>
      </c>
      <c r="AF264" s="26">
        <v>0</v>
      </c>
      <c r="AG264" s="26">
        <v>0</v>
      </c>
      <c r="AH264" s="27">
        <v>-0.82941814594654695</v>
      </c>
      <c r="AI264" s="27">
        <v>-0.82941814594654695</v>
      </c>
      <c r="AJ264" s="27">
        <v>-0.82941814594654695</v>
      </c>
      <c r="AK264" s="28" t="s">
        <v>1211</v>
      </c>
      <c r="AL264" s="29" t="s">
        <v>48</v>
      </c>
      <c r="AM264" s="29" t="s">
        <v>48</v>
      </c>
      <c r="AN264" s="29" t="s">
        <v>48</v>
      </c>
      <c r="AO264" s="47" t="s">
        <v>1212</v>
      </c>
      <c r="AP264" s="28">
        <v>0</v>
      </c>
      <c r="AQ264" s="26">
        <v>1.4999999999999999E-2</v>
      </c>
      <c r="AR264" s="26">
        <v>0</v>
      </c>
    </row>
    <row r="265" spans="1:44" x14ac:dyDescent="0.15">
      <c r="A265">
        <v>945</v>
      </c>
      <c r="B265" s="11">
        <v>1210</v>
      </c>
      <c r="C265" s="32"/>
      <c r="D265" s="32">
        <v>-9.1019262256157704E-4</v>
      </c>
      <c r="E265" s="32">
        <v>96</v>
      </c>
      <c r="F265" s="32">
        <v>0.49586147136120201</v>
      </c>
      <c r="G265" s="11"/>
      <c r="H265" s="11"/>
      <c r="I265" s="11"/>
      <c r="J265" s="18" t="s">
        <v>44</v>
      </c>
      <c r="K265" s="18" t="s">
        <v>45</v>
      </c>
      <c r="L265" s="58" t="s">
        <v>65</v>
      </c>
      <c r="M265" s="18">
        <f>[1]!f_prt_stocktonav(B265,"2017/03/31")</f>
        <v>70.648536682128906</v>
      </c>
      <c r="N265" s="20" t="str">
        <f>[1]!f_info_fundmanager(B265)</f>
        <v>肖志刚,田俊维,陈国光</v>
      </c>
      <c r="O265" s="21">
        <v>1.8410958904109589</v>
      </c>
      <c r="P265" s="34" t="s">
        <v>1213</v>
      </c>
      <c r="Q265" s="34" t="s">
        <v>1214</v>
      </c>
      <c r="R265" s="34" t="s">
        <v>1215</v>
      </c>
      <c r="S265" s="34">
        <v>20150529</v>
      </c>
      <c r="T265" s="45">
        <v>10.2640055511</v>
      </c>
      <c r="U265" s="46">
        <v>11.447479035700001</v>
      </c>
      <c r="V265" s="34" t="s">
        <v>231</v>
      </c>
      <c r="W265" s="34" t="s">
        <v>44</v>
      </c>
      <c r="X265" s="17" t="s">
        <v>45</v>
      </c>
      <c r="Y265" s="17" t="s">
        <v>65</v>
      </c>
      <c r="Z265" s="34"/>
      <c r="AA265" s="34"/>
      <c r="AB265" s="22">
        <v>0.77281486511230468</v>
      </c>
      <c r="AC265" s="23" t="s">
        <v>1216</v>
      </c>
      <c r="AD265" s="24">
        <v>1.6109589041095891</v>
      </c>
      <c r="AE265" s="25">
        <v>-0.29211940658737767</v>
      </c>
      <c r="AF265" s="26">
        <v>0</v>
      </c>
      <c r="AG265" s="26">
        <v>0</v>
      </c>
      <c r="AH265" s="27">
        <v>-1.0393223432918739</v>
      </c>
      <c r="AI265" s="27">
        <v>-1.0393223432918739</v>
      </c>
      <c r="AJ265" s="27">
        <v>-1.0393223432918739</v>
      </c>
      <c r="AK265" s="28" t="s">
        <v>328</v>
      </c>
      <c r="AL265" s="29" t="s">
        <v>48</v>
      </c>
      <c r="AM265" s="29" t="s">
        <v>48</v>
      </c>
      <c r="AN265" s="29" t="s">
        <v>48</v>
      </c>
      <c r="AO265" s="47" t="s">
        <v>255</v>
      </c>
      <c r="AP265" s="28">
        <v>0</v>
      </c>
      <c r="AQ265" s="26">
        <v>1.4999999999999999E-2</v>
      </c>
      <c r="AR265" s="26">
        <v>0</v>
      </c>
    </row>
    <row r="266" spans="1:44" x14ac:dyDescent="0.15">
      <c r="A266">
        <v>951</v>
      </c>
      <c r="B266" s="11">
        <v>1004</v>
      </c>
      <c r="C266" s="32"/>
      <c r="D266" s="32">
        <v>-2.3644500901680199E-3</v>
      </c>
      <c r="E266" s="32">
        <v>96</v>
      </c>
      <c r="F266" s="32">
        <v>0.11325366586863</v>
      </c>
      <c r="G266" s="11"/>
      <c r="H266" s="11"/>
      <c r="I266" s="11"/>
      <c r="J266" s="18" t="s">
        <v>44</v>
      </c>
      <c r="K266" s="18" t="s">
        <v>45</v>
      </c>
      <c r="L266" s="58" t="s">
        <v>65</v>
      </c>
      <c r="M266" s="18">
        <f>[1]!f_prt_stocktonav(B266,"2017/03/31")</f>
        <v>70.299369812011719</v>
      </c>
      <c r="N266" s="20" t="str">
        <f>[1]!f_info_fundmanager(B266)</f>
        <v>蔡春红,崔建波</v>
      </c>
      <c r="O266" s="21">
        <v>1.8410958904109589</v>
      </c>
      <c r="P266" s="34" t="s">
        <v>1217</v>
      </c>
      <c r="Q266" s="34" t="s">
        <v>1218</v>
      </c>
      <c r="R266" s="34" t="s">
        <v>569</v>
      </c>
      <c r="S266" s="34">
        <v>20150529</v>
      </c>
      <c r="T266" s="45">
        <v>4.2989944822000004</v>
      </c>
      <c r="U266" s="46">
        <v>4.3342386242000002</v>
      </c>
      <c r="V266" s="34" t="s">
        <v>1219</v>
      </c>
      <c r="W266" s="34" t="s">
        <v>44</v>
      </c>
      <c r="X266" s="34" t="s">
        <v>45</v>
      </c>
      <c r="Y266" s="34" t="s">
        <v>274</v>
      </c>
      <c r="Z266" s="34"/>
      <c r="AA266" s="34"/>
      <c r="AB266" s="22">
        <v>0.71458374023437499</v>
      </c>
      <c r="AC266" s="23" t="s">
        <v>1220</v>
      </c>
      <c r="AD266" s="24">
        <v>1.6109589041095891</v>
      </c>
      <c r="AE266" s="25">
        <v>-0.11481468159878873</v>
      </c>
      <c r="AF266" s="26">
        <v>0</v>
      </c>
      <c r="AG266" s="26">
        <v>0</v>
      </c>
      <c r="AH266" s="27">
        <v>-0.50868610528452352</v>
      </c>
      <c r="AI266" s="27">
        <v>-0.50868610528452352</v>
      </c>
      <c r="AJ266" s="27">
        <v>-0.50868610528452352</v>
      </c>
      <c r="AK266" s="28" t="s">
        <v>1221</v>
      </c>
      <c r="AL266" s="29" t="s">
        <v>48</v>
      </c>
      <c r="AM266" s="29" t="s">
        <v>48</v>
      </c>
      <c r="AN266" s="29" t="s">
        <v>48</v>
      </c>
      <c r="AO266" s="47" t="s">
        <v>1222</v>
      </c>
      <c r="AP266" s="28">
        <v>0</v>
      </c>
      <c r="AQ266" s="26">
        <v>0.01</v>
      </c>
      <c r="AR266" s="26">
        <v>0</v>
      </c>
    </row>
    <row r="267" spans="1:44" x14ac:dyDescent="0.15">
      <c r="A267">
        <v>451</v>
      </c>
      <c r="B267" s="11">
        <v>1225</v>
      </c>
      <c r="C267" s="32"/>
      <c r="D267" s="32">
        <v>-2.4414258443397501E-3</v>
      </c>
      <c r="E267" s="32">
        <v>97</v>
      </c>
      <c r="F267" s="32">
        <v>0.13446370966944199</v>
      </c>
      <c r="G267" s="11"/>
      <c r="H267" s="11"/>
      <c r="I267" s="11"/>
      <c r="J267" s="18" t="s">
        <v>44</v>
      </c>
      <c r="K267" s="18" t="s">
        <v>45</v>
      </c>
      <c r="L267" s="58" t="s">
        <v>274</v>
      </c>
      <c r="M267" s="18">
        <f>[1]!f_prt_stocktonav(B267,"2017/03/31")</f>
        <v>86.274894714355469</v>
      </c>
      <c r="N267" s="20" t="str">
        <f>[1]!f_info_fundmanager(B267)</f>
        <v>许进财,杨欢</v>
      </c>
      <c r="O267" s="21">
        <v>1.8465753424657534</v>
      </c>
      <c r="P267" s="34" t="s">
        <v>1223</v>
      </c>
      <c r="Q267" s="34" t="s">
        <v>1224</v>
      </c>
      <c r="R267" s="34" t="s">
        <v>85</v>
      </c>
      <c r="S267" s="34">
        <v>20150527</v>
      </c>
      <c r="T267" s="45">
        <v>35.358584040399997</v>
      </c>
      <c r="U267" s="46">
        <v>38.016214396400002</v>
      </c>
      <c r="V267" s="34" t="s">
        <v>1219</v>
      </c>
      <c r="W267" s="34" t="s">
        <v>44</v>
      </c>
      <c r="X267" s="34" t="s">
        <v>45</v>
      </c>
      <c r="Y267" s="34" t="s">
        <v>274</v>
      </c>
      <c r="Z267" s="34"/>
      <c r="AA267" s="34"/>
      <c r="AB267" s="22">
        <v>0.76027420043945315</v>
      </c>
      <c r="AC267" s="23" t="s">
        <v>1225</v>
      </c>
      <c r="AD267" s="24">
        <v>1.6164383561643836</v>
      </c>
      <c r="AE267" s="25">
        <v>-0.2073894359215942</v>
      </c>
      <c r="AF267" s="26">
        <v>0</v>
      </c>
      <c r="AG267" s="26">
        <v>0</v>
      </c>
      <c r="AH267" s="27">
        <v>-0.38446799876819315</v>
      </c>
      <c r="AI267" s="27">
        <v>-0.38446799876819315</v>
      </c>
      <c r="AJ267" s="27">
        <v>-0.38446799876819315</v>
      </c>
      <c r="AK267" s="28" t="s">
        <v>1226</v>
      </c>
      <c r="AL267" s="29" t="s">
        <v>48</v>
      </c>
      <c r="AM267" s="29" t="s">
        <v>48</v>
      </c>
      <c r="AN267" s="29" t="s">
        <v>48</v>
      </c>
      <c r="AO267" s="47" t="s">
        <v>82</v>
      </c>
      <c r="AP267" s="28">
        <v>0</v>
      </c>
      <c r="AQ267" s="26">
        <v>1.4999999999999999E-2</v>
      </c>
      <c r="AR267" s="26">
        <v>0</v>
      </c>
    </row>
    <row r="268" spans="1:44" x14ac:dyDescent="0.15">
      <c r="A268">
        <v>544</v>
      </c>
      <c r="B268" s="11">
        <v>1373</v>
      </c>
      <c r="C268" s="32"/>
      <c r="D268" s="32">
        <v>5.0467293638031905E-4</v>
      </c>
      <c r="E268" s="32">
        <v>97</v>
      </c>
      <c r="F268" s="32">
        <v>0.68114334588154402</v>
      </c>
      <c r="G268" s="11"/>
      <c r="H268" s="11"/>
      <c r="I268" s="11"/>
      <c r="J268" s="18" t="s">
        <v>44</v>
      </c>
      <c r="K268" s="18" t="s">
        <v>45</v>
      </c>
      <c r="L268" s="58" t="s">
        <v>65</v>
      </c>
      <c r="M268" s="18">
        <f>[1]!f_prt_stocktonav(B268,"2017/03/31")</f>
        <v>84.15679931640625</v>
      </c>
      <c r="N268" s="20" t="str">
        <f>[1]!f_info_fundmanager(B268)</f>
        <v>樊正伟,郭杰,张坤</v>
      </c>
      <c r="O268" s="21">
        <v>1.8465753424657534</v>
      </c>
      <c r="P268" s="34" t="s">
        <v>1227</v>
      </c>
      <c r="Q268" s="34" t="s">
        <v>1228</v>
      </c>
      <c r="R268" s="34" t="s">
        <v>218</v>
      </c>
      <c r="S268" s="34">
        <v>20150527</v>
      </c>
      <c r="T268" s="45">
        <v>120.23992112019999</v>
      </c>
      <c r="U268" s="46">
        <v>131.7085482814</v>
      </c>
      <c r="V268" s="34" t="s">
        <v>231</v>
      </c>
      <c r="W268" s="34" t="s">
        <v>44</v>
      </c>
      <c r="X268" s="34" t="s">
        <v>45</v>
      </c>
      <c r="Y268" s="34" t="s">
        <v>274</v>
      </c>
      <c r="Z268" s="34"/>
      <c r="AA268" s="34"/>
      <c r="AB268" s="22">
        <v>0.80818153381347657</v>
      </c>
      <c r="AC268" s="23" t="s">
        <v>1229</v>
      </c>
      <c r="AD268" s="24">
        <v>1.6164383561643836</v>
      </c>
      <c r="AE268" s="25">
        <v>-0.22182399692239907</v>
      </c>
      <c r="AF268" s="26">
        <v>0</v>
      </c>
      <c r="AG268" s="26">
        <v>0</v>
      </c>
      <c r="AH268" s="27">
        <v>-0.66933514617366763</v>
      </c>
      <c r="AI268" s="27">
        <v>-0.66933514617366763</v>
      </c>
      <c r="AJ268" s="27">
        <v>-0.66933514617366763</v>
      </c>
      <c r="AK268" s="28" t="s">
        <v>1230</v>
      </c>
      <c r="AL268" s="29" t="s">
        <v>48</v>
      </c>
      <c r="AM268" s="29" t="s">
        <v>48</v>
      </c>
      <c r="AN268" s="29" t="s">
        <v>48</v>
      </c>
      <c r="AO268" s="47" t="s">
        <v>1231</v>
      </c>
      <c r="AP268" s="28">
        <v>0</v>
      </c>
      <c r="AQ268" s="26">
        <v>1.4999999999999999E-2</v>
      </c>
      <c r="AR268" s="26">
        <v>0</v>
      </c>
    </row>
    <row r="269" spans="1:44" x14ac:dyDescent="0.15">
      <c r="A269">
        <v>846</v>
      </c>
      <c r="B269" s="11">
        <v>1220</v>
      </c>
      <c r="C269" s="32"/>
      <c r="D269" s="32">
        <v>-1.9513090662218199E-3</v>
      </c>
      <c r="E269" s="32">
        <v>97</v>
      </c>
      <c r="F269" s="32">
        <v>0.12296196818116301</v>
      </c>
      <c r="G269" s="11"/>
      <c r="H269" s="11"/>
      <c r="I269" s="11"/>
      <c r="J269" s="18" t="s">
        <v>44</v>
      </c>
      <c r="K269" s="18" t="s">
        <v>45</v>
      </c>
      <c r="L269" s="58" t="s">
        <v>274</v>
      </c>
      <c r="M269" s="18">
        <f>[1]!f_prt_stocktonav(B269,"2017/03/31")</f>
        <v>74.606918334960937</v>
      </c>
      <c r="N269" s="20" t="str">
        <f>[1]!f_info_fundmanager(B269)</f>
        <v>宋磊</v>
      </c>
      <c r="O269" s="21">
        <v>1.8465753424657534</v>
      </c>
      <c r="P269" s="34" t="s">
        <v>1232</v>
      </c>
      <c r="Q269" s="34" t="s">
        <v>1233</v>
      </c>
      <c r="R269" s="34" t="s">
        <v>1234</v>
      </c>
      <c r="S269" s="34">
        <v>20150527</v>
      </c>
      <c r="T269" s="45">
        <v>14.777214430200001</v>
      </c>
      <c r="U269" s="46">
        <v>16.107988771399999</v>
      </c>
      <c r="V269" s="34" t="s">
        <v>1235</v>
      </c>
      <c r="W269" s="34" t="s">
        <v>41</v>
      </c>
      <c r="X269" s="17" t="s">
        <v>42</v>
      </c>
      <c r="Y269" s="17" t="s">
        <v>181</v>
      </c>
      <c r="Z269" s="34"/>
      <c r="AA269" s="34"/>
      <c r="AB269" s="22">
        <v>0.60928226470947267</v>
      </c>
      <c r="AC269" s="23" t="s">
        <v>1236</v>
      </c>
      <c r="AD269" s="24">
        <v>1.6164383561643836</v>
      </c>
      <c r="AE269" s="25">
        <v>-0.11780614755741305</v>
      </c>
      <c r="AF269" s="26">
        <v>0</v>
      </c>
      <c r="AG269" s="26">
        <v>0</v>
      </c>
      <c r="AH269" s="27">
        <v>-0.54509093303454637</v>
      </c>
      <c r="AI269" s="27">
        <v>-0.54509093303454637</v>
      </c>
      <c r="AJ269" s="27">
        <v>-0.54509093303454637</v>
      </c>
      <c r="AK269" s="28" t="s">
        <v>1237</v>
      </c>
      <c r="AL269" s="29" t="s">
        <v>48</v>
      </c>
      <c r="AM269" s="29" t="s">
        <v>48</v>
      </c>
      <c r="AN269" s="29" t="s">
        <v>48</v>
      </c>
      <c r="AO269" s="47" t="s">
        <v>1238</v>
      </c>
      <c r="AP269" s="28">
        <v>0</v>
      </c>
      <c r="AQ269" s="26">
        <v>1.4999999999999999E-2</v>
      </c>
      <c r="AR269" s="26">
        <v>0</v>
      </c>
    </row>
    <row r="270" spans="1:44" x14ac:dyDescent="0.15">
      <c r="A270">
        <v>594</v>
      </c>
      <c r="B270" s="11">
        <v>1276</v>
      </c>
      <c r="C270" s="32"/>
      <c r="D270" s="32">
        <v>7.5695351939128604E-4</v>
      </c>
      <c r="E270" s="32">
        <v>97</v>
      </c>
      <c r="F270" s="32">
        <v>0.65212655238316297</v>
      </c>
      <c r="G270" s="11"/>
      <c r="H270" s="11"/>
      <c r="I270" s="11"/>
      <c r="J270" s="18" t="s">
        <v>44</v>
      </c>
      <c r="K270" s="18" t="s">
        <v>45</v>
      </c>
      <c r="L270" s="58" t="s">
        <v>65</v>
      </c>
      <c r="M270" s="18">
        <f>[1]!f_prt_stocktonav(B270,"2017/03/31")</f>
        <v>82.988243103027344</v>
      </c>
      <c r="N270" s="20" t="str">
        <f>[1]!f_info_fundmanager(B270)</f>
        <v>许杰</v>
      </c>
      <c r="O270" s="21">
        <v>1.8493150684931507</v>
      </c>
      <c r="P270" s="34" t="s">
        <v>1239</v>
      </c>
      <c r="Q270" s="34" t="s">
        <v>1240</v>
      </c>
      <c r="R270" s="34" t="s">
        <v>307</v>
      </c>
      <c r="S270" s="34">
        <v>20150526</v>
      </c>
      <c r="T270" s="45">
        <v>5.8976750904999999</v>
      </c>
      <c r="U270" s="46">
        <v>6.136674137</v>
      </c>
      <c r="V270" s="34" t="s">
        <v>1219</v>
      </c>
      <c r="W270" s="34" t="s">
        <v>44</v>
      </c>
      <c r="X270" s="34" t="s">
        <v>45</v>
      </c>
      <c r="Y270" s="34" t="s">
        <v>274</v>
      </c>
      <c r="Z270" s="34"/>
      <c r="AA270" s="34"/>
      <c r="AB270" s="22">
        <v>0.73454246520996092</v>
      </c>
      <c r="AC270" s="23" t="s">
        <v>1241</v>
      </c>
      <c r="AD270" s="24">
        <v>1.6191780821917807</v>
      </c>
      <c r="AE270" s="25">
        <v>-0.15643523843377494</v>
      </c>
      <c r="AF270" s="26">
        <v>0</v>
      </c>
      <c r="AG270" s="26">
        <v>0</v>
      </c>
      <c r="AH270" s="27">
        <v>-0.37330960744704433</v>
      </c>
      <c r="AI270" s="27">
        <v>-0.37330960744704433</v>
      </c>
      <c r="AJ270" s="27">
        <v>-0.37330960744704433</v>
      </c>
      <c r="AK270" s="28" t="s">
        <v>1242</v>
      </c>
      <c r="AL270" s="29" t="s">
        <v>48</v>
      </c>
      <c r="AM270" s="29" t="s">
        <v>48</v>
      </c>
      <c r="AN270" s="29" t="s">
        <v>48</v>
      </c>
      <c r="AO270" s="47" t="s">
        <v>310</v>
      </c>
      <c r="AP270" s="28">
        <v>0</v>
      </c>
      <c r="AQ270" s="26">
        <v>1.4999999999999999E-2</v>
      </c>
      <c r="AR270" s="26">
        <v>0</v>
      </c>
    </row>
    <row r="271" spans="1:44" x14ac:dyDescent="0.15">
      <c r="A271">
        <v>639</v>
      </c>
      <c r="B271" s="11">
        <v>1195</v>
      </c>
      <c r="C271" s="32"/>
      <c r="D271" s="32">
        <v>-4.2816906719833703E-3</v>
      </c>
      <c r="E271" s="32">
        <v>97</v>
      </c>
      <c r="F271" s="32">
        <v>3.8073717308981299E-2</v>
      </c>
      <c r="G271" s="11"/>
      <c r="H271" s="11"/>
      <c r="I271" s="11"/>
      <c r="J271" s="18" t="s">
        <v>44</v>
      </c>
      <c r="K271" s="18" t="s">
        <v>45</v>
      </c>
      <c r="L271" s="58" t="s">
        <v>337</v>
      </c>
      <c r="M271" s="18">
        <f>[1]!f_prt_stocktonav(B271,"2017/03/31")</f>
        <v>81.869415283203125</v>
      </c>
      <c r="N271" s="20" t="str">
        <f>[1]!f_info_fundmanager(B271)</f>
        <v>杨柯</v>
      </c>
      <c r="O271" s="21">
        <v>1.8493150684931507</v>
      </c>
      <c r="P271" s="34" t="s">
        <v>1243</v>
      </c>
      <c r="Q271" s="34" t="s">
        <v>1244</v>
      </c>
      <c r="R271" s="34" t="s">
        <v>523</v>
      </c>
      <c r="S271" s="34">
        <v>20150526</v>
      </c>
      <c r="T271" s="45">
        <v>9.5681586814999999</v>
      </c>
      <c r="U271" s="46">
        <v>9.9549527572999992</v>
      </c>
      <c r="V271" s="34" t="s">
        <v>231</v>
      </c>
      <c r="W271" s="34" t="s">
        <v>44</v>
      </c>
      <c r="X271" s="34" t="s">
        <v>45</v>
      </c>
      <c r="Y271" s="34" t="s">
        <v>65</v>
      </c>
      <c r="Z271" s="34"/>
      <c r="AA271" s="34"/>
      <c r="AB271" s="22">
        <v>0.90722145080566408</v>
      </c>
      <c r="AC271" s="23" t="s">
        <v>1245</v>
      </c>
      <c r="AD271" s="24">
        <v>1.6191780821917807</v>
      </c>
      <c r="AE271" s="25">
        <v>-0.30157619057280316</v>
      </c>
      <c r="AF271" s="26">
        <v>0</v>
      </c>
      <c r="AG271" s="26">
        <v>0</v>
      </c>
      <c r="AH271" s="27">
        <v>-0.979703707308622</v>
      </c>
      <c r="AI271" s="27">
        <v>-0.979703707308622</v>
      </c>
      <c r="AJ271" s="27">
        <v>-0.979703707308622</v>
      </c>
      <c r="AK271" s="28" t="s">
        <v>1246</v>
      </c>
      <c r="AL271" s="29" t="s">
        <v>48</v>
      </c>
      <c r="AM271" s="29" t="s">
        <v>48</v>
      </c>
      <c r="AN271" s="29" t="s">
        <v>48</v>
      </c>
      <c r="AO271" s="47" t="s">
        <v>255</v>
      </c>
      <c r="AP271" s="28">
        <v>0</v>
      </c>
      <c r="AQ271" s="26">
        <v>1.4999999999999999E-2</v>
      </c>
      <c r="AR271" s="26">
        <v>0</v>
      </c>
    </row>
    <row r="272" spans="1:44" x14ac:dyDescent="0.15">
      <c r="A272">
        <v>840</v>
      </c>
      <c r="B272" s="11">
        <v>1300</v>
      </c>
      <c r="C272" s="32"/>
      <c r="D272" s="32">
        <v>-1.1325342145685E-3</v>
      </c>
      <c r="E272" s="32">
        <v>80</v>
      </c>
      <c r="F272" s="32">
        <v>0.48122111412440299</v>
      </c>
      <c r="G272" s="11"/>
      <c r="H272" s="11"/>
      <c r="I272" s="11"/>
      <c r="J272" s="18" t="s">
        <v>44</v>
      </c>
      <c r="K272" s="18" t="s">
        <v>45</v>
      </c>
      <c r="L272" s="58" t="s">
        <v>274</v>
      </c>
      <c r="M272" s="18">
        <f>[1]!f_prt_stocktonav(B272,"2017/03/31")</f>
        <v>75.011817932128906</v>
      </c>
      <c r="N272" s="20" t="str">
        <f>[1]!f_info_fundmanager(B272)</f>
        <v>李本刚</v>
      </c>
      <c r="O272" s="21">
        <v>1.5342465753424657</v>
      </c>
      <c r="P272" s="34" t="s">
        <v>1247</v>
      </c>
      <c r="Q272" s="34" t="s">
        <v>1248</v>
      </c>
      <c r="R272" s="34" t="s">
        <v>486</v>
      </c>
      <c r="S272" s="34">
        <v>20150526</v>
      </c>
      <c r="T272" s="45">
        <v>17.2824759529</v>
      </c>
      <c r="U272" s="46">
        <v>19.393742763199999</v>
      </c>
      <c r="V272" s="34" t="s">
        <v>1235</v>
      </c>
      <c r="W272" s="34" t="s">
        <v>44</v>
      </c>
      <c r="X272" s="34" t="s">
        <v>45</v>
      </c>
      <c r="Y272" s="34" t="s">
        <v>274</v>
      </c>
      <c r="Z272" s="34"/>
      <c r="AA272" s="34"/>
      <c r="AB272" s="22">
        <v>0.85939498901367184</v>
      </c>
      <c r="AC272" s="23" t="s">
        <v>1249</v>
      </c>
      <c r="AD272" s="24">
        <v>1.3041095890410959</v>
      </c>
      <c r="AE272" s="25">
        <v>-0.18011230493337174</v>
      </c>
      <c r="AF272" s="26">
        <v>0</v>
      </c>
      <c r="AG272" s="26">
        <v>0</v>
      </c>
      <c r="AH272" s="27">
        <v>-0.56483317391681875</v>
      </c>
      <c r="AI272" s="27">
        <v>-0.56483317391681875</v>
      </c>
      <c r="AJ272" s="27">
        <v>-0.56483317391681875</v>
      </c>
      <c r="AK272" s="28" t="s">
        <v>907</v>
      </c>
      <c r="AL272" s="29" t="s">
        <v>48</v>
      </c>
      <c r="AM272" s="29" t="s">
        <v>48</v>
      </c>
      <c r="AN272" s="29" t="s">
        <v>48</v>
      </c>
      <c r="AO272" s="47" t="s">
        <v>101</v>
      </c>
      <c r="AP272" s="28">
        <v>0</v>
      </c>
      <c r="AQ272" s="26">
        <v>1.4999999999999999E-2</v>
      </c>
      <c r="AR272" s="26">
        <v>0</v>
      </c>
    </row>
    <row r="273" spans="1:44" x14ac:dyDescent="0.15">
      <c r="A273">
        <v>276</v>
      </c>
      <c r="B273" s="11">
        <v>519171</v>
      </c>
      <c r="C273" s="32"/>
      <c r="D273" s="32">
        <v>-1.34805237519193E-3</v>
      </c>
      <c r="E273" s="32">
        <v>97</v>
      </c>
      <c r="F273" s="32">
        <v>0.23353712841161101</v>
      </c>
      <c r="G273" s="11"/>
      <c r="H273" s="11"/>
      <c r="I273" s="11"/>
      <c r="J273" s="18" t="s">
        <v>44</v>
      </c>
      <c r="K273" s="18" t="s">
        <v>86</v>
      </c>
      <c r="L273" s="58" t="s">
        <v>274</v>
      </c>
      <c r="M273" s="18">
        <f>[1]!f_prt_stocktonav(B273,"2017/03/31")</f>
        <v>89.884231567382813</v>
      </c>
      <c r="N273" s="20" t="str">
        <f>[1]!f_info_fundmanager(B273)</f>
        <v>陈蔚丰</v>
      </c>
      <c r="O273" s="21">
        <v>1.8520547945205479</v>
      </c>
      <c r="P273" s="34" t="s">
        <v>1250</v>
      </c>
      <c r="Q273" s="34" t="s">
        <v>1251</v>
      </c>
      <c r="R273" s="34" t="s">
        <v>649</v>
      </c>
      <c r="S273" s="34">
        <v>20150525</v>
      </c>
      <c r="T273" s="45">
        <v>17.2890975836</v>
      </c>
      <c r="U273" s="46">
        <v>18.4694829064</v>
      </c>
      <c r="V273" s="34" t="s">
        <v>1235</v>
      </c>
      <c r="W273" s="34" t="s">
        <v>44</v>
      </c>
      <c r="X273" s="34" t="s">
        <v>45</v>
      </c>
      <c r="Y273" s="34" t="s">
        <v>274</v>
      </c>
      <c r="Z273" s="34"/>
      <c r="AA273" s="34"/>
      <c r="AB273" s="22">
        <v>0.89311592102050785</v>
      </c>
      <c r="AC273" s="23" t="s">
        <v>1252</v>
      </c>
      <c r="AD273" s="24">
        <v>1.6219178082191781</v>
      </c>
      <c r="AE273" s="25">
        <v>-0.16102543895092758</v>
      </c>
      <c r="AF273" s="26">
        <v>0</v>
      </c>
      <c r="AG273" s="26">
        <v>0</v>
      </c>
      <c r="AH273" s="27">
        <v>-0.47478540779906403</v>
      </c>
      <c r="AI273" s="27">
        <v>-0.47478540779906403</v>
      </c>
      <c r="AJ273" s="27">
        <v>-0.47478540779906403</v>
      </c>
      <c r="AK273" s="28" t="s">
        <v>1253</v>
      </c>
      <c r="AL273" s="29" t="s">
        <v>48</v>
      </c>
      <c r="AM273" s="29" t="s">
        <v>48</v>
      </c>
      <c r="AN273" s="29" t="s">
        <v>48</v>
      </c>
      <c r="AO273" s="47" t="s">
        <v>652</v>
      </c>
      <c r="AP273" s="28">
        <v>0</v>
      </c>
      <c r="AQ273" s="26">
        <v>1.4999999999999999E-2</v>
      </c>
      <c r="AR273" s="26">
        <v>0</v>
      </c>
    </row>
    <row r="274" spans="1:44" x14ac:dyDescent="0.15">
      <c r="A274">
        <v>526</v>
      </c>
      <c r="B274" s="11">
        <v>1236</v>
      </c>
      <c r="C274" s="32"/>
      <c r="D274" s="32">
        <v>-5.0533129960991905E-4</v>
      </c>
      <c r="E274" s="32">
        <v>97</v>
      </c>
      <c r="F274" s="32">
        <v>0.73300043737373399</v>
      </c>
      <c r="G274" s="11"/>
      <c r="H274" s="11"/>
      <c r="I274" s="11"/>
      <c r="J274" s="18" t="s">
        <v>44</v>
      </c>
      <c r="K274" s="18" t="s">
        <v>87</v>
      </c>
      <c r="L274" s="58" t="s">
        <v>274</v>
      </c>
      <c r="M274" s="18">
        <f>[1]!f_prt_stocktonav(B274,"2017/03/31")</f>
        <v>84.638633728027344</v>
      </c>
      <c r="N274" s="20" t="str">
        <f>[1]!f_info_fundmanager(B274)</f>
        <v>沙炜</v>
      </c>
      <c r="O274" s="21">
        <v>1.8602739726027397</v>
      </c>
      <c r="P274" s="34" t="s">
        <v>1254</v>
      </c>
      <c r="Q274" s="34" t="s">
        <v>1255</v>
      </c>
      <c r="R274" s="34" t="s">
        <v>413</v>
      </c>
      <c r="S274" s="34">
        <v>20150522</v>
      </c>
      <c r="T274" s="45">
        <v>15.886978587</v>
      </c>
      <c r="U274" s="46">
        <v>16.428965439599999</v>
      </c>
      <c r="V274" s="34" t="s">
        <v>1235</v>
      </c>
      <c r="W274" s="34" t="s">
        <v>44</v>
      </c>
      <c r="X274" s="34" t="s">
        <v>87</v>
      </c>
      <c r="Y274" s="34" t="s">
        <v>274</v>
      </c>
      <c r="Z274" s="34" t="s">
        <v>1256</v>
      </c>
      <c r="AA274" s="34"/>
      <c r="AB274" s="22">
        <v>0.88524993896484372</v>
      </c>
      <c r="AC274" s="23" t="s">
        <v>1257</v>
      </c>
      <c r="AD274" s="24">
        <v>1.6301369863013699</v>
      </c>
      <c r="AE274" s="25">
        <v>-0.11954266011752412</v>
      </c>
      <c r="AF274" s="26">
        <v>0</v>
      </c>
      <c r="AG274" s="26">
        <v>0</v>
      </c>
      <c r="AH274" s="27">
        <v>-0.16937934072557834</v>
      </c>
      <c r="AI274" s="27">
        <v>-0.16937934072557834</v>
      </c>
      <c r="AJ274" s="27">
        <v>-0.16937934072557834</v>
      </c>
      <c r="AK274" s="33" t="s">
        <v>1258</v>
      </c>
      <c r="AL274" s="29" t="s">
        <v>48</v>
      </c>
      <c r="AM274" s="29" t="s">
        <v>48</v>
      </c>
      <c r="AN274" s="29" t="s">
        <v>48</v>
      </c>
      <c r="AO274" s="47" t="s">
        <v>702</v>
      </c>
      <c r="AP274" s="28">
        <v>0</v>
      </c>
      <c r="AQ274" s="26">
        <v>1.4999999999999999E-2</v>
      </c>
      <c r="AR274" s="26">
        <v>0</v>
      </c>
    </row>
    <row r="275" spans="1:44" x14ac:dyDescent="0.15">
      <c r="A275">
        <v>615</v>
      </c>
      <c r="B275" s="11">
        <v>1256</v>
      </c>
      <c r="C275" s="32"/>
      <c r="D275" s="32">
        <v>1.4016254512615701E-3</v>
      </c>
      <c r="E275" s="32">
        <v>77</v>
      </c>
      <c r="F275" s="32">
        <v>4.9798853220887299E-2</v>
      </c>
      <c r="G275" s="11"/>
      <c r="H275" s="11"/>
      <c r="I275" s="11"/>
      <c r="J275" s="18" t="s">
        <v>44</v>
      </c>
      <c r="K275" s="18" t="s">
        <v>45</v>
      </c>
      <c r="L275" s="58" t="s">
        <v>65</v>
      </c>
      <c r="M275" s="18">
        <f>[1]!f_prt_stocktonav(B275,"2017/03/31")</f>
        <v>82.449447631835938</v>
      </c>
      <c r="N275" s="20" t="str">
        <f>[1]!f_info_fundmanager(B275)</f>
        <v>王克玉</v>
      </c>
      <c r="O275" s="21">
        <v>1.4767123287671233</v>
      </c>
      <c r="P275" s="34" t="s">
        <v>1259</v>
      </c>
      <c r="Q275" s="34" t="s">
        <v>1260</v>
      </c>
      <c r="R275" s="34" t="s">
        <v>517</v>
      </c>
      <c r="S275" s="34">
        <v>20150521</v>
      </c>
      <c r="T275" s="45">
        <v>46.3798749718</v>
      </c>
      <c r="U275" s="46">
        <v>42.584926025999998</v>
      </c>
      <c r="V275" s="34" t="s">
        <v>1235</v>
      </c>
      <c r="W275" s="34" t="s">
        <v>44</v>
      </c>
      <c r="X275" s="34" t="s">
        <v>45</v>
      </c>
      <c r="Y275" s="34" t="s">
        <v>817</v>
      </c>
      <c r="Z275" s="34"/>
      <c r="AA275" s="34"/>
      <c r="AB275" s="22">
        <v>0.82171035766601563</v>
      </c>
      <c r="AC275" s="23" t="s">
        <v>1261</v>
      </c>
      <c r="AD275" s="24">
        <v>1.2465753424657535</v>
      </c>
      <c r="AE275" s="25">
        <v>6.6164078425700934E-2</v>
      </c>
      <c r="AF275" s="26">
        <v>0</v>
      </c>
      <c r="AG275" s="26">
        <v>0</v>
      </c>
      <c r="AH275" s="27">
        <v>0.33132119646807606</v>
      </c>
      <c r="AI275" s="27">
        <v>0.33132119646807606</v>
      </c>
      <c r="AJ275" s="27">
        <v>0.33132119646807606</v>
      </c>
      <c r="AK275" s="28" t="s">
        <v>1262</v>
      </c>
      <c r="AL275" s="29" t="s">
        <v>48</v>
      </c>
      <c r="AM275" s="29" t="s">
        <v>48</v>
      </c>
      <c r="AN275" s="29" t="s">
        <v>48</v>
      </c>
      <c r="AO275" s="47" t="s">
        <v>520</v>
      </c>
      <c r="AP275" s="28">
        <v>0</v>
      </c>
      <c r="AQ275" s="26">
        <v>1.4999999999999999E-2</v>
      </c>
      <c r="AR275" s="26">
        <v>0</v>
      </c>
    </row>
    <row r="276" spans="1:44" x14ac:dyDescent="0.15">
      <c r="A276">
        <v>248</v>
      </c>
      <c r="B276" s="11">
        <v>1349</v>
      </c>
      <c r="C276" s="32"/>
      <c r="D276" s="32">
        <v>-2.34326176712754E-3</v>
      </c>
      <c r="E276" s="32">
        <v>98</v>
      </c>
      <c r="F276" s="32">
        <v>8.1005436239840703E-2</v>
      </c>
      <c r="G276" s="11"/>
      <c r="H276" s="11"/>
      <c r="I276" s="11"/>
      <c r="J276" s="18" t="s">
        <v>44</v>
      </c>
      <c r="K276" s="18" t="s">
        <v>45</v>
      </c>
      <c r="L276" s="58" t="s">
        <v>274</v>
      </c>
      <c r="M276" s="18">
        <f>[1]!f_prt_stocktonav(B276,"2017/03/31")</f>
        <v>90.607139587402344</v>
      </c>
      <c r="N276" s="20" t="str">
        <f>[1]!f_info_fundmanager(B276)</f>
        <v>汪鸣,张啸伟,李晓铭</v>
      </c>
      <c r="O276" s="21">
        <v>1.8657534246575342</v>
      </c>
      <c r="P276" s="34" t="s">
        <v>1263</v>
      </c>
      <c r="Q276" s="34" t="s">
        <v>1264</v>
      </c>
      <c r="R276" s="34" t="s">
        <v>396</v>
      </c>
      <c r="S276" s="34">
        <v>20150520</v>
      </c>
      <c r="T276" s="45">
        <v>72.926206902900006</v>
      </c>
      <c r="U276" s="46">
        <v>75.496432374799994</v>
      </c>
      <c r="V276" s="34" t="s">
        <v>1235</v>
      </c>
      <c r="W276" s="34" t="s">
        <v>44</v>
      </c>
      <c r="X276" s="34" t="s">
        <v>45</v>
      </c>
      <c r="Y276" s="34" t="s">
        <v>274</v>
      </c>
      <c r="Z276" s="34"/>
      <c r="AA276" s="34"/>
      <c r="AB276" s="22">
        <v>0.84618286132812504</v>
      </c>
      <c r="AC276" s="23" t="s">
        <v>1265</v>
      </c>
      <c r="AD276" s="24">
        <v>1.6356164383561644</v>
      </c>
      <c r="AE276" s="25">
        <v>-0.15497953055056168</v>
      </c>
      <c r="AF276" s="26">
        <v>0</v>
      </c>
      <c r="AG276" s="26">
        <v>0</v>
      </c>
      <c r="AH276" s="27">
        <v>-0.29795885599578864</v>
      </c>
      <c r="AI276" s="27">
        <v>-0.29795885599578864</v>
      </c>
      <c r="AJ276" s="27">
        <v>-0.29795885599578864</v>
      </c>
      <c r="AK276" s="28" t="s">
        <v>1266</v>
      </c>
      <c r="AL276" s="29" t="s">
        <v>48</v>
      </c>
      <c r="AM276" s="29" t="s">
        <v>48</v>
      </c>
      <c r="AN276" s="29" t="s">
        <v>48</v>
      </c>
      <c r="AO276" s="47" t="s">
        <v>1267</v>
      </c>
      <c r="AP276" s="28" t="s">
        <v>608</v>
      </c>
      <c r="AQ276" s="26">
        <v>1.4999999999999999E-2</v>
      </c>
      <c r="AR276" s="26">
        <v>0</v>
      </c>
    </row>
    <row r="277" spans="1:44" x14ac:dyDescent="0.15">
      <c r="A277">
        <v>410</v>
      </c>
      <c r="B277" s="11">
        <v>1277</v>
      </c>
      <c r="C277" s="32"/>
      <c r="D277" s="32">
        <v>-1.2882991807606501E-3</v>
      </c>
      <c r="E277" s="32">
        <v>98</v>
      </c>
      <c r="F277" s="32">
        <v>7.5197588965440099E-2</v>
      </c>
      <c r="G277" s="11"/>
      <c r="H277" s="11"/>
      <c r="I277" s="11"/>
      <c r="J277" s="18" t="s">
        <v>44</v>
      </c>
      <c r="K277" s="18" t="s">
        <v>87</v>
      </c>
      <c r="L277" s="58" t="s">
        <v>337</v>
      </c>
      <c r="M277" s="18">
        <f>[1]!f_prt_stocktonav(B277,"2017/03/31")</f>
        <v>87.150924682617188</v>
      </c>
      <c r="N277" s="20" t="str">
        <f>[1]!f_info_fundmanager(B277)</f>
        <v>林景艺</v>
      </c>
      <c r="O277" s="21">
        <v>1.8657534246575342</v>
      </c>
      <c r="P277" s="34" t="s">
        <v>1268</v>
      </c>
      <c r="Q277" s="34" t="s">
        <v>1269</v>
      </c>
      <c r="R277" s="34" t="s">
        <v>413</v>
      </c>
      <c r="S277" s="34">
        <v>20150520</v>
      </c>
      <c r="T277" s="45">
        <v>18.003880502200001</v>
      </c>
      <c r="U277" s="46">
        <v>18.3467706339</v>
      </c>
      <c r="V277" s="34" t="s">
        <v>1235</v>
      </c>
      <c r="W277" s="34" t="s">
        <v>44</v>
      </c>
      <c r="X277" s="34" t="s">
        <v>87</v>
      </c>
      <c r="Y277" s="34" t="s">
        <v>337</v>
      </c>
      <c r="Z277" s="34" t="s">
        <v>1084</v>
      </c>
      <c r="AA277" s="34"/>
      <c r="AB277" s="22">
        <v>0.85760360717773443</v>
      </c>
      <c r="AC277" s="23" t="s">
        <v>1270</v>
      </c>
      <c r="AD277" s="24">
        <v>1.6356164383561644</v>
      </c>
      <c r="AE277" s="25">
        <v>-0.1245114102311813</v>
      </c>
      <c r="AF277" s="26">
        <v>0</v>
      </c>
      <c r="AG277" s="26">
        <v>0</v>
      </c>
      <c r="AH277" s="27">
        <v>-0.35057900912786816</v>
      </c>
      <c r="AI277" s="27">
        <v>-0.35057900912786816</v>
      </c>
      <c r="AJ277" s="27">
        <v>-0.35057900912786816</v>
      </c>
      <c r="AK277" s="33" t="s">
        <v>1258</v>
      </c>
      <c r="AL277" s="29" t="s">
        <v>48</v>
      </c>
      <c r="AM277" s="29" t="s">
        <v>48</v>
      </c>
      <c r="AN277" s="29" t="s">
        <v>48</v>
      </c>
      <c r="AO277" s="47" t="s">
        <v>1271</v>
      </c>
      <c r="AP277" s="28">
        <v>0</v>
      </c>
      <c r="AQ277" s="26">
        <v>1.4999999999999999E-2</v>
      </c>
      <c r="AR277" s="26">
        <v>0</v>
      </c>
    </row>
    <row r="278" spans="1:44" x14ac:dyDescent="0.15">
      <c r="A278">
        <v>683</v>
      </c>
      <c r="B278" s="11">
        <v>1152</v>
      </c>
      <c r="C278" s="32"/>
      <c r="D278" s="32">
        <v>-3.9199306151472303E-3</v>
      </c>
      <c r="E278" s="32">
        <v>98</v>
      </c>
      <c r="F278" s="32">
        <v>4.7161975381666499E-2</v>
      </c>
      <c r="G278" s="11"/>
      <c r="H278" s="11"/>
      <c r="I278" s="11"/>
      <c r="J278" s="18" t="s">
        <v>44</v>
      </c>
      <c r="K278" s="18" t="s">
        <v>87</v>
      </c>
      <c r="L278" s="58" t="s">
        <v>274</v>
      </c>
      <c r="M278" s="18">
        <f>[1]!f_prt_stocktonav(B278,"2017/03/31")</f>
        <v>80.468048095703125</v>
      </c>
      <c r="N278" s="20" t="str">
        <f>[1]!f_info_fundmanager(B278)</f>
        <v>杨博琳</v>
      </c>
      <c r="O278" s="21">
        <v>1.8657534246575342</v>
      </c>
      <c r="P278" s="34" t="s">
        <v>1272</v>
      </c>
      <c r="Q278" s="34" t="s">
        <v>1273</v>
      </c>
      <c r="R278" s="34" t="s">
        <v>230</v>
      </c>
      <c r="S278" s="34">
        <v>20150520</v>
      </c>
      <c r="T278" s="45">
        <v>10.990020705599999</v>
      </c>
      <c r="U278" s="46">
        <v>12.102364011500001</v>
      </c>
      <c r="V278" s="34" t="s">
        <v>1235</v>
      </c>
      <c r="W278" s="34" t="s">
        <v>44</v>
      </c>
      <c r="X278" s="34" t="s">
        <v>45</v>
      </c>
      <c r="Y278" s="34" t="s">
        <v>274</v>
      </c>
      <c r="Z278" s="34"/>
      <c r="AA278" s="34"/>
      <c r="AB278" s="22">
        <v>0.80261138916015629</v>
      </c>
      <c r="AC278" s="23" t="s">
        <v>1274</v>
      </c>
      <c r="AD278" s="24">
        <v>1.6356164383561644</v>
      </c>
      <c r="AE278" s="25">
        <v>-0.3270657554486206</v>
      </c>
      <c r="AF278" s="26">
        <v>0</v>
      </c>
      <c r="AG278" s="26">
        <v>0</v>
      </c>
      <c r="AH278" s="27">
        <v>-0.95777793266640177</v>
      </c>
      <c r="AI278" s="27">
        <v>-0.95777793266640177</v>
      </c>
      <c r="AJ278" s="27">
        <v>-0.95777793266640177</v>
      </c>
      <c r="AK278" s="28" t="s">
        <v>1275</v>
      </c>
      <c r="AL278" s="29" t="s">
        <v>48</v>
      </c>
      <c r="AM278" s="29" t="s">
        <v>48</v>
      </c>
      <c r="AN278" s="29" t="s">
        <v>48</v>
      </c>
      <c r="AO278" s="47" t="s">
        <v>1276</v>
      </c>
      <c r="AP278" s="28" t="s">
        <v>1277</v>
      </c>
      <c r="AQ278" s="26">
        <v>1.4999999999999999E-2</v>
      </c>
      <c r="AR278" s="26">
        <v>0</v>
      </c>
    </row>
    <row r="279" spans="1:44" x14ac:dyDescent="0.15">
      <c r="A279">
        <v>720</v>
      </c>
      <c r="B279" s="11">
        <v>1069</v>
      </c>
      <c r="C279" s="32"/>
      <c r="D279" s="32">
        <v>1.4691671984587301E-3</v>
      </c>
      <c r="E279" s="32">
        <v>98</v>
      </c>
      <c r="F279" s="32">
        <v>0.48870629694835799</v>
      </c>
      <c r="G279" s="11"/>
      <c r="H279" s="11"/>
      <c r="I279" s="11"/>
      <c r="J279" s="18" t="s">
        <v>44</v>
      </c>
      <c r="K279" s="18" t="s">
        <v>87</v>
      </c>
      <c r="L279" s="58" t="s">
        <v>65</v>
      </c>
      <c r="M279" s="18">
        <f>[1]!f_prt_stocktonav(B279,"2017/03/31")</f>
        <v>79.450149536132812</v>
      </c>
      <c r="N279" s="20" t="str">
        <f>[1]!f_info_fundmanager(B279)</f>
        <v>方纬</v>
      </c>
      <c r="O279" s="21">
        <v>1.8657534246575342</v>
      </c>
      <c r="P279" s="34" t="s">
        <v>1278</v>
      </c>
      <c r="Q279" s="34" t="s">
        <v>1279</v>
      </c>
      <c r="R279" s="34" t="s">
        <v>880</v>
      </c>
      <c r="S279" s="34">
        <v>20150520</v>
      </c>
      <c r="T279" s="45">
        <v>6.2879097120000003</v>
      </c>
      <c r="U279" s="46">
        <v>8.7666662193999993</v>
      </c>
      <c r="V279" s="34" t="s">
        <v>231</v>
      </c>
      <c r="W279" s="34" t="s">
        <v>44</v>
      </c>
      <c r="X279" s="34" t="s">
        <v>45</v>
      </c>
      <c r="Y279" s="34" t="s">
        <v>65</v>
      </c>
      <c r="Z279" s="34"/>
      <c r="AA279" s="34"/>
      <c r="AB279" s="22">
        <v>0.89824371337890629</v>
      </c>
      <c r="AC279" s="23" t="s">
        <v>1280</v>
      </c>
      <c r="AD279" s="24">
        <v>1.6356164383561644</v>
      </c>
      <c r="AE279" s="25">
        <v>5.9335526790132986E-2</v>
      </c>
      <c r="AF279" s="26">
        <v>0</v>
      </c>
      <c r="AG279" s="26">
        <v>0</v>
      </c>
      <c r="AH279" s="27">
        <v>0.29137184573591796</v>
      </c>
      <c r="AI279" s="27">
        <v>0.29137184573591796</v>
      </c>
      <c r="AJ279" s="27">
        <v>0.29137184573591796</v>
      </c>
      <c r="AK279" s="28" t="s">
        <v>1281</v>
      </c>
      <c r="AL279" s="29" t="s">
        <v>48</v>
      </c>
      <c r="AM279" s="29" t="s">
        <v>48</v>
      </c>
      <c r="AN279" s="29" t="s">
        <v>48</v>
      </c>
      <c r="AO279" s="47" t="s">
        <v>255</v>
      </c>
      <c r="AP279" s="28">
        <v>0</v>
      </c>
      <c r="AQ279" s="26">
        <v>1.4999999999999999E-2</v>
      </c>
      <c r="AR279" s="26">
        <v>0</v>
      </c>
    </row>
    <row r="280" spans="1:44" x14ac:dyDescent="0.15">
      <c r="A280">
        <v>837</v>
      </c>
      <c r="B280" s="11">
        <v>1279</v>
      </c>
      <c r="C280" s="32"/>
      <c r="D280" s="32">
        <v>-1.4303967581009E-3</v>
      </c>
      <c r="E280" s="32">
        <v>98</v>
      </c>
      <c r="F280" s="32">
        <v>0.45293690201653602</v>
      </c>
      <c r="G280" s="11"/>
      <c r="H280" s="11"/>
      <c r="I280" s="11"/>
      <c r="J280" s="18" t="s">
        <v>44</v>
      </c>
      <c r="K280" s="18" t="s">
        <v>45</v>
      </c>
      <c r="L280" s="58" t="s">
        <v>274</v>
      </c>
      <c r="M280" s="18">
        <f>[1]!f_prt_stocktonav(B280,"2017/03/31")</f>
        <v>75.344436645507813</v>
      </c>
      <c r="N280" s="20" t="str">
        <f>[1]!f_info_fundmanager(B280)</f>
        <v>左剑</v>
      </c>
      <c r="O280" s="21">
        <v>1.8657534246575342</v>
      </c>
      <c r="P280" s="34" t="s">
        <v>1282</v>
      </c>
      <c r="Q280" s="34" t="s">
        <v>1283</v>
      </c>
      <c r="R280" s="34" t="s">
        <v>505</v>
      </c>
      <c r="S280" s="34">
        <v>20150520</v>
      </c>
      <c r="T280" s="45">
        <v>3.6376572736999999</v>
      </c>
      <c r="U280" s="46">
        <v>4.1250007020000004</v>
      </c>
      <c r="V280" s="34" t="s">
        <v>1235</v>
      </c>
      <c r="W280" s="34" t="s">
        <v>44</v>
      </c>
      <c r="X280" s="34" t="s">
        <v>45</v>
      </c>
      <c r="Y280" s="34" t="s">
        <v>65</v>
      </c>
      <c r="Z280" s="34"/>
      <c r="AA280" s="34"/>
      <c r="AB280" s="22">
        <v>0.70857276916503908</v>
      </c>
      <c r="AC280" s="23" t="s">
        <v>1284</v>
      </c>
      <c r="AD280" s="24">
        <v>1.6356164383561644</v>
      </c>
      <c r="AE280" s="25">
        <v>-0.11583190776598486</v>
      </c>
      <c r="AF280" s="26">
        <v>0</v>
      </c>
      <c r="AG280" s="26">
        <v>0</v>
      </c>
      <c r="AH280" s="27">
        <v>-0.61629362874462468</v>
      </c>
      <c r="AI280" s="27">
        <v>-0.61629362874462468</v>
      </c>
      <c r="AJ280" s="27">
        <v>-0.61629362874462468</v>
      </c>
      <c r="AK280" s="28" t="s">
        <v>1285</v>
      </c>
      <c r="AL280" s="29" t="s">
        <v>48</v>
      </c>
      <c r="AM280" s="29" t="s">
        <v>48</v>
      </c>
      <c r="AN280" s="29" t="s">
        <v>48</v>
      </c>
      <c r="AO280" s="47" t="s">
        <v>1286</v>
      </c>
      <c r="AP280" s="28">
        <v>0</v>
      </c>
      <c r="AQ280" s="26">
        <v>1.4999999999999999E-2</v>
      </c>
      <c r="AR280" s="26">
        <v>0</v>
      </c>
    </row>
    <row r="281" spans="1:44" x14ac:dyDescent="0.15">
      <c r="A281">
        <v>239</v>
      </c>
      <c r="B281" s="11">
        <v>1287</v>
      </c>
      <c r="C281" s="32"/>
      <c r="D281" s="32">
        <v>2.48941866374914E-4</v>
      </c>
      <c r="E281" s="32">
        <v>58</v>
      </c>
      <c r="F281" s="32">
        <v>0.83495958722013497</v>
      </c>
      <c r="G281" s="11"/>
      <c r="H281" s="11"/>
      <c r="I281" s="11"/>
      <c r="J281" s="18" t="s">
        <v>44</v>
      </c>
      <c r="K281" s="18" t="s">
        <v>45</v>
      </c>
      <c r="L281" s="58" t="s">
        <v>817</v>
      </c>
      <c r="M281" s="18">
        <f>[1]!f_prt_stocktonav(B281,"2017/03/31")</f>
        <v>90.823982238769531</v>
      </c>
      <c r="N281" s="20" t="str">
        <f>[1]!f_info_fundmanager(B281)</f>
        <v>聂世林</v>
      </c>
      <c r="O281" s="21">
        <v>1.1150684931506849</v>
      </c>
      <c r="P281" s="34" t="s">
        <v>1287</v>
      </c>
      <c r="Q281" s="34" t="s">
        <v>1288</v>
      </c>
      <c r="R281" s="34" t="s">
        <v>975</v>
      </c>
      <c r="S281" s="34">
        <v>20150520</v>
      </c>
      <c r="T281" s="45">
        <v>0.1466958807</v>
      </c>
      <c r="U281" s="46">
        <v>8.4388824094999997</v>
      </c>
      <c r="V281" s="34" t="s">
        <v>231</v>
      </c>
      <c r="W281" s="34" t="s">
        <v>41</v>
      </c>
      <c r="X281" s="17" t="s">
        <v>42</v>
      </c>
      <c r="Y281" s="17" t="s">
        <v>181</v>
      </c>
      <c r="Z281" s="34"/>
      <c r="AA281" s="34"/>
      <c r="AB281" s="22">
        <v>0.63061962127685545</v>
      </c>
      <c r="AC281" s="23" t="s">
        <v>1289</v>
      </c>
      <c r="AD281" s="24">
        <v>0.8849315068493151</v>
      </c>
      <c r="AE281" s="25">
        <v>5.098724640478447E-2</v>
      </c>
      <c r="AF281" s="26">
        <v>0</v>
      </c>
      <c r="AG281" s="26">
        <v>0</v>
      </c>
      <c r="AH281" s="27">
        <v>1.2394205279282096</v>
      </c>
      <c r="AI281" s="27">
        <v>1.2394205279282096</v>
      </c>
      <c r="AJ281" s="27">
        <v>1.2394205279282096</v>
      </c>
      <c r="AK281" s="28" t="s">
        <v>105</v>
      </c>
      <c r="AL281" s="29" t="s">
        <v>48</v>
      </c>
      <c r="AM281" s="29" t="s">
        <v>48</v>
      </c>
      <c r="AN281" s="29" t="s">
        <v>48</v>
      </c>
      <c r="AO281" s="47" t="s">
        <v>1290</v>
      </c>
      <c r="AP281" s="28">
        <v>0</v>
      </c>
      <c r="AQ281" s="26">
        <v>0.01</v>
      </c>
      <c r="AR281" s="26">
        <v>0</v>
      </c>
    </row>
    <row r="282" spans="1:44" x14ac:dyDescent="0.15">
      <c r="A282">
        <v>949</v>
      </c>
      <c r="B282" s="11">
        <v>1218</v>
      </c>
      <c r="C282" s="32"/>
      <c r="D282" s="32">
        <v>-3.0327267501256598E-3</v>
      </c>
      <c r="E282" s="32">
        <v>98</v>
      </c>
      <c r="F282" s="32">
        <v>1.1630015312067799E-2</v>
      </c>
      <c r="G282" s="11"/>
      <c r="H282" s="11"/>
      <c r="I282" s="11"/>
      <c r="J282" s="18" t="s">
        <v>44</v>
      </c>
      <c r="K282" s="18" t="s">
        <v>45</v>
      </c>
      <c r="L282" s="58" t="s">
        <v>65</v>
      </c>
      <c r="M282" s="18">
        <f>[1]!f_prt_stocktonav(B282,"2017/03/31")</f>
        <v>70.394691467285156</v>
      </c>
      <c r="N282" s="20" t="str">
        <f>[1]!f_info_fundmanager(B282)</f>
        <v>桑俊</v>
      </c>
      <c r="O282" s="21">
        <v>1.8684931506849316</v>
      </c>
      <c r="P282" s="34" t="s">
        <v>1291</v>
      </c>
      <c r="Q282" s="34" t="s">
        <v>1292</v>
      </c>
      <c r="R282" s="34" t="s">
        <v>452</v>
      </c>
      <c r="S282" s="34">
        <v>20150519</v>
      </c>
      <c r="T282" s="45">
        <v>11.5523888896</v>
      </c>
      <c r="U282" s="46">
        <v>12.7422525266</v>
      </c>
      <c r="V282" s="34" t="s">
        <v>231</v>
      </c>
      <c r="W282" s="34" t="s">
        <v>41</v>
      </c>
      <c r="X282" s="34" t="s">
        <v>42</v>
      </c>
      <c r="Y282" s="34" t="s">
        <v>181</v>
      </c>
      <c r="Z282" s="34"/>
      <c r="AA282" s="34"/>
      <c r="AB282" s="22">
        <v>0.60836845397949224</v>
      </c>
      <c r="AC282" s="23" t="s">
        <v>1293</v>
      </c>
      <c r="AD282" s="24">
        <v>1.6383561643835616</v>
      </c>
      <c r="AE282" s="25">
        <v>-0.19569959029692938</v>
      </c>
      <c r="AF282" s="26">
        <v>0</v>
      </c>
      <c r="AG282" s="26">
        <v>0</v>
      </c>
      <c r="AH282" s="27">
        <v>-1.1224170606446728</v>
      </c>
      <c r="AI282" s="27">
        <v>-1.1224170606446728</v>
      </c>
      <c r="AJ282" s="27">
        <v>-1.1224170606446728</v>
      </c>
      <c r="AK282" s="28" t="s">
        <v>436</v>
      </c>
      <c r="AL282" s="29" t="s">
        <v>48</v>
      </c>
      <c r="AM282" s="29" t="s">
        <v>48</v>
      </c>
      <c r="AN282" s="29" t="s">
        <v>48</v>
      </c>
      <c r="AO282" s="47" t="s">
        <v>209</v>
      </c>
      <c r="AP282" s="28">
        <v>0</v>
      </c>
      <c r="AQ282" s="26">
        <v>1.4999999999999999E-2</v>
      </c>
      <c r="AR282" s="26">
        <v>0</v>
      </c>
    </row>
    <row r="283" spans="1:44" x14ac:dyDescent="0.15">
      <c r="A283">
        <v>162</v>
      </c>
      <c r="B283" s="11">
        <v>161225</v>
      </c>
      <c r="C283" s="32"/>
      <c r="D283" s="32">
        <v>3.4178095776993302E-3</v>
      </c>
      <c r="E283" s="32">
        <v>81</v>
      </c>
      <c r="F283" s="32">
        <v>1.10800203555661E-2</v>
      </c>
      <c r="G283" s="11"/>
      <c r="H283" s="11"/>
      <c r="I283" s="11"/>
      <c r="J283" s="18" t="s">
        <v>44</v>
      </c>
      <c r="K283" s="18" t="s">
        <v>45</v>
      </c>
      <c r="L283" s="58" t="s">
        <v>274</v>
      </c>
      <c r="M283" s="18">
        <f>[1]!f_prt_stocktonav(B283,"2017/03/31")</f>
        <v>92.534034729003906</v>
      </c>
      <c r="N283" s="20" t="str">
        <f>[1]!f_info_fundmanager(B283)</f>
        <v>杨冬冬,吴潇</v>
      </c>
      <c r="O283" s="21">
        <v>1.5561643835616439</v>
      </c>
      <c r="P283" s="34" t="s">
        <v>1294</v>
      </c>
      <c r="Q283" s="34" t="s">
        <v>1295</v>
      </c>
      <c r="R283" s="34" t="s">
        <v>452</v>
      </c>
      <c r="S283" s="34">
        <v>20150519</v>
      </c>
      <c r="T283" s="45">
        <v>10.0825994338</v>
      </c>
      <c r="U283" s="46">
        <v>14.1529092868</v>
      </c>
      <c r="V283" s="34" t="s">
        <v>231</v>
      </c>
      <c r="W283" s="34" t="s">
        <v>41</v>
      </c>
      <c r="X283" s="34" t="s">
        <v>42</v>
      </c>
      <c r="Y283" s="34" t="s">
        <v>181</v>
      </c>
      <c r="Z283" s="34"/>
      <c r="AA283" s="34"/>
      <c r="AB283" s="22">
        <v>2.3186979293823243E-2</v>
      </c>
      <c r="AC283" s="23" t="s">
        <v>1296</v>
      </c>
      <c r="AD283" s="24">
        <v>1.3260273972602741</v>
      </c>
      <c r="AE283" s="25">
        <v>2.977237045574932E-2</v>
      </c>
      <c r="AF283" s="26">
        <v>0</v>
      </c>
      <c r="AG283" s="26">
        <v>0</v>
      </c>
      <c r="AH283" s="27">
        <v>0.15810902777158634</v>
      </c>
      <c r="AI283" s="27">
        <v>0.15810902777158634</v>
      </c>
      <c r="AJ283" s="27">
        <v>0.15810902777158634</v>
      </c>
      <c r="AK283" s="28" t="s">
        <v>436</v>
      </c>
      <c r="AL283" s="29" t="s">
        <v>48</v>
      </c>
      <c r="AM283" s="29" t="s">
        <v>48</v>
      </c>
      <c r="AN283" s="29" t="s">
        <v>48</v>
      </c>
      <c r="AO283" s="47" t="s">
        <v>209</v>
      </c>
      <c r="AP283" s="28">
        <v>0</v>
      </c>
      <c r="AQ283" s="26">
        <v>1.4999999999999999E-2</v>
      </c>
      <c r="AR283" s="26">
        <v>0</v>
      </c>
    </row>
    <row r="284" spans="1:44" x14ac:dyDescent="0.15">
      <c r="A284">
        <v>354</v>
      </c>
      <c r="B284" s="11">
        <v>1181</v>
      </c>
      <c r="C284" s="32"/>
      <c r="D284" s="32">
        <v>-7.3540295020299703E-4</v>
      </c>
      <c r="E284" s="32">
        <v>66</v>
      </c>
      <c r="F284" s="32">
        <v>0.32297044158903399</v>
      </c>
      <c r="G284" s="11"/>
      <c r="H284" s="11"/>
      <c r="I284" s="11"/>
      <c r="J284" s="18" t="s">
        <v>44</v>
      </c>
      <c r="K284" s="18" t="s">
        <v>45</v>
      </c>
      <c r="L284" s="58" t="s">
        <v>817</v>
      </c>
      <c r="M284" s="18">
        <f>[1]!f_prt_stocktonav(B284,"2017/03/31")</f>
        <v>88.471694946289063</v>
      </c>
      <c r="N284" s="20" t="str">
        <f>[1]!f_info_fundmanager(B284)</f>
        <v>刘霄汉</v>
      </c>
      <c r="O284" s="21">
        <v>1.252054794520548</v>
      </c>
      <c r="P284" s="34" t="s">
        <v>1297</v>
      </c>
      <c r="Q284" s="34" t="s">
        <v>1298</v>
      </c>
      <c r="R284" s="34" t="s">
        <v>284</v>
      </c>
      <c r="S284" s="34">
        <v>20150519</v>
      </c>
      <c r="T284" s="45">
        <v>20.155798671599999</v>
      </c>
      <c r="U284" s="46">
        <v>23.711212845199999</v>
      </c>
      <c r="V284" s="34" t="s">
        <v>1219</v>
      </c>
      <c r="W284" s="34" t="s">
        <v>44</v>
      </c>
      <c r="X284" s="17" t="s">
        <v>45</v>
      </c>
      <c r="Y284" s="17" t="s">
        <v>65</v>
      </c>
      <c r="Z284" s="34"/>
      <c r="AA284" s="34"/>
      <c r="AB284" s="22">
        <v>0.86693542480468755</v>
      </c>
      <c r="AC284" s="23" t="s">
        <v>780</v>
      </c>
      <c r="AD284" s="24">
        <v>1.021917808219178</v>
      </c>
      <c r="AE284" s="25">
        <v>-4.1787747049944812E-2</v>
      </c>
      <c r="AF284" s="26">
        <v>0</v>
      </c>
      <c r="AG284" s="26">
        <v>0</v>
      </c>
      <c r="AH284" s="27">
        <v>-0.16798596411060857</v>
      </c>
      <c r="AI284" s="27">
        <v>-0.16798596411060857</v>
      </c>
      <c r="AJ284" s="27">
        <v>-0.16798596411060857</v>
      </c>
      <c r="AK284" s="28" t="s">
        <v>323</v>
      </c>
      <c r="AL284" s="29" t="s">
        <v>48</v>
      </c>
      <c r="AM284" s="29" t="s">
        <v>48</v>
      </c>
      <c r="AN284" s="29" t="s">
        <v>48</v>
      </c>
      <c r="AO284" s="47" t="s">
        <v>82</v>
      </c>
      <c r="AP284" s="28">
        <v>0</v>
      </c>
      <c r="AQ284" s="26">
        <v>1.4999999999999999E-2</v>
      </c>
      <c r="AR284" s="26">
        <v>0</v>
      </c>
    </row>
    <row r="285" spans="1:44" x14ac:dyDescent="0.15">
      <c r="A285">
        <v>797</v>
      </c>
      <c r="B285" s="11">
        <v>1222</v>
      </c>
      <c r="C285" s="32"/>
      <c r="D285" s="32">
        <v>2.9158180879941499E-3</v>
      </c>
      <c r="E285" s="32">
        <v>53</v>
      </c>
      <c r="F285" s="32">
        <v>1.61361028175185E-2</v>
      </c>
      <c r="G285" s="11"/>
      <c r="H285" s="11"/>
      <c r="I285" s="11"/>
      <c r="J285" s="18" t="s">
        <v>44</v>
      </c>
      <c r="K285" s="18" t="s">
        <v>45</v>
      </c>
      <c r="L285" s="58" t="s">
        <v>817</v>
      </c>
      <c r="M285" s="18">
        <f>[1]!f_prt_stocktonav(B285,"2017/03/31")</f>
        <v>76.727279663085938</v>
      </c>
      <c r="N285" s="20" t="str">
        <f>[1]!f_info_fundmanager(B285)</f>
        <v>陈璇淼</v>
      </c>
      <c r="O285" s="21">
        <v>1.0054794520547945</v>
      </c>
      <c r="P285" s="34" t="s">
        <v>1299</v>
      </c>
      <c r="Q285" s="34" t="s">
        <v>1300</v>
      </c>
      <c r="R285" s="34" t="s">
        <v>705</v>
      </c>
      <c r="S285" s="34">
        <v>20150519</v>
      </c>
      <c r="T285" s="45">
        <v>4.3739616186000001</v>
      </c>
      <c r="U285" s="46">
        <v>4.7188241195999998</v>
      </c>
      <c r="V285" s="34" t="s">
        <v>1235</v>
      </c>
      <c r="W285" s="34" t="s">
        <v>44</v>
      </c>
      <c r="X285" s="17" t="s">
        <v>45</v>
      </c>
      <c r="Y285" s="17" t="s">
        <v>274</v>
      </c>
      <c r="Z285" s="34"/>
      <c r="AA285" s="34"/>
      <c r="AB285" s="22">
        <v>0.71713066101074219</v>
      </c>
      <c r="AC285" s="23" t="s">
        <v>1301</v>
      </c>
      <c r="AD285" s="24">
        <v>1.6383561643835616</v>
      </c>
      <c r="AE285" s="25">
        <v>-0.14860045389130416</v>
      </c>
      <c r="AF285" s="26">
        <v>0</v>
      </c>
      <c r="AG285" s="26">
        <v>0</v>
      </c>
      <c r="AH285" s="27">
        <v>-0.65438810326838515</v>
      </c>
      <c r="AI285" s="27">
        <v>-0.65438810326838515</v>
      </c>
      <c r="AJ285" s="27">
        <v>-0.65438810326838515</v>
      </c>
      <c r="AK285" s="28" t="s">
        <v>1302</v>
      </c>
      <c r="AL285" s="29" t="s">
        <v>48</v>
      </c>
      <c r="AM285" s="29" t="s">
        <v>48</v>
      </c>
      <c r="AN285" s="29" t="s">
        <v>48</v>
      </c>
      <c r="AO285" s="47" t="s">
        <v>1303</v>
      </c>
      <c r="AP285" s="28">
        <v>0</v>
      </c>
      <c r="AQ285" s="26">
        <v>1.4999999999999999E-2</v>
      </c>
      <c r="AR285" s="26">
        <v>0</v>
      </c>
    </row>
    <row r="286" spans="1:44" x14ac:dyDescent="0.15">
      <c r="A286">
        <v>152</v>
      </c>
      <c r="B286" s="11">
        <v>1281</v>
      </c>
      <c r="C286" s="32"/>
      <c r="D286" s="32">
        <v>2.3618695323701002E-3</v>
      </c>
      <c r="E286" s="32">
        <v>98</v>
      </c>
      <c r="F286" s="32">
        <v>2.1945657051642901E-3</v>
      </c>
      <c r="G286" s="11"/>
      <c r="H286" s="11"/>
      <c r="I286" s="11"/>
      <c r="J286" s="18" t="s">
        <v>44</v>
      </c>
      <c r="K286" s="18" t="s">
        <v>45</v>
      </c>
      <c r="L286" s="58" t="s">
        <v>65</v>
      </c>
      <c r="M286" s="18">
        <f>[1]!f_prt_stocktonav(B286,"2017/03/31")</f>
        <v>92.687416076660156</v>
      </c>
      <c r="N286" s="20" t="str">
        <f>[1]!f_info_fundmanager(B286)</f>
        <v>林忠晶,陈立秋</v>
      </c>
      <c r="O286" s="21">
        <v>1.8712328767123287</v>
      </c>
      <c r="P286" s="34" t="s">
        <v>1304</v>
      </c>
      <c r="Q286" s="34" t="s">
        <v>1305</v>
      </c>
      <c r="R286" s="34" t="s">
        <v>1306</v>
      </c>
      <c r="S286" s="34">
        <v>20150518</v>
      </c>
      <c r="T286" s="45">
        <v>0.65322990950000004</v>
      </c>
      <c r="U286" s="46">
        <v>0.57897841039999998</v>
      </c>
      <c r="V286" s="34" t="s">
        <v>1219</v>
      </c>
      <c r="W286" s="34" t="s">
        <v>41</v>
      </c>
      <c r="X286" s="34" t="s">
        <v>42</v>
      </c>
      <c r="Y286" s="17" t="s">
        <v>43</v>
      </c>
      <c r="Z286" s="34"/>
      <c r="AA286" s="34"/>
      <c r="AB286" s="22">
        <v>9.8390903472900387E-2</v>
      </c>
      <c r="AC286" s="23" t="s">
        <v>1307</v>
      </c>
      <c r="AD286" s="24">
        <v>1.6410958904109589</v>
      </c>
      <c r="AE286" s="25">
        <v>4.6039162943486867E-2</v>
      </c>
      <c r="AF286" s="26">
        <v>0</v>
      </c>
      <c r="AG286" s="26">
        <v>0</v>
      </c>
      <c r="AH286" s="27">
        <v>0.55483131513267092</v>
      </c>
      <c r="AI286" s="27">
        <v>0.55483131513267092</v>
      </c>
      <c r="AJ286" s="27">
        <v>0.55483131513267092</v>
      </c>
      <c r="AK286" s="28" t="s">
        <v>1308</v>
      </c>
      <c r="AL286" s="29" t="s">
        <v>48</v>
      </c>
      <c r="AM286" s="29" t="s">
        <v>48</v>
      </c>
      <c r="AN286" s="29" t="s">
        <v>48</v>
      </c>
      <c r="AO286" s="47" t="s">
        <v>209</v>
      </c>
      <c r="AP286" s="28">
        <v>0</v>
      </c>
      <c r="AQ286" s="26">
        <v>0.01</v>
      </c>
      <c r="AR286" s="26">
        <v>0</v>
      </c>
    </row>
    <row r="287" spans="1:44" x14ac:dyDescent="0.15">
      <c r="A287">
        <v>343</v>
      </c>
      <c r="B287" s="11">
        <v>1178</v>
      </c>
      <c r="C287" s="32"/>
      <c r="D287" s="32">
        <v>1.35451321486914E-3</v>
      </c>
      <c r="E287" s="32">
        <v>98</v>
      </c>
      <c r="F287" s="32">
        <v>0.44817369497232901</v>
      </c>
      <c r="G287" s="11"/>
      <c r="H287" s="11"/>
      <c r="I287" s="11"/>
      <c r="J287" s="18" t="s">
        <v>44</v>
      </c>
      <c r="K287" s="18" t="s">
        <v>87</v>
      </c>
      <c r="L287" s="58" t="s">
        <v>65</v>
      </c>
      <c r="M287" s="18">
        <f>[1]!f_prt_stocktonav(B287,"2017/03/31")</f>
        <v>88.654319763183594</v>
      </c>
      <c r="N287" s="20" t="str">
        <f>[1]!f_info_fundmanager(B287)</f>
        <v>邱杰</v>
      </c>
      <c r="O287" s="21">
        <v>1.8712328767123287</v>
      </c>
      <c r="P287" s="34" t="s">
        <v>1309</v>
      </c>
      <c r="Q287" s="34" t="s">
        <v>1310</v>
      </c>
      <c r="R287" s="34" t="s">
        <v>78</v>
      </c>
      <c r="S287" s="34">
        <v>20150518</v>
      </c>
      <c r="T287" s="45">
        <v>7.1545467620999998</v>
      </c>
      <c r="U287" s="46">
        <v>7.6966978179999996</v>
      </c>
      <c r="V287" s="34" t="s">
        <v>1235</v>
      </c>
      <c r="W287" s="34" t="s">
        <v>44</v>
      </c>
      <c r="X287" s="34" t="s">
        <v>87</v>
      </c>
      <c r="Y287" s="34" t="s">
        <v>65</v>
      </c>
      <c r="Z287" s="34" t="s">
        <v>1311</v>
      </c>
      <c r="AA287" s="34"/>
      <c r="AB287" s="22">
        <v>0.80855873107910159</v>
      </c>
      <c r="AC287" s="23" t="s">
        <v>1155</v>
      </c>
      <c r="AD287" s="24">
        <v>1.6410958904109589</v>
      </c>
      <c r="AE287" s="25">
        <v>6.8587091619674023E-2</v>
      </c>
      <c r="AF287" s="26">
        <v>0</v>
      </c>
      <c r="AG287" s="26">
        <v>0</v>
      </c>
      <c r="AH287" s="27">
        <v>0.39877254310864907</v>
      </c>
      <c r="AI287" s="27">
        <v>0.39877254310864907</v>
      </c>
      <c r="AJ287" s="27">
        <v>0.39877254310864907</v>
      </c>
      <c r="AK287" s="33" t="s">
        <v>167</v>
      </c>
      <c r="AL287" s="29" t="s">
        <v>48</v>
      </c>
      <c r="AM287" s="29" t="s">
        <v>48</v>
      </c>
      <c r="AN287" s="29" t="s">
        <v>48</v>
      </c>
      <c r="AO287" s="47" t="s">
        <v>270</v>
      </c>
      <c r="AP287" s="28">
        <v>0</v>
      </c>
      <c r="AQ287" s="26">
        <v>1.4999999999999999E-2</v>
      </c>
      <c r="AR287" s="26">
        <v>0</v>
      </c>
    </row>
    <row r="288" spans="1:44" x14ac:dyDescent="0.15">
      <c r="A288">
        <v>98</v>
      </c>
      <c r="B288" s="11">
        <v>1042</v>
      </c>
      <c r="C288" s="32"/>
      <c r="D288" s="32">
        <v>-1.8723787732529099E-3</v>
      </c>
      <c r="E288" s="32">
        <v>98</v>
      </c>
      <c r="F288" s="32">
        <v>0.2309437745075</v>
      </c>
      <c r="G288" s="11"/>
      <c r="H288" s="11"/>
      <c r="I288" s="11"/>
      <c r="J288" s="18" t="s">
        <v>44</v>
      </c>
      <c r="K288" s="18" t="s">
        <v>45</v>
      </c>
      <c r="L288" s="58" t="s">
        <v>274</v>
      </c>
      <c r="M288" s="18">
        <f>[1]!f_prt_stocktonav(B288,"2017/03/31")</f>
        <v>93.622566223144531</v>
      </c>
      <c r="N288" s="20" t="str">
        <f>[1]!f_info_fundmanager(B288)</f>
        <v>林峰</v>
      </c>
      <c r="O288" s="21">
        <v>1.8794520547945206</v>
      </c>
      <c r="P288" s="34" t="s">
        <v>1312</v>
      </c>
      <c r="Q288" s="34" t="s">
        <v>1313</v>
      </c>
      <c r="R288" s="34" t="s">
        <v>143</v>
      </c>
      <c r="S288" s="34">
        <v>20150515</v>
      </c>
      <c r="T288" s="45">
        <v>31.6617804029</v>
      </c>
      <c r="U288" s="46">
        <v>34.838910054400003</v>
      </c>
      <c r="V288" s="34" t="s">
        <v>231</v>
      </c>
      <c r="W288" s="34" t="s">
        <v>44</v>
      </c>
      <c r="X288" s="34" t="s">
        <v>45</v>
      </c>
      <c r="Y288" s="34" t="s">
        <v>274</v>
      </c>
      <c r="Z288" s="34"/>
      <c r="AA288" s="34"/>
      <c r="AB288" s="22">
        <v>0.9254442596435547</v>
      </c>
      <c r="AC288" s="23" t="s">
        <v>1314</v>
      </c>
      <c r="AD288" s="24">
        <v>1.6493150684931508</v>
      </c>
      <c r="AE288" s="25">
        <v>-0.19102240737413789</v>
      </c>
      <c r="AF288" s="26">
        <v>0</v>
      </c>
      <c r="AG288" s="26">
        <v>0</v>
      </c>
      <c r="AH288" s="27">
        <v>-0.31869947318839081</v>
      </c>
      <c r="AI288" s="27">
        <v>-0.31869947318839081</v>
      </c>
      <c r="AJ288" s="27">
        <v>-0.31869947318839081</v>
      </c>
      <c r="AK288" s="28" t="s">
        <v>1315</v>
      </c>
      <c r="AL288" s="29" t="s">
        <v>48</v>
      </c>
      <c r="AM288" s="29" t="s">
        <v>48</v>
      </c>
      <c r="AN288" s="29" t="s">
        <v>48</v>
      </c>
      <c r="AO288" s="47" t="s">
        <v>101</v>
      </c>
      <c r="AP288" s="28">
        <v>0</v>
      </c>
      <c r="AQ288" s="26">
        <v>1.4999999999999999E-2</v>
      </c>
      <c r="AR288" s="26">
        <v>0</v>
      </c>
    </row>
    <row r="289" spans="1:44" x14ac:dyDescent="0.15">
      <c r="A289">
        <v>176</v>
      </c>
      <c r="B289" s="11">
        <v>1071</v>
      </c>
      <c r="C289" s="32"/>
      <c r="D289" s="32">
        <v>-5.0733649514997402E-4</v>
      </c>
      <c r="E289" s="32">
        <v>70</v>
      </c>
      <c r="F289" s="32">
        <v>0.80527496071337901</v>
      </c>
      <c r="G289" s="11"/>
      <c r="H289" s="11"/>
      <c r="I289" s="11"/>
      <c r="J289" s="18" t="s">
        <v>44</v>
      </c>
      <c r="K289" s="18" t="s">
        <v>45</v>
      </c>
      <c r="L289" s="58" t="s">
        <v>65</v>
      </c>
      <c r="M289" s="18">
        <f>[1]!f_prt_stocktonav(B289,"2017/03/31")</f>
        <v>92.189567565917969</v>
      </c>
      <c r="N289" s="20" t="str">
        <f>[1]!f_info_fundmanager(B289)</f>
        <v>胡宜斌</v>
      </c>
      <c r="O289" s="21">
        <v>1.3452054794520547</v>
      </c>
      <c r="P289" s="34" t="s">
        <v>1316</v>
      </c>
      <c r="Q289" s="34" t="s">
        <v>1317</v>
      </c>
      <c r="R289" s="34" t="s">
        <v>63</v>
      </c>
      <c r="S289" s="34">
        <v>20150515</v>
      </c>
      <c r="T289" s="45">
        <v>16.562335085800001</v>
      </c>
      <c r="U289" s="46">
        <v>19.9613194079</v>
      </c>
      <c r="V289" s="34" t="s">
        <v>231</v>
      </c>
      <c r="W289" s="34" t="s">
        <v>44</v>
      </c>
      <c r="X289" s="34" t="s">
        <v>45</v>
      </c>
      <c r="Y289" s="34" t="s">
        <v>65</v>
      </c>
      <c r="Z289" s="34"/>
      <c r="AA289" s="34"/>
      <c r="AB289" s="22">
        <v>0.91270278930664062</v>
      </c>
      <c r="AC289" s="23" t="s">
        <v>1318</v>
      </c>
      <c r="AD289" s="24">
        <v>1.1150684931506849</v>
      </c>
      <c r="AE289" s="25">
        <v>1.9444610021079001E-2</v>
      </c>
      <c r="AF289" s="26">
        <v>0</v>
      </c>
      <c r="AG289" s="26">
        <v>0</v>
      </c>
      <c r="AH289" s="27">
        <v>0.22669453910035256</v>
      </c>
      <c r="AI289" s="27">
        <v>0.22669453910035256</v>
      </c>
      <c r="AJ289" s="27">
        <v>0.22669453910035256</v>
      </c>
      <c r="AK289" s="28" t="s">
        <v>602</v>
      </c>
      <c r="AL289" s="29" t="s">
        <v>48</v>
      </c>
      <c r="AM289" s="29" t="s">
        <v>48</v>
      </c>
      <c r="AN289" s="29" t="s">
        <v>48</v>
      </c>
      <c r="AO289" s="47" t="s">
        <v>1319</v>
      </c>
      <c r="AP289" s="28">
        <v>0</v>
      </c>
      <c r="AQ289" s="26">
        <v>1.4999999999999999E-2</v>
      </c>
      <c r="AR289" s="26">
        <v>0</v>
      </c>
    </row>
    <row r="290" spans="1:44" x14ac:dyDescent="0.15">
      <c r="A290">
        <v>15</v>
      </c>
      <c r="B290" s="11">
        <v>1268</v>
      </c>
      <c r="C290" s="32"/>
      <c r="D290" s="32">
        <v>-1.68379539685069E-3</v>
      </c>
      <c r="E290" s="32">
        <v>98</v>
      </c>
      <c r="F290" s="32">
        <v>0.250536096674082</v>
      </c>
      <c r="G290" s="11"/>
      <c r="H290" s="11"/>
      <c r="I290" s="11"/>
      <c r="J290" s="18" t="s">
        <v>44</v>
      </c>
      <c r="K290" s="18" t="s">
        <v>87</v>
      </c>
      <c r="L290" s="58" t="s">
        <v>65</v>
      </c>
      <c r="M290" s="18">
        <f>[1]!f_prt_stocktonav(B290,"2017/03/31")</f>
        <v>94.795387268066406</v>
      </c>
      <c r="N290" s="20" t="str">
        <f>[1]!f_info_fundmanager(B290)</f>
        <v>王海军</v>
      </c>
      <c r="O290" s="21">
        <v>1.8821917808219177</v>
      </c>
      <c r="P290" s="34" t="s">
        <v>1320</v>
      </c>
      <c r="Q290" s="34" t="s">
        <v>1321</v>
      </c>
      <c r="R290" s="34" t="s">
        <v>396</v>
      </c>
      <c r="S290" s="34">
        <v>20150514</v>
      </c>
      <c r="T290" s="45">
        <v>17.8607584003</v>
      </c>
      <c r="U290" s="46">
        <v>20.040976049200001</v>
      </c>
      <c r="V290" s="34" t="s">
        <v>231</v>
      </c>
      <c r="W290" s="34" t="s">
        <v>44</v>
      </c>
      <c r="X290" s="34" t="s">
        <v>87</v>
      </c>
      <c r="Y290" s="34" t="s">
        <v>65</v>
      </c>
      <c r="Z290" s="34" t="s">
        <v>487</v>
      </c>
      <c r="AA290" s="34"/>
      <c r="AB290" s="22">
        <v>0.94477554321289059</v>
      </c>
      <c r="AC290" s="23" t="s">
        <v>533</v>
      </c>
      <c r="AD290" s="24">
        <v>1.6520547945205479</v>
      </c>
      <c r="AE290" s="25">
        <v>-0.23844990067354854</v>
      </c>
      <c r="AF290" s="26">
        <v>0</v>
      </c>
      <c r="AG290" s="26">
        <v>0</v>
      </c>
      <c r="AH290" s="27">
        <v>-0.52162745607943084</v>
      </c>
      <c r="AI290" s="27">
        <v>-0.52162745607943084</v>
      </c>
      <c r="AJ290" s="27">
        <v>-0.52162745607943084</v>
      </c>
      <c r="AK290" s="33" t="s">
        <v>1103</v>
      </c>
      <c r="AL290" s="29" t="s">
        <v>48</v>
      </c>
      <c r="AM290" s="29" t="s">
        <v>48</v>
      </c>
      <c r="AN290" s="29" t="s">
        <v>48</v>
      </c>
      <c r="AO290" s="47" t="s">
        <v>1322</v>
      </c>
      <c r="AP290" s="28" t="s">
        <v>608</v>
      </c>
      <c r="AQ290" s="26">
        <v>1.4999999999999999E-2</v>
      </c>
      <c r="AR290" s="26">
        <v>0</v>
      </c>
    </row>
    <row r="291" spans="1:44" x14ac:dyDescent="0.15">
      <c r="A291">
        <v>66</v>
      </c>
      <c r="B291" s="11">
        <v>1227</v>
      </c>
      <c r="C291" s="32"/>
      <c r="D291" s="32">
        <v>-4.6012978764395899E-4</v>
      </c>
      <c r="E291" s="32">
        <v>98</v>
      </c>
      <c r="F291" s="32">
        <v>0.79313793800379995</v>
      </c>
      <c r="G291" s="11"/>
      <c r="H291" s="11"/>
      <c r="I291" s="11"/>
      <c r="J291" s="18" t="s">
        <v>44</v>
      </c>
      <c r="K291" s="18" t="s">
        <v>86</v>
      </c>
      <c r="L291" s="58" t="s">
        <v>65</v>
      </c>
      <c r="M291" s="18">
        <f>[1]!f_prt_stocktonav(B291,"2017/03/31")</f>
        <v>94.112052917480469</v>
      </c>
      <c r="N291" s="20" t="str">
        <f>[1]!f_info_fundmanager(B291)</f>
        <v>任泽松,周楠</v>
      </c>
      <c r="O291" s="21">
        <v>1.8821917808219177</v>
      </c>
      <c r="P291" s="34" t="s">
        <v>1323</v>
      </c>
      <c r="Q291" s="34" t="s">
        <v>1324</v>
      </c>
      <c r="R291" s="34" t="s">
        <v>85</v>
      </c>
      <c r="S291" s="34">
        <v>20150514</v>
      </c>
      <c r="T291" s="45">
        <v>58.641798742100001</v>
      </c>
      <c r="U291" s="46">
        <v>68.249337346800004</v>
      </c>
      <c r="V291" s="34" t="s">
        <v>231</v>
      </c>
      <c r="W291" s="34" t="s">
        <v>44</v>
      </c>
      <c r="X291" s="34" t="s">
        <v>45</v>
      </c>
      <c r="Y291" s="34" t="s">
        <v>274</v>
      </c>
      <c r="Z291" s="34"/>
      <c r="AA291" s="34"/>
      <c r="AB291" s="22">
        <v>0.88234123229980466</v>
      </c>
      <c r="AC291" s="23" t="s">
        <v>1325</v>
      </c>
      <c r="AD291" s="24">
        <v>1.6520547945205479</v>
      </c>
      <c r="AE291" s="25">
        <v>-0.16514271100741051</v>
      </c>
      <c r="AF291" s="26">
        <v>0</v>
      </c>
      <c r="AG291" s="26">
        <v>0</v>
      </c>
      <c r="AH291" s="27">
        <v>-0.27622466043142463</v>
      </c>
      <c r="AI291" s="27">
        <v>-0.27622466043142463</v>
      </c>
      <c r="AJ291" s="27">
        <v>-0.27622466043142463</v>
      </c>
      <c r="AK291" s="28" t="s">
        <v>1326</v>
      </c>
      <c r="AL291" s="29" t="s">
        <v>48</v>
      </c>
      <c r="AM291" s="29" t="s">
        <v>48</v>
      </c>
      <c r="AN291" s="29" t="s">
        <v>48</v>
      </c>
      <c r="AO291" s="47" t="s">
        <v>1271</v>
      </c>
      <c r="AP291" s="28">
        <v>0</v>
      </c>
      <c r="AQ291" s="26">
        <v>1.4999999999999999E-2</v>
      </c>
      <c r="AR291" s="26">
        <v>0</v>
      </c>
    </row>
    <row r="292" spans="1:44" x14ac:dyDescent="0.15">
      <c r="A292">
        <v>498</v>
      </c>
      <c r="B292" s="11">
        <v>1208</v>
      </c>
      <c r="C292" s="32"/>
      <c r="D292" s="32">
        <v>5.6721839878498103E-4</v>
      </c>
      <c r="E292" s="32">
        <v>79</v>
      </c>
      <c r="F292" s="32">
        <v>0.70350309021327495</v>
      </c>
      <c r="G292" s="11"/>
      <c r="H292" s="11"/>
      <c r="I292" s="11"/>
      <c r="J292" s="18" t="s">
        <v>44</v>
      </c>
      <c r="K292" s="18" t="s">
        <v>87</v>
      </c>
      <c r="L292" s="58" t="s">
        <v>65</v>
      </c>
      <c r="M292" s="18">
        <f>[1]!f_prt_stocktonav(B292,"2017/03/31")</f>
        <v>85.336235046386719</v>
      </c>
      <c r="N292" s="20" t="str">
        <f>[1]!f_info_fundmanager(B292)</f>
        <v>盛震山</v>
      </c>
      <c r="O292" s="21">
        <v>1.5123287671232877</v>
      </c>
      <c r="P292" s="34" t="s">
        <v>1327</v>
      </c>
      <c r="Q292" s="34" t="s">
        <v>1328</v>
      </c>
      <c r="R292" s="34" t="s">
        <v>955</v>
      </c>
      <c r="S292" s="34">
        <v>20150512</v>
      </c>
      <c r="T292" s="45">
        <v>17.997344441300001</v>
      </c>
      <c r="U292" s="46">
        <v>19.248643381299999</v>
      </c>
      <c r="V292" s="34" t="s">
        <v>1235</v>
      </c>
      <c r="W292" s="34" t="s">
        <v>44</v>
      </c>
      <c r="X292" s="34" t="s">
        <v>45</v>
      </c>
      <c r="Y292" s="34" t="s">
        <v>337</v>
      </c>
      <c r="Z292" s="34"/>
      <c r="AA292" s="34"/>
      <c r="AB292" s="22">
        <v>0.8124681854248047</v>
      </c>
      <c r="AC292" s="23" t="s">
        <v>1329</v>
      </c>
      <c r="AD292" s="24">
        <v>1.2821917808219179</v>
      </c>
      <c r="AE292" s="25">
        <v>-0.13292360999341168</v>
      </c>
      <c r="AF292" s="26">
        <v>0</v>
      </c>
      <c r="AG292" s="26">
        <v>0</v>
      </c>
      <c r="AH292" s="27">
        <v>-0.48649465141751169</v>
      </c>
      <c r="AI292" s="27">
        <v>-0.48649465141751169</v>
      </c>
      <c r="AJ292" s="27">
        <v>-0.48649465141751169</v>
      </c>
      <c r="AK292" s="28" t="s">
        <v>1330</v>
      </c>
      <c r="AL292" s="29" t="s">
        <v>48</v>
      </c>
      <c r="AM292" s="29" t="s">
        <v>48</v>
      </c>
      <c r="AN292" s="29" t="s">
        <v>48</v>
      </c>
      <c r="AO292" s="47" t="s">
        <v>255</v>
      </c>
      <c r="AP292" s="28">
        <v>0</v>
      </c>
      <c r="AQ292" s="26">
        <v>1.4999999999999999E-2</v>
      </c>
      <c r="AR292" s="26">
        <v>0</v>
      </c>
    </row>
    <row r="293" spans="1:44" x14ac:dyDescent="0.15">
      <c r="A293">
        <v>79</v>
      </c>
      <c r="B293" s="11">
        <v>1102</v>
      </c>
      <c r="C293" s="32"/>
      <c r="D293" s="32">
        <v>2.0636486686264198E-3</v>
      </c>
      <c r="E293" s="32">
        <v>99</v>
      </c>
      <c r="F293" s="32">
        <v>0.18758408749035499</v>
      </c>
      <c r="G293" s="11"/>
      <c r="H293" s="11"/>
      <c r="I293" s="11"/>
      <c r="J293" s="18" t="s">
        <v>44</v>
      </c>
      <c r="K293" s="18" t="s">
        <v>45</v>
      </c>
      <c r="L293" s="58" t="s">
        <v>65</v>
      </c>
      <c r="M293" s="18">
        <f>[1]!f_prt_stocktonav(B293,"2017/03/31")</f>
        <v>93.932296752929688</v>
      </c>
      <c r="N293" s="20" t="str">
        <f>[1]!f_info_fundmanager(B293)</f>
        <v>曲扬</v>
      </c>
      <c r="O293" s="21">
        <v>1.8986301369863015</v>
      </c>
      <c r="P293" s="34" t="s">
        <v>1331</v>
      </c>
      <c r="Q293" s="34" t="s">
        <v>1332</v>
      </c>
      <c r="R293" s="34" t="s">
        <v>78</v>
      </c>
      <c r="S293" s="34">
        <v>20150508</v>
      </c>
      <c r="T293" s="45">
        <v>9.7042682390999992</v>
      </c>
      <c r="U293" s="46">
        <v>11.3434536146</v>
      </c>
      <c r="V293" s="34" t="s">
        <v>1235</v>
      </c>
      <c r="W293" s="34" t="s">
        <v>44</v>
      </c>
      <c r="X293" s="17" t="s">
        <v>45</v>
      </c>
      <c r="Y293" s="17" t="s">
        <v>817</v>
      </c>
      <c r="Z293" s="34"/>
      <c r="AA293" s="34"/>
      <c r="AB293" s="22">
        <v>0.94225494384765629</v>
      </c>
      <c r="AC293" s="23" t="s">
        <v>119</v>
      </c>
      <c r="AD293" s="24">
        <v>1.6684931506849314</v>
      </c>
      <c r="AE293" s="25">
        <v>4.7606369720882391E-2</v>
      </c>
      <c r="AF293" s="26">
        <v>0</v>
      </c>
      <c r="AG293" s="26">
        <v>0</v>
      </c>
      <c r="AH293" s="27">
        <v>0.33006751720866023</v>
      </c>
      <c r="AI293" s="27">
        <v>0.33006751720866023</v>
      </c>
      <c r="AJ293" s="27">
        <v>0.33006751720866023</v>
      </c>
      <c r="AK293" s="28" t="s">
        <v>196</v>
      </c>
      <c r="AL293" s="29" t="s">
        <v>48</v>
      </c>
      <c r="AM293" s="29" t="s">
        <v>48</v>
      </c>
      <c r="AN293" s="29" t="s">
        <v>48</v>
      </c>
      <c r="AO293" s="47" t="s">
        <v>227</v>
      </c>
      <c r="AP293" s="28">
        <v>0</v>
      </c>
      <c r="AQ293" s="26">
        <v>1.4999999999999999E-2</v>
      </c>
      <c r="AR293" s="26">
        <v>0</v>
      </c>
    </row>
    <row r="294" spans="1:44" x14ac:dyDescent="0.15">
      <c r="A294">
        <v>895</v>
      </c>
      <c r="B294" s="11">
        <v>1088</v>
      </c>
      <c r="C294" s="32"/>
      <c r="D294" s="32">
        <v>-4.2750891789702998E-4</v>
      </c>
      <c r="E294" s="32">
        <v>99</v>
      </c>
      <c r="F294" s="32">
        <v>0.73977352176723898</v>
      </c>
      <c r="G294" s="11"/>
      <c r="H294" s="11"/>
      <c r="I294" s="11"/>
      <c r="J294" s="18" t="s">
        <v>44</v>
      </c>
      <c r="K294" s="18" t="s">
        <v>45</v>
      </c>
      <c r="L294" s="58" t="s">
        <v>274</v>
      </c>
      <c r="M294" s="18">
        <f>[1]!f_prt_stocktonav(B294,"2017/03/31")</f>
        <v>72.848731994628906</v>
      </c>
      <c r="N294" s="20" t="str">
        <f>[1]!f_info_fundmanager(B294)</f>
        <v>刘自强,毛文博</v>
      </c>
      <c r="O294" s="21">
        <v>1.8986301369863015</v>
      </c>
      <c r="P294" s="34" t="s">
        <v>1333</v>
      </c>
      <c r="Q294" s="34" t="s">
        <v>1334</v>
      </c>
      <c r="R294" s="34" t="s">
        <v>737</v>
      </c>
      <c r="S294" s="34">
        <v>20150508</v>
      </c>
      <c r="T294" s="45">
        <v>15.530239656799999</v>
      </c>
      <c r="U294" s="46">
        <v>17.134983363700002</v>
      </c>
      <c r="V294" s="34" t="s">
        <v>1235</v>
      </c>
      <c r="W294" s="34" t="s">
        <v>44</v>
      </c>
      <c r="X294" s="34" t="s">
        <v>45</v>
      </c>
      <c r="Y294" s="34" t="s">
        <v>274</v>
      </c>
      <c r="Z294" s="34"/>
      <c r="AA294" s="34"/>
      <c r="AB294" s="22">
        <v>0.71336906433105474</v>
      </c>
      <c r="AC294" s="23" t="s">
        <v>1335</v>
      </c>
      <c r="AD294" s="24">
        <v>1.6684931506849314</v>
      </c>
      <c r="AE294" s="25">
        <v>-0.15551846514218892</v>
      </c>
      <c r="AF294" s="26">
        <v>0</v>
      </c>
      <c r="AG294" s="26">
        <v>0</v>
      </c>
      <c r="AH294" s="27">
        <v>-0.47930354680646614</v>
      </c>
      <c r="AI294" s="27">
        <v>-0.47930354680646614</v>
      </c>
      <c r="AJ294" s="27">
        <v>-0.47930354680646614</v>
      </c>
      <c r="AK294" s="28" t="s">
        <v>882</v>
      </c>
      <c r="AL294" s="29" t="s">
        <v>48</v>
      </c>
      <c r="AM294" s="29" t="s">
        <v>48</v>
      </c>
      <c r="AN294" s="29" t="s">
        <v>48</v>
      </c>
      <c r="AO294" s="47" t="s">
        <v>739</v>
      </c>
      <c r="AP294" s="28">
        <v>0</v>
      </c>
      <c r="AQ294" s="26">
        <v>1.4999999999999999E-2</v>
      </c>
      <c r="AR294" s="26">
        <v>0</v>
      </c>
    </row>
    <row r="295" spans="1:44" x14ac:dyDescent="0.15">
      <c r="A295">
        <v>333</v>
      </c>
      <c r="B295" s="11">
        <v>1186</v>
      </c>
      <c r="C295" s="32"/>
      <c r="D295" s="32">
        <v>-1.11513387947778E-3</v>
      </c>
      <c r="E295" s="32">
        <v>100</v>
      </c>
      <c r="F295" s="32">
        <v>0.53726790150970904</v>
      </c>
      <c r="G295" s="11"/>
      <c r="H295" s="11"/>
      <c r="I295" s="11"/>
      <c r="J295" s="18" t="s">
        <v>44</v>
      </c>
      <c r="K295" s="18" t="s">
        <v>45</v>
      </c>
      <c r="L295" s="58" t="s">
        <v>274</v>
      </c>
      <c r="M295" s="18">
        <f>[1]!f_prt_stocktonav(B295,"2017/03/31")</f>
        <v>88.766197204589844</v>
      </c>
      <c r="N295" s="20" t="str">
        <f>[1]!f_info_fundmanager(B295)</f>
        <v>林庆</v>
      </c>
      <c r="O295" s="21">
        <v>1.904109589041096</v>
      </c>
      <c r="P295" s="34" t="s">
        <v>1336</v>
      </c>
      <c r="Q295" s="34" t="s">
        <v>1337</v>
      </c>
      <c r="R295" s="34" t="s">
        <v>396</v>
      </c>
      <c r="S295" s="34">
        <v>20150506</v>
      </c>
      <c r="T295" s="45">
        <v>21.070411881199998</v>
      </c>
      <c r="U295" s="46">
        <v>21.262660726</v>
      </c>
      <c r="V295" s="34" t="s">
        <v>231</v>
      </c>
      <c r="W295" s="34" t="s">
        <v>44</v>
      </c>
      <c r="X295" s="34" t="s">
        <v>45</v>
      </c>
      <c r="Y295" s="34" t="s">
        <v>274</v>
      </c>
      <c r="Z295" s="34"/>
      <c r="AA295" s="34"/>
      <c r="AB295" s="22">
        <v>0.85675231933593754</v>
      </c>
      <c r="AC295" s="23" t="s">
        <v>1338</v>
      </c>
      <c r="AD295" s="24">
        <v>1.6739726027397259</v>
      </c>
      <c r="AE295" s="25">
        <v>-0.12905625944930554</v>
      </c>
      <c r="AF295" s="26">
        <v>0</v>
      </c>
      <c r="AG295" s="26">
        <v>0</v>
      </c>
      <c r="AH295" s="27">
        <v>-0.14357068214972016</v>
      </c>
      <c r="AI295" s="27">
        <v>-0.14357068214972016</v>
      </c>
      <c r="AJ295" s="27">
        <v>-0.14357068214972016</v>
      </c>
      <c r="AK295" s="28" t="s">
        <v>489</v>
      </c>
      <c r="AL295" s="29" t="s">
        <v>48</v>
      </c>
      <c r="AM295" s="29" t="s">
        <v>48</v>
      </c>
      <c r="AN295" s="29" t="s">
        <v>48</v>
      </c>
      <c r="AO295" s="47" t="s">
        <v>1339</v>
      </c>
      <c r="AP295" s="28" t="s">
        <v>608</v>
      </c>
      <c r="AQ295" s="26">
        <v>1.4999999999999999E-2</v>
      </c>
      <c r="AR295" s="26">
        <v>0</v>
      </c>
    </row>
    <row r="296" spans="1:44" x14ac:dyDescent="0.15">
      <c r="A296">
        <v>228</v>
      </c>
      <c r="B296" s="11">
        <v>1154</v>
      </c>
      <c r="C296" s="32"/>
      <c r="D296" s="32">
        <v>1.17152565486318E-3</v>
      </c>
      <c r="E296" s="32">
        <v>100</v>
      </c>
      <c r="F296" s="32">
        <v>0.64596820792020904</v>
      </c>
      <c r="G296" s="11"/>
      <c r="H296" s="11"/>
      <c r="I296" s="11"/>
      <c r="J296" s="18" t="s">
        <v>44</v>
      </c>
      <c r="K296" s="18" t="s">
        <v>87</v>
      </c>
      <c r="L296" s="58" t="s">
        <v>274</v>
      </c>
      <c r="M296" s="18">
        <f>[1]!f_prt_stocktonav(B296,"2017/03/31")</f>
        <v>91.177772521972656</v>
      </c>
      <c r="N296" s="20" t="str">
        <f>[1]!f_info_fundmanager(B296)</f>
        <v>于军华,高峰</v>
      </c>
      <c r="O296" s="21">
        <v>1.9068493150684931</v>
      </c>
      <c r="P296" s="34" t="s">
        <v>1340</v>
      </c>
      <c r="Q296" s="34" t="s">
        <v>1341</v>
      </c>
      <c r="R296" s="34" t="s">
        <v>711</v>
      </c>
      <c r="S296" s="34">
        <v>20150505</v>
      </c>
      <c r="T296" s="45">
        <v>1.1551767111</v>
      </c>
      <c r="U296" s="46">
        <v>1.3606358742</v>
      </c>
      <c r="V296" s="34" t="s">
        <v>1235</v>
      </c>
      <c r="W296" s="34" t="s">
        <v>44</v>
      </c>
      <c r="X296" s="34" t="s">
        <v>87</v>
      </c>
      <c r="Y296" s="34" t="s">
        <v>274</v>
      </c>
      <c r="Z296" s="34" t="s">
        <v>1342</v>
      </c>
      <c r="AA296" s="34"/>
      <c r="AB296" s="22">
        <v>0.95190261840820312</v>
      </c>
      <c r="AC296" s="23" t="s">
        <v>1343</v>
      </c>
      <c r="AD296" s="24">
        <v>1.6767123287671233</v>
      </c>
      <c r="AE296" s="25">
        <v>4.2693501025759417E-2</v>
      </c>
      <c r="AF296" s="26">
        <v>0</v>
      </c>
      <c r="AG296" s="26">
        <v>0</v>
      </c>
      <c r="AH296" s="27">
        <v>0.25563663897483302</v>
      </c>
      <c r="AI296" s="27">
        <v>0.25563663897483302</v>
      </c>
      <c r="AJ296" s="27">
        <v>0.25563663897483302</v>
      </c>
      <c r="AK296" s="33" t="s">
        <v>714</v>
      </c>
      <c r="AL296" s="29" t="s">
        <v>48</v>
      </c>
      <c r="AM296" s="29" t="s">
        <v>48</v>
      </c>
      <c r="AN296" s="29" t="s">
        <v>48</v>
      </c>
      <c r="AO296" s="47" t="s">
        <v>715</v>
      </c>
      <c r="AP296" s="28">
        <v>0</v>
      </c>
      <c r="AQ296" s="26">
        <v>1.4999999999999999E-2</v>
      </c>
      <c r="AR296" s="26">
        <v>0</v>
      </c>
    </row>
    <row r="297" spans="1:44" x14ac:dyDescent="0.15">
      <c r="A297">
        <v>140</v>
      </c>
      <c r="B297" s="11">
        <v>1184</v>
      </c>
      <c r="C297" s="32"/>
      <c r="D297" s="32">
        <v>-3.58970613637915E-3</v>
      </c>
      <c r="E297" s="32">
        <v>100</v>
      </c>
      <c r="F297" s="32">
        <v>7.4818922218452502E-2</v>
      </c>
      <c r="G297" s="11"/>
      <c r="H297" s="11"/>
      <c r="I297" s="11"/>
      <c r="J297" s="18" t="s">
        <v>44</v>
      </c>
      <c r="K297" s="18" t="s">
        <v>45</v>
      </c>
      <c r="L297" s="58" t="s">
        <v>274</v>
      </c>
      <c r="M297" s="18">
        <f>[1]!f_prt_stocktonav(B297,"2017/03/31")</f>
        <v>92.913978576660156</v>
      </c>
      <c r="N297" s="20" t="str">
        <f>[1]!f_info_fundmanager(B297)</f>
        <v>樊正伟,宋昆</v>
      </c>
      <c r="O297" s="21">
        <v>1.9205479452054794</v>
      </c>
      <c r="P297" s="34" t="s">
        <v>1344</v>
      </c>
      <c r="Q297" s="34" t="s">
        <v>1345</v>
      </c>
      <c r="R297" s="34" t="s">
        <v>218</v>
      </c>
      <c r="S297" s="34">
        <v>20150430</v>
      </c>
      <c r="T297" s="45">
        <v>50.049748696000002</v>
      </c>
      <c r="U297" s="46">
        <v>57.244232378500001</v>
      </c>
      <c r="V297" s="34" t="s">
        <v>231</v>
      </c>
      <c r="W297" s="34" t="s">
        <v>44</v>
      </c>
      <c r="X297" s="34" t="s">
        <v>45</v>
      </c>
      <c r="Y297" s="34" t="s">
        <v>274</v>
      </c>
      <c r="Z297" s="34"/>
      <c r="AA297" s="34"/>
      <c r="AB297" s="22">
        <v>0.78957298278808596</v>
      </c>
      <c r="AC297" s="23" t="s">
        <v>1346</v>
      </c>
      <c r="AD297" s="24">
        <v>1.6904109589041096</v>
      </c>
      <c r="AE297" s="25">
        <v>-0.32605760093639008</v>
      </c>
      <c r="AF297" s="26">
        <v>0</v>
      </c>
      <c r="AG297" s="26">
        <v>0</v>
      </c>
      <c r="AH297" s="27">
        <v>-0.85298025552674739</v>
      </c>
      <c r="AI297" s="27">
        <v>-0.85298025552674739</v>
      </c>
      <c r="AJ297" s="27">
        <v>-0.85298025552674739</v>
      </c>
      <c r="AK297" s="28" t="s">
        <v>1230</v>
      </c>
      <c r="AL297" s="29" t="s">
        <v>48</v>
      </c>
      <c r="AM297" s="29" t="s">
        <v>48</v>
      </c>
      <c r="AN297" s="29" t="s">
        <v>48</v>
      </c>
      <c r="AO297" s="47" t="s">
        <v>1347</v>
      </c>
      <c r="AP297" s="28">
        <v>0</v>
      </c>
      <c r="AQ297" s="26">
        <v>1.4999999999999999E-2</v>
      </c>
      <c r="AR297" s="26">
        <v>0</v>
      </c>
    </row>
    <row r="298" spans="1:44" x14ac:dyDescent="0.15">
      <c r="A298">
        <v>520</v>
      </c>
      <c r="B298" s="11">
        <v>1167</v>
      </c>
      <c r="C298" s="32"/>
      <c r="D298" s="32">
        <v>-4.0257060554280801E-3</v>
      </c>
      <c r="E298" s="32">
        <v>100</v>
      </c>
      <c r="F298" s="32">
        <v>1.01460169204884E-2</v>
      </c>
      <c r="G298" s="11"/>
      <c r="H298" s="11"/>
      <c r="I298" s="11"/>
      <c r="J298" s="18" t="s">
        <v>44</v>
      </c>
      <c r="K298" s="18" t="s">
        <v>45</v>
      </c>
      <c r="L298" s="58" t="s">
        <v>274</v>
      </c>
      <c r="M298" s="18">
        <f>[1]!f_prt_stocktonav(B298,"2017/03/31")</f>
        <v>84.911033630371094</v>
      </c>
      <c r="N298" s="20" t="str">
        <f>[1]!f_info_fundmanager(B298)</f>
        <v>方超</v>
      </c>
      <c r="O298" s="21">
        <v>1.9205479452054794</v>
      </c>
      <c r="P298" s="34" t="s">
        <v>1348</v>
      </c>
      <c r="Q298" s="34" t="s">
        <v>1349</v>
      </c>
      <c r="R298" s="34" t="s">
        <v>273</v>
      </c>
      <c r="S298" s="34">
        <v>20150430</v>
      </c>
      <c r="T298" s="45">
        <v>7.9282882012</v>
      </c>
      <c r="U298" s="46">
        <v>9.0258560811000006</v>
      </c>
      <c r="V298" s="34" t="s">
        <v>231</v>
      </c>
      <c r="W298" s="34" t="s">
        <v>44</v>
      </c>
      <c r="X298" s="34" t="s">
        <v>45</v>
      </c>
      <c r="Y298" s="34" t="s">
        <v>274</v>
      </c>
      <c r="Z298" s="34"/>
      <c r="AA298" s="34"/>
      <c r="AB298" s="22">
        <v>0.81895683288574217</v>
      </c>
      <c r="AC298" s="23" t="s">
        <v>1350</v>
      </c>
      <c r="AD298" s="24">
        <v>1.6904109589041096</v>
      </c>
      <c r="AE298" s="25">
        <v>-0.22657082974724052</v>
      </c>
      <c r="AF298" s="26">
        <v>0</v>
      </c>
      <c r="AG298" s="26">
        <v>0</v>
      </c>
      <c r="AH298" s="27">
        <v>-0.45781516001970851</v>
      </c>
      <c r="AI298" s="27">
        <v>-0.45781516001970851</v>
      </c>
      <c r="AJ298" s="27">
        <v>-0.45781516001970851</v>
      </c>
      <c r="AK298" s="28" t="s">
        <v>276</v>
      </c>
      <c r="AL298" s="29" t="s">
        <v>48</v>
      </c>
      <c r="AM298" s="29" t="s">
        <v>48</v>
      </c>
      <c r="AN298" s="29" t="s">
        <v>48</v>
      </c>
      <c r="AO298" s="47" t="s">
        <v>227</v>
      </c>
      <c r="AP298" s="28">
        <v>0</v>
      </c>
      <c r="AQ298" s="26">
        <v>1.4999999999999999E-2</v>
      </c>
      <c r="AR298" s="26">
        <v>0</v>
      </c>
    </row>
    <row r="299" spans="1:44" x14ac:dyDescent="0.15">
      <c r="A299">
        <v>486</v>
      </c>
      <c r="B299" s="11">
        <v>1163</v>
      </c>
      <c r="C299" s="32"/>
      <c r="D299" s="32">
        <v>5.8610588918226001E-4</v>
      </c>
      <c r="E299" s="32">
        <v>101</v>
      </c>
      <c r="F299" s="32">
        <v>0.73114187456438695</v>
      </c>
      <c r="G299" s="11"/>
      <c r="H299" s="11"/>
      <c r="I299" s="11"/>
      <c r="J299" s="18" t="s">
        <v>44</v>
      </c>
      <c r="K299" s="18" t="s">
        <v>45</v>
      </c>
      <c r="L299" s="58" t="s">
        <v>65</v>
      </c>
      <c r="M299" s="18">
        <f>[1]!f_prt_stocktonav(B299,"2017/03/31")</f>
        <v>85.586517333984375</v>
      </c>
      <c r="N299" s="20" t="str">
        <f>[1]!f_info_fundmanager(B299)</f>
        <v>薄官辉</v>
      </c>
      <c r="O299" s="21">
        <v>1.9232876712328768</v>
      </c>
      <c r="P299" s="34" t="s">
        <v>1351</v>
      </c>
      <c r="Q299" s="34" t="s">
        <v>1352</v>
      </c>
      <c r="R299" s="34" t="s">
        <v>57</v>
      </c>
      <c r="S299" s="34">
        <v>20150429</v>
      </c>
      <c r="T299" s="45">
        <v>14.279689937000001</v>
      </c>
      <c r="U299" s="46">
        <v>15.416490663199999</v>
      </c>
      <c r="V299" s="34" t="s">
        <v>231</v>
      </c>
      <c r="W299" s="34" t="s">
        <v>44</v>
      </c>
      <c r="X299" s="34" t="s">
        <v>45</v>
      </c>
      <c r="Y299" s="34" t="s">
        <v>65</v>
      </c>
      <c r="Z299" s="34"/>
      <c r="AA299" s="34"/>
      <c r="AB299" s="22">
        <v>0.8890023803710938</v>
      </c>
      <c r="AC299" s="23" t="s">
        <v>1353</v>
      </c>
      <c r="AD299" s="24">
        <v>1.6931506849315068</v>
      </c>
      <c r="AE299" s="25">
        <v>-9.2234342378615053E-2</v>
      </c>
      <c r="AF299" s="26">
        <v>0</v>
      </c>
      <c r="AG299" s="26">
        <v>0</v>
      </c>
      <c r="AH299" s="27">
        <v>-0.25582062212724116</v>
      </c>
      <c r="AI299" s="27">
        <v>-0.25582062212724116</v>
      </c>
      <c r="AJ299" s="27">
        <v>-0.25582062212724116</v>
      </c>
      <c r="AK299" s="28" t="s">
        <v>1354</v>
      </c>
      <c r="AL299" s="29" t="s">
        <v>48</v>
      </c>
      <c r="AM299" s="29" t="s">
        <v>48</v>
      </c>
      <c r="AN299" s="29" t="s">
        <v>48</v>
      </c>
      <c r="AO299" s="47" t="s">
        <v>1355</v>
      </c>
      <c r="AP299" s="28">
        <v>0</v>
      </c>
      <c r="AQ299" s="26">
        <v>1.4999999999999999E-2</v>
      </c>
      <c r="AR299" s="26">
        <v>0</v>
      </c>
    </row>
    <row r="300" spans="1:44" x14ac:dyDescent="0.15">
      <c r="A300">
        <v>850</v>
      </c>
      <c r="B300" s="11">
        <v>1209</v>
      </c>
      <c r="C300" s="32"/>
      <c r="D300" s="32">
        <v>-1.3188643947812399E-3</v>
      </c>
      <c r="E300" s="32">
        <v>101</v>
      </c>
      <c r="F300" s="32">
        <v>0.331710622726124</v>
      </c>
      <c r="G300" s="11"/>
      <c r="H300" s="11"/>
      <c r="I300" s="11"/>
      <c r="J300" s="18" t="s">
        <v>44</v>
      </c>
      <c r="K300" s="18" t="s">
        <v>87</v>
      </c>
      <c r="L300" s="58" t="s">
        <v>65</v>
      </c>
      <c r="M300" s="18">
        <f>[1]!f_prt_stocktonav(B300,"2017/03/31")</f>
        <v>74.354972839355469</v>
      </c>
      <c r="N300" s="20" t="str">
        <f>[1]!f_info_fundmanager(B300)</f>
        <v>薛小波,徐立平</v>
      </c>
      <c r="O300" s="21">
        <v>1.9232876712328768</v>
      </c>
      <c r="P300" s="34" t="s">
        <v>1356</v>
      </c>
      <c r="Q300" s="34" t="s">
        <v>1357</v>
      </c>
      <c r="R300" s="34" t="s">
        <v>78</v>
      </c>
      <c r="S300" s="34">
        <v>20150429</v>
      </c>
      <c r="T300" s="45">
        <v>3.4731217185999999</v>
      </c>
      <c r="U300" s="46">
        <v>4.3903914172</v>
      </c>
      <c r="V300" s="34" t="s">
        <v>231</v>
      </c>
      <c r="W300" s="34" t="s">
        <v>44</v>
      </c>
      <c r="X300" s="34" t="s">
        <v>87</v>
      </c>
      <c r="Y300" s="34" t="s">
        <v>817</v>
      </c>
      <c r="Z300" s="34" t="s">
        <v>1358</v>
      </c>
      <c r="AA300" s="34"/>
      <c r="AB300" s="22">
        <v>0.94796806335449224</v>
      </c>
      <c r="AC300" s="23" t="s">
        <v>1359</v>
      </c>
      <c r="AD300" s="24">
        <v>1.6931506849315068</v>
      </c>
      <c r="AE300" s="25">
        <v>3.5682698696568593E-3</v>
      </c>
      <c r="AF300" s="26">
        <v>0</v>
      </c>
      <c r="AG300" s="26">
        <v>0</v>
      </c>
      <c r="AH300" s="27">
        <v>-0.10276798003211914</v>
      </c>
      <c r="AI300" s="27">
        <v>-0.10276798003211914</v>
      </c>
      <c r="AJ300" s="27">
        <v>-0.10276798003211914</v>
      </c>
      <c r="AK300" s="33" t="s">
        <v>196</v>
      </c>
      <c r="AL300" s="29" t="s">
        <v>48</v>
      </c>
      <c r="AM300" s="29" t="s">
        <v>48</v>
      </c>
      <c r="AN300" s="29" t="s">
        <v>48</v>
      </c>
      <c r="AO300" s="47" t="s">
        <v>270</v>
      </c>
      <c r="AP300" s="28">
        <v>0</v>
      </c>
      <c r="AQ300" s="26">
        <v>1.4999999999999999E-2</v>
      </c>
      <c r="AR300" s="26">
        <v>0</v>
      </c>
    </row>
    <row r="301" spans="1:44" x14ac:dyDescent="0.15">
      <c r="A301">
        <v>955</v>
      </c>
      <c r="B301" s="11">
        <v>1179</v>
      </c>
      <c r="C301" s="32"/>
      <c r="D301" s="32">
        <v>1.01484836734106E-3</v>
      </c>
      <c r="E301" s="32">
        <v>95</v>
      </c>
      <c r="F301" s="32">
        <v>0.53047196241596095</v>
      </c>
      <c r="G301" s="11"/>
      <c r="H301" s="11"/>
      <c r="I301" s="11"/>
      <c r="J301" s="18" t="s">
        <v>44</v>
      </c>
      <c r="K301" s="18" t="s">
        <v>45</v>
      </c>
      <c r="L301" s="58" t="s">
        <v>65</v>
      </c>
      <c r="M301" s="18">
        <f>[1]!f_prt_stocktonav(B301,"2017/03/31")</f>
        <v>70.235870361328125</v>
      </c>
      <c r="N301" s="20" t="str">
        <f>[1]!f_info_fundmanager(B301)</f>
        <v>黎莹</v>
      </c>
      <c r="O301" s="21">
        <v>1.8246575342465754</v>
      </c>
      <c r="P301" s="34" t="s">
        <v>1360</v>
      </c>
      <c r="Q301" s="34" t="s">
        <v>1361</v>
      </c>
      <c r="R301" s="34" t="s">
        <v>1362</v>
      </c>
      <c r="S301" s="34">
        <v>20150429</v>
      </c>
      <c r="T301" s="45">
        <v>2.1995895595000001</v>
      </c>
      <c r="U301" s="46">
        <v>2.3654149669</v>
      </c>
      <c r="V301" s="34" t="s">
        <v>231</v>
      </c>
      <c r="W301" s="34" t="s">
        <v>44</v>
      </c>
      <c r="X301" s="34" t="s">
        <v>45</v>
      </c>
      <c r="Y301" s="34" t="s">
        <v>274</v>
      </c>
      <c r="Z301" s="34"/>
      <c r="AA301" s="34"/>
      <c r="AB301" s="22">
        <v>0.89341598510742193</v>
      </c>
      <c r="AC301" s="23" t="s">
        <v>1363</v>
      </c>
      <c r="AD301" s="24">
        <v>1.5945205479452054</v>
      </c>
      <c r="AE301" s="25">
        <v>-0.10771289303324882</v>
      </c>
      <c r="AF301" s="26">
        <v>0</v>
      </c>
      <c r="AG301" s="26">
        <v>0</v>
      </c>
      <c r="AH301" s="27">
        <v>-0.18863539262584533</v>
      </c>
      <c r="AI301" s="27">
        <v>-0.18863539262584533</v>
      </c>
      <c r="AJ301" s="27">
        <v>-0.18863539262584533</v>
      </c>
      <c r="AK301" s="28" t="s">
        <v>1364</v>
      </c>
      <c r="AL301" s="29" t="s">
        <v>48</v>
      </c>
      <c r="AM301" s="29" t="s">
        <v>48</v>
      </c>
      <c r="AN301" s="29" t="s">
        <v>48</v>
      </c>
      <c r="AO301" s="47" t="s">
        <v>845</v>
      </c>
      <c r="AP301" s="28">
        <v>0</v>
      </c>
      <c r="AQ301" s="26">
        <v>1.4999999999999999E-2</v>
      </c>
      <c r="AR301" s="26">
        <v>0</v>
      </c>
    </row>
    <row r="302" spans="1:44" x14ac:dyDescent="0.15">
      <c r="A302">
        <v>311</v>
      </c>
      <c r="B302" s="11">
        <v>1075</v>
      </c>
      <c r="C302" s="32"/>
      <c r="D302" s="32">
        <v>-3.2211683837849602E-4</v>
      </c>
      <c r="E302" s="32">
        <v>32</v>
      </c>
      <c r="F302" s="32">
        <v>0.84829498816286097</v>
      </c>
      <c r="G302" s="11"/>
      <c r="H302" s="11"/>
      <c r="I302" s="11"/>
      <c r="J302" s="18" t="s">
        <v>44</v>
      </c>
      <c r="K302" s="18" t="s">
        <v>45</v>
      </c>
      <c r="L302" s="58" t="s">
        <v>65</v>
      </c>
      <c r="M302" s="18">
        <f>[1]!f_prt_stocktonav(B302,"2017/03/31")</f>
        <v>89.278533935546875</v>
      </c>
      <c r="N302" s="20" t="str">
        <f>[1]!f_info_fundmanager(B302)</f>
        <v>盖俊龙</v>
      </c>
      <c r="O302" s="21">
        <v>0.61095890410958908</v>
      </c>
      <c r="P302" s="34" t="s">
        <v>1365</v>
      </c>
      <c r="Q302" s="34" t="s">
        <v>1366</v>
      </c>
      <c r="R302" s="34" t="s">
        <v>402</v>
      </c>
      <c r="S302" s="34">
        <v>20150429</v>
      </c>
      <c r="T302" s="45">
        <v>31.7672241874</v>
      </c>
      <c r="U302" s="46">
        <v>33.824453420899999</v>
      </c>
      <c r="V302" s="34" t="s">
        <v>231</v>
      </c>
      <c r="W302" s="34" t="s">
        <v>44</v>
      </c>
      <c r="X302" s="34" t="s">
        <v>45</v>
      </c>
      <c r="Y302" s="34" t="s">
        <v>65</v>
      </c>
      <c r="Z302" s="34"/>
      <c r="AA302" s="34"/>
      <c r="AB302" s="22">
        <v>0.90648063659667966</v>
      </c>
      <c r="AC302" s="23" t="s">
        <v>873</v>
      </c>
      <c r="AD302" s="24">
        <v>0.38082191780821917</v>
      </c>
      <c r="AE302" s="25">
        <v>-0.17087880695977098</v>
      </c>
      <c r="AF302" s="26">
        <v>0</v>
      </c>
      <c r="AG302" s="26">
        <v>0</v>
      </c>
      <c r="AH302" s="27">
        <v>-0.19384626794544865</v>
      </c>
      <c r="AI302" s="27">
        <v>-0.19384626794544865</v>
      </c>
      <c r="AJ302" s="27">
        <v>-0.19384626794544865</v>
      </c>
      <c r="AK302" s="28" t="s">
        <v>572</v>
      </c>
      <c r="AL302" s="29" t="s">
        <v>48</v>
      </c>
      <c r="AM302" s="29" t="s">
        <v>48</v>
      </c>
      <c r="AN302" s="29" t="s">
        <v>48</v>
      </c>
      <c r="AO302" s="47" t="s">
        <v>405</v>
      </c>
      <c r="AP302" s="28">
        <v>0</v>
      </c>
      <c r="AQ302" s="26">
        <v>1.4999999999999999E-2</v>
      </c>
      <c r="AR302" s="26">
        <v>0</v>
      </c>
    </row>
    <row r="303" spans="1:44" x14ac:dyDescent="0.15">
      <c r="A303">
        <v>64</v>
      </c>
      <c r="B303" s="11">
        <v>1162</v>
      </c>
      <c r="C303" s="32"/>
      <c r="D303" s="32">
        <v>1.0753192399872401E-3</v>
      </c>
      <c r="E303" s="32">
        <v>101</v>
      </c>
      <c r="F303" s="32">
        <v>0.63623116030098903</v>
      </c>
      <c r="G303" s="11"/>
      <c r="H303" s="11"/>
      <c r="I303" s="11"/>
      <c r="J303" s="18" t="s">
        <v>44</v>
      </c>
      <c r="K303" s="18" t="s">
        <v>45</v>
      </c>
      <c r="L303" s="58" t="s">
        <v>65</v>
      </c>
      <c r="M303" s="18">
        <f>[1]!f_prt_stocktonav(B303,"2017/03/31")</f>
        <v>94.126319885253906</v>
      </c>
      <c r="N303" s="20" t="str">
        <f>[1]!f_info_fundmanager(B303)</f>
        <v>曲扬</v>
      </c>
      <c r="O303" s="21">
        <v>1.9260273972602739</v>
      </c>
      <c r="P303" s="34" t="s">
        <v>1367</v>
      </c>
      <c r="Q303" s="34" t="s">
        <v>1368</v>
      </c>
      <c r="R303" s="34" t="s">
        <v>78</v>
      </c>
      <c r="S303" s="34">
        <v>20150428</v>
      </c>
      <c r="T303" s="45">
        <v>0.97188422519999995</v>
      </c>
      <c r="U303" s="46">
        <v>0.59281174140000004</v>
      </c>
      <c r="V303" s="34" t="s">
        <v>231</v>
      </c>
      <c r="W303" s="34" t="s">
        <v>44</v>
      </c>
      <c r="X303" s="34" t="s">
        <v>45</v>
      </c>
      <c r="Y303" s="34" t="s">
        <v>65</v>
      </c>
      <c r="Z303" s="34"/>
      <c r="AA303" s="34"/>
      <c r="AB303" s="22">
        <v>0.91654212951660152</v>
      </c>
      <c r="AC303" s="23" t="s">
        <v>119</v>
      </c>
      <c r="AD303" s="24">
        <v>1.6958904109589041</v>
      </c>
      <c r="AE303" s="25">
        <v>-5.2669853326309246E-2</v>
      </c>
      <c r="AF303" s="26">
        <v>0</v>
      </c>
      <c r="AG303" s="26">
        <v>0</v>
      </c>
      <c r="AH303" s="27">
        <v>-0.22616410812940746</v>
      </c>
      <c r="AI303" s="27">
        <v>-0.22616410812940746</v>
      </c>
      <c r="AJ303" s="27">
        <v>-0.22616410812940746</v>
      </c>
      <c r="AK303" s="28" t="s">
        <v>276</v>
      </c>
      <c r="AL303" s="29" t="s">
        <v>48</v>
      </c>
      <c r="AM303" s="29" t="s">
        <v>48</v>
      </c>
      <c r="AN303" s="29" t="s">
        <v>48</v>
      </c>
      <c r="AO303" s="47" t="s">
        <v>270</v>
      </c>
      <c r="AP303" s="28">
        <v>0</v>
      </c>
      <c r="AQ303" s="26">
        <v>0.01</v>
      </c>
      <c r="AR303" s="26">
        <v>0</v>
      </c>
    </row>
    <row r="304" spans="1:44" x14ac:dyDescent="0.15">
      <c r="A304">
        <v>173</v>
      </c>
      <c r="B304" s="11">
        <v>1188</v>
      </c>
      <c r="C304" s="32"/>
      <c r="D304" s="32">
        <v>-7.4800070563472596E-4</v>
      </c>
      <c r="E304" s="32">
        <v>101</v>
      </c>
      <c r="F304" s="32">
        <v>0.45615870911636403</v>
      </c>
      <c r="G304" s="11"/>
      <c r="H304" s="11"/>
      <c r="I304" s="11"/>
      <c r="J304" s="18" t="s">
        <v>44</v>
      </c>
      <c r="K304" s="18" t="s">
        <v>45</v>
      </c>
      <c r="L304" s="58" t="s">
        <v>274</v>
      </c>
      <c r="M304" s="18">
        <f>[1]!f_prt_stocktonav(B304,"2017/03/31")</f>
        <v>92.281768798828125</v>
      </c>
      <c r="N304" s="20" t="str">
        <f>[1]!f_info_fundmanager(B304)</f>
        <v>伍旋</v>
      </c>
      <c r="O304" s="21">
        <v>1.9260273972602739</v>
      </c>
      <c r="P304" s="34" t="s">
        <v>1369</v>
      </c>
      <c r="Q304" s="34" t="s">
        <v>1370</v>
      </c>
      <c r="R304" s="34" t="s">
        <v>705</v>
      </c>
      <c r="S304" s="34">
        <v>20150428</v>
      </c>
      <c r="T304" s="45">
        <v>19.236954816899999</v>
      </c>
      <c r="U304" s="46">
        <v>20.215386802200001</v>
      </c>
      <c r="V304" s="34" t="s">
        <v>231</v>
      </c>
      <c r="W304" s="34" t="s">
        <v>44</v>
      </c>
      <c r="X304" s="34" t="s">
        <v>45</v>
      </c>
      <c r="Y304" s="34" t="s">
        <v>274</v>
      </c>
      <c r="Z304" s="34"/>
      <c r="AA304" s="34"/>
      <c r="AB304" s="22">
        <v>0.9356234741210937</v>
      </c>
      <c r="AC304" s="23" t="s">
        <v>1371</v>
      </c>
      <c r="AD304" s="24">
        <v>1.6958904109589041</v>
      </c>
      <c r="AE304" s="25">
        <v>-0.12879234448882493</v>
      </c>
      <c r="AF304" s="26">
        <v>0</v>
      </c>
      <c r="AG304" s="26">
        <v>0</v>
      </c>
      <c r="AH304" s="27">
        <v>-0.28636333589137131</v>
      </c>
      <c r="AI304" s="27">
        <v>-0.28636333589137131</v>
      </c>
      <c r="AJ304" s="27">
        <v>-0.28636333589137131</v>
      </c>
      <c r="AK304" s="28" t="s">
        <v>380</v>
      </c>
      <c r="AL304" s="29" t="s">
        <v>48</v>
      </c>
      <c r="AM304" s="29" t="s">
        <v>48</v>
      </c>
      <c r="AN304" s="29" t="s">
        <v>48</v>
      </c>
      <c r="AO304" s="47" t="s">
        <v>1372</v>
      </c>
      <c r="AP304" s="28">
        <v>0</v>
      </c>
      <c r="AQ304" s="26">
        <v>1.4999999999999999E-2</v>
      </c>
      <c r="AR304" s="26">
        <v>0</v>
      </c>
    </row>
    <row r="305" spans="1:44" x14ac:dyDescent="0.15">
      <c r="A305">
        <v>230</v>
      </c>
      <c r="B305" s="11">
        <v>1171</v>
      </c>
      <c r="C305" s="32"/>
      <c r="D305" s="32">
        <v>-1.4784669468195101E-3</v>
      </c>
      <c r="E305" s="32">
        <v>101</v>
      </c>
      <c r="F305" s="32">
        <v>0.35452261961397202</v>
      </c>
      <c r="G305" s="11"/>
      <c r="H305" s="11"/>
      <c r="I305" s="11"/>
      <c r="J305" s="18" t="s">
        <v>44</v>
      </c>
      <c r="K305" s="18" t="s">
        <v>87</v>
      </c>
      <c r="L305" s="58" t="s">
        <v>65</v>
      </c>
      <c r="M305" s="18">
        <f>[1]!f_prt_stocktonav(B305,"2017/03/31")</f>
        <v>91.1060791015625</v>
      </c>
      <c r="N305" s="20" t="str">
        <f>[1]!f_info_fundmanager(B305)</f>
        <v>胡文彪,赵蓓</v>
      </c>
      <c r="O305" s="21">
        <v>1.9260273972602739</v>
      </c>
      <c r="P305" s="34" t="s">
        <v>1373</v>
      </c>
      <c r="Q305" s="34" t="s">
        <v>1374</v>
      </c>
      <c r="R305" s="34" t="s">
        <v>523</v>
      </c>
      <c r="S305" s="34">
        <v>20150428</v>
      </c>
      <c r="T305" s="45">
        <v>7.2299360990999997</v>
      </c>
      <c r="U305" s="46">
        <v>7.5962195838</v>
      </c>
      <c r="V305" s="34" t="s">
        <v>231</v>
      </c>
      <c r="W305" s="34" t="s">
        <v>44</v>
      </c>
      <c r="X305" s="34" t="s">
        <v>45</v>
      </c>
      <c r="Y305" s="34" t="s">
        <v>274</v>
      </c>
      <c r="Z305" s="34"/>
      <c r="AA305" s="34"/>
      <c r="AB305" s="22">
        <v>0.83585937499999996</v>
      </c>
      <c r="AC305" s="23" t="s">
        <v>1375</v>
      </c>
      <c r="AD305" s="24">
        <v>1.6958904109589041</v>
      </c>
      <c r="AE305" s="25">
        <v>-0.22309506579979099</v>
      </c>
      <c r="AF305" s="26">
        <v>0</v>
      </c>
      <c r="AG305" s="26">
        <v>0</v>
      </c>
      <c r="AH305" s="27">
        <v>-0.50638374999854907</v>
      </c>
      <c r="AI305" s="27">
        <v>-0.50638374999854907</v>
      </c>
      <c r="AJ305" s="27">
        <v>-0.50638374999854907</v>
      </c>
      <c r="AK305" s="28" t="s">
        <v>1376</v>
      </c>
      <c r="AL305" s="29" t="s">
        <v>48</v>
      </c>
      <c r="AM305" s="29" t="s">
        <v>48</v>
      </c>
      <c r="AN305" s="29" t="s">
        <v>48</v>
      </c>
      <c r="AO305" s="47" t="s">
        <v>255</v>
      </c>
      <c r="AP305" s="28">
        <v>0</v>
      </c>
      <c r="AQ305" s="26">
        <v>1.4999999999999999E-2</v>
      </c>
      <c r="AR305" s="26">
        <v>0</v>
      </c>
    </row>
    <row r="306" spans="1:44" x14ac:dyDescent="0.15">
      <c r="A306">
        <v>346</v>
      </c>
      <c r="B306" s="11">
        <v>1158</v>
      </c>
      <c r="C306" s="32"/>
      <c r="D306" s="32">
        <v>-3.3763354273038402E-3</v>
      </c>
      <c r="E306" s="32">
        <v>101</v>
      </c>
      <c r="F306" s="32">
        <v>0.13650410126103599</v>
      </c>
      <c r="G306" s="11"/>
      <c r="H306" s="11"/>
      <c r="I306" s="11"/>
      <c r="J306" s="18" t="s">
        <v>44</v>
      </c>
      <c r="K306" s="18" t="s">
        <v>45</v>
      </c>
      <c r="L306" s="58" t="s">
        <v>65</v>
      </c>
      <c r="M306" s="18">
        <f>[1]!f_prt_stocktonav(B306,"2017/03/31")</f>
        <v>88.581947326660156</v>
      </c>
      <c r="N306" s="20" t="str">
        <f>[1]!f_info_fundmanager(B306)</f>
        <v>黄安乐,孙楠,张剑峰,陈小鹭</v>
      </c>
      <c r="O306" s="21">
        <v>1.9260273972602739</v>
      </c>
      <c r="P306" s="34" t="s">
        <v>1377</v>
      </c>
      <c r="Q306" s="34" t="s">
        <v>1378</v>
      </c>
      <c r="R306" s="34" t="s">
        <v>523</v>
      </c>
      <c r="S306" s="34">
        <v>20150428</v>
      </c>
      <c r="T306" s="45">
        <v>26.8570368697</v>
      </c>
      <c r="U306" s="46">
        <v>30.905091501899999</v>
      </c>
      <c r="V306" s="34" t="s">
        <v>231</v>
      </c>
      <c r="W306" s="34" t="s">
        <v>44</v>
      </c>
      <c r="X306" s="34" t="s">
        <v>86</v>
      </c>
      <c r="Y306" s="34" t="s">
        <v>274</v>
      </c>
      <c r="Z306" s="34" t="s">
        <v>1379</v>
      </c>
      <c r="AA306" s="34"/>
      <c r="AB306" s="22">
        <v>0.91281723022460937</v>
      </c>
      <c r="AC306" s="23" t="s">
        <v>1380</v>
      </c>
      <c r="AD306" s="24">
        <v>1.6958904109589041</v>
      </c>
      <c r="AE306" s="25">
        <v>-0.19794930212634021</v>
      </c>
      <c r="AF306" s="26">
        <v>0</v>
      </c>
      <c r="AG306" s="26">
        <v>0</v>
      </c>
      <c r="AH306" s="27">
        <v>-0.26854777721150541</v>
      </c>
      <c r="AI306" s="27">
        <v>-0.26854777721150541</v>
      </c>
      <c r="AJ306" s="27">
        <v>-0.26854777721150541</v>
      </c>
      <c r="AK306" s="33" t="s">
        <v>1381</v>
      </c>
      <c r="AL306" s="29" t="s">
        <v>48</v>
      </c>
      <c r="AM306" s="29" t="s">
        <v>48</v>
      </c>
      <c r="AN306" s="29" t="s">
        <v>48</v>
      </c>
      <c r="AO306" s="47" t="s">
        <v>255</v>
      </c>
      <c r="AP306" s="28">
        <v>0</v>
      </c>
      <c r="AQ306" s="26">
        <v>1.4999999999999999E-2</v>
      </c>
      <c r="AR306" s="26">
        <v>0</v>
      </c>
    </row>
    <row r="307" spans="1:44" x14ac:dyDescent="0.15">
      <c r="A307">
        <v>908</v>
      </c>
      <c r="B307" s="11">
        <v>1125</v>
      </c>
      <c r="C307" s="32"/>
      <c r="D307" s="32">
        <v>-1.2153355945358801E-4</v>
      </c>
      <c r="E307" s="32">
        <v>101</v>
      </c>
      <c r="F307" s="32">
        <v>0.94849035700575801</v>
      </c>
      <c r="G307" s="11"/>
      <c r="H307" s="11"/>
      <c r="I307" s="11"/>
      <c r="J307" s="18" t="s">
        <v>44</v>
      </c>
      <c r="K307" s="18" t="s">
        <v>87</v>
      </c>
      <c r="L307" s="58" t="s">
        <v>274</v>
      </c>
      <c r="M307" s="18">
        <f>[1]!f_prt_stocktonav(B307,"2017/03/31")</f>
        <v>72.188827514648438</v>
      </c>
      <c r="N307" s="20" t="str">
        <f>[1]!f_info_fundmanager(B307)</f>
        <v>招扬,郭晓林,肖瑞瑾</v>
      </c>
      <c r="O307" s="21">
        <v>1.9260273972602739</v>
      </c>
      <c r="P307" s="34" t="s">
        <v>1382</v>
      </c>
      <c r="Q307" s="34" t="s">
        <v>1383</v>
      </c>
      <c r="R307" s="34" t="s">
        <v>413</v>
      </c>
      <c r="S307" s="34">
        <v>20150428</v>
      </c>
      <c r="T307" s="45">
        <v>18.120468829899998</v>
      </c>
      <c r="U307" s="46">
        <v>19.138955928200001</v>
      </c>
      <c r="V307" s="34" t="s">
        <v>231</v>
      </c>
      <c r="W307" s="34" t="s">
        <v>44</v>
      </c>
      <c r="X307" s="34" t="s">
        <v>87</v>
      </c>
      <c r="Y307" s="34" t="s">
        <v>274</v>
      </c>
      <c r="Z307" s="34" t="s">
        <v>855</v>
      </c>
      <c r="AA307" s="34"/>
      <c r="AB307" s="22">
        <v>0.71869316101074221</v>
      </c>
      <c r="AC307" s="23" t="s">
        <v>1384</v>
      </c>
      <c r="AD307" s="24">
        <v>1.6958904109589041</v>
      </c>
      <c r="AE307" s="25">
        <v>-0.23088973510879307</v>
      </c>
      <c r="AF307" s="26">
        <v>0</v>
      </c>
      <c r="AG307" s="26">
        <v>0</v>
      </c>
      <c r="AH307" s="27">
        <v>-0.41823462190739347</v>
      </c>
      <c r="AI307" s="27">
        <v>-0.41823462190739347</v>
      </c>
      <c r="AJ307" s="27">
        <v>-0.41823462190739347</v>
      </c>
      <c r="AK307" s="33" t="s">
        <v>323</v>
      </c>
      <c r="AL307" s="29" t="s">
        <v>48</v>
      </c>
      <c r="AM307" s="29" t="s">
        <v>48</v>
      </c>
      <c r="AN307" s="29" t="s">
        <v>48</v>
      </c>
      <c r="AO307" s="47" t="s">
        <v>417</v>
      </c>
      <c r="AP307" s="28">
        <v>0</v>
      </c>
      <c r="AQ307" s="26">
        <v>1.4999999999999999E-2</v>
      </c>
      <c r="AR307" s="26">
        <v>0</v>
      </c>
    </row>
    <row r="308" spans="1:44" x14ac:dyDescent="0.15">
      <c r="A308">
        <v>83</v>
      </c>
      <c r="B308" s="11">
        <v>1039</v>
      </c>
      <c r="C308" s="32"/>
      <c r="D308" s="32">
        <v>-2.10645524582509E-3</v>
      </c>
      <c r="E308" s="32">
        <v>101</v>
      </c>
      <c r="F308" s="32">
        <v>0.14079561118926001</v>
      </c>
      <c r="G308" s="11"/>
      <c r="H308" s="11"/>
      <c r="I308" s="11"/>
      <c r="J308" s="18" t="s">
        <v>44</v>
      </c>
      <c r="K308" s="18" t="s">
        <v>87</v>
      </c>
      <c r="L308" s="58" t="s">
        <v>274</v>
      </c>
      <c r="M308" s="18">
        <f>[1]!f_prt_stocktonav(B308,"2017/03/31")</f>
        <v>93.863601684570313</v>
      </c>
      <c r="N308" s="20" t="str">
        <f>[1]!f_info_fundmanager(B308)</f>
        <v>张淼</v>
      </c>
      <c r="O308" s="21">
        <v>1.9369863013698629</v>
      </c>
      <c r="P308" s="34" t="s">
        <v>1385</v>
      </c>
      <c r="Q308" s="34" t="s">
        <v>1386</v>
      </c>
      <c r="R308" s="34" t="s">
        <v>92</v>
      </c>
      <c r="S308" s="34">
        <v>20150424</v>
      </c>
      <c r="T308" s="45">
        <v>22.631956714000001</v>
      </c>
      <c r="U308" s="46">
        <v>24.5336947186</v>
      </c>
      <c r="V308" s="34" t="s">
        <v>231</v>
      </c>
      <c r="W308" s="34" t="s">
        <v>44</v>
      </c>
      <c r="X308" s="34" t="s">
        <v>45</v>
      </c>
      <c r="Y308" s="34" t="s">
        <v>65</v>
      </c>
      <c r="Z308" s="34"/>
      <c r="AA308" s="34"/>
      <c r="AB308" s="22">
        <v>0.92343971252441404</v>
      </c>
      <c r="AC308" s="23" t="s">
        <v>1387</v>
      </c>
      <c r="AD308" s="24">
        <v>1.7068493150684931</v>
      </c>
      <c r="AE308" s="25">
        <v>-0.12477150472211139</v>
      </c>
      <c r="AF308" s="26">
        <v>0</v>
      </c>
      <c r="AG308" s="26">
        <v>0</v>
      </c>
      <c r="AH308" s="27">
        <v>-0.19994343285681598</v>
      </c>
      <c r="AI308" s="27">
        <v>-0.19994343285681598</v>
      </c>
      <c r="AJ308" s="27">
        <v>-0.19994343285681598</v>
      </c>
      <c r="AK308" s="28" t="s">
        <v>1388</v>
      </c>
      <c r="AL308" s="29" t="s">
        <v>48</v>
      </c>
      <c r="AM308" s="29" t="s">
        <v>48</v>
      </c>
      <c r="AN308" s="29" t="s">
        <v>48</v>
      </c>
      <c r="AO308" s="47" t="s">
        <v>249</v>
      </c>
      <c r="AP308" s="28">
        <v>0</v>
      </c>
      <c r="AQ308" s="26">
        <v>1.4999999999999999E-2</v>
      </c>
      <c r="AR308" s="26">
        <v>0</v>
      </c>
    </row>
    <row r="309" spans="1:44" x14ac:dyDescent="0.15">
      <c r="A309">
        <v>308</v>
      </c>
      <c r="B309" s="11">
        <v>1072</v>
      </c>
      <c r="C309" s="32"/>
      <c r="D309" s="32">
        <v>1.27080184465794E-3</v>
      </c>
      <c r="E309" s="32">
        <v>90</v>
      </c>
      <c r="F309" s="32">
        <v>0.44416659871921998</v>
      </c>
      <c r="G309" s="11"/>
      <c r="H309" s="11"/>
      <c r="I309" s="11"/>
      <c r="J309" s="18" t="s">
        <v>44</v>
      </c>
      <c r="K309" s="18" t="s">
        <v>87</v>
      </c>
      <c r="L309" s="58" t="s">
        <v>274</v>
      </c>
      <c r="M309" s="18">
        <f>[1]!f_prt_stocktonav(B309,"2017/03/31")</f>
        <v>89.306999206542969</v>
      </c>
      <c r="N309" s="20" t="str">
        <f>[1]!f_info_fundmanager(B309)</f>
        <v>李欣</v>
      </c>
      <c r="O309" s="21">
        <v>1.7287671232876711</v>
      </c>
      <c r="P309" s="34" t="s">
        <v>1389</v>
      </c>
      <c r="Q309" s="34" t="s">
        <v>1390</v>
      </c>
      <c r="R309" s="34" t="s">
        <v>63</v>
      </c>
      <c r="S309" s="34">
        <v>20150424</v>
      </c>
      <c r="T309" s="45">
        <v>13.8982039776</v>
      </c>
      <c r="U309" s="46">
        <v>16.162823231800001</v>
      </c>
      <c r="V309" s="34" t="s">
        <v>231</v>
      </c>
      <c r="W309" s="34" t="s">
        <v>44</v>
      </c>
      <c r="X309" s="34" t="s">
        <v>87</v>
      </c>
      <c r="Y309" s="34" t="s">
        <v>274</v>
      </c>
      <c r="Z309" s="34" t="s">
        <v>1391</v>
      </c>
      <c r="AA309" s="34"/>
      <c r="AB309" s="22">
        <v>0.9127528381347656</v>
      </c>
      <c r="AC309" s="23" t="s">
        <v>1392</v>
      </c>
      <c r="AD309" s="24">
        <v>1.4986301369863013</v>
      </c>
      <c r="AE309" s="25">
        <v>-4.1955768614595816E-2</v>
      </c>
      <c r="AF309" s="26">
        <v>0</v>
      </c>
      <c r="AG309" s="26">
        <v>0</v>
      </c>
      <c r="AH309" s="27">
        <v>7.4326149150022849E-2</v>
      </c>
      <c r="AI309" s="27">
        <v>7.4326149150022849E-2</v>
      </c>
      <c r="AJ309" s="27">
        <v>7.4326149150022849E-2</v>
      </c>
      <c r="AK309" s="33" t="s">
        <v>1393</v>
      </c>
      <c r="AL309" s="29" t="s">
        <v>48</v>
      </c>
      <c r="AM309" s="29" t="s">
        <v>48</v>
      </c>
      <c r="AN309" s="29" t="s">
        <v>48</v>
      </c>
      <c r="AO309" s="47" t="s">
        <v>1394</v>
      </c>
      <c r="AP309" s="28">
        <v>0</v>
      </c>
      <c r="AQ309" s="26">
        <v>1.4999999999999999E-2</v>
      </c>
      <c r="AR309" s="26">
        <v>0</v>
      </c>
    </row>
    <row r="310" spans="1:44" x14ac:dyDescent="0.15">
      <c r="A310">
        <v>680</v>
      </c>
      <c r="B310" s="11">
        <v>1076</v>
      </c>
      <c r="C310" s="32"/>
      <c r="D310" s="32">
        <v>-2.5706007398683698E-3</v>
      </c>
      <c r="E310" s="32">
        <v>101</v>
      </c>
      <c r="F310" s="32">
        <v>0.132454747725681</v>
      </c>
      <c r="G310" s="11"/>
      <c r="H310" s="11"/>
      <c r="I310" s="11"/>
      <c r="J310" s="18" t="s">
        <v>44</v>
      </c>
      <c r="K310" s="18" t="s">
        <v>45</v>
      </c>
      <c r="L310" s="58" t="s">
        <v>65</v>
      </c>
      <c r="M310" s="18">
        <f>[1]!f_prt_stocktonav(B310,"2017/03/31")</f>
        <v>80.63128662109375</v>
      </c>
      <c r="N310" s="20" t="str">
        <f>[1]!f_info_fundmanager(B310)</f>
        <v>郭杰</v>
      </c>
      <c r="O310" s="21">
        <v>1.9397260273972603</v>
      </c>
      <c r="P310" s="34" t="s">
        <v>1395</v>
      </c>
      <c r="Q310" s="34" t="s">
        <v>1396</v>
      </c>
      <c r="R310" s="34" t="s">
        <v>218</v>
      </c>
      <c r="S310" s="34">
        <v>20150423</v>
      </c>
      <c r="T310" s="45">
        <v>16.884955679200001</v>
      </c>
      <c r="U310" s="46">
        <v>17.704949816199999</v>
      </c>
      <c r="V310" s="34" t="s">
        <v>231</v>
      </c>
      <c r="W310" s="34" t="s">
        <v>44</v>
      </c>
      <c r="X310" s="34" t="s">
        <v>45</v>
      </c>
      <c r="Y310" s="34" t="s">
        <v>274</v>
      </c>
      <c r="Z310" s="34"/>
      <c r="AA310" s="34"/>
      <c r="AB310" s="22">
        <v>0.77154472351074221</v>
      </c>
      <c r="AC310" s="23" t="s">
        <v>1397</v>
      </c>
      <c r="AD310" s="24">
        <v>1.7095890410958905</v>
      </c>
      <c r="AE310" s="25">
        <v>-0.19309084583351566</v>
      </c>
      <c r="AF310" s="26">
        <v>0</v>
      </c>
      <c r="AG310" s="26">
        <v>0</v>
      </c>
      <c r="AH310" s="27">
        <v>-0.36849793289570876</v>
      </c>
      <c r="AI310" s="27">
        <v>-0.36849793289570876</v>
      </c>
      <c r="AJ310" s="27">
        <v>-0.36849793289570876</v>
      </c>
      <c r="AK310" s="28" t="s">
        <v>1398</v>
      </c>
      <c r="AL310" s="29" t="s">
        <v>48</v>
      </c>
      <c r="AM310" s="29" t="s">
        <v>48</v>
      </c>
      <c r="AN310" s="29" t="s">
        <v>48</v>
      </c>
      <c r="AO310" s="47" t="s">
        <v>1399</v>
      </c>
      <c r="AP310" s="28">
        <v>0</v>
      </c>
      <c r="AQ310" s="26">
        <v>1.4999999999999999E-2</v>
      </c>
      <c r="AR310" s="26">
        <v>0</v>
      </c>
    </row>
    <row r="311" spans="1:44" x14ac:dyDescent="0.15">
      <c r="A311">
        <v>744</v>
      </c>
      <c r="B311" s="11">
        <v>1192</v>
      </c>
      <c r="C311" s="32"/>
      <c r="D311" s="32">
        <v>-8.5800484309313404E-4</v>
      </c>
      <c r="E311" s="32">
        <v>80</v>
      </c>
      <c r="F311" s="32">
        <v>0.60881474402335201</v>
      </c>
      <c r="G311" s="11"/>
      <c r="H311" s="11"/>
      <c r="I311" s="11"/>
      <c r="J311" s="18" t="s">
        <v>44</v>
      </c>
      <c r="K311" s="19" t="s">
        <v>45</v>
      </c>
      <c r="L311" s="58" t="s">
        <v>274</v>
      </c>
      <c r="M311" s="18">
        <f>[1]!f_prt_stocktonav(B311,"2017/03/31")</f>
        <v>78.491928100585938</v>
      </c>
      <c r="N311" s="20" t="str">
        <f>[1]!f_info_fundmanager(B311)</f>
        <v>赵艰申,征茂平</v>
      </c>
      <c r="O311" s="21">
        <v>1.5342465753424657</v>
      </c>
      <c r="P311" s="32" t="s">
        <v>1400</v>
      </c>
      <c r="Q311" s="13" t="s">
        <v>1401</v>
      </c>
      <c r="R311" s="13" t="s">
        <v>511</v>
      </c>
      <c r="S311" s="13">
        <v>20150423</v>
      </c>
      <c r="T311" s="14">
        <v>14.755727521100001</v>
      </c>
      <c r="U311" s="15" t="s">
        <v>39</v>
      </c>
      <c r="V311" s="16" t="s">
        <v>40</v>
      </c>
      <c r="W311" s="17" t="s">
        <v>44</v>
      </c>
      <c r="X311" s="17" t="s">
        <v>45</v>
      </c>
      <c r="Y311" s="17" t="s">
        <v>274</v>
      </c>
      <c r="Z311" s="13"/>
      <c r="AA311" s="13"/>
      <c r="AB311" s="22">
        <v>0.87415252685546874</v>
      </c>
      <c r="AC311" s="23" t="s">
        <v>1402</v>
      </c>
      <c r="AD311" s="24">
        <v>1.3041095890410959</v>
      </c>
      <c r="AE311" s="25">
        <v>-0.23777153475264379</v>
      </c>
      <c r="AF311" s="26">
        <v>0</v>
      </c>
      <c r="AG311" s="26">
        <v>0</v>
      </c>
      <c r="AH311" s="27">
        <v>-0.47531998156408506</v>
      </c>
      <c r="AI311" s="27">
        <v>-0.47531998156408506</v>
      </c>
      <c r="AJ311" s="27">
        <v>-0.47531998156408506</v>
      </c>
      <c r="AK311" s="28" t="s">
        <v>513</v>
      </c>
      <c r="AL311" s="29" t="s">
        <v>48</v>
      </c>
      <c r="AM311" s="29" t="s">
        <v>48</v>
      </c>
      <c r="AN311" s="29" t="s">
        <v>48</v>
      </c>
      <c r="AO311" s="23" t="s">
        <v>1403</v>
      </c>
      <c r="AP311" s="30">
        <v>0</v>
      </c>
      <c r="AQ311" s="31">
        <v>1.4999999999999999E-2</v>
      </c>
      <c r="AR311" s="31">
        <v>0</v>
      </c>
    </row>
    <row r="312" spans="1:44" x14ac:dyDescent="0.15">
      <c r="A312">
        <v>619</v>
      </c>
      <c r="B312" s="11">
        <v>1166</v>
      </c>
      <c r="C312" s="32"/>
      <c r="D312" s="32">
        <v>-1.3034317362890699E-3</v>
      </c>
      <c r="E312" s="32">
        <v>102</v>
      </c>
      <c r="F312" s="32">
        <v>0.21629300702992399</v>
      </c>
      <c r="G312" s="11"/>
      <c r="H312" s="11"/>
      <c r="I312" s="11"/>
      <c r="J312" s="18" t="s">
        <v>44</v>
      </c>
      <c r="K312" s="18" t="s">
        <v>87</v>
      </c>
      <c r="L312" s="58" t="s">
        <v>274</v>
      </c>
      <c r="M312" s="18">
        <f>[1]!f_prt_stocktonav(B312,"2017/03/31")</f>
        <v>82.35919189453125</v>
      </c>
      <c r="N312" s="20" t="str">
        <f>[1]!f_info_fundmanager(B312)</f>
        <v>姜锋</v>
      </c>
      <c r="O312" s="21">
        <v>1.9424657534246574</v>
      </c>
      <c r="P312" s="34" t="s">
        <v>1404</v>
      </c>
      <c r="Q312" s="34" t="s">
        <v>1405</v>
      </c>
      <c r="R312" s="34" t="s">
        <v>307</v>
      </c>
      <c r="S312" s="34">
        <v>20150422</v>
      </c>
      <c r="T312" s="45">
        <v>36.453960136799999</v>
      </c>
      <c r="U312" s="46">
        <v>37.962878036299998</v>
      </c>
      <c r="V312" s="34" t="s">
        <v>231</v>
      </c>
      <c r="W312" s="34" t="s">
        <v>44</v>
      </c>
      <c r="X312" s="34" t="s">
        <v>45</v>
      </c>
      <c r="Y312" s="34" t="s">
        <v>274</v>
      </c>
      <c r="Z312" s="34"/>
      <c r="AA312" s="34"/>
      <c r="AB312" s="22">
        <v>0.81891448974609371</v>
      </c>
      <c r="AC312" s="23" t="s">
        <v>1406</v>
      </c>
      <c r="AD312" s="24">
        <v>1.7123287671232876</v>
      </c>
      <c r="AE312" s="25">
        <v>-0.1380346792124989</v>
      </c>
      <c r="AF312" s="26">
        <v>0</v>
      </c>
      <c r="AG312" s="26">
        <v>0</v>
      </c>
      <c r="AH312" s="27">
        <v>-0.44547122839163783</v>
      </c>
      <c r="AI312" s="27">
        <v>-0.44547122839163783</v>
      </c>
      <c r="AJ312" s="27">
        <v>-0.44547122839163783</v>
      </c>
      <c r="AK312" s="28" t="s">
        <v>1407</v>
      </c>
      <c r="AL312" s="29" t="s">
        <v>48</v>
      </c>
      <c r="AM312" s="29" t="s">
        <v>48</v>
      </c>
      <c r="AN312" s="29" t="s">
        <v>48</v>
      </c>
      <c r="AO312" s="47" t="s">
        <v>310</v>
      </c>
      <c r="AP312" s="28">
        <v>0</v>
      </c>
      <c r="AQ312" s="26">
        <v>1.4999999999999999E-2</v>
      </c>
      <c r="AR312" s="26">
        <v>0</v>
      </c>
    </row>
    <row r="313" spans="1:44" x14ac:dyDescent="0.15">
      <c r="A313">
        <v>767</v>
      </c>
      <c r="B313" s="11">
        <v>519655</v>
      </c>
      <c r="C313" s="32"/>
      <c r="D313" s="32">
        <v>-8.5759075521957804E-4</v>
      </c>
      <c r="E313" s="32">
        <v>102</v>
      </c>
      <c r="F313" s="32">
        <v>0.587504917839622</v>
      </c>
      <c r="G313" s="11"/>
      <c r="H313" s="11"/>
      <c r="I313" s="11"/>
      <c r="J313" s="18" t="s">
        <v>44</v>
      </c>
      <c r="K313" s="18" t="s">
        <v>87</v>
      </c>
      <c r="L313" s="58" t="s">
        <v>274</v>
      </c>
      <c r="M313" s="18">
        <f>[1]!f_prt_stocktonav(B313,"2017/03/31")</f>
        <v>77.638130187988281</v>
      </c>
      <c r="N313" s="20" t="str">
        <f>[1]!f_info_fundmanager(B313)</f>
        <v>钱睿南</v>
      </c>
      <c r="O313" s="21">
        <v>1.9424657534246574</v>
      </c>
      <c r="P313" s="39" t="s">
        <v>1408</v>
      </c>
      <c r="Q313" s="39" t="s">
        <v>1409</v>
      </c>
      <c r="R313" s="39" t="s">
        <v>807</v>
      </c>
      <c r="S313" s="39">
        <v>20150422</v>
      </c>
      <c r="T313" s="48">
        <v>26.892169022400001</v>
      </c>
      <c r="U313" s="46">
        <v>29.303958196100002</v>
      </c>
      <c r="V313" s="39" t="s">
        <v>231</v>
      </c>
      <c r="W313" s="39" t="s">
        <v>41</v>
      </c>
      <c r="X313" s="39" t="s">
        <v>42</v>
      </c>
      <c r="Y313" s="39" t="s">
        <v>181</v>
      </c>
      <c r="Z313" s="34" t="s">
        <v>1410</v>
      </c>
      <c r="AA313" s="34"/>
      <c r="AB313" s="22">
        <v>0.68218078613281252</v>
      </c>
      <c r="AC313" s="23" t="s">
        <v>1411</v>
      </c>
      <c r="AD313" s="24">
        <v>1.7123287671232876</v>
      </c>
      <c r="AE313" s="25">
        <v>-8.1834916934164101E-2</v>
      </c>
      <c r="AF313" s="26">
        <v>0</v>
      </c>
      <c r="AG313" s="26">
        <v>0</v>
      </c>
      <c r="AH313" s="27">
        <v>-0.1508485338847893</v>
      </c>
      <c r="AI313" s="27">
        <v>-0.1508485338847893</v>
      </c>
      <c r="AJ313" s="27">
        <v>-0.1508485338847893</v>
      </c>
      <c r="AK313" s="40" t="s">
        <v>1412</v>
      </c>
      <c r="AL313" s="41" t="s">
        <v>48</v>
      </c>
      <c r="AM313" s="41" t="s">
        <v>48</v>
      </c>
      <c r="AN313" s="41" t="s">
        <v>48</v>
      </c>
      <c r="AO313" s="50" t="s">
        <v>310</v>
      </c>
      <c r="AP313" s="51">
        <v>0</v>
      </c>
      <c r="AQ313" s="52">
        <v>1.4999999999999999E-2</v>
      </c>
      <c r="AR313" s="52">
        <v>0</v>
      </c>
    </row>
    <row r="314" spans="1:44" x14ac:dyDescent="0.15">
      <c r="A314">
        <v>36</v>
      </c>
      <c r="B314" s="11">
        <v>1170</v>
      </c>
      <c r="C314" s="32"/>
      <c r="D314" s="32">
        <v>-1.5752170009079201E-3</v>
      </c>
      <c r="E314" s="32">
        <v>102</v>
      </c>
      <c r="F314" s="32">
        <v>0.29164560404268802</v>
      </c>
      <c r="G314" s="11"/>
      <c r="H314" s="11"/>
      <c r="I314" s="11"/>
      <c r="J314" s="18" t="s">
        <v>44</v>
      </c>
      <c r="K314" s="18" t="s">
        <v>45</v>
      </c>
      <c r="L314" s="58" t="s">
        <v>65</v>
      </c>
      <c r="M314" s="18">
        <f>[1]!f_prt_stocktonav(B314,"2017/03/31")</f>
        <v>94.466270446777344</v>
      </c>
      <c r="N314" s="20" t="str">
        <f>[1]!f_info_fundmanager(B314)</f>
        <v>吴华</v>
      </c>
      <c r="O314" s="21">
        <v>1.9452054794520548</v>
      </c>
      <c r="P314" s="34" t="s">
        <v>1413</v>
      </c>
      <c r="Q314" s="34" t="s">
        <v>1414</v>
      </c>
      <c r="R314" s="34" t="s">
        <v>263</v>
      </c>
      <c r="S314" s="34">
        <v>20150421</v>
      </c>
      <c r="T314" s="45">
        <v>9.2337661075999993</v>
      </c>
      <c r="U314" s="46">
        <v>12.0932403853</v>
      </c>
      <c r="V314" s="34" t="s">
        <v>231</v>
      </c>
      <c r="W314" s="34" t="s">
        <v>44</v>
      </c>
      <c r="X314" s="17" t="s">
        <v>45</v>
      </c>
      <c r="Y314" s="17" t="s">
        <v>65</v>
      </c>
      <c r="Z314" s="34"/>
      <c r="AA314" s="34"/>
      <c r="AB314" s="22">
        <v>0.94298622131347654</v>
      </c>
      <c r="AC314" s="23" t="s">
        <v>1415</v>
      </c>
      <c r="AD314" s="24">
        <v>1.715068493150685</v>
      </c>
      <c r="AE314" s="25">
        <v>-0.15424302000904389</v>
      </c>
      <c r="AF314" s="26">
        <v>0</v>
      </c>
      <c r="AG314" s="26">
        <v>0</v>
      </c>
      <c r="AH314" s="27">
        <v>-0.44272187646248035</v>
      </c>
      <c r="AI314" s="27">
        <v>-0.44272187646248035</v>
      </c>
      <c r="AJ314" s="27">
        <v>-0.44272187646248035</v>
      </c>
      <c r="AK314" s="28" t="s">
        <v>346</v>
      </c>
      <c r="AL314" s="29" t="s">
        <v>48</v>
      </c>
      <c r="AM314" s="29" t="s">
        <v>48</v>
      </c>
      <c r="AN314" s="29" t="s">
        <v>48</v>
      </c>
      <c r="AO314" s="47" t="s">
        <v>1416</v>
      </c>
      <c r="AP314" s="28">
        <v>0</v>
      </c>
      <c r="AQ314" s="26">
        <v>1.4999999999999999E-2</v>
      </c>
      <c r="AR314" s="26">
        <v>0</v>
      </c>
    </row>
    <row r="315" spans="1:44" x14ac:dyDescent="0.15">
      <c r="A315">
        <v>648</v>
      </c>
      <c r="B315" s="11">
        <v>1144</v>
      </c>
      <c r="C315" s="32"/>
      <c r="D315" s="32">
        <v>-1.0105444483294601E-3</v>
      </c>
      <c r="E315" s="32">
        <v>102</v>
      </c>
      <c r="F315" s="32">
        <v>0.55873064009319295</v>
      </c>
      <c r="G315" s="11"/>
      <c r="H315" s="11"/>
      <c r="I315" s="11"/>
      <c r="J315" s="18" t="s">
        <v>44</v>
      </c>
      <c r="K315" s="18" t="s">
        <v>45</v>
      </c>
      <c r="L315" s="58" t="s">
        <v>274</v>
      </c>
      <c r="M315" s="18">
        <f>[1]!f_prt_stocktonav(B315,"2017/03/31")</f>
        <v>81.496307373046875</v>
      </c>
      <c r="N315" s="20" t="str">
        <f>[1]!f_info_fundmanager(B315)</f>
        <v>李博</v>
      </c>
      <c r="O315" s="21">
        <v>1.9452054794520548</v>
      </c>
      <c r="P315" s="34" t="s">
        <v>1417</v>
      </c>
      <c r="Q315" s="34" t="s">
        <v>1418</v>
      </c>
      <c r="R315" s="34" t="s">
        <v>486</v>
      </c>
      <c r="S315" s="34">
        <v>20150421</v>
      </c>
      <c r="T315" s="45">
        <v>13.928286422099999</v>
      </c>
      <c r="U315" s="46">
        <v>14.9126499648</v>
      </c>
      <c r="V315" s="34" t="s">
        <v>231</v>
      </c>
      <c r="W315" s="34" t="s">
        <v>44</v>
      </c>
      <c r="X315" s="34" t="s">
        <v>45</v>
      </c>
      <c r="Y315" s="34" t="s">
        <v>274</v>
      </c>
      <c r="Z315" s="34"/>
      <c r="AA315" s="34"/>
      <c r="AB315" s="22">
        <v>0.80915542602539059</v>
      </c>
      <c r="AC315" s="23" t="s">
        <v>1419</v>
      </c>
      <c r="AD315" s="24">
        <v>1.715068493150685</v>
      </c>
      <c r="AE315" s="25">
        <v>-0.16954423911475247</v>
      </c>
      <c r="AF315" s="26">
        <v>0</v>
      </c>
      <c r="AG315" s="26">
        <v>0</v>
      </c>
      <c r="AH315" s="27">
        <v>-0.31687436827285437</v>
      </c>
      <c r="AI315" s="27">
        <v>-0.31687436827285437</v>
      </c>
      <c r="AJ315" s="27">
        <v>-0.31687436827285437</v>
      </c>
      <c r="AK315" s="28" t="s">
        <v>140</v>
      </c>
      <c r="AL315" s="29" t="s">
        <v>48</v>
      </c>
      <c r="AM315" s="29" t="s">
        <v>48</v>
      </c>
      <c r="AN315" s="29" t="s">
        <v>48</v>
      </c>
      <c r="AO315" s="47" t="s">
        <v>1420</v>
      </c>
      <c r="AP315" s="28">
        <v>0</v>
      </c>
      <c r="AQ315" s="26">
        <v>1.4999999999999999E-2</v>
      </c>
      <c r="AR315" s="26">
        <v>0</v>
      </c>
    </row>
    <row r="316" spans="1:44" x14ac:dyDescent="0.15">
      <c r="A316">
        <v>716</v>
      </c>
      <c r="B316" s="11">
        <v>1140</v>
      </c>
      <c r="C316" s="32"/>
      <c r="D316" s="32">
        <v>-1.2054357285093E-4</v>
      </c>
      <c r="E316" s="32">
        <v>102</v>
      </c>
      <c r="F316" s="32">
        <v>0.92587665560364496</v>
      </c>
      <c r="G316" s="11"/>
      <c r="H316" s="11"/>
      <c r="I316" s="11"/>
      <c r="J316" s="18" t="s">
        <v>44</v>
      </c>
      <c r="K316" s="18" t="s">
        <v>45</v>
      </c>
      <c r="L316" s="58" t="s">
        <v>817</v>
      </c>
      <c r="M316" s="18">
        <f>[1]!f_prt_stocktonav(B316,"2017/03/31")</f>
        <v>79.587127685546875</v>
      </c>
      <c r="N316" s="20" t="str">
        <f>[1]!f_info_fundmanager(B316)</f>
        <v>杜海涛,鄢耀</v>
      </c>
      <c r="O316" s="21">
        <v>1.9561643835616438</v>
      </c>
      <c r="P316" s="34" t="s">
        <v>1421</v>
      </c>
      <c r="Q316" s="34" t="s">
        <v>1422</v>
      </c>
      <c r="R316" s="34" t="s">
        <v>523</v>
      </c>
      <c r="S316" s="34">
        <v>20150417</v>
      </c>
      <c r="T316" s="45">
        <v>21.631564503900002</v>
      </c>
      <c r="U316" s="46">
        <v>25.101887043200001</v>
      </c>
      <c r="V316" s="34" t="s">
        <v>231</v>
      </c>
      <c r="W316" s="34" t="s">
        <v>44</v>
      </c>
      <c r="X316" s="34" t="s">
        <v>45</v>
      </c>
      <c r="Y316" s="34" t="s">
        <v>817</v>
      </c>
      <c r="Z316" s="34"/>
      <c r="AA316" s="34"/>
      <c r="AB316" s="22">
        <v>0.83655128479003904</v>
      </c>
      <c r="AC316" s="23" t="s">
        <v>1423</v>
      </c>
      <c r="AD316" s="24">
        <v>1.726027397260274</v>
      </c>
      <c r="AE316" s="25">
        <v>-2.9511070963407882E-2</v>
      </c>
      <c r="AF316" s="26">
        <v>0</v>
      </c>
      <c r="AG316" s="26">
        <v>0</v>
      </c>
      <c r="AH316" s="27">
        <v>-9.4711918262645786E-2</v>
      </c>
      <c r="AI316" s="27">
        <v>-9.4711918262645786E-2</v>
      </c>
      <c r="AJ316" s="27">
        <v>-9.4711918262645786E-2</v>
      </c>
      <c r="AK316" s="28" t="s">
        <v>1424</v>
      </c>
      <c r="AL316" s="29" t="s">
        <v>48</v>
      </c>
      <c r="AM316" s="29" t="s">
        <v>48</v>
      </c>
      <c r="AN316" s="29" t="s">
        <v>48</v>
      </c>
      <c r="AO316" s="47" t="s">
        <v>255</v>
      </c>
      <c r="AP316" s="28">
        <v>0</v>
      </c>
      <c r="AQ316" s="26">
        <v>1.4999999999999999E-2</v>
      </c>
      <c r="AR316" s="26">
        <v>0</v>
      </c>
    </row>
    <row r="317" spans="1:44" x14ac:dyDescent="0.15">
      <c r="A317">
        <v>329</v>
      </c>
      <c r="B317" s="11">
        <v>1150</v>
      </c>
      <c r="C317" s="32"/>
      <c r="D317" s="32">
        <v>-1.06931276563801E-3</v>
      </c>
      <c r="E317" s="32">
        <v>83</v>
      </c>
      <c r="F317" s="32">
        <v>0.51384243814261099</v>
      </c>
      <c r="G317" s="11"/>
      <c r="H317" s="11"/>
      <c r="I317" s="11"/>
      <c r="J317" s="18" t="s">
        <v>44</v>
      </c>
      <c r="K317" s="18" t="s">
        <v>45</v>
      </c>
      <c r="L317" s="58" t="s">
        <v>274</v>
      </c>
      <c r="M317" s="18">
        <f>[1]!f_prt_stocktonav(B317,"2017/03/31")</f>
        <v>88.869956970214844</v>
      </c>
      <c r="N317" s="20" t="str">
        <f>[1]!f_info_fundmanager(B317)</f>
        <v>伍文友,张鹏</v>
      </c>
      <c r="O317" s="21">
        <v>1.5890410958904109</v>
      </c>
      <c r="P317" s="34" t="s">
        <v>1425</v>
      </c>
      <c r="Q317" s="34" t="s">
        <v>1426</v>
      </c>
      <c r="R317" s="34" t="s">
        <v>230</v>
      </c>
      <c r="S317" s="34">
        <v>20150416</v>
      </c>
      <c r="T317" s="45">
        <v>24.451912204399999</v>
      </c>
      <c r="U317" s="46">
        <v>30.3450975005</v>
      </c>
      <c r="V317" s="34" t="s">
        <v>231</v>
      </c>
      <c r="W317" s="34" t="s">
        <v>44</v>
      </c>
      <c r="X317" s="34" t="s">
        <v>45</v>
      </c>
      <c r="Y317" s="34" t="s">
        <v>274</v>
      </c>
      <c r="Z317" s="34"/>
      <c r="AA317" s="34"/>
      <c r="AB317" s="22">
        <v>0.87636497497558596</v>
      </c>
      <c r="AC317" s="23" t="s">
        <v>1427</v>
      </c>
      <c r="AD317" s="24">
        <v>1.7287671232876711</v>
      </c>
      <c r="AE317" s="25">
        <v>-0.26482395314127383</v>
      </c>
      <c r="AF317" s="26">
        <v>0</v>
      </c>
      <c r="AG317" s="26">
        <v>0</v>
      </c>
      <c r="AH317" s="27">
        <v>-0.4866486873854024</v>
      </c>
      <c r="AI317" s="27">
        <v>-0.4866486873854024</v>
      </c>
      <c r="AJ317" s="27">
        <v>-0.4866486873854024</v>
      </c>
      <c r="AK317" s="28" t="s">
        <v>1428</v>
      </c>
      <c r="AL317" s="29" t="s">
        <v>48</v>
      </c>
      <c r="AM317" s="29" t="s">
        <v>48</v>
      </c>
      <c r="AN317" s="29" t="s">
        <v>48</v>
      </c>
      <c r="AO317" s="47" t="s">
        <v>1429</v>
      </c>
      <c r="AP317" s="28" t="s">
        <v>235</v>
      </c>
      <c r="AQ317" s="26">
        <v>1.4999999999999999E-2</v>
      </c>
      <c r="AR317" s="26">
        <v>0</v>
      </c>
    </row>
    <row r="318" spans="1:44" x14ac:dyDescent="0.15">
      <c r="A318">
        <v>783</v>
      </c>
      <c r="B318" s="11">
        <v>1120</v>
      </c>
      <c r="C318" s="32"/>
      <c r="D318" s="32">
        <v>-3.6293246894463201E-3</v>
      </c>
      <c r="E318" s="32">
        <v>92</v>
      </c>
      <c r="F318" s="32">
        <v>1.5975687654976301E-3</v>
      </c>
      <c r="G318" s="11"/>
      <c r="H318" s="11"/>
      <c r="I318" s="11"/>
      <c r="J318" s="18" t="s">
        <v>44</v>
      </c>
      <c r="K318" s="18" t="s">
        <v>45</v>
      </c>
      <c r="L318" s="58" t="s">
        <v>337</v>
      </c>
      <c r="M318" s="18">
        <f>[1]!f_prt_stocktonav(B318,"2017/03/31")</f>
        <v>77.226821899414063</v>
      </c>
      <c r="N318" s="20" t="str">
        <f>[1]!f_info_fundmanager(B318)</f>
        <v>薛子徵,张玉坤</v>
      </c>
      <c r="O318" s="21">
        <v>1.7671232876712328</v>
      </c>
      <c r="P318" s="34" t="s">
        <v>1430</v>
      </c>
      <c r="Q318" s="34" t="s">
        <v>1431</v>
      </c>
      <c r="R318" s="34" t="s">
        <v>252</v>
      </c>
      <c r="S318" s="34">
        <v>20150415</v>
      </c>
      <c r="T318" s="45">
        <v>2.1778281065999998</v>
      </c>
      <c r="U318" s="46">
        <v>2.2765806376</v>
      </c>
      <c r="V318" s="34" t="s">
        <v>231</v>
      </c>
      <c r="W318" s="34" t="s">
        <v>41</v>
      </c>
      <c r="X318" s="34" t="s">
        <v>42</v>
      </c>
      <c r="Y318" s="34" t="s">
        <v>181</v>
      </c>
      <c r="Z318" s="34"/>
      <c r="AA318" s="34"/>
      <c r="AB318" s="22">
        <v>0.60423454284667966</v>
      </c>
      <c r="AC318" s="23" t="s">
        <v>1432</v>
      </c>
      <c r="AD318" s="24">
        <v>1.536986301369863</v>
      </c>
      <c r="AE318" s="25">
        <v>-0.22984716153185267</v>
      </c>
      <c r="AF318" s="26">
        <v>0</v>
      </c>
      <c r="AG318" s="26">
        <v>0</v>
      </c>
      <c r="AH318" s="27">
        <v>-0.5288349830767376</v>
      </c>
      <c r="AI318" s="27">
        <v>-0.5288349830767376</v>
      </c>
      <c r="AJ318" s="27">
        <v>-0.5288349830767376</v>
      </c>
      <c r="AK318" s="28" t="s">
        <v>196</v>
      </c>
      <c r="AL318" s="29" t="s">
        <v>48</v>
      </c>
      <c r="AM318" s="29" t="s">
        <v>48</v>
      </c>
      <c r="AN318" s="29" t="s">
        <v>48</v>
      </c>
      <c r="AO318" s="47" t="s">
        <v>1433</v>
      </c>
      <c r="AP318" s="28">
        <v>0</v>
      </c>
      <c r="AQ318" s="26">
        <v>1.4999999999999999E-2</v>
      </c>
      <c r="AR318" s="26">
        <v>0</v>
      </c>
    </row>
    <row r="319" spans="1:44" x14ac:dyDescent="0.15">
      <c r="A319">
        <v>444</v>
      </c>
      <c r="B319" s="11">
        <v>979</v>
      </c>
      <c r="C319" s="32"/>
      <c r="D319" s="32">
        <v>1.5717849207098099E-3</v>
      </c>
      <c r="E319" s="32">
        <v>44</v>
      </c>
      <c r="F319" s="32">
        <v>0.37939949275938001</v>
      </c>
      <c r="G319" s="11"/>
      <c r="H319" s="11"/>
      <c r="I319" s="11"/>
      <c r="J319" s="18" t="s">
        <v>44</v>
      </c>
      <c r="K319" s="18" t="s">
        <v>45</v>
      </c>
      <c r="L319" s="58" t="s">
        <v>65</v>
      </c>
      <c r="M319" s="18">
        <f>[1]!f_prt_stocktonav(B319,"2017/03/31")</f>
        <v>86.416847229003906</v>
      </c>
      <c r="N319" s="20" t="str">
        <f>[1]!f_info_fundmanager(B319)</f>
        <v>鲍无可</v>
      </c>
      <c r="O319" s="21">
        <v>0.84109589041095889</v>
      </c>
      <c r="P319" s="34" t="s">
        <v>1434</v>
      </c>
      <c r="Q319" s="34" t="s">
        <v>1435</v>
      </c>
      <c r="R319" s="34" t="s">
        <v>353</v>
      </c>
      <c r="S319" s="34">
        <v>20150415</v>
      </c>
      <c r="T319" s="45">
        <v>56.446197798</v>
      </c>
      <c r="U319" s="46">
        <v>56.402162112600003</v>
      </c>
      <c r="V319" s="34" t="s">
        <v>231</v>
      </c>
      <c r="W319" s="34" t="s">
        <v>44</v>
      </c>
      <c r="X319" s="34" t="s">
        <v>45</v>
      </c>
      <c r="Y319" s="34" t="s">
        <v>65</v>
      </c>
      <c r="Z319" s="34"/>
      <c r="AA319" s="34"/>
      <c r="AB319" s="22">
        <v>0.85978912353515624</v>
      </c>
      <c r="AC319" s="23" t="s">
        <v>1436</v>
      </c>
      <c r="AD319" s="24">
        <v>0.61095890410958908</v>
      </c>
      <c r="AE319" s="25">
        <v>-7.8487680083894729E-2</v>
      </c>
      <c r="AF319" s="26">
        <v>0</v>
      </c>
      <c r="AG319" s="26">
        <v>0</v>
      </c>
      <c r="AH319" s="27">
        <v>-0.26814933911480948</v>
      </c>
      <c r="AI319" s="27">
        <v>-0.26814933911480948</v>
      </c>
      <c r="AJ319" s="27">
        <v>-0.26814933911480948</v>
      </c>
      <c r="AK319" s="28" t="s">
        <v>507</v>
      </c>
      <c r="AL319" s="29" t="s">
        <v>48</v>
      </c>
      <c r="AM319" s="29" t="s">
        <v>48</v>
      </c>
      <c r="AN319" s="29" t="s">
        <v>48</v>
      </c>
      <c r="AO319" s="47" t="s">
        <v>449</v>
      </c>
      <c r="AP319" s="28">
        <v>0</v>
      </c>
      <c r="AQ319" s="26">
        <v>1.4999999999999999E-2</v>
      </c>
      <c r="AR319" s="26">
        <v>0</v>
      </c>
    </row>
    <row r="320" spans="1:44" x14ac:dyDescent="0.15">
      <c r="A320">
        <v>541</v>
      </c>
      <c r="B320" s="11">
        <v>1105</v>
      </c>
      <c r="C320" s="32"/>
      <c r="D320" s="32">
        <v>2.32161662658547E-3</v>
      </c>
      <c r="E320" s="32">
        <v>29</v>
      </c>
      <c r="F320" s="32">
        <v>0.23046517941109099</v>
      </c>
      <c r="G320" s="11"/>
      <c r="H320" s="11"/>
      <c r="I320" s="11"/>
      <c r="J320" s="18" t="s">
        <v>44</v>
      </c>
      <c r="K320" s="18" t="s">
        <v>45</v>
      </c>
      <c r="L320" s="58" t="s">
        <v>65</v>
      </c>
      <c r="M320" s="18">
        <f>[1]!f_prt_stocktonav(B320,"2017/03/31")</f>
        <v>84.199005126953125</v>
      </c>
      <c r="N320" s="20" t="str">
        <f>[1]!f_info_fundmanager(B320)</f>
        <v>冯士祯</v>
      </c>
      <c r="O320" s="21">
        <v>0.54246575342465753</v>
      </c>
      <c r="P320" s="34" t="s">
        <v>1437</v>
      </c>
      <c r="Q320" s="34" t="s">
        <v>1438</v>
      </c>
      <c r="R320" s="34" t="s">
        <v>189</v>
      </c>
      <c r="S320" s="34">
        <v>20150415</v>
      </c>
      <c r="T320" s="45">
        <v>7.0203115780000003</v>
      </c>
      <c r="U320" s="46">
        <v>7.3830106895999998</v>
      </c>
      <c r="V320" s="34" t="s">
        <v>231</v>
      </c>
      <c r="W320" s="34" t="s">
        <v>44</v>
      </c>
      <c r="X320" s="34" t="s">
        <v>45</v>
      </c>
      <c r="Y320" s="34" t="s">
        <v>65</v>
      </c>
      <c r="Z320" s="34"/>
      <c r="AA320" s="34"/>
      <c r="AB320" s="22">
        <v>0.82350776672363279</v>
      </c>
      <c r="AC320" s="23" t="s">
        <v>1439</v>
      </c>
      <c r="AD320" s="24">
        <v>0.31232876712328766</v>
      </c>
      <c r="AE320" s="25">
        <v>-0.22319715257398542</v>
      </c>
      <c r="AF320" s="26">
        <v>0</v>
      </c>
      <c r="AG320" s="26">
        <v>0</v>
      </c>
      <c r="AH320" s="27">
        <v>-0.45196640179602537</v>
      </c>
      <c r="AI320" s="27">
        <v>-0.45196640179602537</v>
      </c>
      <c r="AJ320" s="27">
        <v>-0.45196640179602537</v>
      </c>
      <c r="AK320" s="28" t="s">
        <v>1009</v>
      </c>
      <c r="AL320" s="29" t="s">
        <v>48</v>
      </c>
      <c r="AM320" s="29" t="s">
        <v>48</v>
      </c>
      <c r="AN320" s="29" t="s">
        <v>48</v>
      </c>
      <c r="AO320" s="47" t="s">
        <v>1002</v>
      </c>
      <c r="AP320" s="28">
        <v>0</v>
      </c>
      <c r="AQ320" s="26">
        <v>1.4999999999999999E-2</v>
      </c>
      <c r="AR320" s="26">
        <v>0</v>
      </c>
    </row>
    <row r="321" spans="1:44" x14ac:dyDescent="0.15">
      <c r="A321">
        <v>421</v>
      </c>
      <c r="B321" s="11">
        <v>1126</v>
      </c>
      <c r="C321" s="32"/>
      <c r="D321" s="32">
        <v>-3.20831711183656E-3</v>
      </c>
      <c r="E321" s="32">
        <v>103</v>
      </c>
      <c r="F321" s="32">
        <v>5.4996358884075801E-2</v>
      </c>
      <c r="G321" s="11"/>
      <c r="H321" s="11"/>
      <c r="I321" s="11"/>
      <c r="J321" s="18" t="s">
        <v>44</v>
      </c>
      <c r="K321" s="19" t="s">
        <v>45</v>
      </c>
      <c r="L321" s="58" t="s">
        <v>274</v>
      </c>
      <c r="M321" s="18">
        <f>[1]!f_prt_stocktonav(B321,"2017/03/31")</f>
        <v>86.911216735839844</v>
      </c>
      <c r="N321" s="20" t="str">
        <f>[1]!f_info_fundmanager(B321)</f>
        <v>许俊哲</v>
      </c>
      <c r="O321" s="21">
        <v>1.9643835616438357</v>
      </c>
      <c r="P321" s="32" t="s">
        <v>1440</v>
      </c>
      <c r="Q321" s="13" t="s">
        <v>1441</v>
      </c>
      <c r="R321" s="13" t="s">
        <v>511</v>
      </c>
      <c r="S321" s="13">
        <v>20150414</v>
      </c>
      <c r="T321" s="14">
        <v>17.09665906</v>
      </c>
      <c r="U321" s="15" t="s">
        <v>39</v>
      </c>
      <c r="V321" s="16" t="s">
        <v>40</v>
      </c>
      <c r="W321" s="17" t="s">
        <v>44</v>
      </c>
      <c r="X321" s="17" t="s">
        <v>45</v>
      </c>
      <c r="Y321" s="17" t="s">
        <v>274</v>
      </c>
      <c r="Z321" s="13"/>
      <c r="AA321" s="13"/>
      <c r="AB321" s="22">
        <v>0.89011573791503906</v>
      </c>
      <c r="AC321" s="23" t="s">
        <v>1442</v>
      </c>
      <c r="AD321" s="24">
        <v>1.7342465753424658</v>
      </c>
      <c r="AE321" s="25">
        <v>-0.19603416416709052</v>
      </c>
      <c r="AF321" s="26">
        <v>0</v>
      </c>
      <c r="AG321" s="26">
        <v>0</v>
      </c>
      <c r="AH321" s="27">
        <v>-0.357672344220964</v>
      </c>
      <c r="AI321" s="27">
        <v>-0.357672344220964</v>
      </c>
      <c r="AJ321" s="27">
        <v>-0.357672344220964</v>
      </c>
      <c r="AK321" s="28" t="s">
        <v>1443</v>
      </c>
      <c r="AL321" s="29" t="s">
        <v>48</v>
      </c>
      <c r="AM321" s="29" t="s">
        <v>48</v>
      </c>
      <c r="AN321" s="29" t="s">
        <v>48</v>
      </c>
      <c r="AO321" s="23">
        <v>0</v>
      </c>
      <c r="AP321" s="30">
        <v>0</v>
      </c>
      <c r="AQ321" s="31">
        <v>1.4999999999999999E-2</v>
      </c>
      <c r="AR321" s="31">
        <v>0</v>
      </c>
    </row>
    <row r="322" spans="1:44" x14ac:dyDescent="0.15">
      <c r="A322">
        <v>375</v>
      </c>
      <c r="B322" s="11">
        <v>1128</v>
      </c>
      <c r="C322" s="32"/>
      <c r="D322" s="32">
        <v>-3.3558755301771998E-3</v>
      </c>
      <c r="E322" s="32">
        <v>103</v>
      </c>
      <c r="F322" s="32">
        <v>1.8235960440486601E-2</v>
      </c>
      <c r="G322" s="11"/>
      <c r="H322" s="11"/>
      <c r="I322" s="11"/>
      <c r="J322" s="18" t="s">
        <v>44</v>
      </c>
      <c r="K322" s="18" t="s">
        <v>87</v>
      </c>
      <c r="L322" s="58" t="s">
        <v>274</v>
      </c>
      <c r="M322" s="18">
        <f>[1]!f_prt_stocktonav(B322,"2017/03/31")</f>
        <v>87.999176025390625</v>
      </c>
      <c r="N322" s="20" t="str">
        <f>[1]!f_info_fundmanager(B322)</f>
        <v>盖俊龙</v>
      </c>
      <c r="O322" s="21">
        <v>1.9671232876712328</v>
      </c>
      <c r="P322" s="34" t="s">
        <v>1444</v>
      </c>
      <c r="Q322" s="34" t="s">
        <v>1445</v>
      </c>
      <c r="R322" s="34" t="s">
        <v>402</v>
      </c>
      <c r="S322" s="34">
        <v>20150413</v>
      </c>
      <c r="T322" s="45">
        <v>23.619911427800002</v>
      </c>
      <c r="U322" s="46">
        <v>25.150960557699999</v>
      </c>
      <c r="V322" s="34" t="s">
        <v>201</v>
      </c>
      <c r="W322" s="34" t="s">
        <v>44</v>
      </c>
      <c r="X322" s="34" t="s">
        <v>45</v>
      </c>
      <c r="Y322" s="34" t="s">
        <v>274</v>
      </c>
      <c r="Z322" s="34"/>
      <c r="AA322" s="34"/>
      <c r="AB322" s="22">
        <v>0.80366447448730471</v>
      </c>
      <c r="AC322" s="23" t="s">
        <v>873</v>
      </c>
      <c r="AD322" s="24">
        <v>1.736986301369863</v>
      </c>
      <c r="AE322" s="25">
        <v>-0.23166198598355658</v>
      </c>
      <c r="AF322" s="26">
        <v>0</v>
      </c>
      <c r="AG322" s="26">
        <v>0</v>
      </c>
      <c r="AH322" s="27">
        <v>-0.48276689898431341</v>
      </c>
      <c r="AI322" s="27">
        <v>-0.48276689898431341</v>
      </c>
      <c r="AJ322" s="27">
        <v>-0.48276689898431341</v>
      </c>
      <c r="AK322" s="28" t="s">
        <v>1446</v>
      </c>
      <c r="AL322" s="29" t="s">
        <v>48</v>
      </c>
      <c r="AM322" s="29" t="s">
        <v>48</v>
      </c>
      <c r="AN322" s="29" t="s">
        <v>48</v>
      </c>
      <c r="AO322" s="47" t="s">
        <v>715</v>
      </c>
      <c r="AP322" s="28">
        <v>0</v>
      </c>
      <c r="AQ322" s="26">
        <v>1.4999999999999999E-2</v>
      </c>
      <c r="AR322" s="26">
        <v>0</v>
      </c>
    </row>
    <row r="323" spans="1:44" x14ac:dyDescent="0.15">
      <c r="A323">
        <v>616</v>
      </c>
      <c r="B323" s="11">
        <v>1127</v>
      </c>
      <c r="C323" s="32"/>
      <c r="D323" s="32">
        <v>-4.8429839775809402E-3</v>
      </c>
      <c r="E323" s="32">
        <v>103</v>
      </c>
      <c r="F323" s="32">
        <v>3.0867635761300301E-2</v>
      </c>
      <c r="G323" s="11"/>
      <c r="H323" s="11"/>
      <c r="I323" s="11"/>
      <c r="J323" s="18" t="s">
        <v>44</v>
      </c>
      <c r="K323" s="18" t="s">
        <v>45</v>
      </c>
      <c r="L323" s="58" t="s">
        <v>65</v>
      </c>
      <c r="M323" s="18">
        <f>[1]!f_prt_stocktonav(B323,"2017/03/31")</f>
        <v>82.435195922851563</v>
      </c>
      <c r="N323" s="20" t="str">
        <f>[1]!f_info_fundmanager(B323)</f>
        <v>辜岚</v>
      </c>
      <c r="O323" s="21">
        <v>1.9753424657534246</v>
      </c>
      <c r="P323" s="34" t="s">
        <v>1447</v>
      </c>
      <c r="Q323" s="34" t="s">
        <v>1448</v>
      </c>
      <c r="R323" s="34" t="s">
        <v>71</v>
      </c>
      <c r="S323" s="34">
        <v>20150410</v>
      </c>
      <c r="T323" s="45">
        <v>18.131238509900001</v>
      </c>
      <c r="U323" s="46">
        <v>19.541031753999999</v>
      </c>
      <c r="V323" s="34" t="s">
        <v>231</v>
      </c>
      <c r="W323" s="34" t="s">
        <v>44</v>
      </c>
      <c r="X323" s="34" t="s">
        <v>45</v>
      </c>
      <c r="Y323" s="34" t="s">
        <v>65</v>
      </c>
      <c r="Z323" s="34"/>
      <c r="AA323" s="34"/>
      <c r="AB323" s="22">
        <v>0.81116294860839844</v>
      </c>
      <c r="AC323" s="23" t="s">
        <v>1449</v>
      </c>
      <c r="AD323" s="24">
        <v>1.7452054794520548</v>
      </c>
      <c r="AE323" s="25">
        <v>-0.23210054767995036</v>
      </c>
      <c r="AF323" s="26">
        <v>0</v>
      </c>
      <c r="AG323" s="26">
        <v>0</v>
      </c>
      <c r="AH323" s="27">
        <v>-0.53070383561762657</v>
      </c>
      <c r="AI323" s="27">
        <v>-0.53070383561762657</v>
      </c>
      <c r="AJ323" s="27">
        <v>-0.53070383561762657</v>
      </c>
      <c r="AK323" s="28" t="s">
        <v>409</v>
      </c>
      <c r="AL323" s="29" t="s">
        <v>48</v>
      </c>
      <c r="AM323" s="29" t="s">
        <v>48</v>
      </c>
      <c r="AN323" s="29" t="s">
        <v>48</v>
      </c>
      <c r="AO323" s="47" t="s">
        <v>845</v>
      </c>
      <c r="AP323" s="28">
        <v>0</v>
      </c>
      <c r="AQ323" s="26">
        <v>1.4999999999999999E-2</v>
      </c>
      <c r="AR323" s="26">
        <v>0</v>
      </c>
    </row>
    <row r="324" spans="1:44" x14ac:dyDescent="0.15">
      <c r="A324">
        <v>89</v>
      </c>
      <c r="B324" s="11">
        <v>462</v>
      </c>
      <c r="C324" s="32"/>
      <c r="D324" s="32">
        <v>1.14391430357449E-3</v>
      </c>
      <c r="E324" s="32">
        <v>97</v>
      </c>
      <c r="F324" s="32">
        <v>0.66705048945488798</v>
      </c>
      <c r="G324" s="11"/>
      <c r="H324" s="11"/>
      <c r="I324" s="11"/>
      <c r="J324" s="18" t="s">
        <v>44</v>
      </c>
      <c r="K324" s="18" t="s">
        <v>87</v>
      </c>
      <c r="L324" s="58" t="s">
        <v>274</v>
      </c>
      <c r="M324" s="18">
        <f>[1]!f_prt_stocktonav(B324,"2017/03/31")</f>
        <v>93.794387817382813</v>
      </c>
      <c r="N324" s="20" t="str">
        <f>[1]!f_info_fundmanager(B324)</f>
        <v>颜伟鹏</v>
      </c>
      <c r="O324" s="21">
        <v>1.8493150684931507</v>
      </c>
      <c r="P324" s="34" t="s">
        <v>1450</v>
      </c>
      <c r="Q324" s="34" t="s">
        <v>1451</v>
      </c>
      <c r="R324" s="34" t="s">
        <v>424</v>
      </c>
      <c r="S324" s="34">
        <v>20150410</v>
      </c>
      <c r="T324" s="45">
        <v>5.8794715138000004</v>
      </c>
      <c r="U324" s="46">
        <v>6.4764907106000003</v>
      </c>
      <c r="V324" s="34" t="s">
        <v>231</v>
      </c>
      <c r="W324" s="34" t="s">
        <v>44</v>
      </c>
      <c r="X324" s="34" t="s">
        <v>45</v>
      </c>
      <c r="Y324" s="34" t="s">
        <v>65</v>
      </c>
      <c r="Z324" s="34"/>
      <c r="AA324" s="34"/>
      <c r="AB324" s="22">
        <v>0.84839111328125005</v>
      </c>
      <c r="AC324" s="23" t="s">
        <v>967</v>
      </c>
      <c r="AD324" s="24">
        <v>1.6191780821917807</v>
      </c>
      <c r="AE324" s="25">
        <v>-1.2124234637682751E-2</v>
      </c>
      <c r="AF324" s="26">
        <v>0</v>
      </c>
      <c r="AG324" s="26">
        <v>0</v>
      </c>
      <c r="AH324" s="27">
        <v>3.3734693817759127E-2</v>
      </c>
      <c r="AI324" s="27">
        <v>3.3734693817759127E-2</v>
      </c>
      <c r="AJ324" s="27">
        <v>3.3734693817759127E-2</v>
      </c>
      <c r="AK324" s="28" t="s">
        <v>1452</v>
      </c>
      <c r="AL324" s="29" t="s">
        <v>48</v>
      </c>
      <c r="AM324" s="29" t="s">
        <v>48</v>
      </c>
      <c r="AN324" s="29" t="s">
        <v>48</v>
      </c>
      <c r="AO324" s="47" t="s">
        <v>427</v>
      </c>
      <c r="AP324" s="28">
        <v>0</v>
      </c>
      <c r="AQ324" s="26">
        <v>1.4999999999999999E-2</v>
      </c>
      <c r="AR324" s="26">
        <v>0</v>
      </c>
    </row>
    <row r="325" spans="1:44" x14ac:dyDescent="0.15">
      <c r="A325">
        <v>579</v>
      </c>
      <c r="B325" s="11">
        <v>1104</v>
      </c>
      <c r="C325" s="32"/>
      <c r="D325" s="32">
        <v>-6.3011385689368401E-4</v>
      </c>
      <c r="E325" s="32">
        <v>103</v>
      </c>
      <c r="F325" s="32">
        <v>0.56140887770418502</v>
      </c>
      <c r="G325" s="11"/>
      <c r="H325" s="11"/>
      <c r="I325" s="11"/>
      <c r="J325" s="18" t="s">
        <v>44</v>
      </c>
      <c r="K325" s="18" t="s">
        <v>87</v>
      </c>
      <c r="L325" s="58" t="s">
        <v>354</v>
      </c>
      <c r="M325" s="18">
        <f>[1]!f_prt_stocktonav(B325,"2017/03/31")</f>
        <v>83.322486877441406</v>
      </c>
      <c r="N325" s="20" t="str">
        <f>[1]!f_info_fundmanager(B325)</f>
        <v>杨鑫鑫</v>
      </c>
      <c r="O325" s="21">
        <v>1.978082191780822</v>
      </c>
      <c r="P325" s="34" t="s">
        <v>1453</v>
      </c>
      <c r="Q325" s="34" t="s">
        <v>1454</v>
      </c>
      <c r="R325" s="34" t="s">
        <v>63</v>
      </c>
      <c r="S325" s="34">
        <v>20150409</v>
      </c>
      <c r="T325" s="45">
        <v>32.6391029571</v>
      </c>
      <c r="U325" s="46">
        <v>32.103218238300002</v>
      </c>
      <c r="V325" s="34" t="s">
        <v>231</v>
      </c>
      <c r="W325" s="34" t="s">
        <v>44</v>
      </c>
      <c r="X325" s="34" t="s">
        <v>87</v>
      </c>
      <c r="Y325" s="34" t="s">
        <v>65</v>
      </c>
      <c r="Z325" s="34" t="s">
        <v>1256</v>
      </c>
      <c r="AA325" s="34"/>
      <c r="AB325" s="22">
        <v>0.83301124572753904</v>
      </c>
      <c r="AC325" s="23" t="s">
        <v>1455</v>
      </c>
      <c r="AD325" s="24">
        <v>1.747945205479452</v>
      </c>
      <c r="AE325" s="25">
        <v>-6.6806391739144155E-2</v>
      </c>
      <c r="AF325" s="26">
        <v>0</v>
      </c>
      <c r="AG325" s="26">
        <v>0</v>
      </c>
      <c r="AH325" s="27">
        <v>-0.22489169053985933</v>
      </c>
      <c r="AI325" s="27">
        <v>-0.22489169053985933</v>
      </c>
      <c r="AJ325" s="27">
        <v>-0.22489169053985933</v>
      </c>
      <c r="AK325" s="33" t="s">
        <v>1393</v>
      </c>
      <c r="AL325" s="29" t="s">
        <v>48</v>
      </c>
      <c r="AM325" s="29" t="s">
        <v>48</v>
      </c>
      <c r="AN325" s="29" t="s">
        <v>48</v>
      </c>
      <c r="AO325" s="47" t="s">
        <v>177</v>
      </c>
      <c r="AP325" s="28">
        <v>0</v>
      </c>
      <c r="AQ325" s="26">
        <v>1.4999999999999999E-2</v>
      </c>
      <c r="AR325" s="26">
        <v>0</v>
      </c>
    </row>
    <row r="326" spans="1:44" x14ac:dyDescent="0.15">
      <c r="A326">
        <v>369</v>
      </c>
      <c r="B326" s="11">
        <v>1118</v>
      </c>
      <c r="C326" s="32"/>
      <c r="D326" s="32">
        <v>-2.6214521642975801E-3</v>
      </c>
      <c r="E326" s="32">
        <v>104</v>
      </c>
      <c r="F326" s="32">
        <v>3.2462843462009998E-2</v>
      </c>
      <c r="G326" s="11"/>
      <c r="H326" s="11"/>
      <c r="I326" s="11"/>
      <c r="J326" s="18" t="s">
        <v>44</v>
      </c>
      <c r="K326" s="18" t="s">
        <v>45</v>
      </c>
      <c r="L326" s="58" t="s">
        <v>274</v>
      </c>
      <c r="M326" s="18">
        <f>[1]!f_prt_stocktonav(B326,"2017/03/31")</f>
        <v>88.083770751953125</v>
      </c>
      <c r="N326" s="20" t="str">
        <f>[1]!f_info_fundmanager(B326)</f>
        <v>陈建华,徐林明</v>
      </c>
      <c r="O326" s="21">
        <v>1.9808219178082191</v>
      </c>
      <c r="P326" s="34" t="s">
        <v>1456</v>
      </c>
      <c r="Q326" s="34" t="s">
        <v>1457</v>
      </c>
      <c r="R326" s="34" t="s">
        <v>737</v>
      </c>
      <c r="S326" s="34">
        <v>20150408</v>
      </c>
      <c r="T326" s="45">
        <v>32.454457700799999</v>
      </c>
      <c r="U326" s="46">
        <v>34.225164112500003</v>
      </c>
      <c r="V326" s="34" t="s">
        <v>231</v>
      </c>
      <c r="W326" s="34" t="s">
        <v>44</v>
      </c>
      <c r="X326" s="34" t="s">
        <v>45</v>
      </c>
      <c r="Y326" s="34" t="s">
        <v>274</v>
      </c>
      <c r="Z326" s="34"/>
      <c r="AA326" s="34"/>
      <c r="AB326" s="22">
        <v>0.89492004394531255</v>
      </c>
      <c r="AC326" s="23" t="s">
        <v>1458</v>
      </c>
      <c r="AD326" s="24">
        <v>1.7506849315068493</v>
      </c>
      <c r="AE326" s="25">
        <v>-0.1611202002452029</v>
      </c>
      <c r="AF326" s="26">
        <v>0</v>
      </c>
      <c r="AG326" s="26">
        <v>0</v>
      </c>
      <c r="AH326" s="27">
        <v>-0.2783066141986219</v>
      </c>
      <c r="AI326" s="27">
        <v>-0.2783066141986219</v>
      </c>
      <c r="AJ326" s="27">
        <v>-0.2783066141986219</v>
      </c>
      <c r="AK326" s="28" t="s">
        <v>1459</v>
      </c>
      <c r="AL326" s="29" t="s">
        <v>48</v>
      </c>
      <c r="AM326" s="29" t="s">
        <v>48</v>
      </c>
      <c r="AN326" s="29" t="s">
        <v>48</v>
      </c>
      <c r="AO326" s="47" t="s">
        <v>739</v>
      </c>
      <c r="AP326" s="28">
        <v>0</v>
      </c>
      <c r="AQ326" s="26">
        <v>1.4999999999999999E-2</v>
      </c>
      <c r="AR326" s="26">
        <v>0</v>
      </c>
    </row>
    <row r="327" spans="1:44" x14ac:dyDescent="0.15">
      <c r="A327">
        <v>515</v>
      </c>
      <c r="B327" s="11">
        <v>1112</v>
      </c>
      <c r="C327" s="32"/>
      <c r="D327" s="32">
        <v>3.6056595308741101E-3</v>
      </c>
      <c r="E327" s="32">
        <v>95</v>
      </c>
      <c r="F327" s="32">
        <v>7.65588726719779E-3</v>
      </c>
      <c r="G327" s="11"/>
      <c r="H327" s="11"/>
      <c r="I327" s="11"/>
      <c r="J327" s="18" t="s">
        <v>44</v>
      </c>
      <c r="K327" s="18" t="s">
        <v>45</v>
      </c>
      <c r="L327" s="58" t="s">
        <v>65</v>
      </c>
      <c r="M327" s="18">
        <f>[1]!f_prt_stocktonav(B327,"2017/03/31")</f>
        <v>84.941886901855469</v>
      </c>
      <c r="N327" s="20" t="str">
        <f>[1]!f_info_fundmanager(B327)</f>
        <v>王延飞,林鹏</v>
      </c>
      <c r="O327" s="21">
        <v>1.8136986301369864</v>
      </c>
      <c r="P327" s="34" t="s">
        <v>1460</v>
      </c>
      <c r="Q327" s="34" t="s">
        <v>1461</v>
      </c>
      <c r="R327" s="34" t="s">
        <v>313</v>
      </c>
      <c r="S327" s="34">
        <v>20150407</v>
      </c>
      <c r="T327" s="45">
        <v>41.107172807300003</v>
      </c>
      <c r="U327" s="46">
        <v>47.569399496199999</v>
      </c>
      <c r="V327" s="34" t="s">
        <v>231</v>
      </c>
      <c r="W327" s="34" t="s">
        <v>44</v>
      </c>
      <c r="X327" s="17" t="s">
        <v>45</v>
      </c>
      <c r="Y327" s="17" t="s">
        <v>65</v>
      </c>
      <c r="Z327" s="34"/>
      <c r="AA327" s="34"/>
      <c r="AB327" s="22">
        <v>0.87484550476074219</v>
      </c>
      <c r="AC327" s="23" t="s">
        <v>1462</v>
      </c>
      <c r="AD327" s="24">
        <v>1.5835616438356164</v>
      </c>
      <c r="AE327" s="25">
        <v>2.22348176170728E-2</v>
      </c>
      <c r="AF327" s="26">
        <v>0</v>
      </c>
      <c r="AG327" s="26">
        <v>0</v>
      </c>
      <c r="AH327" s="27">
        <v>0.10971901977253885</v>
      </c>
      <c r="AI327" s="27">
        <v>0.10971901977253885</v>
      </c>
      <c r="AJ327" s="27">
        <v>0.10971901977253885</v>
      </c>
      <c r="AK327" s="28" t="s">
        <v>684</v>
      </c>
      <c r="AL327" s="29" t="s">
        <v>48</v>
      </c>
      <c r="AM327" s="29" t="s">
        <v>48</v>
      </c>
      <c r="AN327" s="29" t="s">
        <v>48</v>
      </c>
      <c r="AO327" s="47" t="s">
        <v>209</v>
      </c>
      <c r="AP327" s="28">
        <v>0</v>
      </c>
      <c r="AQ327" s="26">
        <v>1.4999999999999999E-2</v>
      </c>
      <c r="AR327" s="26">
        <v>0</v>
      </c>
    </row>
    <row r="328" spans="1:44" x14ac:dyDescent="0.15">
      <c r="A328">
        <v>153</v>
      </c>
      <c r="B328" s="11">
        <v>1037</v>
      </c>
      <c r="C328" s="32"/>
      <c r="D328" s="32">
        <v>-3.2811636122110398E-3</v>
      </c>
      <c r="E328" s="32">
        <v>105</v>
      </c>
      <c r="F328" s="32">
        <v>4.90035912550561E-2</v>
      </c>
      <c r="G328" s="11"/>
      <c r="H328" s="11"/>
      <c r="I328" s="11"/>
      <c r="J328" s="18" t="s">
        <v>44</v>
      </c>
      <c r="K328" s="18" t="s">
        <v>45</v>
      </c>
      <c r="L328" s="58" t="s">
        <v>274</v>
      </c>
      <c r="M328" s="18">
        <f>[1]!f_prt_stocktonav(B328,"2017/03/31")</f>
        <v>92.654640197753906</v>
      </c>
      <c r="N328" s="20" t="str">
        <f>[1]!f_info_fundmanager(B328)</f>
        <v>杨冬冬</v>
      </c>
      <c r="O328" s="21">
        <v>2.0027397260273974</v>
      </c>
      <c r="P328" s="34" t="s">
        <v>1463</v>
      </c>
      <c r="Q328" s="34" t="s">
        <v>1464</v>
      </c>
      <c r="R328" s="34" t="s">
        <v>452</v>
      </c>
      <c r="S328" s="34">
        <v>20150331</v>
      </c>
      <c r="T328" s="45">
        <v>16.327675820100001</v>
      </c>
      <c r="U328" s="46">
        <v>17.316396637</v>
      </c>
      <c r="V328" s="34" t="s">
        <v>231</v>
      </c>
      <c r="W328" s="34" t="s">
        <v>44</v>
      </c>
      <c r="X328" s="17" t="s">
        <v>45</v>
      </c>
      <c r="Y328" s="17" t="s">
        <v>274</v>
      </c>
      <c r="Z328" s="34"/>
      <c r="AA328" s="34"/>
      <c r="AB328" s="22">
        <v>0.94518844604492191</v>
      </c>
      <c r="AC328" s="23" t="s">
        <v>1296</v>
      </c>
      <c r="AD328" s="24">
        <v>1.7726027397260273</v>
      </c>
      <c r="AE328" s="25">
        <v>-6.1717457344121707E-2</v>
      </c>
      <c r="AF328" s="26">
        <v>0</v>
      </c>
      <c r="AG328" s="26">
        <v>0</v>
      </c>
      <c r="AH328" s="27">
        <v>1.3360641801775893E-3</v>
      </c>
      <c r="AI328" s="27">
        <v>1.3360641801775893E-3</v>
      </c>
      <c r="AJ328" s="27">
        <v>1.3360641801775893E-3</v>
      </c>
      <c r="AK328" s="28" t="s">
        <v>409</v>
      </c>
      <c r="AL328" s="29" t="s">
        <v>48</v>
      </c>
      <c r="AM328" s="29" t="s">
        <v>48</v>
      </c>
      <c r="AN328" s="29" t="s">
        <v>48</v>
      </c>
      <c r="AO328" s="47" t="s">
        <v>209</v>
      </c>
      <c r="AP328" s="28">
        <v>0</v>
      </c>
      <c r="AQ328" s="26">
        <v>1.4999999999999999E-2</v>
      </c>
      <c r="AR328" s="26">
        <v>0</v>
      </c>
    </row>
    <row r="329" spans="1:44" x14ac:dyDescent="0.15">
      <c r="A329">
        <v>442</v>
      </c>
      <c r="B329" s="11">
        <v>320022</v>
      </c>
      <c r="C329" s="32"/>
      <c r="D329" s="32">
        <v>-2.0447220954104999E-3</v>
      </c>
      <c r="E329" s="32">
        <v>105</v>
      </c>
      <c r="F329" s="32">
        <v>0.18948278796906101</v>
      </c>
      <c r="G329" s="11"/>
      <c r="H329" s="11"/>
      <c r="I329" s="11"/>
      <c r="J329" s="18" t="s">
        <v>44</v>
      </c>
      <c r="K329" s="18" t="s">
        <v>45</v>
      </c>
      <c r="L329" s="58" t="s">
        <v>274</v>
      </c>
      <c r="M329" s="18">
        <f>[1]!f_prt_stocktonav(B329,"2017/03/31")</f>
        <v>86.454154968261719</v>
      </c>
      <c r="N329" s="20" t="str">
        <f>[1]!f_info_fundmanager(B329)</f>
        <v>王创练</v>
      </c>
      <c r="O329" s="21">
        <v>2.0054794520547947</v>
      </c>
      <c r="P329" s="34" t="s">
        <v>1465</v>
      </c>
      <c r="Q329" s="34" t="s">
        <v>1466</v>
      </c>
      <c r="R329" s="34" t="s">
        <v>955</v>
      </c>
      <c r="S329" s="34">
        <v>20150330</v>
      </c>
      <c r="T329" s="45">
        <v>8.9071620684999999</v>
      </c>
      <c r="U329" s="46">
        <v>9.5721984699</v>
      </c>
      <c r="V329" s="34" t="s">
        <v>231</v>
      </c>
      <c r="W329" s="34" t="s">
        <v>44</v>
      </c>
      <c r="X329" s="34" t="s">
        <v>45</v>
      </c>
      <c r="Y329" s="34" t="s">
        <v>274</v>
      </c>
      <c r="Z329" s="34"/>
      <c r="AA329" s="34"/>
      <c r="AB329" s="22">
        <v>0.83624465942382809</v>
      </c>
      <c r="AC329" s="23" t="s">
        <v>1467</v>
      </c>
      <c r="AD329" s="24">
        <v>1.7753424657534247</v>
      </c>
      <c r="AE329" s="25">
        <v>-3.393108837976222E-2</v>
      </c>
      <c r="AF329" s="26">
        <v>0</v>
      </c>
      <c r="AG329" s="26">
        <v>0</v>
      </c>
      <c r="AH329" s="27">
        <v>7.2654552144810827E-2</v>
      </c>
      <c r="AI329" s="27">
        <v>7.2654552144810827E-2</v>
      </c>
      <c r="AJ329" s="27">
        <v>7.2654552144810827E-2</v>
      </c>
      <c r="AK329" s="28" t="s">
        <v>1468</v>
      </c>
      <c r="AL329" s="29" t="s">
        <v>48</v>
      </c>
      <c r="AM329" s="29" t="s">
        <v>48</v>
      </c>
      <c r="AN329" s="29" t="s">
        <v>48</v>
      </c>
      <c r="AO329" s="47" t="s">
        <v>249</v>
      </c>
      <c r="AP329" s="28">
        <v>0</v>
      </c>
      <c r="AQ329" s="26">
        <v>1.4999999999999999E-2</v>
      </c>
      <c r="AR329" s="26">
        <v>0</v>
      </c>
    </row>
    <row r="330" spans="1:44" x14ac:dyDescent="0.15">
      <c r="A330">
        <v>147</v>
      </c>
      <c r="B330" s="11">
        <v>1060</v>
      </c>
      <c r="C330" s="32"/>
      <c r="D330" s="32">
        <v>1.8929941927428699E-3</v>
      </c>
      <c r="E330" s="32">
        <v>105</v>
      </c>
      <c r="F330" s="32">
        <v>0.24043969966494999</v>
      </c>
      <c r="G330" s="11"/>
      <c r="H330" s="11"/>
      <c r="I330" s="11"/>
      <c r="J330" s="18" t="s">
        <v>44</v>
      </c>
      <c r="K330" s="18" t="s">
        <v>45</v>
      </c>
      <c r="L330" s="58" t="s">
        <v>817</v>
      </c>
      <c r="M330" s="18">
        <f>[1]!f_prt_stocktonav(B330,"2017/03/31")</f>
        <v>92.85089111328125</v>
      </c>
      <c r="N330" s="20" t="str">
        <f>[1]!f_info_fundmanager(B330)</f>
        <v>薛小波</v>
      </c>
      <c r="O330" s="21">
        <v>2.0136986301369864</v>
      </c>
      <c r="P330" s="34" t="s">
        <v>1469</v>
      </c>
      <c r="Q330" s="34" t="s">
        <v>1470</v>
      </c>
      <c r="R330" s="34" t="s">
        <v>78</v>
      </c>
      <c r="S330" s="34">
        <v>20150327</v>
      </c>
      <c r="T330" s="45">
        <v>5.8132132138000001</v>
      </c>
      <c r="U330" s="46">
        <v>8.2340427511000005</v>
      </c>
      <c r="V330" s="34" t="s">
        <v>231</v>
      </c>
      <c r="W330" s="34" t="s">
        <v>44</v>
      </c>
      <c r="X330" s="17" t="s">
        <v>45</v>
      </c>
      <c r="Y330" s="17" t="s">
        <v>817</v>
      </c>
      <c r="Z330" s="34"/>
      <c r="AA330" s="34"/>
      <c r="AB330" s="22">
        <v>0.89440139770507809</v>
      </c>
      <c r="AC330" s="23" t="s">
        <v>1471</v>
      </c>
      <c r="AD330" s="24">
        <v>1.7835616438356163</v>
      </c>
      <c r="AE330" s="25">
        <v>4.512289053047347E-3</v>
      </c>
      <c r="AF330" s="26">
        <v>0</v>
      </c>
      <c r="AG330" s="26">
        <v>0</v>
      </c>
      <c r="AH330" s="27">
        <v>1.4339484720522627E-2</v>
      </c>
      <c r="AI330" s="27">
        <v>1.4339484720522627E-2</v>
      </c>
      <c r="AJ330" s="27">
        <v>1.4339484720522627E-2</v>
      </c>
      <c r="AK330" s="28" t="s">
        <v>196</v>
      </c>
      <c r="AL330" s="29" t="s">
        <v>48</v>
      </c>
      <c r="AM330" s="29" t="s">
        <v>48</v>
      </c>
      <c r="AN330" s="29" t="s">
        <v>48</v>
      </c>
      <c r="AO330" s="47" t="s">
        <v>270</v>
      </c>
      <c r="AP330" s="28">
        <v>0</v>
      </c>
      <c r="AQ330" s="26">
        <v>1.4999999999999999E-2</v>
      </c>
      <c r="AR330" s="26">
        <v>0</v>
      </c>
    </row>
    <row r="331" spans="1:44" x14ac:dyDescent="0.15">
      <c r="A331">
        <v>165</v>
      </c>
      <c r="B331" s="11">
        <v>1103</v>
      </c>
      <c r="C331" s="32"/>
      <c r="D331" s="32">
        <v>1.6535411873539001E-3</v>
      </c>
      <c r="E331" s="32">
        <v>105</v>
      </c>
      <c r="F331" s="32">
        <v>0.30965306448205798</v>
      </c>
      <c r="G331" s="11"/>
      <c r="H331" s="11"/>
      <c r="I331" s="11"/>
      <c r="J331" s="18" t="s">
        <v>44</v>
      </c>
      <c r="K331" s="18" t="s">
        <v>45</v>
      </c>
      <c r="L331" s="58" t="s">
        <v>817</v>
      </c>
      <c r="M331" s="18">
        <f>[1]!f_prt_stocktonav(B331,"2017/03/31")</f>
        <v>92.4434814453125</v>
      </c>
      <c r="N331" s="20" t="str">
        <f>[1]!f_info_fundmanager(B331)</f>
        <v>薛小波</v>
      </c>
      <c r="O331" s="21">
        <v>2.0136986301369864</v>
      </c>
      <c r="P331" s="34" t="s">
        <v>1472</v>
      </c>
      <c r="Q331" s="34" t="s">
        <v>1473</v>
      </c>
      <c r="R331" s="34" t="s">
        <v>78</v>
      </c>
      <c r="S331" s="34">
        <v>20150327</v>
      </c>
      <c r="T331" s="45">
        <v>9.7051844836000001</v>
      </c>
      <c r="U331" s="46">
        <v>13.875220453200001</v>
      </c>
      <c r="V331" s="34" t="s">
        <v>231</v>
      </c>
      <c r="W331" s="34" t="s">
        <v>44</v>
      </c>
      <c r="X331" s="17" t="s">
        <v>45</v>
      </c>
      <c r="Y331" s="17" t="s">
        <v>817</v>
      </c>
      <c r="Z331" s="34"/>
      <c r="AA331" s="34"/>
      <c r="AB331" s="22">
        <v>0.91617446899414068</v>
      </c>
      <c r="AC331" s="23" t="s">
        <v>1471</v>
      </c>
      <c r="AD331" s="24">
        <v>1.7835616438356163</v>
      </c>
      <c r="AE331" s="25">
        <v>-6.2301183085277101E-3</v>
      </c>
      <c r="AF331" s="26">
        <v>0</v>
      </c>
      <c r="AG331" s="26">
        <v>0</v>
      </c>
      <c r="AH331" s="27">
        <v>-4.7685922458520408E-2</v>
      </c>
      <c r="AI331" s="27">
        <v>-4.7685922458520408E-2</v>
      </c>
      <c r="AJ331" s="27">
        <v>-4.7685922458520408E-2</v>
      </c>
      <c r="AK331" s="28" t="s">
        <v>196</v>
      </c>
      <c r="AL331" s="29" t="s">
        <v>48</v>
      </c>
      <c r="AM331" s="29" t="s">
        <v>48</v>
      </c>
      <c r="AN331" s="29" t="s">
        <v>48</v>
      </c>
      <c r="AO331" s="47" t="s">
        <v>270</v>
      </c>
      <c r="AP331" s="28">
        <v>0</v>
      </c>
      <c r="AQ331" s="26">
        <v>1.4999999999999999E-2</v>
      </c>
      <c r="AR331" s="26">
        <v>0</v>
      </c>
    </row>
    <row r="332" spans="1:44" x14ac:dyDescent="0.15">
      <c r="A332">
        <v>518</v>
      </c>
      <c r="B332" s="11">
        <v>1056</v>
      </c>
      <c r="C332" s="32"/>
      <c r="D332" s="32">
        <v>-2.0049207428875998E-3</v>
      </c>
      <c r="E332" s="32">
        <v>105</v>
      </c>
      <c r="F332" s="32">
        <v>0.232636812435073</v>
      </c>
      <c r="G332" s="11"/>
      <c r="H332" s="11"/>
      <c r="I332" s="11"/>
      <c r="J332" s="18" t="s">
        <v>44</v>
      </c>
      <c r="K332" s="18" t="s">
        <v>87</v>
      </c>
      <c r="L332" s="58" t="s">
        <v>274</v>
      </c>
      <c r="M332" s="18">
        <f>[1]!f_prt_stocktonav(B332,"2017/03/31")</f>
        <v>84.922027587890625</v>
      </c>
      <c r="N332" s="20" t="str">
        <f>[1]!f_info_fundmanager(B332)</f>
        <v>高峰,吴洋</v>
      </c>
      <c r="O332" s="21">
        <v>2.0136986301369864</v>
      </c>
      <c r="P332" s="34" t="s">
        <v>1474</v>
      </c>
      <c r="Q332" s="34" t="s">
        <v>1475</v>
      </c>
      <c r="R332" s="34" t="s">
        <v>711</v>
      </c>
      <c r="S332" s="34">
        <v>20150327</v>
      </c>
      <c r="T332" s="45">
        <v>8.3966771371999993</v>
      </c>
      <c r="U332" s="46">
        <v>9.0677816045000004</v>
      </c>
      <c r="V332" s="34" t="s">
        <v>231</v>
      </c>
      <c r="W332" s="34" t="s">
        <v>44</v>
      </c>
      <c r="X332" s="34" t="s">
        <v>87</v>
      </c>
      <c r="Y332" s="34" t="s">
        <v>274</v>
      </c>
      <c r="Z332" s="34" t="s">
        <v>1476</v>
      </c>
      <c r="AA332" s="34"/>
      <c r="AB332" s="22">
        <v>0.91136627197265629</v>
      </c>
      <c r="AC332" s="23" t="s">
        <v>1477</v>
      </c>
      <c r="AD332" s="24">
        <v>1.7835616438356163</v>
      </c>
      <c r="AE332" s="25">
        <v>-2.107685056638986E-2</v>
      </c>
      <c r="AF332" s="26">
        <v>0</v>
      </c>
      <c r="AG332" s="26">
        <v>0</v>
      </c>
      <c r="AH332" s="27">
        <v>7.0591775904222401E-2</v>
      </c>
      <c r="AI332" s="27">
        <v>7.0591775904222401E-2</v>
      </c>
      <c r="AJ332" s="27">
        <v>7.0591775904222401E-2</v>
      </c>
      <c r="AK332" s="33" t="s">
        <v>714</v>
      </c>
      <c r="AL332" s="29" t="s">
        <v>48</v>
      </c>
      <c r="AM332" s="29" t="s">
        <v>48</v>
      </c>
      <c r="AN332" s="29" t="s">
        <v>48</v>
      </c>
      <c r="AO332" s="47" t="s">
        <v>715</v>
      </c>
      <c r="AP332" s="28">
        <v>0</v>
      </c>
      <c r="AQ332" s="26">
        <v>1.4999999999999999E-2</v>
      </c>
      <c r="AR332" s="26">
        <v>0</v>
      </c>
    </row>
    <row r="333" spans="1:44" x14ac:dyDescent="0.15">
      <c r="A333">
        <v>815</v>
      </c>
      <c r="B333" s="11">
        <v>993</v>
      </c>
      <c r="C333" s="32"/>
      <c r="D333" s="32">
        <v>-6.7098930497705195E-4</v>
      </c>
      <c r="E333" s="32">
        <v>105</v>
      </c>
      <c r="F333" s="32">
        <v>0.57405303005750496</v>
      </c>
      <c r="G333" s="11"/>
      <c r="H333" s="11"/>
      <c r="I333" s="11"/>
      <c r="J333" s="18" t="s">
        <v>44</v>
      </c>
      <c r="K333" s="18" t="s">
        <v>45</v>
      </c>
      <c r="L333" s="58" t="s">
        <v>65</v>
      </c>
      <c r="M333" s="18">
        <f>[1]!f_prt_stocktonav(B333,"2017/03/31")</f>
        <v>76.096633911132812</v>
      </c>
      <c r="N333" s="20" t="str">
        <f>[1]!f_info_fundmanager(B333)</f>
        <v>闫旭</v>
      </c>
      <c r="O333" s="21">
        <v>2.0136986301369864</v>
      </c>
      <c r="P333" s="34" t="s">
        <v>1478</v>
      </c>
      <c r="Q333" s="34" t="s">
        <v>1479</v>
      </c>
      <c r="R333" s="34" t="s">
        <v>737</v>
      </c>
      <c r="S333" s="34">
        <v>20150327</v>
      </c>
      <c r="T333" s="45">
        <v>6.5239144217999998</v>
      </c>
      <c r="U333" s="46">
        <v>7.0626505780000004</v>
      </c>
      <c r="V333" s="34" t="s">
        <v>231</v>
      </c>
      <c r="W333" s="34" t="s">
        <v>44</v>
      </c>
      <c r="X333" s="34" t="s">
        <v>45</v>
      </c>
      <c r="Y333" s="34" t="s">
        <v>274</v>
      </c>
      <c r="Z333" s="34"/>
      <c r="AA333" s="34"/>
      <c r="AB333" s="22">
        <v>0.75703109741210939</v>
      </c>
      <c r="AC333" s="23" t="s">
        <v>1480</v>
      </c>
      <c r="AD333" s="24">
        <v>1.7835616438356163</v>
      </c>
      <c r="AE333" s="25">
        <v>-6.0161379912221487E-2</v>
      </c>
      <c r="AF333" s="26">
        <v>0</v>
      </c>
      <c r="AG333" s="26">
        <v>0</v>
      </c>
      <c r="AH333" s="27">
        <v>-4.6945240520715574E-2</v>
      </c>
      <c r="AI333" s="27">
        <v>-4.6945240520715574E-2</v>
      </c>
      <c r="AJ333" s="27">
        <v>-4.6945240520715574E-2</v>
      </c>
      <c r="AK333" s="28" t="s">
        <v>240</v>
      </c>
      <c r="AL333" s="29" t="s">
        <v>48</v>
      </c>
      <c r="AM333" s="29" t="s">
        <v>48</v>
      </c>
      <c r="AN333" s="29" t="s">
        <v>48</v>
      </c>
      <c r="AO333" s="47" t="s">
        <v>739</v>
      </c>
      <c r="AP333" s="28">
        <v>0</v>
      </c>
      <c r="AQ333" s="26">
        <v>1.4999999999999999E-2</v>
      </c>
      <c r="AR333" s="26">
        <v>0</v>
      </c>
    </row>
    <row r="334" spans="1:44" x14ac:dyDescent="0.15">
      <c r="A334">
        <v>348</v>
      </c>
      <c r="B334" s="11">
        <v>1097</v>
      </c>
      <c r="C334" s="32"/>
      <c r="D334" s="32">
        <v>-6.1420889136375402E-3</v>
      </c>
      <c r="E334" s="32">
        <v>105</v>
      </c>
      <c r="F334" s="32">
        <v>7.4206192348486499E-4</v>
      </c>
      <c r="G334" s="11"/>
      <c r="H334" s="11"/>
      <c r="I334" s="11"/>
      <c r="J334" s="18" t="s">
        <v>44</v>
      </c>
      <c r="K334" s="18" t="s">
        <v>45</v>
      </c>
      <c r="L334" s="58" t="s">
        <v>65</v>
      </c>
      <c r="M334" s="18">
        <f>[1]!f_prt_stocktonav(B334,"2017/03/31")</f>
        <v>88.566429138183594</v>
      </c>
      <c r="N334" s="20" t="str">
        <f>[1]!f_info_fundmanager(B334)</f>
        <v>方伦煜</v>
      </c>
      <c r="O334" s="21">
        <v>2.0164383561643837</v>
      </c>
      <c r="P334" s="34" t="s">
        <v>1481</v>
      </c>
      <c r="Q334" s="34" t="s">
        <v>1482</v>
      </c>
      <c r="R334" s="34" t="s">
        <v>880</v>
      </c>
      <c r="S334" s="34">
        <v>20150326</v>
      </c>
      <c r="T334" s="45">
        <v>4.4760925035000003</v>
      </c>
      <c r="U334" s="46">
        <v>4.8532234824999998</v>
      </c>
      <c r="V334" s="34" t="s">
        <v>231</v>
      </c>
      <c r="W334" s="34" t="s">
        <v>44</v>
      </c>
      <c r="X334" s="34" t="s">
        <v>45</v>
      </c>
      <c r="Y334" s="34" t="s">
        <v>274</v>
      </c>
      <c r="Z334" s="34"/>
      <c r="AA334" s="34"/>
      <c r="AB334" s="22">
        <v>0.82454376220703129</v>
      </c>
      <c r="AC334" s="23" t="s">
        <v>1483</v>
      </c>
      <c r="AD334" s="24">
        <v>1.7863013698630137</v>
      </c>
      <c r="AE334" s="25">
        <v>-0.25744615553579342</v>
      </c>
      <c r="AF334" s="26">
        <v>0</v>
      </c>
      <c r="AG334" s="26">
        <v>0</v>
      </c>
      <c r="AH334" s="27">
        <v>-0.71273704189685805</v>
      </c>
      <c r="AI334" s="27">
        <v>-0.71273704189685805</v>
      </c>
      <c r="AJ334" s="27">
        <v>-0.71273704189685805</v>
      </c>
      <c r="AK334" s="28" t="s">
        <v>1484</v>
      </c>
      <c r="AL334" s="29" t="s">
        <v>48</v>
      </c>
      <c r="AM334" s="29" t="s">
        <v>48</v>
      </c>
      <c r="AN334" s="29" t="s">
        <v>48</v>
      </c>
      <c r="AO334" s="47" t="s">
        <v>255</v>
      </c>
      <c r="AP334" s="28">
        <v>0</v>
      </c>
      <c r="AQ334" s="26">
        <v>1.4999999999999999E-2</v>
      </c>
      <c r="AR334" s="26">
        <v>0</v>
      </c>
    </row>
    <row r="335" spans="1:44" x14ac:dyDescent="0.15">
      <c r="A335">
        <v>500</v>
      </c>
      <c r="B335" s="11">
        <v>1043</v>
      </c>
      <c r="C335" s="32"/>
      <c r="D335" s="32">
        <v>-1.30565717620313E-3</v>
      </c>
      <c r="E335" s="32">
        <v>105</v>
      </c>
      <c r="F335" s="32">
        <v>0.38741887221989002</v>
      </c>
      <c r="G335" s="11"/>
      <c r="H335" s="11"/>
      <c r="I335" s="11"/>
      <c r="J335" s="18" t="s">
        <v>44</v>
      </c>
      <c r="K335" s="18" t="s">
        <v>87</v>
      </c>
      <c r="L335" s="58" t="s">
        <v>274</v>
      </c>
      <c r="M335" s="18">
        <f>[1]!f_prt_stocktonav(B335,"2017/03/31")</f>
        <v>85.271713256835938</v>
      </c>
      <c r="N335" s="20" t="str">
        <f>[1]!f_info_fundmanager(B335)</f>
        <v>王君正,鄢耀</v>
      </c>
      <c r="O335" s="21">
        <v>2.0164383561643837</v>
      </c>
      <c r="P335" s="34" t="s">
        <v>1485</v>
      </c>
      <c r="Q335" s="34" t="s">
        <v>1486</v>
      </c>
      <c r="R335" s="34" t="s">
        <v>523</v>
      </c>
      <c r="S335" s="34">
        <v>20150326</v>
      </c>
      <c r="T335" s="45">
        <v>7.1758832818</v>
      </c>
      <c r="U335" s="46">
        <v>7.4782007438999996</v>
      </c>
      <c r="V335" s="34" t="s">
        <v>231</v>
      </c>
      <c r="W335" s="34" t="s">
        <v>44</v>
      </c>
      <c r="X335" s="34" t="s">
        <v>87</v>
      </c>
      <c r="Y335" s="34" t="s">
        <v>274</v>
      </c>
      <c r="Z335" s="34" t="s">
        <v>1487</v>
      </c>
      <c r="AA335" s="34"/>
      <c r="AB335" s="22">
        <v>0.85688728332519526</v>
      </c>
      <c r="AC335" s="23" t="s">
        <v>1488</v>
      </c>
      <c r="AD335" s="24">
        <v>1.7863013698630137</v>
      </c>
      <c r="AE335" s="25">
        <v>-6.5409167653512346E-2</v>
      </c>
      <c r="AF335" s="26">
        <v>0</v>
      </c>
      <c r="AG335" s="26">
        <v>0</v>
      </c>
      <c r="AH335" s="27">
        <v>-1.4129705746938346E-2</v>
      </c>
      <c r="AI335" s="27">
        <v>-1.4129705746938346E-2</v>
      </c>
      <c r="AJ335" s="27">
        <v>-1.4129705746938346E-2</v>
      </c>
      <c r="AK335" s="33" t="s">
        <v>167</v>
      </c>
      <c r="AL335" s="29" t="s">
        <v>48</v>
      </c>
      <c r="AM335" s="29" t="s">
        <v>48</v>
      </c>
      <c r="AN335" s="29" t="s">
        <v>48</v>
      </c>
      <c r="AO335" s="47" t="s">
        <v>255</v>
      </c>
      <c r="AP335" s="28">
        <v>0</v>
      </c>
      <c r="AQ335" s="26">
        <v>1.4999999999999999E-2</v>
      </c>
      <c r="AR335" s="26">
        <v>0</v>
      </c>
    </row>
    <row r="336" spans="1:44" x14ac:dyDescent="0.15">
      <c r="A336">
        <v>422</v>
      </c>
      <c r="B336" s="11">
        <v>1047</v>
      </c>
      <c r="C336" s="32"/>
      <c r="D336" s="32">
        <v>-1.7827742034914099E-3</v>
      </c>
      <c r="E336" s="32">
        <v>98</v>
      </c>
      <c r="F336" s="32">
        <v>9.5269334608443099E-2</v>
      </c>
      <c r="G336" s="11"/>
      <c r="H336" s="11"/>
      <c r="I336" s="11"/>
      <c r="J336" s="18" t="s">
        <v>44</v>
      </c>
      <c r="K336" s="18" t="s">
        <v>87</v>
      </c>
      <c r="L336" s="58" t="s">
        <v>337</v>
      </c>
      <c r="M336" s="18">
        <f>[1]!f_prt_stocktonav(B336,"2017/03/31")</f>
        <v>86.867874145507813</v>
      </c>
      <c r="N336" s="20" t="str">
        <f>[1]!f_info_fundmanager(B336)</f>
        <v>董伟炜</v>
      </c>
      <c r="O336" s="21">
        <v>1.8657534246575342</v>
      </c>
      <c r="P336" s="34" t="s">
        <v>1489</v>
      </c>
      <c r="Q336" s="34" t="s">
        <v>1490</v>
      </c>
      <c r="R336" s="34" t="s">
        <v>634</v>
      </c>
      <c r="S336" s="34">
        <v>20150325</v>
      </c>
      <c r="T336" s="45">
        <v>15.3652869095</v>
      </c>
      <c r="U336" s="46">
        <v>14.9249245475</v>
      </c>
      <c r="V336" s="34" t="s">
        <v>231</v>
      </c>
      <c r="W336" s="34" t="s">
        <v>44</v>
      </c>
      <c r="X336" s="34" t="s">
        <v>87</v>
      </c>
      <c r="Y336" s="34" t="s">
        <v>337</v>
      </c>
      <c r="Z336" s="34" t="s">
        <v>1084</v>
      </c>
      <c r="AA336" s="34"/>
      <c r="AB336" s="22">
        <v>0.93915100097656246</v>
      </c>
      <c r="AC336" s="23" t="s">
        <v>1491</v>
      </c>
      <c r="AD336" s="24">
        <v>1.6356164383561644</v>
      </c>
      <c r="AE336" s="25">
        <v>-2.9631265648197624E-2</v>
      </c>
      <c r="AF336" s="26">
        <v>0</v>
      </c>
      <c r="AG336" s="26">
        <v>0</v>
      </c>
      <c r="AH336" s="27">
        <v>5.7833451981224943E-2</v>
      </c>
      <c r="AI336" s="27">
        <v>5.7833451981224943E-2</v>
      </c>
      <c r="AJ336" s="27">
        <v>5.7833451981224943E-2</v>
      </c>
      <c r="AK336" s="33" t="s">
        <v>1492</v>
      </c>
      <c r="AL336" s="29" t="s">
        <v>48</v>
      </c>
      <c r="AM336" s="29" t="s">
        <v>48</v>
      </c>
      <c r="AN336" s="29" t="s">
        <v>48</v>
      </c>
      <c r="AO336" s="47" t="s">
        <v>1493</v>
      </c>
      <c r="AP336" s="28">
        <v>0</v>
      </c>
      <c r="AQ336" s="26">
        <v>1.4999999999999999E-2</v>
      </c>
      <c r="AR336" s="26">
        <v>0</v>
      </c>
    </row>
    <row r="337" spans="1:44" x14ac:dyDescent="0.15">
      <c r="A337">
        <v>41</v>
      </c>
      <c r="B337" s="11">
        <v>1074</v>
      </c>
      <c r="C337" s="32"/>
      <c r="D337" s="32">
        <v>-1.49345107677894E-4</v>
      </c>
      <c r="E337" s="32">
        <v>106</v>
      </c>
      <c r="F337" s="32">
        <v>0.85972432035346003</v>
      </c>
      <c r="G337" s="11"/>
      <c r="H337" s="11"/>
      <c r="I337" s="11"/>
      <c r="J337" s="18" t="s">
        <v>44</v>
      </c>
      <c r="K337" s="18" t="s">
        <v>64</v>
      </c>
      <c r="L337" s="58" t="s">
        <v>354</v>
      </c>
      <c r="M337" s="18">
        <f>[1]!f_prt_stocktonav(B337,"2017/03/31")</f>
        <v>94.395301818847656</v>
      </c>
      <c r="N337" s="20" t="str">
        <f>[1]!f_info_fundmanager(B337)</f>
        <v>盛豪,田汉卿</v>
      </c>
      <c r="O337" s="21">
        <v>2.021917808219178</v>
      </c>
      <c r="P337" s="34" t="s">
        <v>1494</v>
      </c>
      <c r="Q337" s="34" t="s">
        <v>1495</v>
      </c>
      <c r="R337" s="34" t="s">
        <v>880</v>
      </c>
      <c r="S337" s="34">
        <v>20150324</v>
      </c>
      <c r="T337" s="45">
        <v>14.3355236352</v>
      </c>
      <c r="U337" s="46">
        <v>14.5094773639</v>
      </c>
      <c r="V337" s="34" t="s">
        <v>231</v>
      </c>
      <c r="W337" s="34" t="s">
        <v>44</v>
      </c>
      <c r="X337" s="34" t="s">
        <v>45</v>
      </c>
      <c r="Y337" s="34" t="s">
        <v>354</v>
      </c>
      <c r="Z337" s="34"/>
      <c r="AA337" s="34"/>
      <c r="AB337" s="22">
        <v>0.94355598449707034</v>
      </c>
      <c r="AC337" s="23" t="s">
        <v>1496</v>
      </c>
      <c r="AD337" s="24">
        <v>1.7917808219178082</v>
      </c>
      <c r="AE337" s="25">
        <v>-5.5297814901183795E-2</v>
      </c>
      <c r="AF337" s="26">
        <v>0</v>
      </c>
      <c r="AG337" s="26">
        <v>0</v>
      </c>
      <c r="AH337" s="27">
        <v>-0.12983481847212699</v>
      </c>
      <c r="AI337" s="27">
        <v>-0.12983481847212699</v>
      </c>
      <c r="AJ337" s="27">
        <v>-0.12983481847212699</v>
      </c>
      <c r="AK337" s="28" t="s">
        <v>823</v>
      </c>
      <c r="AL337" s="29" t="s">
        <v>48</v>
      </c>
      <c r="AM337" s="29" t="s">
        <v>48</v>
      </c>
      <c r="AN337" s="29" t="s">
        <v>48</v>
      </c>
      <c r="AO337" s="47" t="s">
        <v>405</v>
      </c>
      <c r="AP337" s="28">
        <v>0</v>
      </c>
      <c r="AQ337" s="26">
        <v>1.4999999999999999E-2</v>
      </c>
      <c r="AR337" s="26">
        <v>0</v>
      </c>
    </row>
    <row r="338" spans="1:44" x14ac:dyDescent="0.15">
      <c r="A338">
        <v>339</v>
      </c>
      <c r="B338" s="11">
        <v>1070</v>
      </c>
      <c r="C338" s="32"/>
      <c r="D338" s="32">
        <v>2.1124034024316401E-4</v>
      </c>
      <c r="E338" s="32">
        <v>106</v>
      </c>
      <c r="F338" s="32">
        <v>0.89297222842749602</v>
      </c>
      <c r="G338" s="11"/>
      <c r="H338" s="11"/>
      <c r="I338" s="11"/>
      <c r="J338" s="18" t="s">
        <v>44</v>
      </c>
      <c r="K338" s="18" t="s">
        <v>45</v>
      </c>
      <c r="L338" s="58" t="s">
        <v>274</v>
      </c>
      <c r="M338" s="18">
        <f>[1]!f_prt_stocktonav(B338,"2017/03/31")</f>
        <v>88.689994812011719</v>
      </c>
      <c r="N338" s="20" t="str">
        <f>[1]!f_info_fundmanager(B338)</f>
        <v>邵卓</v>
      </c>
      <c r="O338" s="21">
        <v>2.021917808219178</v>
      </c>
      <c r="P338" s="34" t="s">
        <v>1497</v>
      </c>
      <c r="Q338" s="34" t="s">
        <v>1498</v>
      </c>
      <c r="R338" s="34" t="s">
        <v>307</v>
      </c>
      <c r="S338" s="34">
        <v>20150324</v>
      </c>
      <c r="T338" s="45">
        <v>6.5685122402999996</v>
      </c>
      <c r="U338" s="46">
        <v>7.4295575706000001</v>
      </c>
      <c r="V338" s="34" t="s">
        <v>231</v>
      </c>
      <c r="W338" s="34" t="s">
        <v>44</v>
      </c>
      <c r="X338" s="34" t="s">
        <v>45</v>
      </c>
      <c r="Y338" s="34" t="s">
        <v>274</v>
      </c>
      <c r="Z338" s="34"/>
      <c r="AA338" s="34"/>
      <c r="AB338" s="22">
        <v>0.87798088073730474</v>
      </c>
      <c r="AC338" s="23" t="s">
        <v>1499</v>
      </c>
      <c r="AD338" s="24">
        <v>1.7917808219178082</v>
      </c>
      <c r="AE338" s="25">
        <v>5.9374039085126951E-2</v>
      </c>
      <c r="AF338" s="26">
        <v>0</v>
      </c>
      <c r="AG338" s="26">
        <v>0</v>
      </c>
      <c r="AH338" s="27">
        <v>0.29566863246384079</v>
      </c>
      <c r="AI338" s="27">
        <v>0.29566863246384079</v>
      </c>
      <c r="AJ338" s="27">
        <v>0.29566863246384079</v>
      </c>
      <c r="AK338" s="28" t="s">
        <v>1013</v>
      </c>
      <c r="AL338" s="29" t="s">
        <v>48</v>
      </c>
      <c r="AM338" s="29" t="s">
        <v>48</v>
      </c>
      <c r="AN338" s="29" t="s">
        <v>48</v>
      </c>
      <c r="AO338" s="47" t="s">
        <v>310</v>
      </c>
      <c r="AP338" s="28">
        <v>0</v>
      </c>
      <c r="AQ338" s="26">
        <v>1.4999999999999999E-2</v>
      </c>
      <c r="AR338" s="26">
        <v>0</v>
      </c>
    </row>
    <row r="339" spans="1:44" x14ac:dyDescent="0.15">
      <c r="A339">
        <v>225</v>
      </c>
      <c r="B339" s="11">
        <v>400032</v>
      </c>
      <c r="C339" s="32"/>
      <c r="D339" s="32">
        <v>-2.0887487444827498E-3</v>
      </c>
      <c r="E339" s="32">
        <v>22</v>
      </c>
      <c r="F339" s="32">
        <v>0.347269043565965</v>
      </c>
      <c r="G339" s="11"/>
      <c r="H339" s="11"/>
      <c r="I339" s="11"/>
      <c r="J339" s="18" t="s">
        <v>44</v>
      </c>
      <c r="K339" s="18" t="s">
        <v>87</v>
      </c>
      <c r="L339" s="58" t="s">
        <v>65</v>
      </c>
      <c r="M339" s="18">
        <f>[1]!f_prt_stocktonav(B339,"2017/03/31")</f>
        <v>91.270195007324219</v>
      </c>
      <c r="N339" s="20" t="str">
        <f>[1]!f_info_fundmanager(B339)</f>
        <v>王晓伟</v>
      </c>
      <c r="O339" s="21">
        <v>0.40821917808219177</v>
      </c>
      <c r="P339" s="34" t="s">
        <v>1500</v>
      </c>
      <c r="Q339" s="34" t="s">
        <v>1501</v>
      </c>
      <c r="R339" s="34" t="s">
        <v>252</v>
      </c>
      <c r="S339" s="34">
        <v>20150323</v>
      </c>
      <c r="T339" s="45">
        <v>1.9237885446</v>
      </c>
      <c r="U339" s="46">
        <v>2.1224926906000001</v>
      </c>
      <c r="V339" s="34" t="s">
        <v>231</v>
      </c>
      <c r="W339" s="34" t="s">
        <v>44</v>
      </c>
      <c r="X339" s="34" t="s">
        <v>45</v>
      </c>
      <c r="Y339" s="34" t="s">
        <v>274</v>
      </c>
      <c r="Z339" s="34"/>
      <c r="AA339" s="34"/>
      <c r="AB339" s="22">
        <v>0.71562377929687504</v>
      </c>
      <c r="AC339" s="23" t="s">
        <v>1502</v>
      </c>
      <c r="AD339" s="24">
        <v>1.5232876712328767</v>
      </c>
      <c r="AE339" s="25">
        <v>-0.13681921144008313</v>
      </c>
      <c r="AF339" s="26">
        <v>0</v>
      </c>
      <c r="AG339" s="26">
        <v>0</v>
      </c>
      <c r="AH339" s="27">
        <v>-0.20354448755783339</v>
      </c>
      <c r="AI339" s="27">
        <v>-0.20354448755783339</v>
      </c>
      <c r="AJ339" s="27">
        <v>-0.20354448755783339</v>
      </c>
      <c r="AK339" s="28" t="s">
        <v>254</v>
      </c>
      <c r="AL339" s="29" t="s">
        <v>48</v>
      </c>
      <c r="AM339" s="29" t="s">
        <v>48</v>
      </c>
      <c r="AN339" s="29" t="s">
        <v>48</v>
      </c>
      <c r="AO339" s="47" t="s">
        <v>209</v>
      </c>
      <c r="AP339" s="28">
        <v>0</v>
      </c>
      <c r="AQ339" s="26">
        <v>1.4999999999999999E-2</v>
      </c>
      <c r="AR339" s="26">
        <v>0</v>
      </c>
    </row>
    <row r="340" spans="1:44" x14ac:dyDescent="0.15">
      <c r="A340">
        <v>320</v>
      </c>
      <c r="B340" s="11">
        <v>1054</v>
      </c>
      <c r="C340" s="32"/>
      <c r="D340" s="32">
        <v>-1.2688598051029999E-3</v>
      </c>
      <c r="E340" s="32">
        <v>106</v>
      </c>
      <c r="F340" s="32">
        <v>0.45944994891973501</v>
      </c>
      <c r="G340" s="11"/>
      <c r="H340" s="11"/>
      <c r="I340" s="11"/>
      <c r="J340" s="18" t="s">
        <v>44</v>
      </c>
      <c r="K340" s="18" t="s">
        <v>45</v>
      </c>
      <c r="L340" s="58" t="s">
        <v>65</v>
      </c>
      <c r="M340" s="18">
        <f>[1]!f_prt_stocktonav(B340,"2017/03/31")</f>
        <v>89.063919067382813</v>
      </c>
      <c r="N340" s="20" t="str">
        <f>[1]!f_info_fundmanager(B340)</f>
        <v>王君正,鄢耀</v>
      </c>
      <c r="O340" s="21">
        <v>2.0356164383561643</v>
      </c>
      <c r="P340" s="34" t="s">
        <v>1503</v>
      </c>
      <c r="Q340" s="34" t="s">
        <v>1504</v>
      </c>
      <c r="R340" s="34" t="s">
        <v>523</v>
      </c>
      <c r="S340" s="34">
        <v>20150319</v>
      </c>
      <c r="T340" s="45">
        <v>17.629087424400002</v>
      </c>
      <c r="U340" s="46">
        <v>17.836644733899998</v>
      </c>
      <c r="V340" s="34" t="s">
        <v>231</v>
      </c>
      <c r="W340" s="34" t="s">
        <v>44</v>
      </c>
      <c r="X340" s="34" t="s">
        <v>45</v>
      </c>
      <c r="Y340" s="34" t="s">
        <v>65</v>
      </c>
      <c r="Z340" s="34"/>
      <c r="AA340" s="34"/>
      <c r="AB340" s="22">
        <v>0.88702156066894533</v>
      </c>
      <c r="AC340" s="23" t="s">
        <v>1505</v>
      </c>
      <c r="AD340" s="24">
        <v>1.8054794520547945</v>
      </c>
      <c r="AE340" s="25">
        <v>-2.7650355488980538E-2</v>
      </c>
      <c r="AF340" s="26">
        <v>0</v>
      </c>
      <c r="AG340" s="26">
        <v>0</v>
      </c>
      <c r="AH340" s="27">
        <v>6.2643034343620008E-2</v>
      </c>
      <c r="AI340" s="27">
        <v>6.2643034343620008E-2</v>
      </c>
      <c r="AJ340" s="27">
        <v>6.2643034343620008E-2</v>
      </c>
      <c r="AK340" s="28" t="s">
        <v>167</v>
      </c>
      <c r="AL340" s="29" t="s">
        <v>48</v>
      </c>
      <c r="AM340" s="29" t="s">
        <v>48</v>
      </c>
      <c r="AN340" s="29" t="s">
        <v>48</v>
      </c>
      <c r="AO340" s="47" t="s">
        <v>255</v>
      </c>
      <c r="AP340" s="28">
        <v>0</v>
      </c>
      <c r="AQ340" s="26">
        <v>1.4999999999999999E-2</v>
      </c>
      <c r="AR340" s="26">
        <v>0</v>
      </c>
    </row>
    <row r="341" spans="1:44" x14ac:dyDescent="0.15">
      <c r="A341">
        <v>297</v>
      </c>
      <c r="B341" s="11">
        <v>974</v>
      </c>
      <c r="C341" s="32"/>
      <c r="D341" s="32">
        <v>3.5787429605814102E-3</v>
      </c>
      <c r="E341" s="32">
        <v>55</v>
      </c>
      <c r="F341" s="32">
        <v>2.1986509656537499E-2</v>
      </c>
      <c r="G341" s="11"/>
      <c r="H341" s="11"/>
      <c r="I341" s="11"/>
      <c r="J341" s="18" t="s">
        <v>44</v>
      </c>
      <c r="K341" s="18" t="s">
        <v>87</v>
      </c>
      <c r="L341" s="58" t="s">
        <v>354</v>
      </c>
      <c r="M341" s="18">
        <f>[1]!f_prt_stocktonav(B341,"2017/03/31")</f>
        <v>89.504524230957031</v>
      </c>
      <c r="N341" s="20" t="str">
        <f>[1]!f_info_fundmanager(B341)</f>
        <v>陈一峰</v>
      </c>
      <c r="O341" s="21">
        <v>1.0465753424657533</v>
      </c>
      <c r="P341" s="34" t="s">
        <v>1506</v>
      </c>
      <c r="Q341" s="34" t="s">
        <v>1507</v>
      </c>
      <c r="R341" s="34" t="s">
        <v>975</v>
      </c>
      <c r="S341" s="34">
        <v>20150319</v>
      </c>
      <c r="T341" s="45">
        <v>3.4424258890999999</v>
      </c>
      <c r="U341" s="46">
        <v>2.6948807328000002</v>
      </c>
      <c r="V341" s="34" t="s">
        <v>231</v>
      </c>
      <c r="W341" s="34" t="s">
        <v>44</v>
      </c>
      <c r="X341" s="34" t="s">
        <v>87</v>
      </c>
      <c r="Y341" s="34" t="s">
        <v>65</v>
      </c>
      <c r="Z341" s="34" t="s">
        <v>1508</v>
      </c>
      <c r="AA341" s="34"/>
      <c r="AB341" s="22">
        <v>0.90822410583496094</v>
      </c>
      <c r="AC341" s="23" t="s">
        <v>1509</v>
      </c>
      <c r="AD341" s="24">
        <v>0.81643835616438354</v>
      </c>
      <c r="AE341" s="25">
        <v>6.5292266138628818E-2</v>
      </c>
      <c r="AF341" s="26">
        <v>0</v>
      </c>
      <c r="AG341" s="26">
        <v>0</v>
      </c>
      <c r="AH341" s="27">
        <v>0.32171353000084502</v>
      </c>
      <c r="AI341" s="27">
        <v>0.32171353000084502</v>
      </c>
      <c r="AJ341" s="27">
        <v>0.32171353000084502</v>
      </c>
      <c r="AK341" s="33" t="s">
        <v>259</v>
      </c>
      <c r="AL341" s="29" t="s">
        <v>48</v>
      </c>
      <c r="AM341" s="29" t="s">
        <v>48</v>
      </c>
      <c r="AN341" s="29" t="s">
        <v>48</v>
      </c>
      <c r="AO341" s="47" t="s">
        <v>209</v>
      </c>
      <c r="AP341" s="28">
        <v>0</v>
      </c>
      <c r="AQ341" s="26">
        <v>1.4999999999999999E-2</v>
      </c>
      <c r="AR341" s="26">
        <v>0</v>
      </c>
    </row>
    <row r="342" spans="1:44" x14ac:dyDescent="0.15">
      <c r="A342">
        <v>719</v>
      </c>
      <c r="B342" s="11">
        <v>1117</v>
      </c>
      <c r="C342" s="32"/>
      <c r="D342" s="32">
        <v>6.4935310460769805E-5</v>
      </c>
      <c r="E342" s="32">
        <v>18</v>
      </c>
      <c r="F342" s="32">
        <v>0.98240979467787304</v>
      </c>
      <c r="G342" s="11"/>
      <c r="H342" s="11"/>
      <c r="I342" s="11"/>
      <c r="J342" s="18" t="s">
        <v>44</v>
      </c>
      <c r="K342" s="18" t="s">
        <v>45</v>
      </c>
      <c r="L342" s="58" t="s">
        <v>65</v>
      </c>
      <c r="M342" s="18">
        <f>[1]!f_prt_stocktonav(B342,"2017/03/31")</f>
        <v>79.464439392089844</v>
      </c>
      <c r="N342" s="20" t="str">
        <f>[1]!f_info_fundmanager(B342)</f>
        <v>周蔚文</v>
      </c>
      <c r="O342" s="21">
        <v>0.32876712328767121</v>
      </c>
      <c r="P342" s="34" t="s">
        <v>1510</v>
      </c>
      <c r="Q342" s="34" t="s">
        <v>1511</v>
      </c>
      <c r="R342" s="34" t="s">
        <v>200</v>
      </c>
      <c r="S342" s="34">
        <v>20150318</v>
      </c>
      <c r="T342" s="45">
        <v>17.1352821537</v>
      </c>
      <c r="U342" s="46">
        <v>20.074722623700001</v>
      </c>
      <c r="V342" s="34" t="s">
        <v>231</v>
      </c>
      <c r="W342" s="34" t="s">
        <v>41</v>
      </c>
      <c r="X342" s="17" t="s">
        <v>42</v>
      </c>
      <c r="Y342" s="17" t="s">
        <v>181</v>
      </c>
      <c r="Z342" s="34"/>
      <c r="AA342" s="34"/>
      <c r="AB342" s="22">
        <v>0.67760635375976563</v>
      </c>
      <c r="AC342" s="23" t="s">
        <v>1512</v>
      </c>
      <c r="AD342" s="24">
        <v>9.8630136986301367E-2</v>
      </c>
      <c r="AE342" s="25">
        <v>-0.14938815759332746</v>
      </c>
      <c r="AF342" s="26">
        <v>0</v>
      </c>
      <c r="AG342" s="26">
        <v>0</v>
      </c>
      <c r="AH342" s="27">
        <v>-0.27050522572155306</v>
      </c>
      <c r="AI342" s="27">
        <v>-0.27050522572155306</v>
      </c>
      <c r="AJ342" s="27">
        <v>-0.27050522572155306</v>
      </c>
      <c r="AK342" s="28" t="s">
        <v>874</v>
      </c>
      <c r="AL342" s="29" t="s">
        <v>48</v>
      </c>
      <c r="AM342" s="29" t="s">
        <v>48</v>
      </c>
      <c r="AN342" s="29" t="s">
        <v>48</v>
      </c>
      <c r="AO342" s="47" t="s">
        <v>1513</v>
      </c>
      <c r="AP342" s="28">
        <v>0</v>
      </c>
      <c r="AQ342" s="26">
        <v>0.01</v>
      </c>
      <c r="AR342" s="26">
        <v>0</v>
      </c>
    </row>
    <row r="343" spans="1:44" x14ac:dyDescent="0.15">
      <c r="A343">
        <v>62</v>
      </c>
      <c r="B343" s="11">
        <v>1028</v>
      </c>
      <c r="C343" s="32"/>
      <c r="D343" s="32">
        <v>-3.9987129864677198E-3</v>
      </c>
      <c r="E343" s="32">
        <v>107</v>
      </c>
      <c r="F343" s="32">
        <v>1.8404101627888299E-2</v>
      </c>
      <c r="G343" s="11"/>
      <c r="H343" s="11"/>
      <c r="I343" s="11"/>
      <c r="J343" s="18" t="s">
        <v>44</v>
      </c>
      <c r="K343" s="18" t="s">
        <v>87</v>
      </c>
      <c r="L343" s="58" t="s">
        <v>274</v>
      </c>
      <c r="M343" s="18">
        <f>[1]!f_prt_stocktonav(B343,"2017/03/31")</f>
        <v>94.173393249511719</v>
      </c>
      <c r="N343" s="20" t="str">
        <f>[1]!f_info_fundmanager(B343)</f>
        <v>翁启森</v>
      </c>
      <c r="O343" s="21">
        <v>2.0410958904109591</v>
      </c>
      <c r="P343" s="34" t="s">
        <v>1514</v>
      </c>
      <c r="Q343" s="34" t="s">
        <v>1515</v>
      </c>
      <c r="R343" s="34" t="s">
        <v>63</v>
      </c>
      <c r="S343" s="34">
        <v>20150317</v>
      </c>
      <c r="T343" s="45">
        <v>15.4990905243</v>
      </c>
      <c r="U343" s="46">
        <v>16.963292014</v>
      </c>
      <c r="V343" s="34" t="s">
        <v>231</v>
      </c>
      <c r="W343" s="34" t="s">
        <v>44</v>
      </c>
      <c r="X343" s="34" t="s">
        <v>87</v>
      </c>
      <c r="Y343" s="34" t="s">
        <v>274</v>
      </c>
      <c r="Z343" s="34" t="s">
        <v>478</v>
      </c>
      <c r="AA343" s="34"/>
      <c r="AB343" s="22">
        <v>0.94300270080566406</v>
      </c>
      <c r="AC343" s="23" t="s">
        <v>1516</v>
      </c>
      <c r="AD343" s="24">
        <v>1.810958904109589</v>
      </c>
      <c r="AE343" s="25">
        <v>-0.14917833223114152</v>
      </c>
      <c r="AF343" s="26">
        <v>0</v>
      </c>
      <c r="AG343" s="26">
        <v>0</v>
      </c>
      <c r="AH343" s="27">
        <v>-0.20350609475503914</v>
      </c>
      <c r="AI343" s="27">
        <v>-0.20350609475503914</v>
      </c>
      <c r="AJ343" s="27">
        <v>-0.20350609475503914</v>
      </c>
      <c r="AK343" s="33" t="s">
        <v>1393</v>
      </c>
      <c r="AL343" s="29" t="s">
        <v>48</v>
      </c>
      <c r="AM343" s="29" t="s">
        <v>48</v>
      </c>
      <c r="AN343" s="29" t="s">
        <v>48</v>
      </c>
      <c r="AO343" s="47" t="s">
        <v>1517</v>
      </c>
      <c r="AP343" s="28">
        <v>0</v>
      </c>
      <c r="AQ343" s="26">
        <v>1.4999999999999999E-2</v>
      </c>
      <c r="AR343" s="26">
        <v>0</v>
      </c>
    </row>
    <row r="344" spans="1:44" x14ac:dyDescent="0.15">
      <c r="A344">
        <v>760</v>
      </c>
      <c r="B344" s="11">
        <v>1030</v>
      </c>
      <c r="C344" s="32"/>
      <c r="D344" s="32">
        <v>-5.0723178130013596E-3</v>
      </c>
      <c r="E344" s="32">
        <v>107</v>
      </c>
      <c r="F344" s="32">
        <v>1.36080684796537E-2</v>
      </c>
      <c r="G344" s="11"/>
      <c r="H344" s="11"/>
      <c r="I344" s="11"/>
      <c r="J344" s="18" t="s">
        <v>44</v>
      </c>
      <c r="K344" s="18" t="s">
        <v>86</v>
      </c>
      <c r="L344" s="58" t="s">
        <v>65</v>
      </c>
      <c r="M344" s="18">
        <f>[1]!f_prt_stocktonav(B344,"2017/03/31")</f>
        <v>77.935226440429687</v>
      </c>
      <c r="N344" s="20" t="str">
        <f>[1]!f_info_fundmanager(B344)</f>
        <v>肖志刚,李宁</v>
      </c>
      <c r="O344" s="21">
        <v>2.0410958904109591</v>
      </c>
      <c r="P344" s="34" t="s">
        <v>1518</v>
      </c>
      <c r="Q344" s="34" t="s">
        <v>1519</v>
      </c>
      <c r="R344" s="34" t="s">
        <v>1215</v>
      </c>
      <c r="S344" s="34">
        <v>20150317</v>
      </c>
      <c r="T344" s="45">
        <v>3.8282066690000001</v>
      </c>
      <c r="U344" s="46">
        <v>4.0985962074</v>
      </c>
      <c r="V344" s="34" t="s">
        <v>231</v>
      </c>
      <c r="W344" s="34" t="s">
        <v>44</v>
      </c>
      <c r="X344" s="17" t="s">
        <v>45</v>
      </c>
      <c r="Y344" s="17" t="s">
        <v>65</v>
      </c>
      <c r="Z344" s="34"/>
      <c r="AA344" s="34"/>
      <c r="AB344" s="22">
        <v>0.83861625671386719</v>
      </c>
      <c r="AC344" s="23" t="s">
        <v>1520</v>
      </c>
      <c r="AD344" s="24">
        <v>1.810958904109589</v>
      </c>
      <c r="AE344" s="25">
        <v>-0.16216836194901993</v>
      </c>
      <c r="AF344" s="26">
        <v>0</v>
      </c>
      <c r="AG344" s="26">
        <v>0</v>
      </c>
      <c r="AH344" s="27">
        <v>-0.39117669682485451</v>
      </c>
      <c r="AI344" s="27">
        <v>-0.39117669682485451</v>
      </c>
      <c r="AJ344" s="27">
        <v>-0.39117669682485451</v>
      </c>
      <c r="AK344" s="28" t="s">
        <v>1521</v>
      </c>
      <c r="AL344" s="29" t="s">
        <v>48</v>
      </c>
      <c r="AM344" s="29" t="s">
        <v>48</v>
      </c>
      <c r="AN344" s="29" t="s">
        <v>48</v>
      </c>
      <c r="AO344" s="47" t="s">
        <v>643</v>
      </c>
      <c r="AP344" s="28">
        <v>0</v>
      </c>
      <c r="AQ344" s="26">
        <v>1.4999999999999999E-2</v>
      </c>
      <c r="AR344" s="26">
        <v>0</v>
      </c>
    </row>
    <row r="345" spans="1:44" x14ac:dyDescent="0.15">
      <c r="A345">
        <v>770</v>
      </c>
      <c r="B345" s="11">
        <v>1106</v>
      </c>
      <c r="C345" s="32"/>
      <c r="D345" s="32">
        <v>-3.1650774127884398E-3</v>
      </c>
      <c r="E345" s="32">
        <v>107</v>
      </c>
      <c r="F345" s="32">
        <v>2.1343029485231299E-2</v>
      </c>
      <c r="G345" s="11"/>
      <c r="H345" s="11"/>
      <c r="I345" s="11"/>
      <c r="J345" s="18" t="s">
        <v>44</v>
      </c>
      <c r="K345" s="18" t="s">
        <v>45</v>
      </c>
      <c r="L345" s="58" t="s">
        <v>274</v>
      </c>
      <c r="M345" s="18">
        <f>[1]!f_prt_stocktonav(B345,"2017/03/31")</f>
        <v>77.584526062011719</v>
      </c>
      <c r="N345" s="20" t="str">
        <f>[1]!f_info_fundmanager(B345)</f>
        <v>蔡建军</v>
      </c>
      <c r="O345" s="21">
        <v>2.0410958904109591</v>
      </c>
      <c r="P345" s="34" t="s">
        <v>1522</v>
      </c>
      <c r="Q345" s="34" t="s">
        <v>1523</v>
      </c>
      <c r="R345" s="34" t="s">
        <v>387</v>
      </c>
      <c r="S345" s="34">
        <v>20150317</v>
      </c>
      <c r="T345" s="45">
        <v>13.195263623800001</v>
      </c>
      <c r="U345" s="46">
        <v>13.696386837</v>
      </c>
      <c r="V345" s="34" t="s">
        <v>231</v>
      </c>
      <c r="W345" s="34" t="s">
        <v>41</v>
      </c>
      <c r="X345" s="17" t="s">
        <v>42</v>
      </c>
      <c r="Y345" s="17" t="s">
        <v>181</v>
      </c>
      <c r="Z345" s="34"/>
      <c r="AA345" s="34"/>
      <c r="AB345" s="22">
        <v>0.65452224731445308</v>
      </c>
      <c r="AC345" s="23" t="s">
        <v>1524</v>
      </c>
      <c r="AD345" s="24">
        <v>1.810958904109589</v>
      </c>
      <c r="AE345" s="25">
        <v>-9.8697744257843723E-2</v>
      </c>
      <c r="AF345" s="26">
        <v>0</v>
      </c>
      <c r="AG345" s="26">
        <v>0</v>
      </c>
      <c r="AH345" s="27">
        <v>-0.16699461091472104</v>
      </c>
      <c r="AI345" s="27">
        <v>-0.16699461091472104</v>
      </c>
      <c r="AJ345" s="27">
        <v>-0.16699461091472104</v>
      </c>
      <c r="AK345" s="28" t="s">
        <v>240</v>
      </c>
      <c r="AL345" s="29" t="s">
        <v>48</v>
      </c>
      <c r="AM345" s="29" t="s">
        <v>48</v>
      </c>
      <c r="AN345" s="29" t="s">
        <v>48</v>
      </c>
      <c r="AO345" s="47" t="s">
        <v>1525</v>
      </c>
      <c r="AP345" s="28">
        <v>0</v>
      </c>
      <c r="AQ345" s="26">
        <v>1.4999999999999999E-2</v>
      </c>
      <c r="AR345" s="26">
        <v>0</v>
      </c>
    </row>
    <row r="346" spans="1:44" x14ac:dyDescent="0.15">
      <c r="A346">
        <v>8</v>
      </c>
      <c r="B346" s="11">
        <v>519170</v>
      </c>
      <c r="C346" s="32"/>
      <c r="D346" s="32">
        <v>-5.5876550094195098E-3</v>
      </c>
      <c r="E346" s="32">
        <v>107</v>
      </c>
      <c r="F346" s="32">
        <v>8.93155299044861E-4</v>
      </c>
      <c r="G346" s="11"/>
      <c r="H346" s="11"/>
      <c r="I346" s="11"/>
      <c r="J346" s="18" t="s">
        <v>44</v>
      </c>
      <c r="K346" s="18" t="s">
        <v>45</v>
      </c>
      <c r="L346" s="58" t="s">
        <v>274</v>
      </c>
      <c r="M346" s="18">
        <f>[1]!f_prt_stocktonav(B346,"2017/03/31")</f>
        <v>94.851860046386719</v>
      </c>
      <c r="N346" s="20" t="str">
        <f>[1]!f_info_fundmanager(B346)</f>
        <v>蒋建伟</v>
      </c>
      <c r="O346" s="21">
        <v>2.0547945205479454</v>
      </c>
      <c r="P346" s="34" t="s">
        <v>1526</v>
      </c>
      <c r="Q346" s="34" t="s">
        <v>1527</v>
      </c>
      <c r="R346" s="34" t="s">
        <v>649</v>
      </c>
      <c r="S346" s="34">
        <v>20150312</v>
      </c>
      <c r="T346" s="45">
        <v>22.583344102000002</v>
      </c>
      <c r="U346" s="46">
        <v>23.973096895800001</v>
      </c>
      <c r="V346" s="34" t="s">
        <v>231</v>
      </c>
      <c r="W346" s="34" t="s">
        <v>44</v>
      </c>
      <c r="X346" s="34" t="s">
        <v>45</v>
      </c>
      <c r="Y346" s="34" t="s">
        <v>274</v>
      </c>
      <c r="Z346" s="34"/>
      <c r="AA346" s="34"/>
      <c r="AB346" s="22">
        <v>0.94355072021484376</v>
      </c>
      <c r="AC346" s="23" t="s">
        <v>1528</v>
      </c>
      <c r="AD346" s="24">
        <v>1.8246575342465754</v>
      </c>
      <c r="AE346" s="25">
        <v>-0.15507844643364321</v>
      </c>
      <c r="AF346" s="26">
        <v>0</v>
      </c>
      <c r="AG346" s="26">
        <v>0</v>
      </c>
      <c r="AH346" s="27">
        <v>-0.18817864656689284</v>
      </c>
      <c r="AI346" s="27">
        <v>-0.18817864656689284</v>
      </c>
      <c r="AJ346" s="27">
        <v>-0.18817864656689284</v>
      </c>
      <c r="AK346" s="28" t="s">
        <v>1529</v>
      </c>
      <c r="AL346" s="29" t="s">
        <v>48</v>
      </c>
      <c r="AM346" s="29" t="s">
        <v>48</v>
      </c>
      <c r="AN346" s="29" t="s">
        <v>48</v>
      </c>
      <c r="AO346" s="47" t="s">
        <v>652</v>
      </c>
      <c r="AP346" s="28">
        <v>0</v>
      </c>
      <c r="AQ346" s="26">
        <v>1.4999999999999999E-2</v>
      </c>
      <c r="AR346" s="26">
        <v>0</v>
      </c>
    </row>
    <row r="347" spans="1:44" x14ac:dyDescent="0.15">
      <c r="A347">
        <v>229</v>
      </c>
      <c r="B347" s="11">
        <v>1048</v>
      </c>
      <c r="C347" s="32"/>
      <c r="D347" s="32">
        <v>1.8812788443552399E-3</v>
      </c>
      <c r="E347" s="32">
        <v>107</v>
      </c>
      <c r="F347" s="32">
        <v>0.52889383660496003</v>
      </c>
      <c r="G347" s="11"/>
      <c r="H347" s="11"/>
      <c r="I347" s="11"/>
      <c r="J347" s="18" t="s">
        <v>44</v>
      </c>
      <c r="K347" s="18" t="s">
        <v>45</v>
      </c>
      <c r="L347" s="58" t="s">
        <v>65</v>
      </c>
      <c r="M347" s="18">
        <f>[1]!f_prt_stocktonav(B347,"2017/03/31")</f>
        <v>91.131454467773438</v>
      </c>
      <c r="N347" s="20" t="str">
        <f>[1]!f_info_fundmanager(B347)</f>
        <v>魏伟</v>
      </c>
      <c r="O347" s="21">
        <v>2.0547945205479454</v>
      </c>
      <c r="P347" s="34" t="s">
        <v>1530</v>
      </c>
      <c r="Q347" s="34" t="s">
        <v>1531</v>
      </c>
      <c r="R347" s="34" t="s">
        <v>396</v>
      </c>
      <c r="S347" s="34">
        <v>20150312</v>
      </c>
      <c r="T347" s="45">
        <v>28.799976404599999</v>
      </c>
      <c r="U347" s="46">
        <v>32.422445660299999</v>
      </c>
      <c r="V347" s="34" t="s">
        <v>231</v>
      </c>
      <c r="W347" s="34" t="s">
        <v>44</v>
      </c>
      <c r="X347" s="34" t="s">
        <v>45</v>
      </c>
      <c r="Y347" s="34" t="s">
        <v>65</v>
      </c>
      <c r="Z347" s="34"/>
      <c r="AA347" s="34"/>
      <c r="AB347" s="22">
        <v>0.94718254089355469</v>
      </c>
      <c r="AC347" s="23" t="s">
        <v>1532</v>
      </c>
      <c r="AD347" s="24">
        <v>1.8246575342465754</v>
      </c>
      <c r="AE347" s="25">
        <v>2.8927569544475729E-2</v>
      </c>
      <c r="AF347" s="26">
        <v>0</v>
      </c>
      <c r="AG347" s="26">
        <v>0</v>
      </c>
      <c r="AH347" s="27">
        <v>0.20593209340069094</v>
      </c>
      <c r="AI347" s="27">
        <v>0.20593209340069094</v>
      </c>
      <c r="AJ347" s="27">
        <v>0.20593209340069094</v>
      </c>
      <c r="AK347" s="28" t="s">
        <v>489</v>
      </c>
      <c r="AL347" s="29" t="s">
        <v>48</v>
      </c>
      <c r="AM347" s="29" t="s">
        <v>48</v>
      </c>
      <c r="AN347" s="29" t="s">
        <v>48</v>
      </c>
      <c r="AO347" s="47" t="s">
        <v>1533</v>
      </c>
      <c r="AP347" s="28" t="s">
        <v>608</v>
      </c>
      <c r="AQ347" s="26">
        <v>1.4999999999999999E-2</v>
      </c>
      <c r="AR347" s="26">
        <v>0</v>
      </c>
    </row>
    <row r="348" spans="1:44" x14ac:dyDescent="0.15">
      <c r="A348">
        <v>640</v>
      </c>
      <c r="B348" s="11">
        <v>1009</v>
      </c>
      <c r="C348" s="32"/>
      <c r="D348" s="32">
        <v>4.0511267719464403E-3</v>
      </c>
      <c r="E348" s="32">
        <v>23</v>
      </c>
      <c r="F348" s="32">
        <v>0.17745499327363601</v>
      </c>
      <c r="G348" s="11"/>
      <c r="H348" s="11"/>
      <c r="I348" s="11"/>
      <c r="J348" s="18" t="s">
        <v>44</v>
      </c>
      <c r="K348" s="19" t="s">
        <v>45</v>
      </c>
      <c r="L348" s="58" t="s">
        <v>65</v>
      </c>
      <c r="M348" s="18">
        <f>[1]!f_prt_stocktonav(B348,"2017/03/31")</f>
        <v>81.84930419921875</v>
      </c>
      <c r="N348" s="20" t="str">
        <f>[1]!f_info_fundmanager(B348)</f>
        <v>陈思郁</v>
      </c>
      <c r="O348" s="21">
        <v>0.44109589041095892</v>
      </c>
      <c r="P348" s="32" t="s">
        <v>1534</v>
      </c>
      <c r="Q348" s="13" t="s">
        <v>1535</v>
      </c>
      <c r="R348" s="13" t="s">
        <v>511</v>
      </c>
      <c r="S348" s="13">
        <v>20150226</v>
      </c>
      <c r="T348" s="14">
        <v>10.139699137099999</v>
      </c>
      <c r="U348" s="15" t="s">
        <v>39</v>
      </c>
      <c r="V348" s="16" t="s">
        <v>40</v>
      </c>
      <c r="W348" s="17" t="s">
        <v>44</v>
      </c>
      <c r="X348" s="17" t="s">
        <v>45</v>
      </c>
      <c r="Y348" s="17" t="s">
        <v>65</v>
      </c>
      <c r="Z348" s="13"/>
      <c r="AA348" s="13"/>
      <c r="AB348" s="22">
        <v>0.83205207824707028</v>
      </c>
      <c r="AC348" s="23" t="s">
        <v>1536</v>
      </c>
      <c r="AD348" s="24">
        <v>0.21095890410958903</v>
      </c>
      <c r="AE348" s="25">
        <v>-6.6789709702503863E-2</v>
      </c>
      <c r="AF348" s="26">
        <v>0</v>
      </c>
      <c r="AG348" s="26">
        <v>0</v>
      </c>
      <c r="AH348" s="27">
        <v>-3.0839760726121514E-2</v>
      </c>
      <c r="AI348" s="27">
        <v>-3.0839760726121514E-2</v>
      </c>
      <c r="AJ348" s="27">
        <v>-3.0839760726121514E-2</v>
      </c>
      <c r="AK348" s="28" t="s">
        <v>983</v>
      </c>
      <c r="AL348" s="29" t="s">
        <v>48</v>
      </c>
      <c r="AM348" s="29" t="s">
        <v>48</v>
      </c>
      <c r="AN348" s="29" t="s">
        <v>48</v>
      </c>
      <c r="AO348" s="23" t="s">
        <v>101</v>
      </c>
      <c r="AP348" s="30">
        <v>0</v>
      </c>
      <c r="AQ348" s="31">
        <v>1.4999999999999999E-2</v>
      </c>
      <c r="AR348" s="31">
        <v>0</v>
      </c>
    </row>
    <row r="349" spans="1:44" x14ac:dyDescent="0.15">
      <c r="A349">
        <v>265</v>
      </c>
      <c r="B349" s="11">
        <v>1050</v>
      </c>
      <c r="C349" s="32"/>
      <c r="D349" s="32">
        <v>-3.0596124795081799E-3</v>
      </c>
      <c r="E349" s="32">
        <v>111</v>
      </c>
      <c r="F349" s="32">
        <v>2.7940630459017601E-3</v>
      </c>
      <c r="G349" s="11"/>
      <c r="H349" s="11"/>
      <c r="I349" s="11"/>
      <c r="J349" s="18" t="s">
        <v>44</v>
      </c>
      <c r="K349" s="18" t="s">
        <v>64</v>
      </c>
      <c r="L349" s="58" t="s">
        <v>274</v>
      </c>
      <c r="M349" s="18">
        <f>[1]!f_prt_stocktonav(B349,"2017/03/31")</f>
        <v>90.135818481445313</v>
      </c>
      <c r="N349" s="20" t="str">
        <f>[1]!f_info_fundmanager(B349)</f>
        <v>吴振翔,许一尊</v>
      </c>
      <c r="O349" s="21">
        <v>2.1205479452054794</v>
      </c>
      <c r="P349" s="34" t="s">
        <v>1537</v>
      </c>
      <c r="Q349" s="34" t="s">
        <v>1538</v>
      </c>
      <c r="R349" s="34" t="s">
        <v>331</v>
      </c>
      <c r="S349" s="34">
        <v>20150216</v>
      </c>
      <c r="T349" s="45">
        <v>17.590766049500001</v>
      </c>
      <c r="U349" s="46">
        <v>16.973237061799999</v>
      </c>
      <c r="V349" s="34" t="s">
        <v>231</v>
      </c>
      <c r="W349" s="34" t="s">
        <v>44</v>
      </c>
      <c r="X349" s="34" t="s">
        <v>64</v>
      </c>
      <c r="Y349" s="34" t="s">
        <v>274</v>
      </c>
      <c r="Z349" s="34"/>
      <c r="AA349" s="34"/>
      <c r="AB349" s="22">
        <v>0.90126464843749998</v>
      </c>
      <c r="AC349" s="23" t="s">
        <v>1539</v>
      </c>
      <c r="AD349" s="24">
        <v>1.8904109589041096</v>
      </c>
      <c r="AE349" s="25">
        <v>7.2814086780623066E-2</v>
      </c>
      <c r="AF349" s="26">
        <v>0</v>
      </c>
      <c r="AG349" s="26">
        <v>0</v>
      </c>
      <c r="AH349" s="27">
        <v>0.33539939661635948</v>
      </c>
      <c r="AI349" s="27">
        <v>0.33539939661635948</v>
      </c>
      <c r="AJ349" s="27">
        <v>0.33539939661635948</v>
      </c>
      <c r="AK349" s="28" t="s">
        <v>1540</v>
      </c>
      <c r="AL349" s="29" t="s">
        <v>48</v>
      </c>
      <c r="AM349" s="29" t="s">
        <v>48</v>
      </c>
      <c r="AN349" s="29" t="s">
        <v>48</v>
      </c>
      <c r="AO349" s="47" t="s">
        <v>334</v>
      </c>
      <c r="AP349" s="28">
        <v>0</v>
      </c>
      <c r="AQ349" s="26">
        <v>1.4999999999999999E-2</v>
      </c>
      <c r="AR349" s="26">
        <v>0</v>
      </c>
    </row>
    <row r="350" spans="1:44" x14ac:dyDescent="0.15">
      <c r="A350">
        <v>677</v>
      </c>
      <c r="B350" s="11">
        <v>991</v>
      </c>
      <c r="C350" s="32"/>
      <c r="D350" s="32">
        <v>-4.3719750457629301E-3</v>
      </c>
      <c r="E350" s="32">
        <v>111</v>
      </c>
      <c r="F350" s="32">
        <v>3.60364095241631E-2</v>
      </c>
      <c r="G350" s="11"/>
      <c r="H350" s="11"/>
      <c r="I350" s="11"/>
      <c r="J350" s="18" t="s">
        <v>44</v>
      </c>
      <c r="K350" s="18" t="s">
        <v>87</v>
      </c>
      <c r="L350" s="58" t="s">
        <v>65</v>
      </c>
      <c r="M350" s="18">
        <f>[1]!f_prt_stocktonav(B350,"2017/03/31")</f>
        <v>80.673484802246094</v>
      </c>
      <c r="N350" s="20" t="str">
        <f>[1]!f_info_fundmanager(B350)</f>
        <v>杜洋,宋炳珅</v>
      </c>
      <c r="O350" s="21">
        <v>2.1205479452054794</v>
      </c>
      <c r="P350" s="34" t="s">
        <v>1541</v>
      </c>
      <c r="Q350" s="34" t="s">
        <v>1542</v>
      </c>
      <c r="R350" s="34" t="s">
        <v>523</v>
      </c>
      <c r="S350" s="34">
        <v>20150216</v>
      </c>
      <c r="T350" s="45">
        <v>9.8480981530000005</v>
      </c>
      <c r="U350" s="46">
        <v>10.413013380600001</v>
      </c>
      <c r="V350" s="34" t="s">
        <v>231</v>
      </c>
      <c r="W350" s="34" t="s">
        <v>44</v>
      </c>
      <c r="X350" s="34" t="s">
        <v>87</v>
      </c>
      <c r="Y350" s="34" t="s">
        <v>337</v>
      </c>
      <c r="Z350" s="34" t="s">
        <v>1543</v>
      </c>
      <c r="AA350" s="34"/>
      <c r="AB350" s="22">
        <v>0.91698097229003905</v>
      </c>
      <c r="AC350" s="23" t="s">
        <v>1544</v>
      </c>
      <c r="AD350" s="24">
        <v>1.8904109589041096</v>
      </c>
      <c r="AE350" s="25">
        <v>-6.9481759397060916E-3</v>
      </c>
      <c r="AF350" s="26">
        <v>0</v>
      </c>
      <c r="AG350" s="26">
        <v>0</v>
      </c>
      <c r="AH350" s="27">
        <v>0.15590479173062483</v>
      </c>
      <c r="AI350" s="27">
        <v>0.15590479173062483</v>
      </c>
      <c r="AJ350" s="27">
        <v>0.15590479173062483</v>
      </c>
      <c r="AK350" s="33" t="s">
        <v>489</v>
      </c>
      <c r="AL350" s="29" t="s">
        <v>48</v>
      </c>
      <c r="AM350" s="29" t="s">
        <v>48</v>
      </c>
      <c r="AN350" s="29" t="s">
        <v>48</v>
      </c>
      <c r="AO350" s="47" t="s">
        <v>255</v>
      </c>
      <c r="AP350" s="28">
        <v>0</v>
      </c>
      <c r="AQ350" s="26">
        <v>1.4999999999999999E-2</v>
      </c>
      <c r="AR350" s="26">
        <v>0</v>
      </c>
    </row>
    <row r="351" spans="1:44" x14ac:dyDescent="0.15">
      <c r="A351">
        <v>227</v>
      </c>
      <c r="B351" s="11">
        <v>1017</v>
      </c>
      <c r="C351" s="32"/>
      <c r="D351" s="32">
        <v>-2.4801281337281799E-3</v>
      </c>
      <c r="E351" s="32">
        <v>111</v>
      </c>
      <c r="F351" s="32">
        <v>3.97508875207708E-2</v>
      </c>
      <c r="G351" s="11"/>
      <c r="H351" s="11"/>
      <c r="I351" s="11"/>
      <c r="J351" s="18" t="s">
        <v>44</v>
      </c>
      <c r="K351" s="18" t="s">
        <v>64</v>
      </c>
      <c r="L351" s="58" t="s">
        <v>274</v>
      </c>
      <c r="M351" s="18">
        <f>[1]!f_prt_stocktonav(B351,"2017/03/31")</f>
        <v>91.221710205078125</v>
      </c>
      <c r="N351" s="20" t="str">
        <f>[1]!f_info_fundmanager(B351)</f>
        <v>刘欣</v>
      </c>
      <c r="O351" s="21">
        <v>2.128767123287671</v>
      </c>
      <c r="P351" s="34" t="s">
        <v>1545</v>
      </c>
      <c r="Q351" s="34" t="s">
        <v>1546</v>
      </c>
      <c r="R351" s="34" t="s">
        <v>263</v>
      </c>
      <c r="S351" s="34">
        <v>20150213</v>
      </c>
      <c r="T351" s="45">
        <v>21.360999384399999</v>
      </c>
      <c r="U351" s="46">
        <v>14.632203413599999</v>
      </c>
      <c r="V351" s="34" t="s">
        <v>231</v>
      </c>
      <c r="W351" s="34" t="s">
        <v>44</v>
      </c>
      <c r="X351" s="34" t="s">
        <v>45</v>
      </c>
      <c r="Y351" s="34" t="s">
        <v>274</v>
      </c>
      <c r="Z351" s="34"/>
      <c r="AA351" s="34"/>
      <c r="AB351" s="22">
        <v>0.89970848083496091</v>
      </c>
      <c r="AC351" s="23" t="s">
        <v>622</v>
      </c>
      <c r="AD351" s="24">
        <v>1.8986301369863015</v>
      </c>
      <c r="AE351" s="25">
        <v>0.20237164376295591</v>
      </c>
      <c r="AF351" s="26">
        <v>0</v>
      </c>
      <c r="AG351" s="26">
        <v>0</v>
      </c>
      <c r="AH351" s="27">
        <v>0.62961768997114453</v>
      </c>
      <c r="AI351" s="27">
        <v>0.62961768997114453</v>
      </c>
      <c r="AJ351" s="27">
        <v>0.62961768997114453</v>
      </c>
      <c r="AK351" s="28" t="s">
        <v>346</v>
      </c>
      <c r="AL351" s="29" t="s">
        <v>48</v>
      </c>
      <c r="AM351" s="29" t="s">
        <v>48</v>
      </c>
      <c r="AN351" s="29" t="s">
        <v>48</v>
      </c>
      <c r="AO351" s="47" t="s">
        <v>1547</v>
      </c>
      <c r="AP351" s="28">
        <v>0</v>
      </c>
      <c r="AQ351" s="26">
        <v>1.4999999999999999E-2</v>
      </c>
      <c r="AR351" s="26">
        <v>0</v>
      </c>
    </row>
    <row r="352" spans="1:44" x14ac:dyDescent="0.15">
      <c r="A352">
        <v>561</v>
      </c>
      <c r="B352" s="11">
        <v>996</v>
      </c>
      <c r="C352" s="32"/>
      <c r="D352" s="32">
        <v>-4.7849273039661097E-3</v>
      </c>
      <c r="E352" s="32">
        <v>111</v>
      </c>
      <c r="F352" s="32">
        <v>2.3245722100957201E-2</v>
      </c>
      <c r="G352" s="11"/>
      <c r="H352" s="11"/>
      <c r="I352" s="11"/>
      <c r="J352" s="18" t="s">
        <v>44</v>
      </c>
      <c r="K352" s="18" t="s">
        <v>45</v>
      </c>
      <c r="L352" s="58" t="s">
        <v>274</v>
      </c>
      <c r="M352" s="18">
        <f>[1]!f_prt_stocktonav(B352,"2017/03/31")</f>
        <v>83.827690124511719</v>
      </c>
      <c r="N352" s="20" t="str">
        <f>[1]!f_info_fundmanager(B352)</f>
        <v>史彬</v>
      </c>
      <c r="O352" s="21">
        <v>2.128767123287671</v>
      </c>
      <c r="P352" s="34" t="s">
        <v>1548</v>
      </c>
      <c r="Q352" s="34" t="s">
        <v>1549</v>
      </c>
      <c r="R352" s="34" t="s">
        <v>71</v>
      </c>
      <c r="S352" s="34">
        <v>20150213</v>
      </c>
      <c r="T352" s="45">
        <v>22.894299114500001</v>
      </c>
      <c r="U352" s="46">
        <v>25.449526374200001</v>
      </c>
      <c r="V352" s="34" t="s">
        <v>231</v>
      </c>
      <c r="W352" s="34" t="s">
        <v>44</v>
      </c>
      <c r="X352" s="34" t="s">
        <v>45</v>
      </c>
      <c r="Y352" s="34" t="s">
        <v>274</v>
      </c>
      <c r="Z352" s="34"/>
      <c r="AA352" s="34"/>
      <c r="AB352" s="22">
        <v>0.89201591491699217</v>
      </c>
      <c r="AC352" s="23" t="s">
        <v>1550</v>
      </c>
      <c r="AD352" s="24">
        <v>1.8986301369863015</v>
      </c>
      <c r="AE352" s="25">
        <v>-0.10987831607452414</v>
      </c>
      <c r="AF352" s="26">
        <v>0</v>
      </c>
      <c r="AG352" s="26">
        <v>0</v>
      </c>
      <c r="AH352" s="27">
        <v>-3.2166469964125463E-2</v>
      </c>
      <c r="AI352" s="27">
        <v>-3.2166469964125463E-2</v>
      </c>
      <c r="AJ352" s="27">
        <v>-3.2166469964125463E-2</v>
      </c>
      <c r="AK352" s="28" t="s">
        <v>167</v>
      </c>
      <c r="AL352" s="29" t="s">
        <v>48</v>
      </c>
      <c r="AM352" s="29" t="s">
        <v>48</v>
      </c>
      <c r="AN352" s="29" t="s">
        <v>48</v>
      </c>
      <c r="AO352" s="47" t="s">
        <v>845</v>
      </c>
      <c r="AP352" s="28">
        <v>0</v>
      </c>
      <c r="AQ352" s="26">
        <v>1.4999999999999999E-2</v>
      </c>
      <c r="AR352" s="26">
        <v>0</v>
      </c>
    </row>
    <row r="353" spans="1:44" x14ac:dyDescent="0.15">
      <c r="A353">
        <v>889</v>
      </c>
      <c r="B353" s="11">
        <v>603</v>
      </c>
      <c r="C353" s="32"/>
      <c r="D353" s="32">
        <v>-3.97317647100273E-3</v>
      </c>
      <c r="E353" s="32">
        <v>107</v>
      </c>
      <c r="F353" s="32">
        <v>7.5416363440794096E-2</v>
      </c>
      <c r="G353" s="11"/>
      <c r="H353" s="11"/>
      <c r="I353" s="11"/>
      <c r="J353" s="18" t="s">
        <v>44</v>
      </c>
      <c r="K353" s="18" t="s">
        <v>45</v>
      </c>
      <c r="L353" s="58" t="s">
        <v>274</v>
      </c>
      <c r="M353" s="18">
        <f>[1]!f_prt_stocktonav(B353,"2017/03/31")</f>
        <v>73.1475830078125</v>
      </c>
      <c r="N353" s="20" t="str">
        <f>[1]!f_info_fundmanager(B353)</f>
        <v>樊正伟</v>
      </c>
      <c r="O353" s="21">
        <v>2.0493150684931507</v>
      </c>
      <c r="P353" s="34" t="s">
        <v>1551</v>
      </c>
      <c r="Q353" s="34" t="s">
        <v>1552</v>
      </c>
      <c r="R353" s="34" t="s">
        <v>218</v>
      </c>
      <c r="S353" s="34">
        <v>20150213</v>
      </c>
      <c r="T353" s="45">
        <v>31.181883786299998</v>
      </c>
      <c r="U353" s="46">
        <v>32.927395808299998</v>
      </c>
      <c r="V353" s="34" t="s">
        <v>231</v>
      </c>
      <c r="W353" s="34" t="s">
        <v>44</v>
      </c>
      <c r="X353" s="34" t="s">
        <v>45</v>
      </c>
      <c r="Y353" s="34" t="s">
        <v>274</v>
      </c>
      <c r="Z353" s="34"/>
      <c r="AA353" s="34"/>
      <c r="AB353" s="22">
        <v>0.84459358215332037</v>
      </c>
      <c r="AC353" s="23" t="s">
        <v>1553</v>
      </c>
      <c r="AD353" s="24">
        <v>1.8191780821917809</v>
      </c>
      <c r="AE353" s="25">
        <v>-4.7694414934082656E-2</v>
      </c>
      <c r="AF353" s="26">
        <v>0</v>
      </c>
      <c r="AG353" s="26">
        <v>0</v>
      </c>
      <c r="AH353" s="27">
        <v>9.8048127022335674E-2</v>
      </c>
      <c r="AI353" s="27">
        <v>9.8048127022335674E-2</v>
      </c>
      <c r="AJ353" s="27">
        <v>9.8048127022335674E-2</v>
      </c>
      <c r="AK353" s="28" t="s">
        <v>1554</v>
      </c>
      <c r="AL353" s="29" t="s">
        <v>48</v>
      </c>
      <c r="AM353" s="29" t="s">
        <v>48</v>
      </c>
      <c r="AN353" s="29" t="s">
        <v>48</v>
      </c>
      <c r="AO353" s="47" t="s">
        <v>1555</v>
      </c>
      <c r="AP353" s="28">
        <v>0</v>
      </c>
      <c r="AQ353" s="26">
        <v>1.4999999999999999E-2</v>
      </c>
      <c r="AR353" s="26">
        <v>0</v>
      </c>
    </row>
    <row r="354" spans="1:44" x14ac:dyDescent="0.15">
      <c r="A354">
        <v>257</v>
      </c>
      <c r="B354" s="11">
        <v>1018</v>
      </c>
      <c r="C354" s="32"/>
      <c r="D354" s="32">
        <v>-6.9728358427462698E-4</v>
      </c>
      <c r="E354" s="32">
        <v>111</v>
      </c>
      <c r="F354" s="32">
        <v>0.7192524853269</v>
      </c>
      <c r="G354" s="11"/>
      <c r="H354" s="11"/>
      <c r="I354" s="11"/>
      <c r="J354" s="18" t="s">
        <v>44</v>
      </c>
      <c r="K354" s="18" t="s">
        <v>45</v>
      </c>
      <c r="L354" s="58" t="s">
        <v>274</v>
      </c>
      <c r="M354" s="18">
        <f>[1]!f_prt_stocktonav(B354,"2017/03/31")</f>
        <v>90.312271118164063</v>
      </c>
      <c r="N354" s="20" t="str">
        <f>[1]!f_info_fundmanager(B354)</f>
        <v>陈皓</v>
      </c>
      <c r="O354" s="21">
        <v>2.1315068493150684</v>
      </c>
      <c r="P354" s="34" t="s">
        <v>1556</v>
      </c>
      <c r="Q354" s="34" t="s">
        <v>1557</v>
      </c>
      <c r="R354" s="34" t="s">
        <v>218</v>
      </c>
      <c r="S354" s="34">
        <v>20150212</v>
      </c>
      <c r="T354" s="45">
        <v>7.4280061487999998</v>
      </c>
      <c r="U354" s="46">
        <v>10.0103911914</v>
      </c>
      <c r="V354" s="34" t="s">
        <v>231</v>
      </c>
      <c r="W354" s="34" t="s">
        <v>44</v>
      </c>
      <c r="X354" s="34" t="s">
        <v>45</v>
      </c>
      <c r="Y354" s="34" t="s">
        <v>274</v>
      </c>
      <c r="Z354" s="34"/>
      <c r="AA354" s="34"/>
      <c r="AB354" s="22">
        <v>0.78888046264648437</v>
      </c>
      <c r="AC354" s="23" t="s">
        <v>1133</v>
      </c>
      <c r="AD354" s="24">
        <v>1.9013698630136986</v>
      </c>
      <c r="AE354" s="25">
        <v>0.11542507268738778</v>
      </c>
      <c r="AF354" s="26">
        <v>0</v>
      </c>
      <c r="AG354" s="26">
        <v>0</v>
      </c>
      <c r="AH354" s="27">
        <v>0.44231806439379628</v>
      </c>
      <c r="AI354" s="27">
        <v>0.44231806439379628</v>
      </c>
      <c r="AJ354" s="27">
        <v>0.44231806439379628</v>
      </c>
      <c r="AK354" s="28" t="s">
        <v>1230</v>
      </c>
      <c r="AL354" s="29" t="s">
        <v>48</v>
      </c>
      <c r="AM354" s="29" t="s">
        <v>48</v>
      </c>
      <c r="AN354" s="29" t="s">
        <v>48</v>
      </c>
      <c r="AO354" s="47" t="s">
        <v>1558</v>
      </c>
      <c r="AP354" s="28">
        <v>0</v>
      </c>
      <c r="AQ354" s="26">
        <v>1.4999999999999999E-2</v>
      </c>
      <c r="AR354" s="26">
        <v>0</v>
      </c>
    </row>
    <row r="355" spans="1:44" x14ac:dyDescent="0.15">
      <c r="A355">
        <v>131</v>
      </c>
      <c r="B355" s="11">
        <v>1036</v>
      </c>
      <c r="C355" s="32"/>
      <c r="D355" s="32">
        <v>-3.4580845029119401E-3</v>
      </c>
      <c r="E355" s="32">
        <v>109</v>
      </c>
      <c r="F355" s="32">
        <v>4.1071326760408498E-2</v>
      </c>
      <c r="G355" s="11"/>
      <c r="H355" s="11"/>
      <c r="I355" s="11"/>
      <c r="J355" s="18" t="s">
        <v>44</v>
      </c>
      <c r="K355" s="18" t="s">
        <v>45</v>
      </c>
      <c r="L355" s="58" t="s">
        <v>274</v>
      </c>
      <c r="M355" s="18">
        <f>[1]!f_prt_stocktonav(B355,"2017/03/31")</f>
        <v>93.077484130859375</v>
      </c>
      <c r="N355" s="20" t="str">
        <f>[1]!f_info_fundmanager(B355)</f>
        <v>杜毅</v>
      </c>
      <c r="O355" s="21">
        <v>2.0876712328767124</v>
      </c>
      <c r="P355" s="34" t="s">
        <v>1559</v>
      </c>
      <c r="Q355" s="34" t="s">
        <v>1560</v>
      </c>
      <c r="R355" s="34" t="s">
        <v>92</v>
      </c>
      <c r="S355" s="34">
        <v>20150212</v>
      </c>
      <c r="T355" s="45">
        <v>25.216862882699999</v>
      </c>
      <c r="U355" s="46">
        <v>24.955786675500001</v>
      </c>
      <c r="V355" s="34" t="s">
        <v>231</v>
      </c>
      <c r="W355" s="34" t="s">
        <v>44</v>
      </c>
      <c r="X355" s="34" t="s">
        <v>45</v>
      </c>
      <c r="Y355" s="34" t="s">
        <v>274</v>
      </c>
      <c r="Z355" s="34"/>
      <c r="AA355" s="34"/>
      <c r="AB355" s="22">
        <v>0.84072540283203123</v>
      </c>
      <c r="AC355" s="23" t="s">
        <v>1561</v>
      </c>
      <c r="AD355" s="24">
        <v>1.8575342465753424</v>
      </c>
      <c r="AE355" s="25">
        <v>-6.0987010081440134E-2</v>
      </c>
      <c r="AF355" s="26">
        <v>0</v>
      </c>
      <c r="AG355" s="26">
        <v>0</v>
      </c>
      <c r="AH355" s="27">
        <v>8.1045243584185172E-3</v>
      </c>
      <c r="AI355" s="27">
        <v>8.1045243584185172E-3</v>
      </c>
      <c r="AJ355" s="27">
        <v>8.1045243584185172E-3</v>
      </c>
      <c r="AK355" s="28" t="s">
        <v>208</v>
      </c>
      <c r="AL355" s="29" t="s">
        <v>48</v>
      </c>
      <c r="AM355" s="29" t="s">
        <v>48</v>
      </c>
      <c r="AN355" s="29" t="s">
        <v>48</v>
      </c>
      <c r="AO355" s="47" t="s">
        <v>249</v>
      </c>
      <c r="AP355" s="28">
        <v>0</v>
      </c>
      <c r="AQ355" s="26">
        <v>1.4999999999999999E-2</v>
      </c>
      <c r="AR355" s="26">
        <v>0</v>
      </c>
    </row>
    <row r="356" spans="1:44" x14ac:dyDescent="0.15">
      <c r="A356">
        <v>841</v>
      </c>
      <c r="B356" s="11">
        <v>966</v>
      </c>
      <c r="C356" s="32"/>
      <c r="D356" s="32">
        <v>-2.9163986244972002E-3</v>
      </c>
      <c r="E356" s="32">
        <v>111</v>
      </c>
      <c r="F356" s="32">
        <v>0.100478583015363</v>
      </c>
      <c r="G356" s="11"/>
      <c r="H356" s="11"/>
      <c r="I356" s="11"/>
      <c r="J356" s="18" t="s">
        <v>44</v>
      </c>
      <c r="K356" s="18" t="s">
        <v>45</v>
      </c>
      <c r="L356" s="58" t="s">
        <v>274</v>
      </c>
      <c r="M356" s="18">
        <f>[1]!f_prt_stocktonav(B356,"2017/03/31")</f>
        <v>74.994209289550781</v>
      </c>
      <c r="N356" s="20" t="str">
        <f>[1]!f_info_fundmanager(B356)</f>
        <v>曹思</v>
      </c>
      <c r="O356" s="21">
        <v>2.1342465753424658</v>
      </c>
      <c r="P356" s="34" t="s">
        <v>1562</v>
      </c>
      <c r="Q356" s="34" t="s">
        <v>1563</v>
      </c>
      <c r="R356" s="34" t="s">
        <v>85</v>
      </c>
      <c r="S356" s="34">
        <v>20150211</v>
      </c>
      <c r="T356" s="45">
        <v>2.7909219268999998</v>
      </c>
      <c r="U356" s="46">
        <v>3.129229343</v>
      </c>
      <c r="V356" s="34" t="s">
        <v>231</v>
      </c>
      <c r="W356" s="34" t="s">
        <v>44</v>
      </c>
      <c r="X356" s="34" t="s">
        <v>45</v>
      </c>
      <c r="Y356" s="34" t="s">
        <v>274</v>
      </c>
      <c r="Z356" s="34"/>
      <c r="AA356" s="34"/>
      <c r="AB356" s="22">
        <v>0.78824699401855469</v>
      </c>
      <c r="AC356" s="23" t="s">
        <v>1564</v>
      </c>
      <c r="AD356" s="24">
        <v>1.904109589041096</v>
      </c>
      <c r="AE356" s="25">
        <v>-5.0879316202372953E-2</v>
      </c>
      <c r="AF356" s="26">
        <v>0</v>
      </c>
      <c r="AG356" s="26">
        <v>0</v>
      </c>
      <c r="AH356" s="27">
        <v>5.0290444463544408E-2</v>
      </c>
      <c r="AI356" s="27">
        <v>5.0290444463544408E-2</v>
      </c>
      <c r="AJ356" s="27">
        <v>5.0290444463544408E-2</v>
      </c>
      <c r="AK356" s="28" t="s">
        <v>1226</v>
      </c>
      <c r="AL356" s="29" t="s">
        <v>48</v>
      </c>
      <c r="AM356" s="29" t="s">
        <v>48</v>
      </c>
      <c r="AN356" s="29" t="s">
        <v>48</v>
      </c>
      <c r="AO356" s="47" t="s">
        <v>1565</v>
      </c>
      <c r="AP356" s="28">
        <v>0</v>
      </c>
      <c r="AQ356" s="26">
        <v>1.4999999999999999E-2</v>
      </c>
      <c r="AR356" s="26">
        <v>0</v>
      </c>
    </row>
    <row r="357" spans="1:44" x14ac:dyDescent="0.15">
      <c r="A357">
        <v>429</v>
      </c>
      <c r="B357" s="11">
        <v>1005</v>
      </c>
      <c r="C357" s="32"/>
      <c r="D357" s="32">
        <v>1.68346542039685E-3</v>
      </c>
      <c r="E357" s="32">
        <v>35</v>
      </c>
      <c r="F357" s="32">
        <v>0.51279447590767502</v>
      </c>
      <c r="G357" s="11"/>
      <c r="H357" s="11"/>
      <c r="I357" s="11"/>
      <c r="J357" s="18" t="s">
        <v>44</v>
      </c>
      <c r="K357" s="18" t="s">
        <v>45</v>
      </c>
      <c r="L357" s="58" t="s">
        <v>65</v>
      </c>
      <c r="M357" s="18">
        <f>[1]!f_prt_stocktonav(B357,"2017/03/31")</f>
        <v>86.692367553710938</v>
      </c>
      <c r="N357" s="20" t="str">
        <f>[1]!f_info_fundmanager(B357)</f>
        <v>夏春晖</v>
      </c>
      <c r="O357" s="21">
        <v>0.67123287671232879</v>
      </c>
      <c r="P357" s="34" t="s">
        <v>1566</v>
      </c>
      <c r="Q357" s="34" t="s">
        <v>1567</v>
      </c>
      <c r="R357" s="34" t="s">
        <v>505</v>
      </c>
      <c r="S357" s="34">
        <v>20150211</v>
      </c>
      <c r="T357" s="45">
        <v>0.5553429486</v>
      </c>
      <c r="U357" s="46">
        <v>0.61750769090000002</v>
      </c>
      <c r="V357" s="34" t="s">
        <v>231</v>
      </c>
      <c r="W357" s="34" t="s">
        <v>44</v>
      </c>
      <c r="X357" s="34" t="s">
        <v>45</v>
      </c>
      <c r="Y357" s="34" t="s">
        <v>65</v>
      </c>
      <c r="Z357" s="34"/>
      <c r="AA357" s="34"/>
      <c r="AB357" s="22">
        <v>0.75072746276855473</v>
      </c>
      <c r="AC357" s="23" t="s">
        <v>1568</v>
      </c>
      <c r="AD357" s="24">
        <v>0.44109589041095892</v>
      </c>
      <c r="AE357" s="25">
        <v>-0.23477166649932468</v>
      </c>
      <c r="AF357" s="26">
        <v>0</v>
      </c>
      <c r="AG357" s="26">
        <v>0</v>
      </c>
      <c r="AH357" s="27">
        <v>-0.54102308235359875</v>
      </c>
      <c r="AI357" s="27">
        <v>-0.54102308235359875</v>
      </c>
      <c r="AJ357" s="27">
        <v>-0.54102308235359875</v>
      </c>
      <c r="AK357" s="28" t="s">
        <v>1569</v>
      </c>
      <c r="AL357" s="29" t="s">
        <v>48</v>
      </c>
      <c r="AM357" s="29" t="s">
        <v>48</v>
      </c>
      <c r="AN357" s="29" t="s">
        <v>48</v>
      </c>
      <c r="AO357" s="47" t="s">
        <v>1570</v>
      </c>
      <c r="AP357" s="28">
        <v>0</v>
      </c>
      <c r="AQ357" s="26">
        <v>1.4999999999999999E-2</v>
      </c>
      <c r="AR357" s="26">
        <v>0</v>
      </c>
    </row>
    <row r="358" spans="1:44" x14ac:dyDescent="0.15">
      <c r="A358">
        <v>119</v>
      </c>
      <c r="B358" s="11">
        <v>965</v>
      </c>
      <c r="C358" s="32"/>
      <c r="D358" s="32">
        <v>2.34593904612935E-4</v>
      </c>
      <c r="E358" s="32">
        <v>32</v>
      </c>
      <c r="F358" s="32">
        <v>0.87138106761467704</v>
      </c>
      <c r="G358" s="11"/>
      <c r="H358" s="11"/>
      <c r="I358" s="11"/>
      <c r="J358" s="18" t="s">
        <v>44</v>
      </c>
      <c r="K358" s="18" t="s">
        <v>45</v>
      </c>
      <c r="L358" s="58" t="s">
        <v>65</v>
      </c>
      <c r="M358" s="18">
        <f>[1]!f_prt_stocktonav(B358,"2017/03/31")</f>
        <v>93.291259765625</v>
      </c>
      <c r="N358" s="20" t="str">
        <f>[1]!f_info_fundmanager(B358)</f>
        <v>陈平</v>
      </c>
      <c r="O358" s="21">
        <v>0.61095890410958908</v>
      </c>
      <c r="P358" s="34" t="s">
        <v>1571</v>
      </c>
      <c r="Q358" s="34" t="s">
        <v>1572</v>
      </c>
      <c r="R358" s="34" t="s">
        <v>149</v>
      </c>
      <c r="S358" s="34">
        <v>20150211</v>
      </c>
      <c r="T358" s="45">
        <v>3.2159155126000001</v>
      </c>
      <c r="U358" s="46">
        <v>4.7396236525999997</v>
      </c>
      <c r="V358" s="34" t="s">
        <v>231</v>
      </c>
      <c r="W358" s="34" t="s">
        <v>44</v>
      </c>
      <c r="X358" s="34" t="s">
        <v>45</v>
      </c>
      <c r="Y358" s="34" t="s">
        <v>65</v>
      </c>
      <c r="Z358" s="34"/>
      <c r="AA358" s="34"/>
      <c r="AB358" s="22">
        <v>0.94644515991210942</v>
      </c>
      <c r="AC358" s="23" t="s">
        <v>1573</v>
      </c>
      <c r="AD358" s="24">
        <v>0.38082191780821917</v>
      </c>
      <c r="AE358" s="25">
        <v>-9.3286448174526596E-2</v>
      </c>
      <c r="AF358" s="26">
        <v>0</v>
      </c>
      <c r="AG358" s="26">
        <v>0</v>
      </c>
      <c r="AH358" s="27">
        <v>5.6711931415433659E-4</v>
      </c>
      <c r="AI358" s="27">
        <v>5.6711931415433659E-4</v>
      </c>
      <c r="AJ358" s="27">
        <v>5.6711931415433659E-4</v>
      </c>
      <c r="AK358" s="28" t="s">
        <v>1574</v>
      </c>
      <c r="AL358" s="29" t="s">
        <v>48</v>
      </c>
      <c r="AM358" s="29" t="s">
        <v>48</v>
      </c>
      <c r="AN358" s="29" t="s">
        <v>48</v>
      </c>
      <c r="AO358" s="47" t="s">
        <v>410</v>
      </c>
      <c r="AP358" s="28">
        <v>0</v>
      </c>
      <c r="AQ358" s="26">
        <v>1.4999999999999999E-2</v>
      </c>
      <c r="AR358" s="26">
        <v>0</v>
      </c>
    </row>
    <row r="359" spans="1:44" x14ac:dyDescent="0.15">
      <c r="A359">
        <v>12</v>
      </c>
      <c r="B359" s="11">
        <v>913</v>
      </c>
      <c r="C359" s="32"/>
      <c r="D359" s="32">
        <v>-1.39836397024506E-3</v>
      </c>
      <c r="E359" s="32">
        <v>84</v>
      </c>
      <c r="F359" s="32">
        <v>0.35956340958045302</v>
      </c>
      <c r="G359" s="11"/>
      <c r="H359" s="11"/>
      <c r="I359" s="11"/>
      <c r="J359" s="18" t="s">
        <v>44</v>
      </c>
      <c r="K359" s="18" t="s">
        <v>86</v>
      </c>
      <c r="L359" s="58" t="s">
        <v>274</v>
      </c>
      <c r="M359" s="18">
        <f>[1]!f_prt_stocktonav(B359,"2017/03/31")</f>
        <v>94.814949035644531</v>
      </c>
      <c r="N359" s="20" t="str">
        <f>[1]!f_info_fundmanager(B359)</f>
        <v>徐治彪</v>
      </c>
      <c r="O359" s="21">
        <v>1.6136986301369862</v>
      </c>
      <c r="P359" s="39" t="s">
        <v>1575</v>
      </c>
      <c r="Q359" s="39" t="s">
        <v>1576</v>
      </c>
      <c r="R359" s="39" t="s">
        <v>424</v>
      </c>
      <c r="S359" s="39">
        <v>20150210</v>
      </c>
      <c r="T359" s="48">
        <v>20.8901084122</v>
      </c>
      <c r="U359" s="46">
        <v>26.9212110323</v>
      </c>
      <c r="V359" s="39" t="s">
        <v>231</v>
      </c>
      <c r="W359" s="39" t="s">
        <v>44</v>
      </c>
      <c r="X359" s="39" t="s">
        <v>86</v>
      </c>
      <c r="Y359" s="55" t="s">
        <v>274</v>
      </c>
      <c r="Z359" s="34" t="s">
        <v>1577</v>
      </c>
      <c r="AA359" s="34"/>
      <c r="AB359" s="22">
        <v>0.93912590026855469</v>
      </c>
      <c r="AC359" s="23" t="s">
        <v>1578</v>
      </c>
      <c r="AD359" s="24">
        <v>1.3835616438356164</v>
      </c>
      <c r="AE359" s="25">
        <v>3.0126238220059998E-2</v>
      </c>
      <c r="AF359" s="26">
        <v>0</v>
      </c>
      <c r="AG359" s="26">
        <v>0</v>
      </c>
      <c r="AH359" s="27">
        <v>0.23584650411535563</v>
      </c>
      <c r="AI359" s="27">
        <v>0.23584650411535563</v>
      </c>
      <c r="AJ359" s="27">
        <v>0.23584650411535563</v>
      </c>
      <c r="AK359" s="40" t="s">
        <v>1579</v>
      </c>
      <c r="AL359" s="41" t="s">
        <v>48</v>
      </c>
      <c r="AM359" s="41" t="s">
        <v>48</v>
      </c>
      <c r="AN359" s="41" t="s">
        <v>48</v>
      </c>
      <c r="AO359" s="50" t="s">
        <v>702</v>
      </c>
      <c r="AP359" s="51">
        <v>0</v>
      </c>
      <c r="AQ359" s="52">
        <v>1.4999999999999999E-2</v>
      </c>
      <c r="AR359" s="52">
        <v>0</v>
      </c>
    </row>
    <row r="360" spans="1:44" x14ac:dyDescent="0.15">
      <c r="A360">
        <v>959</v>
      </c>
      <c r="B360" s="11">
        <v>986</v>
      </c>
      <c r="C360" s="32"/>
      <c r="D360" s="32">
        <v>-2.488303248685E-3</v>
      </c>
      <c r="E360" s="32">
        <v>52</v>
      </c>
      <c r="F360" s="32">
        <v>9.0973995676258301E-2</v>
      </c>
      <c r="G360" s="11"/>
      <c r="H360" s="11"/>
      <c r="I360" s="11"/>
      <c r="J360" s="18" t="s">
        <v>44</v>
      </c>
      <c r="K360" s="18" t="s">
        <v>45</v>
      </c>
      <c r="L360" s="58" t="s">
        <v>65</v>
      </c>
      <c r="M360" s="18">
        <f>[1]!f_prt_stocktonav(B360,"2017/03/31")</f>
        <v>70.151504516601563</v>
      </c>
      <c r="N360" s="20" t="str">
        <f>[1]!f_info_fundmanager(B360)</f>
        <v>独孤南薰,林开盛</v>
      </c>
      <c r="O360" s="21">
        <v>0.98082191780821915</v>
      </c>
      <c r="P360" s="34" t="s">
        <v>1580</v>
      </c>
      <c r="Q360" s="34" t="s">
        <v>1581</v>
      </c>
      <c r="R360" s="34" t="s">
        <v>1582</v>
      </c>
      <c r="S360" s="34">
        <v>20150210</v>
      </c>
      <c r="T360" s="45">
        <v>15.0892859389</v>
      </c>
      <c r="U360" s="46">
        <v>9.6438199200000005E-2</v>
      </c>
      <c r="V360" s="34" t="s">
        <v>231</v>
      </c>
      <c r="W360" s="34" t="s">
        <v>41</v>
      </c>
      <c r="X360" s="17" t="s">
        <v>42</v>
      </c>
      <c r="Y360" s="17" t="s">
        <v>43</v>
      </c>
      <c r="Z360" s="34"/>
      <c r="AA360" s="34"/>
      <c r="AB360" s="22">
        <v>5.37925124168396E-3</v>
      </c>
      <c r="AC360" s="23" t="s">
        <v>1583</v>
      </c>
      <c r="AD360" s="24">
        <v>0.83287671232876714</v>
      </c>
      <c r="AE360" s="25">
        <v>-0.19770948295033774</v>
      </c>
      <c r="AF360" s="26">
        <v>0</v>
      </c>
      <c r="AG360" s="26">
        <v>0</v>
      </c>
      <c r="AH360" s="27">
        <v>-0.76971624180327147</v>
      </c>
      <c r="AI360" s="27">
        <v>-0.76971624180327147</v>
      </c>
      <c r="AJ360" s="27">
        <v>-0.76971624180327147</v>
      </c>
      <c r="AK360" s="28" t="s">
        <v>1584</v>
      </c>
      <c r="AL360" s="29" t="s">
        <v>48</v>
      </c>
      <c r="AM360" s="29" t="s">
        <v>48</v>
      </c>
      <c r="AN360" s="29" t="s">
        <v>48</v>
      </c>
      <c r="AO360" s="47" t="s">
        <v>1002</v>
      </c>
      <c r="AP360" s="28">
        <v>0</v>
      </c>
      <c r="AQ360" s="26">
        <v>1.4999999999999999E-2</v>
      </c>
      <c r="AR360" s="26">
        <v>0</v>
      </c>
    </row>
    <row r="361" spans="1:44" x14ac:dyDescent="0.15">
      <c r="A361">
        <v>202</v>
      </c>
      <c r="B361" s="11">
        <v>969</v>
      </c>
      <c r="C361" s="32"/>
      <c r="D361" s="32">
        <v>-3.0318265968335002E-3</v>
      </c>
      <c r="E361" s="32">
        <v>112</v>
      </c>
      <c r="F361" s="32">
        <v>5.4623426786015401E-2</v>
      </c>
      <c r="G361" s="11"/>
      <c r="H361" s="11"/>
      <c r="I361" s="11"/>
      <c r="J361" s="18" t="s">
        <v>44</v>
      </c>
      <c r="K361" s="18" t="s">
        <v>45</v>
      </c>
      <c r="L361" s="58" t="s">
        <v>65</v>
      </c>
      <c r="M361" s="18">
        <f>[1]!f_prt_stocktonav(B361,"2017/03/31")</f>
        <v>91.760665893554688</v>
      </c>
      <c r="N361" s="20" t="str">
        <f>[1]!f_info_fundmanager(B361)</f>
        <v>薛小波</v>
      </c>
      <c r="O361" s="21">
        <v>2.1479452054794521</v>
      </c>
      <c r="P361" s="34" t="s">
        <v>1585</v>
      </c>
      <c r="Q361" s="34" t="s">
        <v>1586</v>
      </c>
      <c r="R361" s="34" t="s">
        <v>78</v>
      </c>
      <c r="S361" s="34">
        <v>20150206</v>
      </c>
      <c r="T361" s="45">
        <v>6.6932104202999998</v>
      </c>
      <c r="U361" s="46">
        <v>7.7157803395000002</v>
      </c>
      <c r="V361" s="34" t="s">
        <v>231</v>
      </c>
      <c r="W361" s="34" t="s">
        <v>44</v>
      </c>
      <c r="X361" s="34" t="s">
        <v>45</v>
      </c>
      <c r="Y361" s="34" t="s">
        <v>65</v>
      </c>
      <c r="Z361" s="34"/>
      <c r="AA361" s="34"/>
      <c r="AB361" s="22">
        <v>0.93852432250976559</v>
      </c>
      <c r="AC361" s="23" t="s">
        <v>1471</v>
      </c>
      <c r="AD361" s="24">
        <v>1.9178082191780821</v>
      </c>
      <c r="AE361" s="25">
        <v>7.5177759270548705E-2</v>
      </c>
      <c r="AF361" s="26">
        <v>0</v>
      </c>
      <c r="AG361" s="26">
        <v>0</v>
      </c>
      <c r="AH361" s="27">
        <v>0.34186974388963598</v>
      </c>
      <c r="AI361" s="27">
        <v>0.34186974388963598</v>
      </c>
      <c r="AJ361" s="27">
        <v>0.34186974388963598</v>
      </c>
      <c r="AK361" s="28" t="s">
        <v>196</v>
      </c>
      <c r="AL361" s="29" t="s">
        <v>48</v>
      </c>
      <c r="AM361" s="29" t="s">
        <v>48</v>
      </c>
      <c r="AN361" s="29" t="s">
        <v>48</v>
      </c>
      <c r="AO361" s="47" t="s">
        <v>270</v>
      </c>
      <c r="AP361" s="28">
        <v>0</v>
      </c>
      <c r="AQ361" s="26">
        <v>1.4999999999999999E-2</v>
      </c>
      <c r="AR361" s="26">
        <v>0</v>
      </c>
    </row>
    <row r="362" spans="1:44" x14ac:dyDescent="0.15">
      <c r="A362">
        <v>405</v>
      </c>
      <c r="B362" s="11">
        <v>967</v>
      </c>
      <c r="C362" s="32"/>
      <c r="D362" s="32">
        <v>-9.8773269475275691E-4</v>
      </c>
      <c r="E362" s="32">
        <v>112</v>
      </c>
      <c r="F362" s="32">
        <v>0.61815945210829404</v>
      </c>
      <c r="G362" s="11"/>
      <c r="H362" s="11"/>
      <c r="I362" s="11"/>
      <c r="J362" s="18" t="s">
        <v>44</v>
      </c>
      <c r="K362" s="18" t="s">
        <v>87</v>
      </c>
      <c r="L362" s="58" t="s">
        <v>274</v>
      </c>
      <c r="M362" s="18">
        <f>[1]!f_prt_stocktonav(B362,"2017/03/31")</f>
        <v>87.470832824707031</v>
      </c>
      <c r="N362" s="20" t="str">
        <f>[1]!f_info_fundmanager(B362)</f>
        <v>张慧</v>
      </c>
      <c r="O362" s="21">
        <v>2.1479452054794521</v>
      </c>
      <c r="P362" s="34" t="s">
        <v>1587</v>
      </c>
      <c r="Q362" s="34" t="s">
        <v>1588</v>
      </c>
      <c r="R362" s="34" t="s">
        <v>880</v>
      </c>
      <c r="S362" s="34">
        <v>20150206</v>
      </c>
      <c r="T362" s="45">
        <v>1.6236242685</v>
      </c>
      <c r="U362" s="46">
        <v>1.7892766192</v>
      </c>
      <c r="V362" s="34" t="s">
        <v>231</v>
      </c>
      <c r="W362" s="34" t="s">
        <v>44</v>
      </c>
      <c r="X362" s="34" t="s">
        <v>45</v>
      </c>
      <c r="Y362" s="34" t="s">
        <v>274</v>
      </c>
      <c r="Z362" s="34"/>
      <c r="AA362" s="34"/>
      <c r="AB362" s="22">
        <v>0.88727157592773442</v>
      </c>
      <c r="AC362" s="23" t="s">
        <v>1589</v>
      </c>
      <c r="AD362" s="24">
        <v>1.9178082191780821</v>
      </c>
      <c r="AE362" s="25">
        <v>4.5794362950931422E-2</v>
      </c>
      <c r="AF362" s="26">
        <v>0</v>
      </c>
      <c r="AG362" s="26">
        <v>0</v>
      </c>
      <c r="AH362" s="27">
        <v>0.26863572620883797</v>
      </c>
      <c r="AI362" s="27">
        <v>0.26863572620883797</v>
      </c>
      <c r="AJ362" s="27">
        <v>0.26863572620883797</v>
      </c>
      <c r="AK362" s="28" t="s">
        <v>1590</v>
      </c>
      <c r="AL362" s="29" t="s">
        <v>48</v>
      </c>
      <c r="AM362" s="29" t="s">
        <v>48</v>
      </c>
      <c r="AN362" s="29" t="s">
        <v>48</v>
      </c>
      <c r="AO362" s="47" t="s">
        <v>405</v>
      </c>
      <c r="AP362" s="28">
        <v>0</v>
      </c>
      <c r="AQ362" s="26">
        <v>1.4999999999999999E-2</v>
      </c>
      <c r="AR362" s="26">
        <v>0</v>
      </c>
    </row>
    <row r="363" spans="1:44" x14ac:dyDescent="0.15">
      <c r="A363">
        <v>38</v>
      </c>
      <c r="B363" s="11">
        <v>978</v>
      </c>
      <c r="C363" s="32"/>
      <c r="D363" s="32">
        <v>-2.6438506340817599E-3</v>
      </c>
      <c r="E363" s="32">
        <v>112</v>
      </c>
      <c r="F363" s="32">
        <v>1.7318496653798102E-2</v>
      </c>
      <c r="G363" s="11"/>
      <c r="H363" s="11"/>
      <c r="I363" s="11"/>
      <c r="J363" s="18" t="s">
        <v>44</v>
      </c>
      <c r="K363" s="18" t="s">
        <v>64</v>
      </c>
      <c r="L363" s="58" t="s">
        <v>274</v>
      </c>
      <c r="M363" s="18">
        <f>[1]!f_prt_stocktonav(B363,"2017/03/31")</f>
        <v>94.441864013671875</v>
      </c>
      <c r="N363" s="20" t="str">
        <f>[1]!f_info_fundmanager(B363)</f>
        <v>黎海威</v>
      </c>
      <c r="O363" s="21">
        <v>2.1534246575342464</v>
      </c>
      <c r="P363" s="34" t="s">
        <v>1591</v>
      </c>
      <c r="Q363" s="34" t="s">
        <v>1592</v>
      </c>
      <c r="R363" s="34" t="s">
        <v>353</v>
      </c>
      <c r="S363" s="34">
        <v>20150204</v>
      </c>
      <c r="T363" s="45">
        <v>10.0174291916</v>
      </c>
      <c r="U363" s="46">
        <v>8.9932130037999993</v>
      </c>
      <c r="V363" s="34" t="s">
        <v>231</v>
      </c>
      <c r="W363" s="34" t="s">
        <v>44</v>
      </c>
      <c r="X363" s="34" t="s">
        <v>64</v>
      </c>
      <c r="Y363" s="34" t="s">
        <v>274</v>
      </c>
      <c r="Z363" s="34"/>
      <c r="AA363" s="34"/>
      <c r="AB363" s="22">
        <v>0.9377558135986328</v>
      </c>
      <c r="AC363" s="23" t="s">
        <v>355</v>
      </c>
      <c r="AD363" s="24">
        <v>1.9232876712328768</v>
      </c>
      <c r="AE363" s="25">
        <v>0.16563166376998972</v>
      </c>
      <c r="AF363" s="26">
        <v>0</v>
      </c>
      <c r="AG363" s="26">
        <v>0</v>
      </c>
      <c r="AH363" s="27">
        <v>0.556806055060313</v>
      </c>
      <c r="AI363" s="27">
        <v>0.556806055060313</v>
      </c>
      <c r="AJ363" s="27">
        <v>0.556806055060313</v>
      </c>
      <c r="AK363" s="28" t="s">
        <v>1593</v>
      </c>
      <c r="AL363" s="29" t="s">
        <v>48</v>
      </c>
      <c r="AM363" s="29" t="s">
        <v>48</v>
      </c>
      <c r="AN363" s="29" t="s">
        <v>48</v>
      </c>
      <c r="AO363" s="47" t="s">
        <v>583</v>
      </c>
      <c r="AP363" s="28">
        <v>0</v>
      </c>
      <c r="AQ363" s="26">
        <v>1.4999999999999999E-2</v>
      </c>
      <c r="AR363" s="26">
        <v>0</v>
      </c>
    </row>
    <row r="364" spans="1:44" x14ac:dyDescent="0.15">
      <c r="A364">
        <v>922</v>
      </c>
      <c r="B364" s="11">
        <v>767</v>
      </c>
      <c r="C364" s="32"/>
      <c r="D364" s="32">
        <v>-3.7671787382827599E-3</v>
      </c>
      <c r="E364" s="32">
        <v>112</v>
      </c>
      <c r="F364" s="32">
        <v>0.171782168207572</v>
      </c>
      <c r="G364" s="11"/>
      <c r="H364" s="11"/>
      <c r="I364" s="11"/>
      <c r="J364" s="18" t="s">
        <v>44</v>
      </c>
      <c r="K364" s="18" t="s">
        <v>45</v>
      </c>
      <c r="L364" s="58" t="s">
        <v>65</v>
      </c>
      <c r="M364" s="18">
        <f>[1]!f_prt_stocktonav(B364,"2017/03/31")</f>
        <v>71.633499145507813</v>
      </c>
      <c r="N364" s="20" t="str">
        <f>[1]!f_info_fundmanager(B364)</f>
        <v>龚炜,张亮</v>
      </c>
      <c r="O364" s="21">
        <v>2.1534246575342464</v>
      </c>
      <c r="P364" s="34" t="s">
        <v>1594</v>
      </c>
      <c r="Q364" s="34" t="s">
        <v>1595</v>
      </c>
      <c r="R364" s="34" t="s">
        <v>1000</v>
      </c>
      <c r="S364" s="34">
        <v>20150204</v>
      </c>
      <c r="T364" s="45">
        <v>1.8009202069000001</v>
      </c>
      <c r="U364" s="46">
        <v>1.9207464151</v>
      </c>
      <c r="V364" s="34" t="s">
        <v>231</v>
      </c>
      <c r="W364" s="34" t="s">
        <v>41</v>
      </c>
      <c r="X364" s="34" t="s">
        <v>42</v>
      </c>
      <c r="Y364" s="34" t="s">
        <v>181</v>
      </c>
      <c r="Z364" s="34"/>
      <c r="AA364" s="34"/>
      <c r="AB364" s="22">
        <v>0.66811836242675782</v>
      </c>
      <c r="AC364" s="23" t="s">
        <v>1596</v>
      </c>
      <c r="AD364" s="24">
        <v>1.9232876712328768</v>
      </c>
      <c r="AE364" s="25">
        <v>-1.4231317232988649E-2</v>
      </c>
      <c r="AF364" s="26">
        <v>0</v>
      </c>
      <c r="AG364" s="26">
        <v>0</v>
      </c>
      <c r="AH364" s="27">
        <v>0.11046981683633429</v>
      </c>
      <c r="AI364" s="27">
        <v>0.11046981683633429</v>
      </c>
      <c r="AJ364" s="27">
        <v>0.11046981683633429</v>
      </c>
      <c r="AK364" s="28" t="s">
        <v>720</v>
      </c>
      <c r="AL364" s="29" t="s">
        <v>48</v>
      </c>
      <c r="AM364" s="29" t="s">
        <v>48</v>
      </c>
      <c r="AN364" s="29" t="s">
        <v>48</v>
      </c>
      <c r="AO364" s="47" t="s">
        <v>1002</v>
      </c>
      <c r="AP364" s="28">
        <v>0</v>
      </c>
      <c r="AQ364" s="26">
        <v>1.4999999999999999E-2</v>
      </c>
      <c r="AR364" s="26">
        <v>0</v>
      </c>
    </row>
    <row r="365" spans="1:44" x14ac:dyDescent="0.15">
      <c r="A365">
        <v>460</v>
      </c>
      <c r="B365" s="11">
        <v>519975</v>
      </c>
      <c r="C365" s="32"/>
      <c r="D365" s="32">
        <v>-1.00242461694776E-3</v>
      </c>
      <c r="E365" s="32">
        <v>107</v>
      </c>
      <c r="F365" s="32">
        <v>0.34561801973016898</v>
      </c>
      <c r="G365" s="11"/>
      <c r="H365" s="11"/>
      <c r="I365" s="11"/>
      <c r="J365" s="18" t="s">
        <v>44</v>
      </c>
      <c r="K365" s="18" t="s">
        <v>64</v>
      </c>
      <c r="L365" s="58" t="s">
        <v>274</v>
      </c>
      <c r="M365" s="18">
        <f>[1]!f_prt_stocktonav(B365,"2017/03/31")</f>
        <v>86.115127563476563</v>
      </c>
      <c r="N365" s="20" t="str">
        <f>[1]!f_info_fundmanager(B365)</f>
        <v>左金保</v>
      </c>
      <c r="O365" s="21">
        <v>2.0520547945205481</v>
      </c>
      <c r="P365" s="34" t="s">
        <v>1597</v>
      </c>
      <c r="Q365" s="34" t="s">
        <v>1598</v>
      </c>
      <c r="R365" s="34" t="s">
        <v>206</v>
      </c>
      <c r="S365" s="34">
        <v>20150204</v>
      </c>
      <c r="T365" s="45">
        <v>39.740978274699998</v>
      </c>
      <c r="U365" s="46">
        <v>19.286490231199998</v>
      </c>
      <c r="V365" s="34" t="s">
        <v>201</v>
      </c>
      <c r="W365" s="34" t="s">
        <v>44</v>
      </c>
      <c r="X365" s="34" t="s">
        <v>64</v>
      </c>
      <c r="Y365" s="34" t="s">
        <v>274</v>
      </c>
      <c r="Z365" s="34"/>
      <c r="AA365" s="34"/>
      <c r="AB365" s="22">
        <v>0.83929321289062497</v>
      </c>
      <c r="AC365" s="23" t="s">
        <v>327</v>
      </c>
      <c r="AD365" s="24">
        <v>1.821917808219178</v>
      </c>
      <c r="AE365" s="25">
        <v>0.22680559009631462</v>
      </c>
      <c r="AF365" s="26">
        <v>0</v>
      </c>
      <c r="AG365" s="26">
        <v>0</v>
      </c>
      <c r="AH365" s="27">
        <v>0.69164606524981098</v>
      </c>
      <c r="AI365" s="27">
        <v>0.69164606524981098</v>
      </c>
      <c r="AJ365" s="27">
        <v>0.69164606524981098</v>
      </c>
      <c r="AK365" s="28" t="s">
        <v>1599</v>
      </c>
      <c r="AL365" s="29" t="s">
        <v>48</v>
      </c>
      <c r="AM365" s="29" t="s">
        <v>48</v>
      </c>
      <c r="AN365" s="29" t="s">
        <v>48</v>
      </c>
      <c r="AO365" s="47" t="s">
        <v>209</v>
      </c>
      <c r="AP365" s="28">
        <v>0</v>
      </c>
      <c r="AQ365" s="26">
        <v>1.4999999999999999E-2</v>
      </c>
      <c r="AR365" s="26">
        <v>0</v>
      </c>
    </row>
    <row r="366" spans="1:44" x14ac:dyDescent="0.15">
      <c r="A366">
        <v>499</v>
      </c>
      <c r="B366" s="11">
        <v>628</v>
      </c>
      <c r="C366" s="32"/>
      <c r="D366" s="32">
        <v>1.4350466396122099E-3</v>
      </c>
      <c r="E366" s="32">
        <v>113</v>
      </c>
      <c r="F366" s="32">
        <v>0.402762909994407</v>
      </c>
      <c r="G366" s="11"/>
      <c r="H366" s="11"/>
      <c r="I366" s="11"/>
      <c r="J366" s="18" t="s">
        <v>44</v>
      </c>
      <c r="K366" s="18" t="s">
        <v>45</v>
      </c>
      <c r="L366" s="58" t="s">
        <v>65</v>
      </c>
      <c r="M366" s="18">
        <f>[1]!f_prt_stocktonav(B366,"2017/03/31")</f>
        <v>85.274337768554687</v>
      </c>
      <c r="N366" s="20" t="str">
        <f>[1]!f_info_fundmanager(B366)</f>
        <v>刘旭,徐彦</v>
      </c>
      <c r="O366" s="21">
        <v>2.1561643835616437</v>
      </c>
      <c r="P366" s="34" t="s">
        <v>1600</v>
      </c>
      <c r="Q366" s="34" t="s">
        <v>1601</v>
      </c>
      <c r="R366" s="34" t="s">
        <v>486</v>
      </c>
      <c r="S366" s="34">
        <v>20150203</v>
      </c>
      <c r="T366" s="45">
        <v>1.492873235</v>
      </c>
      <c r="U366" s="46">
        <v>1.6220119963999999</v>
      </c>
      <c r="V366" s="34" t="s">
        <v>231</v>
      </c>
      <c r="W366" s="34" t="s">
        <v>44</v>
      </c>
      <c r="X366" s="34" t="s">
        <v>45</v>
      </c>
      <c r="Y366" s="34" t="s">
        <v>274</v>
      </c>
      <c r="Z366" s="34"/>
      <c r="AA366" s="34"/>
      <c r="AB366" s="22">
        <v>0.87445152282714844</v>
      </c>
      <c r="AC366" s="23" t="s">
        <v>1602</v>
      </c>
      <c r="AD366" s="24">
        <v>1.9260273972602739</v>
      </c>
      <c r="AE366" s="25">
        <v>0.10529436142734605</v>
      </c>
      <c r="AF366" s="26">
        <v>0</v>
      </c>
      <c r="AG366" s="26">
        <v>0</v>
      </c>
      <c r="AH366" s="27">
        <v>0.42472044879248544</v>
      </c>
      <c r="AI366" s="27">
        <v>0.42472044879248544</v>
      </c>
      <c r="AJ366" s="27">
        <v>0.42472044879248544</v>
      </c>
      <c r="AK366" s="28" t="s">
        <v>1603</v>
      </c>
      <c r="AL366" s="29" t="s">
        <v>48</v>
      </c>
      <c r="AM366" s="29" t="s">
        <v>48</v>
      </c>
      <c r="AN366" s="29" t="s">
        <v>48</v>
      </c>
      <c r="AO366" s="47" t="s">
        <v>1604</v>
      </c>
      <c r="AP366" s="28">
        <v>0</v>
      </c>
      <c r="AQ366" s="26">
        <v>1.4999999999999999E-2</v>
      </c>
      <c r="AR366" s="26">
        <v>0</v>
      </c>
    </row>
    <row r="367" spans="1:44" x14ac:dyDescent="0.15">
      <c r="A367">
        <v>681</v>
      </c>
      <c r="B367" s="11">
        <v>994</v>
      </c>
      <c r="C367" s="32"/>
      <c r="D367" s="32">
        <v>-2.9899628120016999E-3</v>
      </c>
      <c r="E367" s="32">
        <v>113</v>
      </c>
      <c r="F367" s="32">
        <v>0.10136903360525901</v>
      </c>
      <c r="G367" s="11"/>
      <c r="H367" s="11"/>
      <c r="I367" s="11"/>
      <c r="J367" s="18" t="s">
        <v>44</v>
      </c>
      <c r="K367" s="18" t="s">
        <v>45</v>
      </c>
      <c r="L367" s="58" t="s">
        <v>65</v>
      </c>
      <c r="M367" s="18">
        <f>[1]!f_prt_stocktonav(B367,"2017/03/31")</f>
        <v>80.628555297851563</v>
      </c>
      <c r="N367" s="20" t="str">
        <f>[1]!f_info_fundmanager(B367)</f>
        <v>许杰</v>
      </c>
      <c r="O367" s="21">
        <v>2.1561643835616437</v>
      </c>
      <c r="P367" s="34" t="s">
        <v>1605</v>
      </c>
      <c r="Q367" s="34" t="s">
        <v>1606</v>
      </c>
      <c r="R367" s="34" t="s">
        <v>307</v>
      </c>
      <c r="S367" s="34">
        <v>20150203</v>
      </c>
      <c r="T367" s="45">
        <v>2.9139024159</v>
      </c>
      <c r="U367" s="46">
        <v>3.0339749752</v>
      </c>
      <c r="V367" s="34" t="s">
        <v>231</v>
      </c>
      <c r="W367" s="34" t="s">
        <v>44</v>
      </c>
      <c r="X367" s="34" t="s">
        <v>45</v>
      </c>
      <c r="Y367" s="34" t="s">
        <v>274</v>
      </c>
      <c r="Z367" s="34"/>
      <c r="AA367" s="34"/>
      <c r="AB367" s="22">
        <v>0.73198806762695312</v>
      </c>
      <c r="AC367" s="23" t="s">
        <v>1241</v>
      </c>
      <c r="AD367" s="24">
        <v>1.9260273972602739</v>
      </c>
      <c r="AE367" s="25">
        <v>-2.3789869108455375E-2</v>
      </c>
      <c r="AF367" s="26">
        <v>0</v>
      </c>
      <c r="AG367" s="26">
        <v>0</v>
      </c>
      <c r="AH367" s="27">
        <v>5.6020410766247121E-2</v>
      </c>
      <c r="AI367" s="27">
        <v>5.6020410766247121E-2</v>
      </c>
      <c r="AJ367" s="27">
        <v>5.6020410766247121E-2</v>
      </c>
      <c r="AK367" s="28" t="s">
        <v>1607</v>
      </c>
      <c r="AL367" s="29" t="s">
        <v>48</v>
      </c>
      <c r="AM367" s="29" t="s">
        <v>48</v>
      </c>
      <c r="AN367" s="29" t="s">
        <v>48</v>
      </c>
      <c r="AO367" s="47" t="s">
        <v>310</v>
      </c>
      <c r="AP367" s="28">
        <v>0</v>
      </c>
      <c r="AQ367" s="26">
        <v>1.4999999999999999E-2</v>
      </c>
      <c r="AR367" s="26">
        <v>0</v>
      </c>
    </row>
    <row r="368" spans="1:44" x14ac:dyDescent="0.15">
      <c r="A368">
        <v>94</v>
      </c>
      <c r="B368" s="11">
        <v>985</v>
      </c>
      <c r="C368" s="32"/>
      <c r="D368" s="32">
        <v>-2.7896359650377502E-3</v>
      </c>
      <c r="E368" s="32">
        <v>113</v>
      </c>
      <c r="F368" s="32">
        <v>3.2719962299559001E-2</v>
      </c>
      <c r="G368" s="11"/>
      <c r="H368" s="11"/>
      <c r="I368" s="11"/>
      <c r="J368" s="18" t="s">
        <v>44</v>
      </c>
      <c r="K368" s="18" t="s">
        <v>45</v>
      </c>
      <c r="L368" s="58" t="s">
        <v>65</v>
      </c>
      <c r="M368" s="18">
        <f>[1]!f_prt_stocktonav(B368,"2017/03/31")</f>
        <v>93.700607299804687</v>
      </c>
      <c r="N368" s="20" t="str">
        <f>[1]!f_info_fundmanager(B368)</f>
        <v>郭东谋</v>
      </c>
      <c r="O368" s="21">
        <v>2.1589041095890411</v>
      </c>
      <c r="P368" s="34" t="s">
        <v>1608</v>
      </c>
      <c r="Q368" s="34" t="s">
        <v>1609</v>
      </c>
      <c r="R368" s="34" t="s">
        <v>92</v>
      </c>
      <c r="S368" s="34">
        <v>20150202</v>
      </c>
      <c r="T368" s="45">
        <v>18.699145991799998</v>
      </c>
      <c r="U368" s="46">
        <v>19.3115168446</v>
      </c>
      <c r="V368" s="34" t="s">
        <v>231</v>
      </c>
      <c r="W368" s="34" t="s">
        <v>44</v>
      </c>
      <c r="X368" s="34" t="s">
        <v>45</v>
      </c>
      <c r="Y368" s="34" t="s">
        <v>65</v>
      </c>
      <c r="Z368" s="34"/>
      <c r="AA368" s="34"/>
      <c r="AB368" s="22">
        <v>0.94066558837890624</v>
      </c>
      <c r="AC368" s="23" t="s">
        <v>1610</v>
      </c>
      <c r="AD368" s="24">
        <v>1.9287671232876713</v>
      </c>
      <c r="AE368" s="25">
        <v>4.953004831672625E-2</v>
      </c>
      <c r="AF368" s="26">
        <v>0</v>
      </c>
      <c r="AG368" s="26">
        <v>0</v>
      </c>
      <c r="AH368" s="27">
        <v>0.29295932930318347</v>
      </c>
      <c r="AI368" s="27">
        <v>0.29295932930318347</v>
      </c>
      <c r="AJ368" s="27">
        <v>0.29295932930318347</v>
      </c>
      <c r="AK368" s="28" t="s">
        <v>208</v>
      </c>
      <c r="AL368" s="29" t="s">
        <v>48</v>
      </c>
      <c r="AM368" s="29" t="s">
        <v>48</v>
      </c>
      <c r="AN368" s="29" t="s">
        <v>48</v>
      </c>
      <c r="AO368" s="47" t="s">
        <v>249</v>
      </c>
      <c r="AP368" s="28">
        <v>0</v>
      </c>
      <c r="AQ368" s="26">
        <v>1.4999999999999999E-2</v>
      </c>
      <c r="AR368" s="26">
        <v>0</v>
      </c>
    </row>
    <row r="369" spans="1:44" x14ac:dyDescent="0.15">
      <c r="A369">
        <v>395</v>
      </c>
      <c r="B369" s="11">
        <v>945</v>
      </c>
      <c r="C369" s="32"/>
      <c r="D369" s="32">
        <v>-5.4774399178222399E-5</v>
      </c>
      <c r="E369" s="32">
        <v>113</v>
      </c>
      <c r="F369" s="32">
        <v>0.97242366240616196</v>
      </c>
      <c r="G369" s="11"/>
      <c r="H369" s="11"/>
      <c r="I369" s="11"/>
      <c r="J369" s="18" t="s">
        <v>44</v>
      </c>
      <c r="K369" s="18" t="s">
        <v>86</v>
      </c>
      <c r="L369" s="58" t="s">
        <v>274</v>
      </c>
      <c r="M369" s="18">
        <f>[1]!f_prt_stocktonav(B369,"2017/03/31")</f>
        <v>87.600364685058594</v>
      </c>
      <c r="N369" s="20" t="str">
        <f>[1]!f_info_fundmanager(B369)</f>
        <v>陈斌</v>
      </c>
      <c r="O369" s="21">
        <v>2.1589041095890411</v>
      </c>
      <c r="P369" s="34" t="s">
        <v>1611</v>
      </c>
      <c r="Q369" s="34" t="s">
        <v>1612</v>
      </c>
      <c r="R369" s="34" t="s">
        <v>143</v>
      </c>
      <c r="S369" s="34">
        <v>20150202</v>
      </c>
      <c r="T369" s="45">
        <v>40.579032036299999</v>
      </c>
      <c r="U369" s="46">
        <v>43.244128632500001</v>
      </c>
      <c r="V369" s="34" t="s">
        <v>231</v>
      </c>
      <c r="W369" s="34" t="s">
        <v>44</v>
      </c>
      <c r="X369" s="34" t="s">
        <v>45</v>
      </c>
      <c r="Y369" s="34" t="s">
        <v>274</v>
      </c>
      <c r="Z369" s="34"/>
      <c r="AA369" s="34"/>
      <c r="AB369" s="22">
        <v>0.86675354003906246</v>
      </c>
      <c r="AC369" s="23" t="s">
        <v>318</v>
      </c>
      <c r="AD369" s="24">
        <v>1.9287671232876713</v>
      </c>
      <c r="AE369" s="25">
        <v>0.17326705391835831</v>
      </c>
      <c r="AF369" s="26">
        <v>0</v>
      </c>
      <c r="AG369" s="26">
        <v>0</v>
      </c>
      <c r="AH369" s="27">
        <v>0.60139074167497919</v>
      </c>
      <c r="AI369" s="27">
        <v>0.60139074167497919</v>
      </c>
      <c r="AJ369" s="27">
        <v>0.60139074167497919</v>
      </c>
      <c r="AK369" s="28" t="s">
        <v>1613</v>
      </c>
      <c r="AL369" s="29" t="s">
        <v>48</v>
      </c>
      <c r="AM369" s="29" t="s">
        <v>48</v>
      </c>
      <c r="AN369" s="29" t="s">
        <v>48</v>
      </c>
      <c r="AO369" s="47" t="s">
        <v>1614</v>
      </c>
      <c r="AP369" s="28">
        <v>0</v>
      </c>
      <c r="AQ369" s="26">
        <v>1.4999999999999999E-2</v>
      </c>
      <c r="AR369" s="26">
        <v>0</v>
      </c>
    </row>
    <row r="370" spans="1:44" x14ac:dyDescent="0.15">
      <c r="A370">
        <v>250</v>
      </c>
      <c r="B370" s="11">
        <v>960</v>
      </c>
      <c r="C370" s="32"/>
      <c r="D370" s="32">
        <v>-2.8785660456737698E-3</v>
      </c>
      <c r="E370" s="32">
        <v>113</v>
      </c>
      <c r="F370" s="32">
        <v>0.10355247294599</v>
      </c>
      <c r="G370" s="11"/>
      <c r="H370" s="11"/>
      <c r="I370" s="11"/>
      <c r="J370" s="18" t="s">
        <v>44</v>
      </c>
      <c r="K370" s="18" t="s">
        <v>45</v>
      </c>
      <c r="L370" s="58" t="s">
        <v>274</v>
      </c>
      <c r="M370" s="18">
        <f>[1]!f_prt_stocktonav(B370,"2017/03/31")</f>
        <v>90.555793762207031</v>
      </c>
      <c r="N370" s="20" t="str">
        <f>[1]!f_info_fundmanager(B370)</f>
        <v>李佳存</v>
      </c>
      <c r="O370" s="21">
        <v>2.1671232876712327</v>
      </c>
      <c r="P370" s="34" t="s">
        <v>1615</v>
      </c>
      <c r="Q370" s="34" t="s">
        <v>1616</v>
      </c>
      <c r="R370" s="34" t="s">
        <v>165</v>
      </c>
      <c r="S370" s="34">
        <v>20150130</v>
      </c>
      <c r="T370" s="45">
        <v>10.830198021199999</v>
      </c>
      <c r="U370" s="46">
        <v>11.476741341</v>
      </c>
      <c r="V370" s="34" t="s">
        <v>231</v>
      </c>
      <c r="W370" s="34" t="s">
        <v>44</v>
      </c>
      <c r="X370" s="34" t="s">
        <v>45</v>
      </c>
      <c r="Y370" s="34" t="s">
        <v>274</v>
      </c>
      <c r="Z370" s="34"/>
      <c r="AA370" s="34"/>
      <c r="AB370" s="22">
        <v>0.9040374755859375</v>
      </c>
      <c r="AC370" s="23" t="s">
        <v>1617</v>
      </c>
      <c r="AD370" s="24">
        <v>1.9369863013698629</v>
      </c>
      <c r="AE370" s="25">
        <v>2.5966027438555361E-3</v>
      </c>
      <c r="AF370" s="26">
        <v>0</v>
      </c>
      <c r="AG370" s="26">
        <v>0</v>
      </c>
      <c r="AH370" s="27">
        <v>0.17736022528100964</v>
      </c>
      <c r="AI370" s="27">
        <v>0.17736022528100964</v>
      </c>
      <c r="AJ370" s="27">
        <v>0.17736022528100964</v>
      </c>
      <c r="AK370" s="28" t="s">
        <v>1618</v>
      </c>
      <c r="AL370" s="29" t="s">
        <v>48</v>
      </c>
      <c r="AM370" s="29" t="s">
        <v>48</v>
      </c>
      <c r="AN370" s="29" t="s">
        <v>48</v>
      </c>
      <c r="AO370" s="47" t="s">
        <v>1619</v>
      </c>
      <c r="AP370" s="28">
        <v>0</v>
      </c>
      <c r="AQ370" s="26">
        <v>1.4999999999999999E-2</v>
      </c>
      <c r="AR370" s="26">
        <v>0</v>
      </c>
    </row>
    <row r="371" spans="1:44" x14ac:dyDescent="0.15">
      <c r="A371">
        <v>350</v>
      </c>
      <c r="B371" s="11">
        <v>1000</v>
      </c>
      <c r="C371" s="32"/>
      <c r="D371" s="32">
        <v>1.2166982731702399E-3</v>
      </c>
      <c r="E371" s="32">
        <v>18</v>
      </c>
      <c r="F371" s="32">
        <v>0.60245110479939301</v>
      </c>
      <c r="G371" s="11"/>
      <c r="H371" s="11"/>
      <c r="I371" s="11"/>
      <c r="J371" s="18" t="s">
        <v>44</v>
      </c>
      <c r="K371" s="18" t="s">
        <v>45</v>
      </c>
      <c r="L371" s="58" t="s">
        <v>65</v>
      </c>
      <c r="M371" s="18">
        <f>[1]!f_prt_stocktonav(B371,"2017/03/31")</f>
        <v>88.541816711425781</v>
      </c>
      <c r="N371" s="20" t="str">
        <f>[1]!f_info_fundmanager(B371)</f>
        <v>周晶</v>
      </c>
      <c r="O371" s="21">
        <v>0.32876712328767121</v>
      </c>
      <c r="P371" s="34" t="s">
        <v>1620</v>
      </c>
      <c r="Q371" s="34" t="s">
        <v>1621</v>
      </c>
      <c r="R371" s="34" t="s">
        <v>200</v>
      </c>
      <c r="S371" s="34">
        <v>20150129</v>
      </c>
      <c r="T371" s="45">
        <v>25.5563180722</v>
      </c>
      <c r="U371" s="46">
        <v>35.869284606299999</v>
      </c>
      <c r="V371" s="34" t="s">
        <v>231</v>
      </c>
      <c r="W371" s="34" t="s">
        <v>44</v>
      </c>
      <c r="X371" s="34" t="s">
        <v>45</v>
      </c>
      <c r="Y371" s="34" t="s">
        <v>65</v>
      </c>
      <c r="Z371" s="34"/>
      <c r="AA371" s="34"/>
      <c r="AB371" s="22">
        <v>0.89010673522949224</v>
      </c>
      <c r="AC371" s="23" t="s">
        <v>339</v>
      </c>
      <c r="AD371" s="24">
        <v>9.8630136986301367E-2</v>
      </c>
      <c r="AE371" s="25">
        <v>-4.2908876786485466E-2</v>
      </c>
      <c r="AF371" s="26">
        <v>0</v>
      </c>
      <c r="AG371" s="26">
        <v>0</v>
      </c>
      <c r="AH371" s="27">
        <v>0.11389873534627358</v>
      </c>
      <c r="AI371" s="27">
        <v>0.11389873534627358</v>
      </c>
      <c r="AJ371" s="27">
        <v>0.11389873534627358</v>
      </c>
      <c r="AK371" s="28" t="s">
        <v>167</v>
      </c>
      <c r="AL371" s="29" t="s">
        <v>48</v>
      </c>
      <c r="AM371" s="29" t="s">
        <v>48</v>
      </c>
      <c r="AN371" s="29" t="s">
        <v>48</v>
      </c>
      <c r="AO371" s="47" t="s">
        <v>1622</v>
      </c>
      <c r="AP371" s="28">
        <v>0</v>
      </c>
      <c r="AQ371" s="26">
        <v>1.4999999999999999E-2</v>
      </c>
      <c r="AR371" s="26">
        <v>0</v>
      </c>
    </row>
    <row r="372" spans="1:44" x14ac:dyDescent="0.15">
      <c r="A372">
        <v>349</v>
      </c>
      <c r="B372" s="11">
        <v>955</v>
      </c>
      <c r="C372" s="32"/>
      <c r="D372" s="32">
        <v>-3.8140797069082799E-3</v>
      </c>
      <c r="E372" s="32">
        <v>114</v>
      </c>
      <c r="F372" s="32">
        <v>8.8371244311787802E-3</v>
      </c>
      <c r="G372" s="11"/>
      <c r="H372" s="11"/>
      <c r="I372" s="11"/>
      <c r="J372" s="18" t="s">
        <v>44</v>
      </c>
      <c r="K372" s="18" t="s">
        <v>45</v>
      </c>
      <c r="L372" s="58" t="s">
        <v>274</v>
      </c>
      <c r="M372" s="18">
        <f>[1]!f_prt_stocktonav(B372,"2017/03/31")</f>
        <v>88.55340576171875</v>
      </c>
      <c r="N372" s="20" t="str">
        <f>[1]!f_info_fundmanager(B372)</f>
        <v>张旭</v>
      </c>
      <c r="O372" s="21">
        <v>2.1753424657534248</v>
      </c>
      <c r="P372" s="34" t="s">
        <v>1623</v>
      </c>
      <c r="Q372" s="34" t="s">
        <v>1624</v>
      </c>
      <c r="R372" s="34" t="s">
        <v>284</v>
      </c>
      <c r="S372" s="34">
        <v>20150127</v>
      </c>
      <c r="T372" s="45">
        <v>23.161413067400002</v>
      </c>
      <c r="U372" s="46">
        <v>29.377264654099999</v>
      </c>
      <c r="V372" s="34" t="s">
        <v>231</v>
      </c>
      <c r="W372" s="34" t="s">
        <v>44</v>
      </c>
      <c r="X372" s="34" t="s">
        <v>45</v>
      </c>
      <c r="Y372" s="34" t="s">
        <v>274</v>
      </c>
      <c r="Z372" s="34"/>
      <c r="AA372" s="34"/>
      <c r="AB372" s="22">
        <v>0.86694000244140623</v>
      </c>
      <c r="AC372" s="23" t="s">
        <v>285</v>
      </c>
      <c r="AD372" s="24">
        <v>1.9452054794520548</v>
      </c>
      <c r="AE372" s="25">
        <v>0.10277917089201161</v>
      </c>
      <c r="AF372" s="26">
        <v>0</v>
      </c>
      <c r="AG372" s="26">
        <v>0</v>
      </c>
      <c r="AH372" s="27">
        <v>0.41625149892062424</v>
      </c>
      <c r="AI372" s="27">
        <v>0.41625149892062424</v>
      </c>
      <c r="AJ372" s="27">
        <v>0.41625149892062424</v>
      </c>
      <c r="AK372" s="28" t="s">
        <v>1459</v>
      </c>
      <c r="AL372" s="29" t="s">
        <v>48</v>
      </c>
      <c r="AM372" s="29" t="s">
        <v>48</v>
      </c>
      <c r="AN372" s="29" t="s">
        <v>48</v>
      </c>
      <c r="AO372" s="47" t="s">
        <v>287</v>
      </c>
      <c r="AP372" s="28">
        <v>0</v>
      </c>
      <c r="AQ372" s="26">
        <v>1.4999999999999999E-2</v>
      </c>
      <c r="AR372" s="26">
        <v>0</v>
      </c>
    </row>
    <row r="373" spans="1:44" x14ac:dyDescent="0.15">
      <c r="A373">
        <v>413</v>
      </c>
      <c r="B373" s="11">
        <v>1008</v>
      </c>
      <c r="C373" s="32"/>
      <c r="D373" s="32">
        <v>-4.7092646066875998E-3</v>
      </c>
      <c r="E373" s="32">
        <v>114</v>
      </c>
      <c r="F373" s="32">
        <v>1.62949658385508E-3</v>
      </c>
      <c r="G373" s="11"/>
      <c r="H373" s="11"/>
      <c r="I373" s="11"/>
      <c r="J373" s="18" t="s">
        <v>44</v>
      </c>
      <c r="K373" s="18" t="s">
        <v>87</v>
      </c>
      <c r="L373" s="58" t="s">
        <v>65</v>
      </c>
      <c r="M373" s="18">
        <f>[1]!f_prt_stocktonav(B373,"2017/03/31")</f>
        <v>87.082832336425781</v>
      </c>
      <c r="N373" s="20" t="str">
        <f>[1]!f_info_fundmanager(B373)</f>
        <v>何肖颉,王君正</v>
      </c>
      <c r="O373" s="21">
        <v>2.1753424657534248</v>
      </c>
      <c r="P373" s="34" t="s">
        <v>1625</v>
      </c>
      <c r="Q373" s="34" t="s">
        <v>1626</v>
      </c>
      <c r="R373" s="34" t="s">
        <v>523</v>
      </c>
      <c r="S373" s="34">
        <v>20150127</v>
      </c>
      <c r="T373" s="45">
        <v>24.335611439299999</v>
      </c>
      <c r="U373" s="46">
        <v>25.1329262004</v>
      </c>
      <c r="V373" s="34" t="s">
        <v>231</v>
      </c>
      <c r="W373" s="34" t="s">
        <v>44</v>
      </c>
      <c r="X373" s="34" t="s">
        <v>87</v>
      </c>
      <c r="Y373" s="34" t="s">
        <v>65</v>
      </c>
      <c r="Z373" s="34" t="s">
        <v>1084</v>
      </c>
      <c r="AA373" s="34"/>
      <c r="AB373" s="22">
        <v>0.90507156372070308</v>
      </c>
      <c r="AC373" s="23" t="s">
        <v>1627</v>
      </c>
      <c r="AD373" s="24">
        <v>1.9452054794520548</v>
      </c>
      <c r="AE373" s="25">
        <v>-6.3490149572451471E-2</v>
      </c>
      <c r="AF373" s="26">
        <v>0</v>
      </c>
      <c r="AG373" s="26">
        <v>0</v>
      </c>
      <c r="AH373" s="27">
        <v>-4.3771860720308531E-2</v>
      </c>
      <c r="AI373" s="27">
        <v>-4.3771860720308531E-2</v>
      </c>
      <c r="AJ373" s="27">
        <v>-4.3771860720308531E-2</v>
      </c>
      <c r="AK373" s="33" t="s">
        <v>1628</v>
      </c>
      <c r="AL373" s="29" t="s">
        <v>48</v>
      </c>
      <c r="AM373" s="29" t="s">
        <v>48</v>
      </c>
      <c r="AN373" s="29" t="s">
        <v>48</v>
      </c>
      <c r="AO373" s="47" t="s">
        <v>255</v>
      </c>
      <c r="AP373" s="28">
        <v>0</v>
      </c>
      <c r="AQ373" s="26">
        <v>1.4999999999999999E-2</v>
      </c>
      <c r="AR373" s="26">
        <v>0</v>
      </c>
    </row>
    <row r="374" spans="1:44" x14ac:dyDescent="0.15">
      <c r="A374">
        <v>359</v>
      </c>
      <c r="B374" s="11">
        <v>971</v>
      </c>
      <c r="C374" s="32"/>
      <c r="D374" s="32">
        <v>-4.1796772106717202E-3</v>
      </c>
      <c r="E374" s="32">
        <v>114</v>
      </c>
      <c r="F374" s="32">
        <v>2.4917158909018699E-2</v>
      </c>
      <c r="G374" s="11"/>
      <c r="H374" s="11"/>
      <c r="I374" s="11"/>
      <c r="J374" s="18" t="s">
        <v>44</v>
      </c>
      <c r="K374" s="18" t="s">
        <v>45</v>
      </c>
      <c r="L374" s="58" t="s">
        <v>274</v>
      </c>
      <c r="M374" s="18">
        <f>[1]!f_prt_stocktonav(B374,"2017/03/31")</f>
        <v>88.312553405761719</v>
      </c>
      <c r="N374" s="20" t="str">
        <f>[1]!f_info_fundmanager(B374)</f>
        <v>史高飞</v>
      </c>
      <c r="O374" s="21">
        <v>2.1780821917808217</v>
      </c>
      <c r="P374" s="34" t="s">
        <v>1629</v>
      </c>
      <c r="Q374" s="34" t="s">
        <v>1630</v>
      </c>
      <c r="R374" s="34" t="s">
        <v>955</v>
      </c>
      <c r="S374" s="34">
        <v>20150126</v>
      </c>
      <c r="T374" s="45">
        <v>6.0177674590999999</v>
      </c>
      <c r="U374" s="46">
        <v>6.9233905224000001</v>
      </c>
      <c r="V374" s="34" t="s">
        <v>231</v>
      </c>
      <c r="W374" s="34" t="s">
        <v>44</v>
      </c>
      <c r="X374" s="34" t="s">
        <v>45</v>
      </c>
      <c r="Y374" s="34" t="s">
        <v>274</v>
      </c>
      <c r="Z374" s="34"/>
      <c r="AA374" s="34"/>
      <c r="AB374" s="22">
        <v>0.84079322814941404</v>
      </c>
      <c r="AC374" s="23" t="s">
        <v>1631</v>
      </c>
      <c r="AD374" s="24">
        <v>1.9479452054794522</v>
      </c>
      <c r="AE374" s="25">
        <v>-1.0344942508471178E-3</v>
      </c>
      <c r="AF374" s="26">
        <v>0</v>
      </c>
      <c r="AG374" s="26">
        <v>0</v>
      </c>
      <c r="AH374" s="27">
        <v>0.22153028271576741</v>
      </c>
      <c r="AI374" s="27">
        <v>0.22153028271576741</v>
      </c>
      <c r="AJ374" s="27">
        <v>0.22153028271576741</v>
      </c>
      <c r="AK374" s="28" t="s">
        <v>276</v>
      </c>
      <c r="AL374" s="29" t="s">
        <v>48</v>
      </c>
      <c r="AM374" s="29" t="s">
        <v>48</v>
      </c>
      <c r="AN374" s="29" t="s">
        <v>48</v>
      </c>
      <c r="AO374" s="47" t="s">
        <v>255</v>
      </c>
      <c r="AP374" s="28">
        <v>0</v>
      </c>
      <c r="AQ374" s="26">
        <v>1.4999999999999999E-2</v>
      </c>
      <c r="AR374" s="26">
        <v>0</v>
      </c>
    </row>
    <row r="375" spans="1:44" x14ac:dyDescent="0.15">
      <c r="A375">
        <v>159</v>
      </c>
      <c r="B375" s="11">
        <v>940</v>
      </c>
      <c r="C375" s="32"/>
      <c r="D375" s="32">
        <v>-2.0596110367831801E-3</v>
      </c>
      <c r="E375" s="32">
        <v>114</v>
      </c>
      <c r="F375" s="32">
        <v>0.321344231022406</v>
      </c>
      <c r="G375" s="11"/>
      <c r="H375" s="11"/>
      <c r="I375" s="11"/>
      <c r="J375" s="18" t="s">
        <v>44</v>
      </c>
      <c r="K375" s="18" t="s">
        <v>45</v>
      </c>
      <c r="L375" s="58" t="s">
        <v>274</v>
      </c>
      <c r="M375" s="18">
        <f>[1]!f_prt_stocktonav(B375,"2017/03/31")</f>
        <v>92.5892333984375</v>
      </c>
      <c r="N375" s="20" t="str">
        <f>[1]!f_info_fundmanager(B375)</f>
        <v>曹晋</v>
      </c>
      <c r="O375" s="21">
        <v>2.1863013698630138</v>
      </c>
      <c r="P375" s="34" t="s">
        <v>1632</v>
      </c>
      <c r="Q375" s="34" t="s">
        <v>1633</v>
      </c>
      <c r="R375" s="34" t="s">
        <v>396</v>
      </c>
      <c r="S375" s="34">
        <v>20150123</v>
      </c>
      <c r="T375" s="45">
        <v>9.8745481780999995</v>
      </c>
      <c r="U375" s="46">
        <v>13.24548555</v>
      </c>
      <c r="V375" s="34" t="s">
        <v>231</v>
      </c>
      <c r="W375" s="34" t="s">
        <v>44</v>
      </c>
      <c r="X375" s="34" t="s">
        <v>45</v>
      </c>
      <c r="Y375" s="34" t="s">
        <v>274</v>
      </c>
      <c r="Z375" s="34"/>
      <c r="AA375" s="34"/>
      <c r="AB375" s="22">
        <v>0.90555633544921876</v>
      </c>
      <c r="AC375" s="23" t="s">
        <v>1634</v>
      </c>
      <c r="AD375" s="24">
        <v>1.9561643835616438</v>
      </c>
      <c r="AE375" s="25">
        <v>4.3881778396288151E-2</v>
      </c>
      <c r="AF375" s="26">
        <v>0</v>
      </c>
      <c r="AG375" s="26">
        <v>0</v>
      </c>
      <c r="AH375" s="27">
        <v>0.27180832411593725</v>
      </c>
      <c r="AI375" s="27">
        <v>0.27180832411593725</v>
      </c>
      <c r="AJ375" s="27">
        <v>0.27180832411593725</v>
      </c>
      <c r="AK375" s="28" t="s">
        <v>1635</v>
      </c>
      <c r="AL375" s="29" t="s">
        <v>48</v>
      </c>
      <c r="AM375" s="29" t="s">
        <v>48</v>
      </c>
      <c r="AN375" s="29" t="s">
        <v>48</v>
      </c>
      <c r="AO375" s="47" t="s">
        <v>1636</v>
      </c>
      <c r="AP375" s="28" t="s">
        <v>608</v>
      </c>
      <c r="AQ375" s="26">
        <v>1.4999999999999999E-2</v>
      </c>
      <c r="AR375" s="26">
        <v>0</v>
      </c>
    </row>
    <row r="376" spans="1:44" x14ac:dyDescent="0.15">
      <c r="A376">
        <v>366</v>
      </c>
      <c r="B376" s="11">
        <v>963</v>
      </c>
      <c r="C376" s="32"/>
      <c r="D376" s="32">
        <v>-5.8829337938351304E-4</v>
      </c>
      <c r="E376" s="32">
        <v>114</v>
      </c>
      <c r="F376" s="32">
        <v>0.61930305284134701</v>
      </c>
      <c r="G376" s="11"/>
      <c r="H376" s="11"/>
      <c r="I376" s="11"/>
      <c r="J376" s="18" t="s">
        <v>44</v>
      </c>
      <c r="K376" s="18" t="s">
        <v>64</v>
      </c>
      <c r="L376" s="58" t="s">
        <v>65</v>
      </c>
      <c r="M376" s="18">
        <f>[1]!f_prt_stocktonav(B376,"2017/03/31")</f>
        <v>88.1585693359375</v>
      </c>
      <c r="N376" s="20" t="str">
        <f>[1]!f_info_fundmanager(B376)</f>
        <v>吴卫东,冯烜</v>
      </c>
      <c r="O376" s="21">
        <v>2.1863013698630138</v>
      </c>
      <c r="P376" s="34" t="s">
        <v>1637</v>
      </c>
      <c r="Q376" s="34" t="s">
        <v>1638</v>
      </c>
      <c r="R376" s="34" t="s">
        <v>430</v>
      </c>
      <c r="S376" s="34">
        <v>20150123</v>
      </c>
      <c r="T376" s="45">
        <v>6.3979600831000001</v>
      </c>
      <c r="U376" s="46">
        <v>6.8620138400000004</v>
      </c>
      <c r="V376" s="34" t="s">
        <v>231</v>
      </c>
      <c r="W376" s="34" t="s">
        <v>44</v>
      </c>
      <c r="X376" s="17" t="s">
        <v>45</v>
      </c>
      <c r="Y376" s="17" t="s">
        <v>274</v>
      </c>
      <c r="Z376" s="34"/>
      <c r="AA376" s="34"/>
      <c r="AB376" s="22">
        <v>0.93261550903320312</v>
      </c>
      <c r="AC376" s="23" t="s">
        <v>1639</v>
      </c>
      <c r="AD376" s="24">
        <v>1.9561643835616438</v>
      </c>
      <c r="AE376" s="25">
        <v>0.14416084277963104</v>
      </c>
      <c r="AF376" s="26">
        <v>0</v>
      </c>
      <c r="AG376" s="26">
        <v>0</v>
      </c>
      <c r="AH376" s="27">
        <v>0.56622596038485085</v>
      </c>
      <c r="AI376" s="27">
        <v>0.56622596038485085</v>
      </c>
      <c r="AJ376" s="27">
        <v>0.56622596038485085</v>
      </c>
      <c r="AK376" s="28" t="s">
        <v>1640</v>
      </c>
      <c r="AL376" s="29" t="s">
        <v>48</v>
      </c>
      <c r="AM376" s="29" t="s">
        <v>48</v>
      </c>
      <c r="AN376" s="29" t="s">
        <v>48</v>
      </c>
      <c r="AO376" s="47" t="s">
        <v>417</v>
      </c>
      <c r="AP376" s="28">
        <v>0</v>
      </c>
      <c r="AQ376" s="26">
        <v>1.4999999999999999E-2</v>
      </c>
      <c r="AR376" s="26">
        <v>0</v>
      </c>
    </row>
    <row r="377" spans="1:44" x14ac:dyDescent="0.15">
      <c r="A377">
        <v>309</v>
      </c>
      <c r="B377" s="11">
        <v>867</v>
      </c>
      <c r="C377" s="32"/>
      <c r="D377" s="32">
        <v>-2.8074084186242602E-3</v>
      </c>
      <c r="E377" s="32">
        <v>114</v>
      </c>
      <c r="F377" s="32">
        <v>9.6160284123428794E-2</v>
      </c>
      <c r="G377" s="11"/>
      <c r="H377" s="11"/>
      <c r="I377" s="11"/>
      <c r="J377" s="18" t="s">
        <v>44</v>
      </c>
      <c r="K377" s="18" t="s">
        <v>45</v>
      </c>
      <c r="L377" s="58" t="s">
        <v>65</v>
      </c>
      <c r="M377" s="18">
        <f>[1]!f_prt_stocktonav(B377,"2017/03/31")</f>
        <v>89.298789978027344</v>
      </c>
      <c r="N377" s="20" t="str">
        <f>[1]!f_info_fundmanager(B377)</f>
        <v>光磊,胡戈游</v>
      </c>
      <c r="O377" s="21">
        <v>2.1917808219178081</v>
      </c>
      <c r="P377" s="34" t="s">
        <v>1641</v>
      </c>
      <c r="Q377" s="34" t="s">
        <v>1642</v>
      </c>
      <c r="R377" s="34" t="s">
        <v>737</v>
      </c>
      <c r="S377" s="34">
        <v>20150121</v>
      </c>
      <c r="T377" s="45">
        <v>2.2869891427</v>
      </c>
      <c r="U377" s="46">
        <v>2.5049523153000002</v>
      </c>
      <c r="V377" s="34" t="s">
        <v>231</v>
      </c>
      <c r="W377" s="34" t="s">
        <v>44</v>
      </c>
      <c r="X377" s="34" t="s">
        <v>45</v>
      </c>
      <c r="Y377" s="34" t="s">
        <v>274</v>
      </c>
      <c r="Z377" s="34"/>
      <c r="AA377" s="34"/>
      <c r="AB377" s="22">
        <v>0.85269836425781254</v>
      </c>
      <c r="AC377" s="23" t="s">
        <v>1643</v>
      </c>
      <c r="AD377" s="24">
        <v>1.9616438356164383</v>
      </c>
      <c r="AE377" s="25">
        <v>-9.7157090765982237E-2</v>
      </c>
      <c r="AF377" s="26">
        <v>0</v>
      </c>
      <c r="AG377" s="26">
        <v>0</v>
      </c>
      <c r="AH377" s="27">
        <v>-0.18028970794738627</v>
      </c>
      <c r="AI377" s="27">
        <v>-0.18028970794738627</v>
      </c>
      <c r="AJ377" s="27">
        <v>-0.18028970794738627</v>
      </c>
      <c r="AK377" s="28" t="s">
        <v>1459</v>
      </c>
      <c r="AL377" s="29" t="s">
        <v>48</v>
      </c>
      <c r="AM377" s="29" t="s">
        <v>48</v>
      </c>
      <c r="AN377" s="29" t="s">
        <v>48</v>
      </c>
      <c r="AO377" s="47" t="s">
        <v>739</v>
      </c>
      <c r="AP377" s="28">
        <v>0</v>
      </c>
      <c r="AQ377" s="26">
        <v>1.4999999999999999E-2</v>
      </c>
      <c r="AR377" s="26">
        <v>0</v>
      </c>
    </row>
    <row r="378" spans="1:44" x14ac:dyDescent="0.15">
      <c r="A378">
        <v>454</v>
      </c>
      <c r="B378" s="11">
        <v>970</v>
      </c>
      <c r="C378" s="32"/>
      <c r="D378" s="32">
        <v>4.7728425881246499E-3</v>
      </c>
      <c r="E378" s="32">
        <v>114</v>
      </c>
      <c r="F378" s="32">
        <v>4.2771812473238301E-4</v>
      </c>
      <c r="G378" s="11"/>
      <c r="H378" s="11"/>
      <c r="I378" s="11"/>
      <c r="J378" s="18" t="s">
        <v>44</v>
      </c>
      <c r="K378" s="18" t="s">
        <v>45</v>
      </c>
      <c r="L378" s="58" t="s">
        <v>65</v>
      </c>
      <c r="M378" s="18">
        <f>[1]!f_prt_stocktonav(B378,"2017/03/31")</f>
        <v>86.168045043945313</v>
      </c>
      <c r="N378" s="20" t="str">
        <f>[1]!f_info_fundmanager(B378)</f>
        <v>林鹏,韩冬</v>
      </c>
      <c r="O378" s="21">
        <v>2.1863013698630138</v>
      </c>
      <c r="P378" s="34" t="s">
        <v>1644</v>
      </c>
      <c r="Q378" s="34" t="s">
        <v>1645</v>
      </c>
      <c r="R378" s="34" t="s">
        <v>313</v>
      </c>
      <c r="S378" s="34">
        <v>20150121</v>
      </c>
      <c r="T378" s="45">
        <v>10.2988885408</v>
      </c>
      <c r="U378" s="46">
        <v>9.9980012062999997</v>
      </c>
      <c r="V378" s="34" t="s">
        <v>231</v>
      </c>
      <c r="W378" s="34" t="s">
        <v>44</v>
      </c>
      <c r="X378" s="17" t="s">
        <v>45</v>
      </c>
      <c r="Y378" s="17" t="s">
        <v>65</v>
      </c>
      <c r="Z378" s="34"/>
      <c r="AA378" s="34"/>
      <c r="AB378" s="22">
        <v>0.87702301025390628</v>
      </c>
      <c r="AC378" s="23" t="s">
        <v>1646</v>
      </c>
      <c r="AD378" s="24">
        <v>1.9561643835616438</v>
      </c>
      <c r="AE378" s="25">
        <v>0.24523176875777075</v>
      </c>
      <c r="AF378" s="26">
        <v>0</v>
      </c>
      <c r="AG378" s="26">
        <v>0</v>
      </c>
      <c r="AH378" s="27">
        <v>1.084897330295177</v>
      </c>
      <c r="AI378" s="27">
        <v>1.084897330295177</v>
      </c>
      <c r="AJ378" s="27">
        <v>1.084897330295177</v>
      </c>
      <c r="AK378" s="28" t="s">
        <v>1647</v>
      </c>
      <c r="AL378" s="29" t="s">
        <v>48</v>
      </c>
      <c r="AM378" s="29" t="s">
        <v>48</v>
      </c>
      <c r="AN378" s="29" t="s">
        <v>48</v>
      </c>
      <c r="AO378" s="47" t="s">
        <v>1648</v>
      </c>
      <c r="AP378" s="28">
        <v>0</v>
      </c>
      <c r="AQ378" s="26">
        <v>0.01</v>
      </c>
      <c r="AR378" s="26">
        <v>0</v>
      </c>
    </row>
    <row r="379" spans="1:44" x14ac:dyDescent="0.15">
      <c r="A379">
        <v>386</v>
      </c>
      <c r="B379" s="11">
        <v>169102</v>
      </c>
      <c r="C379" s="32"/>
      <c r="D379" s="32">
        <v>4.3970777518670002E-3</v>
      </c>
      <c r="E379" s="32">
        <v>115</v>
      </c>
      <c r="F379" s="32">
        <v>6.0671386964599296E-4</v>
      </c>
      <c r="G379" s="11"/>
      <c r="H379" s="11"/>
      <c r="I379" s="11"/>
      <c r="J379" s="18" t="s">
        <v>44</v>
      </c>
      <c r="K379" s="18" t="s">
        <v>45</v>
      </c>
      <c r="L379" s="58" t="s">
        <v>65</v>
      </c>
      <c r="M379" s="18">
        <f>[1]!f_prt_stocktonav(B379,"2017/03/31")</f>
        <v>87.793792724609375</v>
      </c>
      <c r="N379" s="20" t="str">
        <f>[1]!f_info_fundmanager(B379)</f>
        <v>林鹏,王延飞,秦绪文</v>
      </c>
      <c r="O379" s="21">
        <v>2.1972602739726028</v>
      </c>
      <c r="P379" s="34" t="s">
        <v>1649</v>
      </c>
      <c r="Q379" s="34" t="s">
        <v>1650</v>
      </c>
      <c r="R379" s="34" t="s">
        <v>313</v>
      </c>
      <c r="S379" s="34">
        <v>20150119</v>
      </c>
      <c r="T379" s="45">
        <v>6.3468032662000002</v>
      </c>
      <c r="U379" s="46">
        <v>6.1443722693999998</v>
      </c>
      <c r="V379" s="34" t="s">
        <v>231</v>
      </c>
      <c r="W379" s="34" t="s">
        <v>44</v>
      </c>
      <c r="X379" s="17" t="s">
        <v>45</v>
      </c>
      <c r="Y379" s="17" t="s">
        <v>65</v>
      </c>
      <c r="Z379" s="34"/>
      <c r="AA379" s="34"/>
      <c r="AB379" s="22">
        <v>0.86488075256347652</v>
      </c>
      <c r="AC379" s="23" t="s">
        <v>1651</v>
      </c>
      <c r="AD379" s="24">
        <v>1.9671232876712328</v>
      </c>
      <c r="AE379" s="25">
        <v>0.25015359284004157</v>
      </c>
      <c r="AF379" s="26">
        <v>0</v>
      </c>
      <c r="AG379" s="26">
        <v>0</v>
      </c>
      <c r="AH379" s="27">
        <v>1.0790944663036959</v>
      </c>
      <c r="AI379" s="27">
        <v>1.0790944663036959</v>
      </c>
      <c r="AJ379" s="27">
        <v>1.0790944663036959</v>
      </c>
      <c r="AK379" s="28" t="s">
        <v>1647</v>
      </c>
      <c r="AL379" s="29" t="s">
        <v>48</v>
      </c>
      <c r="AM379" s="29" t="s">
        <v>48</v>
      </c>
      <c r="AN379" s="29" t="s">
        <v>48</v>
      </c>
      <c r="AO379" s="47">
        <v>0</v>
      </c>
      <c r="AP379" s="28">
        <v>0</v>
      </c>
      <c r="AQ379" s="26">
        <v>1.4999999999999999E-2</v>
      </c>
      <c r="AR379" s="26">
        <v>0</v>
      </c>
    </row>
    <row r="380" spans="1:44" x14ac:dyDescent="0.15">
      <c r="A380">
        <v>258</v>
      </c>
      <c r="B380" s="11">
        <v>717</v>
      </c>
      <c r="C380" s="32"/>
      <c r="D380" s="32">
        <v>-1.31606775727786E-3</v>
      </c>
      <c r="E380" s="32">
        <v>115</v>
      </c>
      <c r="F380" s="32">
        <v>0.43875878975180499</v>
      </c>
      <c r="G380" s="11"/>
      <c r="H380" s="11"/>
      <c r="I380" s="11"/>
      <c r="J380" s="18" t="s">
        <v>44</v>
      </c>
      <c r="K380" s="18" t="s">
        <v>45</v>
      </c>
      <c r="L380" s="58" t="s">
        <v>65</v>
      </c>
      <c r="M380" s="18">
        <f>[1]!f_prt_stocktonav(B380,"2017/03/31")</f>
        <v>90.310234069824219</v>
      </c>
      <c r="N380" s="20" t="str">
        <f>[1]!f_info_fundmanager(B380)</f>
        <v>张延闽</v>
      </c>
      <c r="O380" s="21">
        <v>2.2054794520547945</v>
      </c>
      <c r="P380" s="34" t="s">
        <v>1652</v>
      </c>
      <c r="Q380" s="34" t="s">
        <v>1653</v>
      </c>
      <c r="R380" s="34" t="s">
        <v>230</v>
      </c>
      <c r="S380" s="34">
        <v>20150116</v>
      </c>
      <c r="T380" s="45">
        <v>1.1265749761999999</v>
      </c>
      <c r="U380" s="46">
        <v>1.2073030123999999</v>
      </c>
      <c r="V380" s="34" t="s">
        <v>231</v>
      </c>
      <c r="W380" s="34" t="s">
        <v>44</v>
      </c>
      <c r="X380" s="17" t="s">
        <v>45</v>
      </c>
      <c r="Y380" s="17" t="s">
        <v>65</v>
      </c>
      <c r="Z380" s="34"/>
      <c r="AA380" s="34"/>
      <c r="AB380" s="22">
        <v>0.88892967224121089</v>
      </c>
      <c r="AC380" s="23" t="s">
        <v>299</v>
      </c>
      <c r="AD380" s="24">
        <v>1.9753424657534246</v>
      </c>
      <c r="AE380" s="25">
        <v>5.8026097297885659E-2</v>
      </c>
      <c r="AF380" s="26">
        <v>0</v>
      </c>
      <c r="AG380" s="26">
        <v>0</v>
      </c>
      <c r="AH380" s="27">
        <v>0.29309419370476181</v>
      </c>
      <c r="AI380" s="27">
        <v>0.29309419370476181</v>
      </c>
      <c r="AJ380" s="27">
        <v>0.29309419370476181</v>
      </c>
      <c r="AK380" s="28" t="s">
        <v>1428</v>
      </c>
      <c r="AL380" s="29" t="s">
        <v>48</v>
      </c>
      <c r="AM380" s="29" t="s">
        <v>48</v>
      </c>
      <c r="AN380" s="29" t="s">
        <v>48</v>
      </c>
      <c r="AO380" s="47" t="s">
        <v>1654</v>
      </c>
      <c r="AP380" s="28" t="s">
        <v>235</v>
      </c>
      <c r="AQ380" s="26">
        <v>1.4999999999999999E-2</v>
      </c>
      <c r="AR380" s="26">
        <v>0</v>
      </c>
    </row>
    <row r="381" spans="1:44" x14ac:dyDescent="0.15">
      <c r="A381">
        <v>261</v>
      </c>
      <c r="B381" s="11">
        <v>916</v>
      </c>
      <c r="C381" s="32"/>
      <c r="D381" s="32">
        <v>2.33317492775053E-3</v>
      </c>
      <c r="E381" s="32">
        <v>116</v>
      </c>
      <c r="F381" s="32">
        <v>4.7518687401176901E-2</v>
      </c>
      <c r="G381" s="11"/>
      <c r="H381" s="11"/>
      <c r="I381" s="11"/>
      <c r="J381" s="18" t="s">
        <v>44</v>
      </c>
      <c r="K381" s="18" t="s">
        <v>45</v>
      </c>
      <c r="L381" s="58" t="s">
        <v>354</v>
      </c>
      <c r="M381" s="18">
        <f>[1]!f_prt_stocktonav(B381,"2017/03/31")</f>
        <v>90.206214904785156</v>
      </c>
      <c r="N381" s="20" t="str">
        <f>[1]!f_info_fundmanager(B381)</f>
        <v>邱杰</v>
      </c>
      <c r="O381" s="21">
        <v>2.2136986301369861</v>
      </c>
      <c r="P381" s="34" t="s">
        <v>1655</v>
      </c>
      <c r="Q381" s="34" t="s">
        <v>1656</v>
      </c>
      <c r="R381" s="34" t="s">
        <v>78</v>
      </c>
      <c r="S381" s="34">
        <v>20150113</v>
      </c>
      <c r="T381" s="45">
        <v>19.994603114099998</v>
      </c>
      <c r="U381" s="46">
        <v>19.952763818299999</v>
      </c>
      <c r="V381" s="34" t="s">
        <v>201</v>
      </c>
      <c r="W381" s="34" t="s">
        <v>44</v>
      </c>
      <c r="X381" s="34" t="s">
        <v>45</v>
      </c>
      <c r="Y381" s="34" t="s">
        <v>354</v>
      </c>
      <c r="Z381" s="34"/>
      <c r="AA381" s="34"/>
      <c r="AB381" s="22">
        <v>0.93199760437011714</v>
      </c>
      <c r="AC381" s="23" t="s">
        <v>1155</v>
      </c>
      <c r="AD381" s="24">
        <v>1.9835616438356165</v>
      </c>
      <c r="AE381" s="25">
        <v>0.14053409488639845</v>
      </c>
      <c r="AF381" s="26">
        <v>0</v>
      </c>
      <c r="AG381" s="26">
        <v>0</v>
      </c>
      <c r="AH381" s="27">
        <v>0.61941242626101234</v>
      </c>
      <c r="AI381" s="27">
        <v>0.61941242626101234</v>
      </c>
      <c r="AJ381" s="27">
        <v>0.61941242626101234</v>
      </c>
      <c r="AK381" s="28" t="s">
        <v>823</v>
      </c>
      <c r="AL381" s="29" t="s">
        <v>48</v>
      </c>
      <c r="AM381" s="29" t="s">
        <v>48</v>
      </c>
      <c r="AN381" s="29" t="s">
        <v>48</v>
      </c>
      <c r="AO381" s="47" t="s">
        <v>270</v>
      </c>
      <c r="AP381" s="28">
        <v>0</v>
      </c>
      <c r="AQ381" s="26">
        <v>1.4999999999999999E-2</v>
      </c>
      <c r="AR381" s="26">
        <v>0</v>
      </c>
    </row>
    <row r="382" spans="1:44" x14ac:dyDescent="0.15">
      <c r="A382">
        <v>206</v>
      </c>
      <c r="B382" s="11">
        <v>935</v>
      </c>
      <c r="C382" s="32"/>
      <c r="D382" s="32">
        <v>-1.8753018964746499E-3</v>
      </c>
      <c r="E382" s="32">
        <v>55</v>
      </c>
      <c r="F382" s="32">
        <v>0.16024436954996901</v>
      </c>
      <c r="G382" s="11"/>
      <c r="H382" s="11"/>
      <c r="I382" s="11"/>
      <c r="J382" s="18" t="s">
        <v>44</v>
      </c>
      <c r="K382" s="18" t="s">
        <v>45</v>
      </c>
      <c r="L382" s="58" t="s">
        <v>274</v>
      </c>
      <c r="M382" s="18">
        <f>[1]!f_prt_stocktonav(B382,"2017/03/31")</f>
        <v>91.6627197265625</v>
      </c>
      <c r="N382" s="20" t="str">
        <f>[1]!f_info_fundmanager(B382)</f>
        <v>赵语涛</v>
      </c>
      <c r="O382" s="21">
        <v>1.0575342465753426</v>
      </c>
      <c r="P382" s="34" t="s">
        <v>1657</v>
      </c>
      <c r="Q382" s="34" t="s">
        <v>1658</v>
      </c>
      <c r="R382" s="34" t="s">
        <v>682</v>
      </c>
      <c r="S382" s="34">
        <v>20141230</v>
      </c>
      <c r="T382" s="45">
        <v>1.7586789022</v>
      </c>
      <c r="U382" s="46">
        <v>2.0499214791</v>
      </c>
      <c r="V382" s="34" t="s">
        <v>231</v>
      </c>
      <c r="W382" s="34" t="s">
        <v>44</v>
      </c>
      <c r="X382" s="34" t="s">
        <v>45</v>
      </c>
      <c r="Y382" s="34" t="s">
        <v>65</v>
      </c>
      <c r="Z382" s="34"/>
      <c r="AA382" s="34"/>
      <c r="AB382" s="22">
        <v>0.91100822448730467</v>
      </c>
      <c r="AC382" s="23" t="s">
        <v>683</v>
      </c>
      <c r="AD382" s="24">
        <v>0.82739726027397265</v>
      </c>
      <c r="AE382" s="25">
        <v>-0.13445007063481462</v>
      </c>
      <c r="AF382" s="26">
        <v>0</v>
      </c>
      <c r="AG382" s="26">
        <v>0</v>
      </c>
      <c r="AH382" s="27">
        <v>-0.25540631447607215</v>
      </c>
      <c r="AI382" s="27">
        <v>-0.25540631447607215</v>
      </c>
      <c r="AJ382" s="27">
        <v>-0.25540631447607215</v>
      </c>
      <c r="AK382" s="28" t="s">
        <v>1659</v>
      </c>
      <c r="AL382" s="29" t="s">
        <v>48</v>
      </c>
      <c r="AM382" s="29" t="s">
        <v>48</v>
      </c>
      <c r="AN382" s="29" t="s">
        <v>48</v>
      </c>
      <c r="AO382" s="47" t="s">
        <v>367</v>
      </c>
      <c r="AP382" s="28">
        <v>0</v>
      </c>
      <c r="AQ382" s="26">
        <v>1.4999999999999999E-2</v>
      </c>
      <c r="AR382" s="26">
        <v>0</v>
      </c>
    </row>
    <row r="383" spans="1:44" x14ac:dyDescent="0.15">
      <c r="A383">
        <v>546</v>
      </c>
      <c r="B383" s="11">
        <v>160919</v>
      </c>
      <c r="C383" s="32"/>
      <c r="D383" s="32">
        <v>-1.9371282427988999E-3</v>
      </c>
      <c r="E383" s="32">
        <v>91</v>
      </c>
      <c r="F383" s="32">
        <v>0.216078422410062</v>
      </c>
      <c r="G383" s="11"/>
      <c r="H383" s="11"/>
      <c r="I383" s="11"/>
      <c r="J383" s="18" t="s">
        <v>44</v>
      </c>
      <c r="K383" s="18" t="s">
        <v>45</v>
      </c>
      <c r="L383" s="58" t="s">
        <v>274</v>
      </c>
      <c r="M383" s="18">
        <f>[1]!f_prt_stocktonav(B383,"2017/03/31")</f>
        <v>84.096504211425781</v>
      </c>
      <c r="N383" s="20" t="str">
        <f>[1]!f_info_fundmanager(B383)</f>
        <v>李林益</v>
      </c>
      <c r="O383" s="21">
        <v>1.7342465753424658</v>
      </c>
      <c r="P383" s="34" t="s">
        <v>1660</v>
      </c>
      <c r="Q383" s="34" t="s">
        <v>1661</v>
      </c>
      <c r="R383" s="34" t="s">
        <v>486</v>
      </c>
      <c r="S383" s="34">
        <v>20141226</v>
      </c>
      <c r="T383" s="45">
        <v>3.2433902810999999</v>
      </c>
      <c r="U383" s="46">
        <v>3.8589567182</v>
      </c>
      <c r="V383" s="34" t="s">
        <v>231</v>
      </c>
      <c r="W383" s="34" t="s">
        <v>44</v>
      </c>
      <c r="X383" s="34" t="s">
        <v>45</v>
      </c>
      <c r="Y383" s="34" t="s">
        <v>274</v>
      </c>
      <c r="Z383" s="34"/>
      <c r="AA383" s="34"/>
      <c r="AB383" s="22">
        <v>0.86752502441406254</v>
      </c>
      <c r="AC383" s="23" t="s">
        <v>1662</v>
      </c>
      <c r="AD383" s="24">
        <v>1.5041095890410958</v>
      </c>
      <c r="AE383" s="25">
        <v>2.2166937949279486E-2</v>
      </c>
      <c r="AF383" s="26">
        <v>0</v>
      </c>
      <c r="AG383" s="26">
        <v>0</v>
      </c>
      <c r="AH383" s="27">
        <v>0.22399814803145821</v>
      </c>
      <c r="AI383" s="27">
        <v>0.22399814803145821</v>
      </c>
      <c r="AJ383" s="27">
        <v>0.22399814803145821</v>
      </c>
      <c r="AK383" s="28" t="s">
        <v>208</v>
      </c>
      <c r="AL383" s="29">
        <v>1</v>
      </c>
      <c r="AM383" s="29">
        <v>3</v>
      </c>
      <c r="AN383" s="29" t="s">
        <v>48</v>
      </c>
      <c r="AO383" s="47" t="s">
        <v>1604</v>
      </c>
      <c r="AP383" s="28">
        <v>0</v>
      </c>
      <c r="AQ383" s="26">
        <v>1.4999999999999999E-2</v>
      </c>
      <c r="AR383" s="26">
        <v>0</v>
      </c>
    </row>
    <row r="384" spans="1:44" x14ac:dyDescent="0.15">
      <c r="A384">
        <v>166</v>
      </c>
      <c r="B384" s="11">
        <v>727</v>
      </c>
      <c r="C384" s="32"/>
      <c r="D384" s="32">
        <v>-1.5214868762217199E-4</v>
      </c>
      <c r="E384" s="32">
        <v>31</v>
      </c>
      <c r="F384" s="32">
        <v>0.925677115339686</v>
      </c>
      <c r="G384" s="11"/>
      <c r="H384" s="11"/>
      <c r="I384" s="11"/>
      <c r="J384" s="18" t="s">
        <v>44</v>
      </c>
      <c r="K384" s="18" t="s">
        <v>45</v>
      </c>
      <c r="L384" s="58" t="s">
        <v>274</v>
      </c>
      <c r="M384" s="18">
        <f>[1]!f_prt_stocktonav(B384,"2017/03/31")</f>
        <v>92.442085266113281</v>
      </c>
      <c r="N384" s="20" t="str">
        <f>[1]!f_info_fundmanager(B384)</f>
        <v>万民远</v>
      </c>
      <c r="O384" s="21">
        <v>0.59452054794520548</v>
      </c>
      <c r="P384" s="34" t="s">
        <v>1663</v>
      </c>
      <c r="Q384" s="34" t="s">
        <v>1664</v>
      </c>
      <c r="R384" s="34" t="s">
        <v>230</v>
      </c>
      <c r="S384" s="34">
        <v>20141225</v>
      </c>
      <c r="T384" s="45">
        <v>1.5112571602</v>
      </c>
      <c r="U384" s="46">
        <v>1.5745168534</v>
      </c>
      <c r="V384" s="34" t="s">
        <v>231</v>
      </c>
      <c r="W384" s="34" t="s">
        <v>44</v>
      </c>
      <c r="X384" s="34" t="s">
        <v>45</v>
      </c>
      <c r="Y384" s="34" t="s">
        <v>65</v>
      </c>
      <c r="Z384" s="34"/>
      <c r="AA384" s="34"/>
      <c r="AB384" s="22">
        <v>0.94565498352050781</v>
      </c>
      <c r="AC384" s="23" t="s">
        <v>1665</v>
      </c>
      <c r="AD384" s="24">
        <v>0.36438356164383562</v>
      </c>
      <c r="AE384" s="25">
        <v>6.0914847942098005E-2</v>
      </c>
      <c r="AF384" s="26">
        <v>0</v>
      </c>
      <c r="AG384" s="26">
        <v>0</v>
      </c>
      <c r="AH384" s="27">
        <v>0.316948005409252</v>
      </c>
      <c r="AI384" s="27">
        <v>0.316948005409252</v>
      </c>
      <c r="AJ384" s="27">
        <v>0.316948005409252</v>
      </c>
      <c r="AK384" s="28" t="s">
        <v>1666</v>
      </c>
      <c r="AL384" s="29" t="s">
        <v>48</v>
      </c>
      <c r="AM384" s="29" t="s">
        <v>48</v>
      </c>
      <c r="AN384" s="29" t="s">
        <v>48</v>
      </c>
      <c r="AO384" s="47" t="s">
        <v>1667</v>
      </c>
      <c r="AP384" s="28" t="s">
        <v>235</v>
      </c>
      <c r="AQ384" s="26">
        <v>1.4999999999999999E-2</v>
      </c>
      <c r="AR384" s="26">
        <v>0</v>
      </c>
    </row>
    <row r="385" spans="1:44" x14ac:dyDescent="0.15">
      <c r="A385">
        <v>28</v>
      </c>
      <c r="B385" s="11">
        <v>886</v>
      </c>
      <c r="C385" s="32"/>
      <c r="D385" s="32">
        <v>-7.6200667685459699E-3</v>
      </c>
      <c r="E385" s="32">
        <v>118</v>
      </c>
      <c r="F385" s="32">
        <v>3.2859990465958799E-3</v>
      </c>
      <c r="G385" s="11"/>
      <c r="H385" s="11"/>
      <c r="I385" s="11"/>
      <c r="J385" s="18" t="s">
        <v>44</v>
      </c>
      <c r="K385" s="18" t="s">
        <v>87</v>
      </c>
      <c r="L385" s="58" t="s">
        <v>274</v>
      </c>
      <c r="M385" s="18">
        <f>[1]!f_prt_stocktonav(B385,"2017/03/31")</f>
        <v>94.640243530273438</v>
      </c>
      <c r="N385" s="20" t="str">
        <f>[1]!f_info_fundmanager(B385)</f>
        <v>高峰,陈乐华</v>
      </c>
      <c r="O385" s="21">
        <v>2.2684931506849315</v>
      </c>
      <c r="P385" s="34" t="s">
        <v>1668</v>
      </c>
      <c r="Q385" s="34" t="s">
        <v>1669</v>
      </c>
      <c r="R385" s="34" t="s">
        <v>711</v>
      </c>
      <c r="S385" s="34">
        <v>20141224</v>
      </c>
      <c r="T385" s="45">
        <v>0.50845241939999997</v>
      </c>
      <c r="U385" s="46">
        <v>0.61132445660000001</v>
      </c>
      <c r="V385" s="34" t="s">
        <v>231</v>
      </c>
      <c r="W385" s="34" t="s">
        <v>44</v>
      </c>
      <c r="X385" s="34" t="s">
        <v>87</v>
      </c>
      <c r="Y385" s="34" t="s">
        <v>274</v>
      </c>
      <c r="Z385" s="34" t="s">
        <v>1670</v>
      </c>
      <c r="AA385" s="34"/>
      <c r="AB385" s="22">
        <v>0.81919937133789067</v>
      </c>
      <c r="AC385" s="23" t="s">
        <v>1671</v>
      </c>
      <c r="AD385" s="24">
        <v>2.0383561643835617</v>
      </c>
      <c r="AE385" s="25">
        <v>-6.7954063857922797E-2</v>
      </c>
      <c r="AF385" s="26">
        <v>0</v>
      </c>
      <c r="AG385" s="26">
        <v>0</v>
      </c>
      <c r="AH385" s="27">
        <v>-3.9904936559278958E-2</v>
      </c>
      <c r="AI385" s="27">
        <v>-3.9904936559278958E-2</v>
      </c>
      <c r="AJ385" s="27">
        <v>-3.9904936559278958E-2</v>
      </c>
      <c r="AK385" s="33" t="s">
        <v>714</v>
      </c>
      <c r="AL385" s="29" t="s">
        <v>48</v>
      </c>
      <c r="AM385" s="29" t="s">
        <v>48</v>
      </c>
      <c r="AN385" s="29" t="s">
        <v>48</v>
      </c>
      <c r="AO385" s="47" t="s">
        <v>715</v>
      </c>
      <c r="AP385" s="28">
        <v>0</v>
      </c>
      <c r="AQ385" s="26">
        <v>1.4999999999999999E-2</v>
      </c>
      <c r="AR385" s="26">
        <v>0</v>
      </c>
    </row>
    <row r="386" spans="1:44" x14ac:dyDescent="0.15">
      <c r="A386">
        <v>409</v>
      </c>
      <c r="B386" s="11">
        <v>939</v>
      </c>
      <c r="C386" s="32"/>
      <c r="D386" s="32">
        <v>3.5964508663220799E-4</v>
      </c>
      <c r="E386" s="32">
        <v>22</v>
      </c>
      <c r="F386" s="32">
        <v>0.75901060543270105</v>
      </c>
      <c r="G386" s="11"/>
      <c r="H386" s="11"/>
      <c r="I386" s="11"/>
      <c r="J386" s="18" t="s">
        <v>44</v>
      </c>
      <c r="K386" s="18" t="s">
        <v>45</v>
      </c>
      <c r="L386" s="58" t="s">
        <v>274</v>
      </c>
      <c r="M386" s="18">
        <f>[1]!f_prt_stocktonav(B386,"2017/03/31")</f>
        <v>87.159805297851563</v>
      </c>
      <c r="N386" s="20" t="str">
        <f>[1]!f_info_fundmanager(B386)</f>
        <v>赵志华</v>
      </c>
      <c r="O386" s="21">
        <v>0.40821917808219177</v>
      </c>
      <c r="P386" s="34" t="s">
        <v>1672</v>
      </c>
      <c r="Q386" s="34" t="s">
        <v>1673</v>
      </c>
      <c r="R386" s="34" t="s">
        <v>71</v>
      </c>
      <c r="S386" s="34">
        <v>20141223</v>
      </c>
      <c r="T386" s="45">
        <v>3.7308540525999998</v>
      </c>
      <c r="U386" s="46">
        <v>3.6067007051000002</v>
      </c>
      <c r="V386" s="34" t="s">
        <v>231</v>
      </c>
      <c r="W386" s="34" t="s">
        <v>44</v>
      </c>
      <c r="X386" s="34" t="s">
        <v>45</v>
      </c>
      <c r="Y386" s="34" t="s">
        <v>65</v>
      </c>
      <c r="Z386" s="34"/>
      <c r="AA386" s="34"/>
      <c r="AB386" s="22">
        <v>0.83829734802246092</v>
      </c>
      <c r="AC386" s="23" t="s">
        <v>73</v>
      </c>
      <c r="AD386" s="24">
        <v>0.17808219178082191</v>
      </c>
      <c r="AE386" s="25">
        <v>-6.8904126010980171E-3</v>
      </c>
      <c r="AF386" s="26">
        <v>0</v>
      </c>
      <c r="AG386" s="26">
        <v>0</v>
      </c>
      <c r="AH386" s="27">
        <v>0.11841104428422497</v>
      </c>
      <c r="AI386" s="27">
        <v>0.11841104428422497</v>
      </c>
      <c r="AJ386" s="27">
        <v>0.11841104428422497</v>
      </c>
      <c r="AK386" s="28" t="s">
        <v>409</v>
      </c>
      <c r="AL386" s="29" t="s">
        <v>48</v>
      </c>
      <c r="AM386" s="29" t="s">
        <v>48</v>
      </c>
      <c r="AN386" s="29" t="s">
        <v>48</v>
      </c>
      <c r="AO386" s="47" t="s">
        <v>845</v>
      </c>
      <c r="AP386" s="28">
        <v>0</v>
      </c>
      <c r="AQ386" s="26">
        <v>1.4999999999999999E-2</v>
      </c>
      <c r="AR386" s="26">
        <v>0</v>
      </c>
    </row>
    <row r="387" spans="1:44" x14ac:dyDescent="0.15">
      <c r="A387">
        <v>398</v>
      </c>
      <c r="B387" s="11">
        <v>884</v>
      </c>
      <c r="C387" s="32"/>
      <c r="D387" s="32">
        <v>0</v>
      </c>
      <c r="E387" s="32">
        <v>0</v>
      </c>
      <c r="F387" s="32">
        <v>0</v>
      </c>
      <c r="G387" s="11"/>
      <c r="H387" s="11"/>
      <c r="I387" s="11"/>
      <c r="J387" s="18" t="s">
        <v>44</v>
      </c>
      <c r="K387" s="18" t="s">
        <v>45</v>
      </c>
      <c r="L387" s="58">
        <v>0</v>
      </c>
      <c r="M387" s="18">
        <f>[1]!f_prt_stocktonav(B387,"2017/03/31")</f>
        <v>87.547225952148438</v>
      </c>
      <c r="N387" s="20" t="str">
        <f>[1]!f_info_fundmanager(B387)</f>
        <v>蒯学章</v>
      </c>
      <c r="O387" s="21">
        <v>0</v>
      </c>
      <c r="P387" s="34" t="s">
        <v>1674</v>
      </c>
      <c r="Q387" s="34" t="s">
        <v>1675</v>
      </c>
      <c r="R387" s="34" t="s">
        <v>1234</v>
      </c>
      <c r="S387" s="34">
        <v>20141219</v>
      </c>
      <c r="T387" s="45">
        <v>2.9395601746</v>
      </c>
      <c r="U387" s="46">
        <v>3.1524877902999999</v>
      </c>
      <c r="V387" s="34" t="s">
        <v>231</v>
      </c>
      <c r="W387" s="34" t="s">
        <v>44</v>
      </c>
      <c r="X387" s="34" t="s">
        <v>45</v>
      </c>
      <c r="Y387" s="34" t="s">
        <v>274</v>
      </c>
      <c r="Z387" s="34"/>
      <c r="AA387" s="34"/>
      <c r="AB387" s="22">
        <v>0.92453651428222661</v>
      </c>
      <c r="AC387" s="23" t="s">
        <v>1676</v>
      </c>
      <c r="AD387" s="24">
        <v>2.0520547945205481</v>
      </c>
      <c r="AE387" s="25">
        <v>1.4123568751032378E-2</v>
      </c>
      <c r="AF387" s="26">
        <v>0</v>
      </c>
      <c r="AG387" s="26">
        <v>0</v>
      </c>
      <c r="AH387" s="27">
        <v>0.19569790930448897</v>
      </c>
      <c r="AI387" s="27">
        <v>0.19569790930448897</v>
      </c>
      <c r="AJ387" s="27">
        <v>0.19569790930448897</v>
      </c>
      <c r="AK387" s="28" t="s">
        <v>1677</v>
      </c>
      <c r="AL387" s="29" t="s">
        <v>48</v>
      </c>
      <c r="AM387" s="29" t="s">
        <v>48</v>
      </c>
      <c r="AN387" s="29" t="s">
        <v>48</v>
      </c>
      <c r="AO387" s="47" t="s">
        <v>1238</v>
      </c>
      <c r="AP387" s="28">
        <v>0</v>
      </c>
      <c r="AQ387" s="26">
        <v>1.4999999999999999E-2</v>
      </c>
      <c r="AR387" s="26">
        <v>0</v>
      </c>
    </row>
    <row r="388" spans="1:44" x14ac:dyDescent="0.15">
      <c r="A388">
        <v>169</v>
      </c>
      <c r="B388" s="11">
        <v>877</v>
      </c>
      <c r="C388" s="32"/>
      <c r="D388" s="32">
        <v>1.13390276551683E-3</v>
      </c>
      <c r="E388" s="32">
        <v>119</v>
      </c>
      <c r="F388" s="32">
        <v>0.121430964922428</v>
      </c>
      <c r="G388" s="11"/>
      <c r="H388" s="11"/>
      <c r="I388" s="11"/>
      <c r="J388" s="18" t="s">
        <v>44</v>
      </c>
      <c r="K388" s="18" t="s">
        <v>64</v>
      </c>
      <c r="L388" s="58" t="s">
        <v>354</v>
      </c>
      <c r="M388" s="18">
        <f>[1]!f_prt_stocktonav(B388,"2017/03/31")</f>
        <v>92.383491516113281</v>
      </c>
      <c r="N388" s="20" t="str">
        <f>[1]!f_info_fundmanager(B388)</f>
        <v>盛豪,田汉卿</v>
      </c>
      <c r="O388" s="21">
        <v>2.2876712328767121</v>
      </c>
      <c r="P388" s="34" t="s">
        <v>1678</v>
      </c>
      <c r="Q388" s="34" t="s">
        <v>1679</v>
      </c>
      <c r="R388" s="34" t="s">
        <v>880</v>
      </c>
      <c r="S388" s="34">
        <v>20141217</v>
      </c>
      <c r="T388" s="45">
        <v>3.0902059144999998</v>
      </c>
      <c r="U388" s="46">
        <v>2.3173415519999998</v>
      </c>
      <c r="V388" s="34" t="s">
        <v>231</v>
      </c>
      <c r="W388" s="34" t="s">
        <v>44</v>
      </c>
      <c r="X388" s="34" t="s">
        <v>45</v>
      </c>
      <c r="Y388" s="34" t="s">
        <v>354</v>
      </c>
      <c r="Z388" s="34"/>
      <c r="AA388" s="34"/>
      <c r="AB388" s="22">
        <v>0.89190071105957036</v>
      </c>
      <c r="AC388" s="23" t="s">
        <v>1680</v>
      </c>
      <c r="AD388" s="24">
        <v>2.0575342465753423</v>
      </c>
      <c r="AE388" s="25">
        <v>0.17267404344903325</v>
      </c>
      <c r="AF388" s="26">
        <v>0</v>
      </c>
      <c r="AG388" s="26">
        <v>0</v>
      </c>
      <c r="AH388" s="27">
        <v>0.66079185482688774</v>
      </c>
      <c r="AI388" s="27">
        <v>0.66079185482688774</v>
      </c>
      <c r="AJ388" s="27">
        <v>0.66079185482688774</v>
      </c>
      <c r="AK388" s="28" t="s">
        <v>823</v>
      </c>
      <c r="AL388" s="29" t="s">
        <v>48</v>
      </c>
      <c r="AM388" s="29" t="s">
        <v>48</v>
      </c>
      <c r="AN388" s="29" t="s">
        <v>48</v>
      </c>
      <c r="AO388" s="47" t="s">
        <v>255</v>
      </c>
      <c r="AP388" s="28">
        <v>0</v>
      </c>
      <c r="AQ388" s="26">
        <v>1.4999999999999999E-2</v>
      </c>
      <c r="AR388" s="26">
        <v>0</v>
      </c>
    </row>
    <row r="389" spans="1:44" x14ac:dyDescent="0.15">
      <c r="A389">
        <v>595</v>
      </c>
      <c r="B389" s="11">
        <v>878</v>
      </c>
      <c r="C389" s="32"/>
      <c r="D389" s="32">
        <v>-2.8652192047764601E-3</v>
      </c>
      <c r="E389" s="32">
        <v>119</v>
      </c>
      <c r="F389" s="32">
        <v>0.15525611861439201</v>
      </c>
      <c r="G389" s="11"/>
      <c r="H389" s="11"/>
      <c r="I389" s="11"/>
      <c r="J389" s="18" t="s">
        <v>44</v>
      </c>
      <c r="K389" s="18" t="s">
        <v>86</v>
      </c>
      <c r="L389" s="58" t="s">
        <v>65</v>
      </c>
      <c r="M389" s="18">
        <f>[1]!f_prt_stocktonav(B389,"2017/03/31")</f>
        <v>82.956634521484375</v>
      </c>
      <c r="N389" s="20" t="str">
        <f>[1]!f_info_fundmanager(B389)</f>
        <v>郑磊</v>
      </c>
      <c r="O389" s="21">
        <v>2.2876712328767121</v>
      </c>
      <c r="P389" s="34" t="s">
        <v>1681</v>
      </c>
      <c r="Q389" s="34" t="s">
        <v>1682</v>
      </c>
      <c r="R389" s="34" t="s">
        <v>505</v>
      </c>
      <c r="S389" s="34">
        <v>20141217</v>
      </c>
      <c r="T389" s="45">
        <v>4.3330324670999998</v>
      </c>
      <c r="U389" s="46">
        <v>5.3647716523</v>
      </c>
      <c r="V389" s="34" t="s">
        <v>231</v>
      </c>
      <c r="W389" s="34" t="s">
        <v>44</v>
      </c>
      <c r="X389" s="17" t="s">
        <v>45</v>
      </c>
      <c r="Y389" s="17" t="s">
        <v>274</v>
      </c>
      <c r="Z389" s="34"/>
      <c r="AA389" s="34"/>
      <c r="AB389" s="22">
        <v>0.84946624755859379</v>
      </c>
      <c r="AC389" s="23" t="s">
        <v>1683</v>
      </c>
      <c r="AD389" s="24">
        <v>2.0575342465753423</v>
      </c>
      <c r="AE389" s="25">
        <v>4.0722455870661811E-2</v>
      </c>
      <c r="AF389" s="26">
        <v>0</v>
      </c>
      <c r="AG389" s="26">
        <v>0</v>
      </c>
      <c r="AH389" s="27">
        <v>0.25547330876080637</v>
      </c>
      <c r="AI389" s="27">
        <v>0.25547330876080637</v>
      </c>
      <c r="AJ389" s="27">
        <v>0.25547330876080637</v>
      </c>
      <c r="AK389" s="28" t="s">
        <v>1684</v>
      </c>
      <c r="AL389" s="29" t="s">
        <v>48</v>
      </c>
      <c r="AM389" s="29" t="s">
        <v>48</v>
      </c>
      <c r="AN389" s="29" t="s">
        <v>48</v>
      </c>
      <c r="AO389" s="47" t="s">
        <v>1685</v>
      </c>
      <c r="AP389" s="28">
        <v>0</v>
      </c>
      <c r="AQ389" s="26">
        <v>1.4999999999999999E-2</v>
      </c>
      <c r="AR389" s="26">
        <v>0</v>
      </c>
    </row>
    <row r="390" spans="1:44" x14ac:dyDescent="0.15">
      <c r="A390">
        <v>296</v>
      </c>
      <c r="B390" s="11">
        <v>924</v>
      </c>
      <c r="C390" s="32"/>
      <c r="D390" s="32">
        <v>-4.02829747583173E-3</v>
      </c>
      <c r="E390" s="32">
        <v>10</v>
      </c>
      <c r="F390" s="32">
        <v>0.34207151530801699</v>
      </c>
      <c r="G390" s="11"/>
      <c r="H390" s="11"/>
      <c r="I390" s="11"/>
      <c r="J390" s="18" t="s">
        <v>44</v>
      </c>
      <c r="K390" s="18" t="s">
        <v>87</v>
      </c>
      <c r="L390" s="58" t="s">
        <v>65</v>
      </c>
      <c r="M390" s="18">
        <f>[1]!f_prt_stocktonav(B390,"2017/03/31")</f>
        <v>89.51116943359375</v>
      </c>
      <c r="N390" s="20" t="str">
        <f>[1]!f_info_fundmanager(B390)</f>
        <v>李健伟</v>
      </c>
      <c r="O390" s="21">
        <v>0.17808219178082191</v>
      </c>
      <c r="P390" s="34" t="s">
        <v>1686</v>
      </c>
      <c r="Q390" s="34" t="s">
        <v>1687</v>
      </c>
      <c r="R390" s="34" t="s">
        <v>402</v>
      </c>
      <c r="S390" s="34">
        <v>20141217</v>
      </c>
      <c r="T390" s="45">
        <v>7.6651853172999997</v>
      </c>
      <c r="U390" s="46">
        <v>9.9429433912</v>
      </c>
      <c r="V390" s="34" t="s">
        <v>231</v>
      </c>
      <c r="W390" s="34" t="s">
        <v>44</v>
      </c>
      <c r="X390" s="34" t="s">
        <v>45</v>
      </c>
      <c r="Y390" s="34" t="s">
        <v>274</v>
      </c>
      <c r="Z390" s="34"/>
      <c r="AA390" s="34"/>
      <c r="AB390" s="22">
        <v>0.94402153015136714</v>
      </c>
      <c r="AC390" s="23" t="s">
        <v>1688</v>
      </c>
      <c r="AD390" s="24">
        <v>2.0575342465753423</v>
      </c>
      <c r="AE390" s="25">
        <v>6.8950565156059351E-2</v>
      </c>
      <c r="AF390" s="26">
        <v>0</v>
      </c>
      <c r="AG390" s="26">
        <v>0</v>
      </c>
      <c r="AH390" s="27">
        <v>0.34257411590491776</v>
      </c>
      <c r="AI390" s="27">
        <v>0.34257411590491776</v>
      </c>
      <c r="AJ390" s="27">
        <v>0.34257411590491776</v>
      </c>
      <c r="AK390" s="28" t="s">
        <v>1689</v>
      </c>
      <c r="AL390" s="29" t="s">
        <v>48</v>
      </c>
      <c r="AM390" s="29" t="s">
        <v>48</v>
      </c>
      <c r="AN390" s="29" t="s">
        <v>48</v>
      </c>
      <c r="AO390" s="47" t="s">
        <v>715</v>
      </c>
      <c r="AP390" s="28">
        <v>0</v>
      </c>
      <c r="AQ390" s="26">
        <v>1.4999999999999999E-2</v>
      </c>
      <c r="AR390" s="26">
        <v>0</v>
      </c>
    </row>
    <row r="391" spans="1:44" x14ac:dyDescent="0.15">
      <c r="A391">
        <v>120</v>
      </c>
      <c r="B391" s="11">
        <v>519915</v>
      </c>
      <c r="C391" s="32"/>
      <c r="D391" s="32">
        <v>-2.9119060429647001E-3</v>
      </c>
      <c r="E391" s="32">
        <v>120</v>
      </c>
      <c r="F391" s="32">
        <v>0.19427319153585401</v>
      </c>
      <c r="G391" s="11"/>
      <c r="H391" s="11"/>
      <c r="I391" s="11"/>
      <c r="J391" s="18" t="s">
        <v>44</v>
      </c>
      <c r="K391" s="18" t="s">
        <v>87</v>
      </c>
      <c r="L391" s="58" t="s">
        <v>65</v>
      </c>
      <c r="M391" s="18">
        <f>[1]!f_prt_stocktonav(B391,"2017/03/31")</f>
        <v>93.272109985351563</v>
      </c>
      <c r="N391" s="20" t="str">
        <f>[1]!f_info_fundmanager(B391)</f>
        <v>戴益强</v>
      </c>
      <c r="O391" s="21">
        <v>2.3013698630136985</v>
      </c>
      <c r="P391" s="34" t="s">
        <v>1690</v>
      </c>
      <c r="Q391" s="34" t="s">
        <v>1691</v>
      </c>
      <c r="R391" s="34" t="s">
        <v>396</v>
      </c>
      <c r="S391" s="34">
        <v>20141212</v>
      </c>
      <c r="T391" s="45">
        <v>6.1403978689000001</v>
      </c>
      <c r="U391" s="46">
        <v>9.2729480114000005</v>
      </c>
      <c r="V391" s="34" t="s">
        <v>231</v>
      </c>
      <c r="W391" s="34" t="s">
        <v>44</v>
      </c>
      <c r="X391" s="34" t="s">
        <v>87</v>
      </c>
      <c r="Y391" s="34" t="s">
        <v>65</v>
      </c>
      <c r="Z391" s="34" t="s">
        <v>338</v>
      </c>
      <c r="AA391" s="34"/>
      <c r="AB391" s="22">
        <v>0.94735282897949213</v>
      </c>
      <c r="AC391" s="23" t="s">
        <v>1692</v>
      </c>
      <c r="AD391" s="24">
        <v>2.0712328767123287</v>
      </c>
      <c r="AE391" s="25">
        <v>2.0804989501889359E-2</v>
      </c>
      <c r="AF391" s="26">
        <v>0</v>
      </c>
      <c r="AG391" s="26">
        <v>0</v>
      </c>
      <c r="AH391" s="27">
        <v>0.20344562249444822</v>
      </c>
      <c r="AI391" s="27">
        <v>0.20344562249444822</v>
      </c>
      <c r="AJ391" s="27">
        <v>0.20344562249444822</v>
      </c>
      <c r="AK391" s="33" t="s">
        <v>167</v>
      </c>
      <c r="AL391" s="29">
        <v>3</v>
      </c>
      <c r="AM391" s="29">
        <v>4</v>
      </c>
      <c r="AN391" s="29" t="s">
        <v>48</v>
      </c>
      <c r="AO391" s="47" t="s">
        <v>1693</v>
      </c>
      <c r="AP391" s="28">
        <v>0</v>
      </c>
      <c r="AQ391" s="26">
        <v>1.4999999999999999E-2</v>
      </c>
      <c r="AR391" s="26">
        <v>0</v>
      </c>
    </row>
    <row r="392" spans="1:44" x14ac:dyDescent="0.15">
      <c r="A392">
        <v>178</v>
      </c>
      <c r="B392" s="11">
        <v>880</v>
      </c>
      <c r="C392" s="32"/>
      <c r="D392" s="32">
        <v>-1.68387630529243E-3</v>
      </c>
      <c r="E392" s="32">
        <v>112</v>
      </c>
      <c r="F392" s="32">
        <v>0.145701947533766</v>
      </c>
      <c r="G392" s="11"/>
      <c r="H392" s="11"/>
      <c r="I392" s="11"/>
      <c r="J392" s="18" t="s">
        <v>44</v>
      </c>
      <c r="K392" s="18" t="s">
        <v>45</v>
      </c>
      <c r="L392" s="58" t="s">
        <v>65</v>
      </c>
      <c r="M392" s="18">
        <f>[1]!f_prt_stocktonav(B392,"2017/03/31")</f>
        <v>92.131202697753906</v>
      </c>
      <c r="N392" s="20" t="str">
        <f>[1]!f_info_fundmanager(B392)</f>
        <v>李晓铭</v>
      </c>
      <c r="O392" s="21">
        <v>2.1479452054794521</v>
      </c>
      <c r="P392" s="34" t="s">
        <v>1694</v>
      </c>
      <c r="Q392" s="34" t="s">
        <v>1695</v>
      </c>
      <c r="R392" s="34" t="s">
        <v>396</v>
      </c>
      <c r="S392" s="34">
        <v>20141212</v>
      </c>
      <c r="T392" s="45">
        <v>21.797619560800001</v>
      </c>
      <c r="U392" s="46">
        <v>23.1892669008</v>
      </c>
      <c r="V392" s="34" t="s">
        <v>231</v>
      </c>
      <c r="W392" s="34" t="s">
        <v>44</v>
      </c>
      <c r="X392" s="34" t="s">
        <v>45</v>
      </c>
      <c r="Y392" s="34" t="s">
        <v>274</v>
      </c>
      <c r="Z392" s="34"/>
      <c r="AA392" s="34"/>
      <c r="AB392" s="22">
        <v>0.89433860778808594</v>
      </c>
      <c r="AC392" s="23" t="s">
        <v>606</v>
      </c>
      <c r="AD392" s="24">
        <v>1.9178082191780821</v>
      </c>
      <c r="AE392" s="25">
        <v>0.13684976119200565</v>
      </c>
      <c r="AF392" s="26">
        <v>0</v>
      </c>
      <c r="AG392" s="26">
        <v>0</v>
      </c>
      <c r="AH392" s="27">
        <v>0.50248061433617208</v>
      </c>
      <c r="AI392" s="27">
        <v>0.50248061433617208</v>
      </c>
      <c r="AJ392" s="27">
        <v>0.50248061433617208</v>
      </c>
      <c r="AK392" s="28" t="s">
        <v>874</v>
      </c>
      <c r="AL392" s="29" t="s">
        <v>48</v>
      </c>
      <c r="AM392" s="29" t="s">
        <v>48</v>
      </c>
      <c r="AN392" s="29" t="s">
        <v>48</v>
      </c>
      <c r="AO392" s="47" t="s">
        <v>1696</v>
      </c>
      <c r="AP392" s="28">
        <v>0</v>
      </c>
      <c r="AQ392" s="26">
        <v>1.4999999999999999E-2</v>
      </c>
      <c r="AR392" s="26">
        <v>0</v>
      </c>
    </row>
    <row r="393" spans="1:44" x14ac:dyDescent="0.15">
      <c r="A393">
        <v>105</v>
      </c>
      <c r="B393" s="11">
        <v>893</v>
      </c>
      <c r="C393" s="32"/>
      <c r="D393" s="32">
        <v>-6.0562150821422698E-3</v>
      </c>
      <c r="E393" s="32">
        <v>120</v>
      </c>
      <c r="F393" s="32">
        <v>3.3496200581457398E-4</v>
      </c>
      <c r="G393" s="11"/>
      <c r="H393" s="11"/>
      <c r="I393" s="11"/>
      <c r="J393" s="18" t="s">
        <v>44</v>
      </c>
      <c r="K393" s="18" t="s">
        <v>45</v>
      </c>
      <c r="L393" s="58" t="s">
        <v>274</v>
      </c>
      <c r="M393" s="18">
        <f>[1]!f_prt_stocktonav(B393,"2017/03/31")</f>
        <v>93.56524658203125</v>
      </c>
      <c r="N393" s="20" t="str">
        <f>[1]!f_info_fundmanager(B393)</f>
        <v>刘天任,李劭钊</v>
      </c>
      <c r="O393" s="21">
        <v>2.3041095890410959</v>
      </c>
      <c r="P393" s="34" t="s">
        <v>1697</v>
      </c>
      <c r="Q393" s="34" t="s">
        <v>1698</v>
      </c>
      <c r="R393" s="34" t="s">
        <v>523</v>
      </c>
      <c r="S393" s="34">
        <v>20141211</v>
      </c>
      <c r="T393" s="45">
        <v>16.3438931556</v>
      </c>
      <c r="U393" s="46">
        <v>17.0366844216</v>
      </c>
      <c r="V393" s="34" t="s">
        <v>231</v>
      </c>
      <c r="W393" s="34" t="s">
        <v>44</v>
      </c>
      <c r="X393" s="34" t="s">
        <v>45</v>
      </c>
      <c r="Y393" s="34" t="s">
        <v>274</v>
      </c>
      <c r="Z393" s="34"/>
      <c r="AA393" s="34"/>
      <c r="AB393" s="22">
        <v>0.94598091125488282</v>
      </c>
      <c r="AC393" s="23" t="s">
        <v>1699</v>
      </c>
      <c r="AD393" s="24">
        <v>2.0739726027397261</v>
      </c>
      <c r="AE393" s="25">
        <v>-9.3981958874098451E-2</v>
      </c>
      <c r="AF393" s="26">
        <v>0</v>
      </c>
      <c r="AG393" s="26">
        <v>0</v>
      </c>
      <c r="AH393" s="27">
        <v>1.4483507682457868E-2</v>
      </c>
      <c r="AI393" s="27">
        <v>1.4483507682457868E-2</v>
      </c>
      <c r="AJ393" s="27">
        <v>1.4483507682457868E-2</v>
      </c>
      <c r="AK393" s="28" t="s">
        <v>489</v>
      </c>
      <c r="AL393" s="29" t="s">
        <v>48</v>
      </c>
      <c r="AM393" s="29" t="s">
        <v>48</v>
      </c>
      <c r="AN393" s="29" t="s">
        <v>48</v>
      </c>
      <c r="AO393" s="47" t="s">
        <v>255</v>
      </c>
      <c r="AP393" s="28">
        <v>0</v>
      </c>
      <c r="AQ393" s="26">
        <v>1.4999999999999999E-2</v>
      </c>
      <c r="AR393" s="26">
        <v>0</v>
      </c>
    </row>
    <row r="394" spans="1:44" x14ac:dyDescent="0.15">
      <c r="A394">
        <v>682</v>
      </c>
      <c r="B394" s="11">
        <v>866</v>
      </c>
      <c r="C394" s="32"/>
      <c r="D394" s="32">
        <v>-3.84787897638214E-3</v>
      </c>
      <c r="E394" s="32">
        <v>120</v>
      </c>
      <c r="F394" s="32">
        <v>4.28171393509965E-3</v>
      </c>
      <c r="G394" s="11"/>
      <c r="H394" s="11"/>
      <c r="I394" s="11"/>
      <c r="J394" s="18" t="s">
        <v>44</v>
      </c>
      <c r="K394" s="18" t="s">
        <v>87</v>
      </c>
      <c r="L394" s="58" t="s">
        <v>274</v>
      </c>
      <c r="M394" s="18">
        <f>[1]!f_prt_stocktonav(B394,"2017/03/31")</f>
        <v>80.526611328125</v>
      </c>
      <c r="N394" s="20" t="str">
        <f>[1]!f_info_fundmanager(B394)</f>
        <v>刘自强</v>
      </c>
      <c r="O394" s="21">
        <v>2.3068493150684932</v>
      </c>
      <c r="P394" s="34" t="s">
        <v>1700</v>
      </c>
      <c r="Q394" s="34" t="s">
        <v>1701</v>
      </c>
      <c r="R394" s="34" t="s">
        <v>737</v>
      </c>
      <c r="S394" s="34">
        <v>20141210</v>
      </c>
      <c r="T394" s="45">
        <v>9.2571215089999992</v>
      </c>
      <c r="U394" s="46">
        <v>9.4819990359999995</v>
      </c>
      <c r="V394" s="34" t="s">
        <v>231</v>
      </c>
      <c r="W394" s="34" t="s">
        <v>44</v>
      </c>
      <c r="X394" s="34" t="s">
        <v>45</v>
      </c>
      <c r="Y394" s="34" t="s">
        <v>274</v>
      </c>
      <c r="Z394" s="34"/>
      <c r="AA394" s="34"/>
      <c r="AB394" s="22">
        <v>0.92493408203125005</v>
      </c>
      <c r="AC394" s="23" t="s">
        <v>1702</v>
      </c>
      <c r="AD394" s="24">
        <v>2.0767123287671234</v>
      </c>
      <c r="AE394" s="25">
        <v>0.16279336990692084</v>
      </c>
      <c r="AF394" s="26">
        <v>0</v>
      </c>
      <c r="AG394" s="26">
        <v>0</v>
      </c>
      <c r="AH394" s="27">
        <v>0.54168854895913632</v>
      </c>
      <c r="AI394" s="27">
        <v>0.54168854895913632</v>
      </c>
      <c r="AJ394" s="27">
        <v>0.54168854895913632</v>
      </c>
      <c r="AK394" s="28" t="s">
        <v>1703</v>
      </c>
      <c r="AL394" s="29" t="s">
        <v>48</v>
      </c>
      <c r="AM394" s="29" t="s">
        <v>48</v>
      </c>
      <c r="AN394" s="29" t="s">
        <v>48</v>
      </c>
      <c r="AO394" s="47" t="s">
        <v>739</v>
      </c>
      <c r="AP394" s="28">
        <v>0</v>
      </c>
      <c r="AQ394" s="26">
        <v>1.4999999999999999E-2</v>
      </c>
      <c r="AR394" s="26">
        <v>0</v>
      </c>
    </row>
    <row r="395" spans="1:44" x14ac:dyDescent="0.15">
      <c r="A395">
        <v>290</v>
      </c>
      <c r="B395" s="11">
        <v>925</v>
      </c>
      <c r="C395" s="32"/>
      <c r="D395" s="32">
        <v>-3.3741763099955102E-3</v>
      </c>
      <c r="E395" s="32">
        <v>121</v>
      </c>
      <c r="F395" s="32">
        <v>8.7957420264303796E-2</v>
      </c>
      <c r="G395" s="11"/>
      <c r="H395" s="11"/>
      <c r="I395" s="11"/>
      <c r="J395" s="18" t="s">
        <v>44</v>
      </c>
      <c r="K395" s="18" t="s">
        <v>87</v>
      </c>
      <c r="L395" s="58" t="s">
        <v>274</v>
      </c>
      <c r="M395" s="18">
        <f>[1]!f_prt_stocktonav(B395,"2017/03/31")</f>
        <v>89.594398498535156</v>
      </c>
      <c r="N395" s="20" t="str">
        <f>[1]!f_info_fundmanager(B395)</f>
        <v>韩贤旺,李威</v>
      </c>
      <c r="O395" s="21">
        <v>2.3123287671232875</v>
      </c>
      <c r="P395" s="34" t="s">
        <v>1704</v>
      </c>
      <c r="Q395" s="34" t="s">
        <v>1705</v>
      </c>
      <c r="R395" s="34" t="s">
        <v>331</v>
      </c>
      <c r="S395" s="34">
        <v>20141208</v>
      </c>
      <c r="T395" s="45">
        <v>38.207313286900003</v>
      </c>
      <c r="U395" s="46">
        <v>41.913907236999997</v>
      </c>
      <c r="V395" s="34" t="s">
        <v>231</v>
      </c>
      <c r="W395" s="34" t="s">
        <v>44</v>
      </c>
      <c r="X395" s="34" t="s">
        <v>87</v>
      </c>
      <c r="Y395" s="34" t="s">
        <v>274</v>
      </c>
      <c r="Z395" s="34" t="s">
        <v>676</v>
      </c>
      <c r="AA395" s="34"/>
      <c r="AB395" s="22">
        <v>0.90857795715332035</v>
      </c>
      <c r="AC395" s="23" t="s">
        <v>1706</v>
      </c>
      <c r="AD395" s="24">
        <v>2.0821917808219177</v>
      </c>
      <c r="AE395" s="25">
        <v>2.1035020995614273E-2</v>
      </c>
      <c r="AF395" s="26">
        <v>0</v>
      </c>
      <c r="AG395" s="26">
        <v>0</v>
      </c>
      <c r="AH395" s="27">
        <v>0.25817779337762986</v>
      </c>
      <c r="AI395" s="27">
        <v>0.25817779337762986</v>
      </c>
      <c r="AJ395" s="27">
        <v>0.25817779337762986</v>
      </c>
      <c r="AK395" s="33" t="s">
        <v>1707</v>
      </c>
      <c r="AL395" s="29" t="s">
        <v>48</v>
      </c>
      <c r="AM395" s="29" t="s">
        <v>48</v>
      </c>
      <c r="AN395" s="29" t="s">
        <v>48</v>
      </c>
      <c r="AO395" s="47" t="s">
        <v>334</v>
      </c>
      <c r="AP395" s="28">
        <v>0</v>
      </c>
      <c r="AQ395" s="26">
        <v>1.4999999999999999E-2</v>
      </c>
      <c r="AR395" s="26">
        <v>0</v>
      </c>
    </row>
    <row r="396" spans="1:44" x14ac:dyDescent="0.15">
      <c r="A396">
        <v>112</v>
      </c>
      <c r="B396" s="11">
        <v>854</v>
      </c>
      <c r="C396" s="32"/>
      <c r="D396" s="32">
        <v>1.45839099964123E-3</v>
      </c>
      <c r="E396" s="32">
        <v>122</v>
      </c>
      <c r="F396" s="32">
        <v>0.43801886625852798</v>
      </c>
      <c r="G396" s="11"/>
      <c r="H396" s="11"/>
      <c r="I396" s="11"/>
      <c r="J396" s="18" t="s">
        <v>44</v>
      </c>
      <c r="K396" s="18" t="s">
        <v>45</v>
      </c>
      <c r="L396" s="58" t="s">
        <v>817</v>
      </c>
      <c r="M396" s="18">
        <f>[1]!f_prt_stocktonav(B396,"2017/03/31")</f>
        <v>93.375358581542969</v>
      </c>
      <c r="N396" s="20" t="str">
        <f>[1]!f_info_fundmanager(B396)</f>
        <v>王宗合</v>
      </c>
      <c r="O396" s="21">
        <v>2.3287671232876712</v>
      </c>
      <c r="P396" s="34" t="s">
        <v>1708</v>
      </c>
      <c r="Q396" s="34" t="s">
        <v>1709</v>
      </c>
      <c r="R396" s="34" t="s">
        <v>705</v>
      </c>
      <c r="S396" s="34">
        <v>20141202</v>
      </c>
      <c r="T396" s="45">
        <v>1.7928744555</v>
      </c>
      <c r="U396" s="46">
        <v>2.5021840564</v>
      </c>
      <c r="V396" s="34" t="s">
        <v>231</v>
      </c>
      <c r="W396" s="34" t="s">
        <v>44</v>
      </c>
      <c r="X396" s="34" t="s">
        <v>45</v>
      </c>
      <c r="Y396" s="34" t="s">
        <v>817</v>
      </c>
      <c r="Z396" s="34"/>
      <c r="AA396" s="34"/>
      <c r="AB396" s="22">
        <v>0.80907028198242192</v>
      </c>
      <c r="AC396" s="23" t="s">
        <v>1710</v>
      </c>
      <c r="AD396" s="24">
        <v>2.0986301369863014</v>
      </c>
      <c r="AE396" s="25">
        <v>7.3337914466028664E-2</v>
      </c>
      <c r="AF396" s="26">
        <v>0</v>
      </c>
      <c r="AG396" s="26">
        <v>0</v>
      </c>
      <c r="AH396" s="27">
        <v>0.34564940428449692</v>
      </c>
      <c r="AI396" s="27">
        <v>0.34564940428449692</v>
      </c>
      <c r="AJ396" s="27">
        <v>0.34564940428449692</v>
      </c>
      <c r="AK396" s="28" t="s">
        <v>380</v>
      </c>
      <c r="AL396" s="29" t="s">
        <v>48</v>
      </c>
      <c r="AM396" s="29" t="s">
        <v>48</v>
      </c>
      <c r="AN396" s="29" t="s">
        <v>48</v>
      </c>
      <c r="AO396" s="47" t="s">
        <v>1711</v>
      </c>
      <c r="AP396" s="28">
        <v>0</v>
      </c>
      <c r="AQ396" s="26">
        <v>1.4999999999999999E-2</v>
      </c>
      <c r="AR396" s="26">
        <v>0</v>
      </c>
    </row>
    <row r="397" spans="1:44" x14ac:dyDescent="0.15">
      <c r="A397">
        <v>717</v>
      </c>
      <c r="B397" s="11">
        <v>849</v>
      </c>
      <c r="C397" s="32"/>
      <c r="D397" s="32">
        <v>3.2732170897925199E-3</v>
      </c>
      <c r="E397" s="32">
        <v>122</v>
      </c>
      <c r="F397" s="32">
        <v>1.64299558451037E-3</v>
      </c>
      <c r="G397" s="11"/>
      <c r="H397" s="11"/>
      <c r="I397" s="11"/>
      <c r="J397" s="18" t="s">
        <v>44</v>
      </c>
      <c r="K397" s="18" t="s">
        <v>45</v>
      </c>
      <c r="L397" s="58" t="s">
        <v>354</v>
      </c>
      <c r="M397" s="18">
        <f>[1]!f_prt_stocktonav(B397,"2017/03/31")</f>
        <v>79.566246032714844</v>
      </c>
      <c r="N397" s="20" t="str">
        <f>[1]!f_info_fundmanager(B397)</f>
        <v>丘栋荣</v>
      </c>
      <c r="O397" s="21">
        <v>2.3452054794520549</v>
      </c>
      <c r="P397" s="34" t="s">
        <v>1712</v>
      </c>
      <c r="Q397" s="34" t="s">
        <v>1713</v>
      </c>
      <c r="R397" s="34" t="s">
        <v>149</v>
      </c>
      <c r="S397" s="34">
        <v>20141126</v>
      </c>
      <c r="T397" s="45">
        <v>51.954127360999998</v>
      </c>
      <c r="U397" s="46">
        <v>41.0577215737</v>
      </c>
      <c r="V397" s="34" t="s">
        <v>231</v>
      </c>
      <c r="W397" s="34" t="s">
        <v>44</v>
      </c>
      <c r="X397" s="34" t="s">
        <v>45</v>
      </c>
      <c r="Y397" s="34" t="s">
        <v>354</v>
      </c>
      <c r="Z397" s="34"/>
      <c r="AA397" s="34"/>
      <c r="AB397" s="22">
        <v>0.80992019653320313</v>
      </c>
      <c r="AC397" s="23" t="s">
        <v>1714</v>
      </c>
      <c r="AD397" s="24">
        <v>2.1150684931506851</v>
      </c>
      <c r="AE397" s="25">
        <v>0.30947739007448605</v>
      </c>
      <c r="AF397" s="26">
        <v>0</v>
      </c>
      <c r="AG397" s="26">
        <v>0</v>
      </c>
      <c r="AH397" s="27">
        <v>1.2253547699205674</v>
      </c>
      <c r="AI397" s="27">
        <v>1.2253547699205674</v>
      </c>
      <c r="AJ397" s="27">
        <v>1.2253547699205674</v>
      </c>
      <c r="AK397" s="28" t="s">
        <v>1715</v>
      </c>
      <c r="AL397" s="29" t="s">
        <v>48</v>
      </c>
      <c r="AM397" s="29" t="s">
        <v>48</v>
      </c>
      <c r="AN397" s="29" t="s">
        <v>48</v>
      </c>
      <c r="AO397" s="47" t="s">
        <v>410</v>
      </c>
      <c r="AP397" s="28">
        <v>0</v>
      </c>
      <c r="AQ397" s="26">
        <v>1.4999999999999999E-2</v>
      </c>
      <c r="AR397" s="26">
        <v>0</v>
      </c>
    </row>
    <row r="398" spans="1:44" x14ac:dyDescent="0.15">
      <c r="A398">
        <v>746</v>
      </c>
      <c r="B398" s="11">
        <v>684</v>
      </c>
      <c r="C398" s="32"/>
      <c r="D398" s="32">
        <v>-1.4165225534832099E-3</v>
      </c>
      <c r="E398" s="32">
        <v>123</v>
      </c>
      <c r="F398" s="32">
        <v>0.280851575754199</v>
      </c>
      <c r="G398" s="11"/>
      <c r="H398" s="11"/>
      <c r="I398" s="11"/>
      <c r="J398" s="18" t="s">
        <v>44</v>
      </c>
      <c r="K398" s="18" t="s">
        <v>45</v>
      </c>
      <c r="L398" s="58" t="s">
        <v>65</v>
      </c>
      <c r="M398" s="18">
        <f>[1]!f_prt_stocktonav(B398,"2017/03/31")</f>
        <v>78.424789428710938</v>
      </c>
      <c r="N398" s="20" t="str">
        <f>[1]!f_info_fundmanager(B398)</f>
        <v>刘旭明</v>
      </c>
      <c r="O398" s="21">
        <v>2.3479452054794518</v>
      </c>
      <c r="P398" s="34" t="s">
        <v>1716</v>
      </c>
      <c r="Q398" s="34" t="s">
        <v>1717</v>
      </c>
      <c r="R398" s="34" t="s">
        <v>364</v>
      </c>
      <c r="S398" s="34">
        <v>20141125</v>
      </c>
      <c r="T398" s="45">
        <v>0.93502319249999999</v>
      </c>
      <c r="U398" s="46">
        <v>1.2653828484</v>
      </c>
      <c r="V398" s="34" t="s">
        <v>231</v>
      </c>
      <c r="W398" s="34" t="s">
        <v>44</v>
      </c>
      <c r="X398" s="34" t="s">
        <v>45</v>
      </c>
      <c r="Y398" s="34" t="s">
        <v>65</v>
      </c>
      <c r="Z398" s="34"/>
      <c r="AA398" s="34"/>
      <c r="AB398" s="22">
        <v>0.76077354431152344</v>
      </c>
      <c r="AC398" s="23" t="s">
        <v>1718</v>
      </c>
      <c r="AD398" s="24">
        <v>2.117808219178082</v>
      </c>
      <c r="AE398" s="25">
        <v>0.10338821414142153</v>
      </c>
      <c r="AF398" s="26">
        <v>0</v>
      </c>
      <c r="AG398" s="26">
        <v>0</v>
      </c>
      <c r="AH398" s="27">
        <v>0.44149181600369425</v>
      </c>
      <c r="AI398" s="27">
        <v>0.44149181600369425</v>
      </c>
      <c r="AJ398" s="27">
        <v>0.44149181600369425</v>
      </c>
      <c r="AK398" s="28" t="s">
        <v>346</v>
      </c>
      <c r="AL398" s="29" t="s">
        <v>48</v>
      </c>
      <c r="AM398" s="29" t="s">
        <v>48</v>
      </c>
      <c r="AN398" s="29" t="s">
        <v>48</v>
      </c>
      <c r="AO398" s="47" t="s">
        <v>367</v>
      </c>
      <c r="AP398" s="28">
        <v>0</v>
      </c>
      <c r="AQ398" s="26">
        <v>1.4999999999999999E-2</v>
      </c>
      <c r="AR398" s="26">
        <v>0</v>
      </c>
    </row>
    <row r="399" spans="1:44" x14ac:dyDescent="0.15">
      <c r="A399">
        <v>926</v>
      </c>
      <c r="B399" s="11">
        <v>824</v>
      </c>
      <c r="C399" s="32"/>
      <c r="D399" s="32">
        <v>2.9200610755426501E-3</v>
      </c>
      <c r="E399" s="32">
        <v>123</v>
      </c>
      <c r="F399" s="32">
        <v>1.93865696583621E-2</v>
      </c>
      <c r="G399" s="11"/>
      <c r="H399" s="11"/>
      <c r="I399" s="11"/>
      <c r="J399" s="18" t="s">
        <v>44</v>
      </c>
      <c r="K399" s="18" t="s">
        <v>45</v>
      </c>
      <c r="L399" s="58" t="s">
        <v>65</v>
      </c>
      <c r="M399" s="18">
        <f>[1]!f_prt_stocktonav(B399,"2017/03/31")</f>
        <v>71.27020263671875</v>
      </c>
      <c r="N399" s="20" t="str">
        <f>[1]!f_info_fundmanager(B399)</f>
        <v>洪流,范妍</v>
      </c>
      <c r="O399" s="21">
        <v>2.3643835616438356</v>
      </c>
      <c r="P399" s="34" t="s">
        <v>1719</v>
      </c>
      <c r="Q399" s="34" t="s">
        <v>1720</v>
      </c>
      <c r="R399" s="34" t="s">
        <v>885</v>
      </c>
      <c r="S399" s="34">
        <v>20141119</v>
      </c>
      <c r="T399" s="45">
        <v>14.867416480499999</v>
      </c>
      <c r="U399" s="46">
        <v>15.0611369681</v>
      </c>
      <c r="V399" s="34" t="s">
        <v>231</v>
      </c>
      <c r="W399" s="34" t="s">
        <v>44</v>
      </c>
      <c r="X399" s="34" t="s">
        <v>45</v>
      </c>
      <c r="Y399" s="34" t="s">
        <v>65</v>
      </c>
      <c r="Z399" s="34"/>
      <c r="AA399" s="34"/>
      <c r="AB399" s="22">
        <v>0.75313240051269537</v>
      </c>
      <c r="AC399" s="23" t="s">
        <v>1721</v>
      </c>
      <c r="AD399" s="24">
        <v>2.1342465753424658</v>
      </c>
      <c r="AE399" s="25">
        <v>0.39748987100419564</v>
      </c>
      <c r="AF399" s="26">
        <v>0</v>
      </c>
      <c r="AG399" s="26">
        <v>0</v>
      </c>
      <c r="AH399" s="27">
        <v>1.2946241530718317</v>
      </c>
      <c r="AI399" s="27">
        <v>1.2946241530718317</v>
      </c>
      <c r="AJ399" s="27">
        <v>1.2946241530718317</v>
      </c>
      <c r="AK399" s="28" t="s">
        <v>1722</v>
      </c>
      <c r="AL399" s="29" t="s">
        <v>48</v>
      </c>
      <c r="AM399" s="29" t="s">
        <v>48</v>
      </c>
      <c r="AN399" s="29" t="s">
        <v>48</v>
      </c>
      <c r="AO399" s="47" t="s">
        <v>310</v>
      </c>
      <c r="AP399" s="28">
        <v>0</v>
      </c>
      <c r="AQ399" s="26">
        <v>1.4999999999999999E-2</v>
      </c>
      <c r="AR399" s="26">
        <v>0</v>
      </c>
    </row>
    <row r="400" spans="1:44" x14ac:dyDescent="0.15">
      <c r="A400">
        <v>318</v>
      </c>
      <c r="B400" s="11">
        <v>831</v>
      </c>
      <c r="C400" s="32"/>
      <c r="D400" s="32">
        <v>-1.5636069536351801E-3</v>
      </c>
      <c r="E400" s="32">
        <v>124</v>
      </c>
      <c r="F400" s="32">
        <v>0.371762523317622</v>
      </c>
      <c r="G400" s="11"/>
      <c r="H400" s="11"/>
      <c r="I400" s="11"/>
      <c r="J400" s="18" t="s">
        <v>44</v>
      </c>
      <c r="K400" s="18" t="s">
        <v>45</v>
      </c>
      <c r="L400" s="58" t="s">
        <v>274</v>
      </c>
      <c r="M400" s="18">
        <f>[1]!f_prt_stocktonav(B400,"2017/03/31")</f>
        <v>89.075431823730469</v>
      </c>
      <c r="N400" s="20" t="str">
        <f>[1]!f_info_fundmanager(B400)</f>
        <v>宋炳珅,赵蓓,谭冬寒</v>
      </c>
      <c r="O400" s="21">
        <v>2.3671232876712329</v>
      </c>
      <c r="P400" s="34" t="s">
        <v>1723</v>
      </c>
      <c r="Q400" s="34" t="s">
        <v>1724</v>
      </c>
      <c r="R400" s="34" t="s">
        <v>523</v>
      </c>
      <c r="S400" s="34">
        <v>20141118</v>
      </c>
      <c r="T400" s="45">
        <v>38.430028862500002</v>
      </c>
      <c r="U400" s="46">
        <v>42.316258171199998</v>
      </c>
      <c r="V400" s="34" t="s">
        <v>231</v>
      </c>
      <c r="W400" s="34" t="s">
        <v>44</v>
      </c>
      <c r="X400" s="34" t="s">
        <v>86</v>
      </c>
      <c r="Y400" s="34" t="s">
        <v>274</v>
      </c>
      <c r="Z400" s="34" t="s">
        <v>1725</v>
      </c>
      <c r="AA400" s="34"/>
      <c r="AB400" s="22">
        <v>0.89573219299316409</v>
      </c>
      <c r="AC400" s="23" t="s">
        <v>1726</v>
      </c>
      <c r="AD400" s="24">
        <v>2.1369863013698631</v>
      </c>
      <c r="AE400" s="25">
        <v>0.12039405717130978</v>
      </c>
      <c r="AF400" s="26">
        <v>0</v>
      </c>
      <c r="AG400" s="26">
        <v>0</v>
      </c>
      <c r="AH400" s="27">
        <v>0.45806811654873486</v>
      </c>
      <c r="AI400" s="27">
        <v>0.45806811654873486</v>
      </c>
      <c r="AJ400" s="27">
        <v>0.45806811654873486</v>
      </c>
      <c r="AK400" s="33" t="s">
        <v>1727</v>
      </c>
      <c r="AL400" s="29" t="s">
        <v>48</v>
      </c>
      <c r="AM400" s="29" t="s">
        <v>48</v>
      </c>
      <c r="AN400" s="29" t="s">
        <v>48</v>
      </c>
      <c r="AO400" s="47" t="s">
        <v>255</v>
      </c>
      <c r="AP400" s="28">
        <v>0</v>
      </c>
      <c r="AQ400" s="26">
        <v>1.4999999999999999E-2</v>
      </c>
      <c r="AR400" s="26">
        <v>0</v>
      </c>
    </row>
    <row r="401" spans="1:44" x14ac:dyDescent="0.15">
      <c r="A401">
        <v>679</v>
      </c>
      <c r="B401" s="11">
        <v>519673</v>
      </c>
      <c r="C401" s="32"/>
      <c r="D401" s="32">
        <v>-3.1879992585252901E-3</v>
      </c>
      <c r="E401" s="32">
        <v>124</v>
      </c>
      <c r="F401" s="32">
        <v>3.8187306618438402E-2</v>
      </c>
      <c r="G401" s="11"/>
      <c r="H401" s="11"/>
      <c r="I401" s="11"/>
      <c r="J401" s="18" t="s">
        <v>44</v>
      </c>
      <c r="K401" s="18" t="s">
        <v>45</v>
      </c>
      <c r="L401" s="58" t="s">
        <v>274</v>
      </c>
      <c r="M401" s="18">
        <f>[1]!f_prt_stocktonav(B401,"2017/03/31")</f>
        <v>80.645553588867188</v>
      </c>
      <c r="N401" s="20" t="str">
        <f>[1]!f_info_fundmanager(B401)</f>
        <v>王海华</v>
      </c>
      <c r="O401" s="21">
        <v>2.3671232876712329</v>
      </c>
      <c r="P401" s="34" t="s">
        <v>1728</v>
      </c>
      <c r="Q401" s="34" t="s">
        <v>1729</v>
      </c>
      <c r="R401" s="34" t="s">
        <v>807</v>
      </c>
      <c r="S401" s="34">
        <v>20141118</v>
      </c>
      <c r="T401" s="45">
        <v>6.6213207428</v>
      </c>
      <c r="U401" s="46">
        <v>7.2612482800000002</v>
      </c>
      <c r="V401" s="34" t="s">
        <v>231</v>
      </c>
      <c r="W401" s="34" t="s">
        <v>44</v>
      </c>
      <c r="X401" s="34" t="s">
        <v>45</v>
      </c>
      <c r="Y401" s="34" t="s">
        <v>274</v>
      </c>
      <c r="Z401" s="34"/>
      <c r="AA401" s="34"/>
      <c r="AB401" s="22">
        <v>0.87672103881835939</v>
      </c>
      <c r="AC401" s="23" t="s">
        <v>1730</v>
      </c>
      <c r="AD401" s="24">
        <v>2.1369863013698631</v>
      </c>
      <c r="AE401" s="25">
        <v>0.1315236702198237</v>
      </c>
      <c r="AF401" s="26">
        <v>0</v>
      </c>
      <c r="AG401" s="26">
        <v>0</v>
      </c>
      <c r="AH401" s="27">
        <v>0.48001713850473837</v>
      </c>
      <c r="AI401" s="27">
        <v>0.48001713850473837</v>
      </c>
      <c r="AJ401" s="27">
        <v>0.48001713850473837</v>
      </c>
      <c r="AK401" s="28" t="s">
        <v>1731</v>
      </c>
      <c r="AL401" s="29" t="s">
        <v>48</v>
      </c>
      <c r="AM401" s="29" t="s">
        <v>48</v>
      </c>
      <c r="AN401" s="29" t="s">
        <v>48</v>
      </c>
      <c r="AO401" s="47" t="s">
        <v>101</v>
      </c>
      <c r="AP401" s="28">
        <v>0</v>
      </c>
      <c r="AQ401" s="26">
        <v>1.4999999999999999E-2</v>
      </c>
      <c r="AR401" s="26">
        <v>0</v>
      </c>
    </row>
    <row r="402" spans="1:44" x14ac:dyDescent="0.15">
      <c r="A402">
        <v>72</v>
      </c>
      <c r="B402" s="11">
        <v>828</v>
      </c>
      <c r="C402" s="32"/>
      <c r="D402" s="32">
        <v>4.5683713872147101E-5</v>
      </c>
      <c r="E402" s="32">
        <v>67</v>
      </c>
      <c r="F402" s="32">
        <v>0.97132424886283797</v>
      </c>
      <c r="G402" s="11"/>
      <c r="H402" s="11"/>
      <c r="I402" s="11"/>
      <c r="J402" s="18" t="s">
        <v>44</v>
      </c>
      <c r="K402" s="18" t="s">
        <v>45</v>
      </c>
      <c r="L402" s="58" t="s">
        <v>274</v>
      </c>
      <c r="M402" s="18">
        <f>[1]!f_prt_stocktonav(B402,"2017/03/31")</f>
        <v>94.034423828125</v>
      </c>
      <c r="N402" s="20" t="str">
        <f>[1]!f_info_fundmanager(B402)</f>
        <v>张勋</v>
      </c>
      <c r="O402" s="21">
        <v>1.2712328767123289</v>
      </c>
      <c r="P402" s="34" t="s">
        <v>1732</v>
      </c>
      <c r="Q402" s="34" t="s">
        <v>1733</v>
      </c>
      <c r="R402" s="34" t="s">
        <v>263</v>
      </c>
      <c r="S402" s="34">
        <v>20141118</v>
      </c>
      <c r="T402" s="45">
        <v>1.0566268637</v>
      </c>
      <c r="U402" s="46">
        <v>1.1613550302</v>
      </c>
      <c r="V402" s="34" t="s">
        <v>231</v>
      </c>
      <c r="W402" s="34" t="s">
        <v>44</v>
      </c>
      <c r="X402" s="34" t="s">
        <v>45</v>
      </c>
      <c r="Y402" s="34" t="s">
        <v>274</v>
      </c>
      <c r="Z402" s="34"/>
      <c r="AA402" s="34"/>
      <c r="AB402" s="22">
        <v>0.87972030639648435</v>
      </c>
      <c r="AC402" s="23" t="s">
        <v>1734</v>
      </c>
      <c r="AD402" s="24">
        <v>1.0410958904109588</v>
      </c>
      <c r="AE402" s="25">
        <v>-6.6041583537489457E-3</v>
      </c>
      <c r="AF402" s="26">
        <v>0</v>
      </c>
      <c r="AG402" s="26">
        <v>0</v>
      </c>
      <c r="AH402" s="27">
        <v>0.12665180962237757</v>
      </c>
      <c r="AI402" s="27">
        <v>0.12665180962237757</v>
      </c>
      <c r="AJ402" s="27">
        <v>0.12665180962237757</v>
      </c>
      <c r="AK402" s="28" t="s">
        <v>1735</v>
      </c>
      <c r="AL402" s="29" t="s">
        <v>48</v>
      </c>
      <c r="AM402" s="29" t="s">
        <v>48</v>
      </c>
      <c r="AN402" s="29" t="s">
        <v>48</v>
      </c>
      <c r="AO402" s="47" t="s">
        <v>1736</v>
      </c>
      <c r="AP402" s="28">
        <v>0</v>
      </c>
      <c r="AQ402" s="26">
        <v>1.4999999999999999E-2</v>
      </c>
      <c r="AR402" s="26">
        <v>0</v>
      </c>
    </row>
    <row r="403" spans="1:44" x14ac:dyDescent="0.15">
      <c r="A403">
        <v>306</v>
      </c>
      <c r="B403" s="11">
        <v>803</v>
      </c>
      <c r="C403" s="32"/>
      <c r="D403" s="32">
        <v>-3.7993969731975699E-3</v>
      </c>
      <c r="E403" s="32">
        <v>127</v>
      </c>
      <c r="F403" s="32">
        <v>1.40635623843294E-2</v>
      </c>
      <c r="G403" s="11"/>
      <c r="H403" s="11"/>
      <c r="I403" s="11"/>
      <c r="J403" s="18" t="s">
        <v>44</v>
      </c>
      <c r="K403" s="18" t="s">
        <v>45</v>
      </c>
      <c r="L403" s="58" t="s">
        <v>65</v>
      </c>
      <c r="M403" s="18">
        <f>[1]!f_prt_stocktonav(B403,"2017/03/31")</f>
        <v>89.320716857910156</v>
      </c>
      <c r="N403" s="20" t="str">
        <f>[1]!f_info_fundmanager(B403)</f>
        <v>宋炳珅,杨柯</v>
      </c>
      <c r="O403" s="21">
        <v>2.4383561643835616</v>
      </c>
      <c r="P403" s="34" t="s">
        <v>1737</v>
      </c>
      <c r="Q403" s="34" t="s">
        <v>1738</v>
      </c>
      <c r="R403" s="34" t="s">
        <v>523</v>
      </c>
      <c r="S403" s="34">
        <v>20141023</v>
      </c>
      <c r="T403" s="45">
        <v>0.75980936590000003</v>
      </c>
      <c r="U403" s="46">
        <v>0.78045904460000004</v>
      </c>
      <c r="V403" s="34" t="s">
        <v>231</v>
      </c>
      <c r="W403" s="34" t="s">
        <v>44</v>
      </c>
      <c r="X403" s="34" t="s">
        <v>45</v>
      </c>
      <c r="Y403" s="34" t="s">
        <v>274</v>
      </c>
      <c r="Z403" s="34"/>
      <c r="AA403" s="34"/>
      <c r="AB403" s="22">
        <v>0.88876777648925787</v>
      </c>
      <c r="AC403" s="23" t="s">
        <v>1739</v>
      </c>
      <c r="AD403" s="24">
        <v>2.2082191780821918</v>
      </c>
      <c r="AE403" s="25">
        <v>0.11666691002959496</v>
      </c>
      <c r="AF403" s="26">
        <v>0</v>
      </c>
      <c r="AG403" s="26">
        <v>0</v>
      </c>
      <c r="AH403" s="27">
        <v>0.44891937744398341</v>
      </c>
      <c r="AI403" s="27">
        <v>0.44891937744398341</v>
      </c>
      <c r="AJ403" s="27">
        <v>0.44891937744398341</v>
      </c>
      <c r="AK403" s="28" t="s">
        <v>1740</v>
      </c>
      <c r="AL403" s="29" t="s">
        <v>48</v>
      </c>
      <c r="AM403" s="29" t="s">
        <v>48</v>
      </c>
      <c r="AN403" s="29" t="s">
        <v>48</v>
      </c>
      <c r="AO403" s="47" t="s">
        <v>255</v>
      </c>
      <c r="AP403" s="28">
        <v>0</v>
      </c>
      <c r="AQ403" s="26">
        <v>1.4999999999999999E-2</v>
      </c>
      <c r="AR403" s="26">
        <v>0</v>
      </c>
    </row>
    <row r="404" spans="1:44" x14ac:dyDescent="0.15">
      <c r="A404">
        <v>182</v>
      </c>
      <c r="B404" s="11">
        <v>793</v>
      </c>
      <c r="C404" s="32"/>
      <c r="D404" s="32">
        <v>-5.1698513227115802E-3</v>
      </c>
      <c r="E404" s="32">
        <v>127</v>
      </c>
      <c r="F404" s="32">
        <v>2.9588217610369998E-3</v>
      </c>
      <c r="G404" s="11"/>
      <c r="H404" s="11"/>
      <c r="I404" s="11"/>
      <c r="J404" s="18" t="s">
        <v>44</v>
      </c>
      <c r="K404" s="18" t="s">
        <v>45</v>
      </c>
      <c r="L404" s="58" t="s">
        <v>274</v>
      </c>
      <c r="M404" s="18">
        <f>[1]!f_prt_stocktonav(B404,"2017/03/31")</f>
        <v>92.075492858886719</v>
      </c>
      <c r="N404" s="20" t="str">
        <f>[1]!f_info_fundmanager(B404)</f>
        <v>修世宇,黄安乐,刘柯</v>
      </c>
      <c r="O404" s="21">
        <v>2.441095890410959</v>
      </c>
      <c r="P404" s="39" t="s">
        <v>1741</v>
      </c>
      <c r="Q404" s="39" t="s">
        <v>1742</v>
      </c>
      <c r="R404" s="39" t="s">
        <v>523</v>
      </c>
      <c r="S404" s="39">
        <v>20141022</v>
      </c>
      <c r="T404" s="48">
        <v>18.306056228199999</v>
      </c>
      <c r="U404" s="46">
        <v>19.212990445799999</v>
      </c>
      <c r="V404" s="39" t="s">
        <v>231</v>
      </c>
      <c r="W404" s="39" t="s">
        <v>44</v>
      </c>
      <c r="X404" s="39" t="s">
        <v>86</v>
      </c>
      <c r="Y404" s="55" t="s">
        <v>274</v>
      </c>
      <c r="Z404" s="34" t="s">
        <v>1743</v>
      </c>
      <c r="AA404" s="34"/>
      <c r="AB404" s="22">
        <v>0.92267219543457035</v>
      </c>
      <c r="AC404" s="23" t="s">
        <v>1744</v>
      </c>
      <c r="AD404" s="24">
        <v>2.2109589041095892</v>
      </c>
      <c r="AE404" s="25">
        <v>1.5779714961588809E-2</v>
      </c>
      <c r="AF404" s="26">
        <v>0</v>
      </c>
      <c r="AG404" s="26">
        <v>0</v>
      </c>
      <c r="AH404" s="27">
        <v>0.23624332371232135</v>
      </c>
      <c r="AI404" s="27">
        <v>0.23624332371232135</v>
      </c>
      <c r="AJ404" s="27">
        <v>0.23624332371232135</v>
      </c>
      <c r="AK404" s="40" t="s">
        <v>1745</v>
      </c>
      <c r="AL404" s="41" t="s">
        <v>48</v>
      </c>
      <c r="AM404" s="41" t="s">
        <v>48</v>
      </c>
      <c r="AN404" s="41" t="s">
        <v>48</v>
      </c>
      <c r="AO404" s="50" t="s">
        <v>255</v>
      </c>
      <c r="AP404" s="51">
        <v>0</v>
      </c>
      <c r="AQ404" s="52">
        <v>1.4999999999999999E-2</v>
      </c>
      <c r="AR404" s="52">
        <v>0</v>
      </c>
    </row>
    <row r="405" spans="1:44" x14ac:dyDescent="0.15">
      <c r="A405">
        <v>7</v>
      </c>
      <c r="B405" s="11">
        <v>800</v>
      </c>
      <c r="C405" s="32"/>
      <c r="D405" s="32">
        <v>-6.09257651103365E-3</v>
      </c>
      <c r="E405" s="32">
        <v>129</v>
      </c>
      <c r="F405" s="32">
        <v>2.6134861429441998E-3</v>
      </c>
      <c r="G405" s="11"/>
      <c r="H405" s="11"/>
      <c r="I405" s="11"/>
      <c r="J405" s="18" t="s">
        <v>44</v>
      </c>
      <c r="K405" s="18" t="s">
        <v>87</v>
      </c>
      <c r="L405" s="58" t="s">
        <v>274</v>
      </c>
      <c r="M405" s="18">
        <f>[1]!f_prt_stocktonav(B405,"2017/03/31")</f>
        <v>94.85791015625</v>
      </c>
      <c r="N405" s="20" t="str">
        <f>[1]!f_info_fundmanager(B405)</f>
        <v>梁永强</v>
      </c>
      <c r="O405" s="21">
        <v>2.463013698630137</v>
      </c>
      <c r="P405" s="34" t="s">
        <v>1746</v>
      </c>
      <c r="Q405" s="34" t="s">
        <v>1747</v>
      </c>
      <c r="R405" s="34" t="s">
        <v>387</v>
      </c>
      <c r="S405" s="34">
        <v>20141014</v>
      </c>
      <c r="T405" s="45">
        <v>21.286664403500001</v>
      </c>
      <c r="U405" s="46">
        <v>28.4428550033</v>
      </c>
      <c r="V405" s="34" t="s">
        <v>231</v>
      </c>
      <c r="W405" s="34" t="s">
        <v>44</v>
      </c>
      <c r="X405" s="34" t="s">
        <v>87</v>
      </c>
      <c r="Y405" s="34" t="s">
        <v>274</v>
      </c>
      <c r="Z405" s="34" t="s">
        <v>1748</v>
      </c>
      <c r="AA405" s="34"/>
      <c r="AB405" s="22">
        <v>0.94846183776855464</v>
      </c>
      <c r="AC405" s="23" t="s">
        <v>1749</v>
      </c>
      <c r="AD405" s="24">
        <v>2.2328767123287672</v>
      </c>
      <c r="AE405" s="25">
        <v>4.5592855699666313E-2</v>
      </c>
      <c r="AF405" s="26">
        <v>0</v>
      </c>
      <c r="AG405" s="26">
        <v>0</v>
      </c>
      <c r="AH405" s="27">
        <v>0.28690980165502933</v>
      </c>
      <c r="AI405" s="27">
        <v>0.28690980165502933</v>
      </c>
      <c r="AJ405" s="27">
        <v>0.28690980165502933</v>
      </c>
      <c r="AK405" s="33" t="s">
        <v>1750</v>
      </c>
      <c r="AL405" s="29" t="s">
        <v>48</v>
      </c>
      <c r="AM405" s="29" t="s">
        <v>48</v>
      </c>
      <c r="AN405" s="29" t="s">
        <v>48</v>
      </c>
      <c r="AO405" s="47" t="s">
        <v>1751</v>
      </c>
      <c r="AP405" s="28">
        <v>0</v>
      </c>
      <c r="AQ405" s="26">
        <v>1.4999999999999999E-2</v>
      </c>
      <c r="AR405" s="26">
        <v>0</v>
      </c>
    </row>
    <row r="406" spans="1:44" x14ac:dyDescent="0.15">
      <c r="A406">
        <v>694</v>
      </c>
      <c r="B406" s="11">
        <v>805</v>
      </c>
      <c r="C406" s="32"/>
      <c r="D406" s="32">
        <v>-2.7242439920935001E-3</v>
      </c>
      <c r="E406" s="32">
        <v>131</v>
      </c>
      <c r="F406" s="32">
        <v>0.20829510226866599</v>
      </c>
      <c r="G406" s="11"/>
      <c r="H406" s="11"/>
      <c r="I406" s="11"/>
      <c r="J406" s="18" t="s">
        <v>44</v>
      </c>
      <c r="K406" s="18" t="s">
        <v>45</v>
      </c>
      <c r="L406" s="58" t="s">
        <v>274</v>
      </c>
      <c r="M406" s="18">
        <f>[1]!f_prt_stocktonav(B406,"2017/03/31")</f>
        <v>80.1396484375</v>
      </c>
      <c r="N406" s="20" t="str">
        <f>[1]!f_info_fundmanager(B406)</f>
        <v>史彬</v>
      </c>
      <c r="O406" s="21">
        <v>2.5013698630136987</v>
      </c>
      <c r="P406" s="34" t="s">
        <v>1752</v>
      </c>
      <c r="Q406" s="34" t="s">
        <v>1753</v>
      </c>
      <c r="R406" s="34" t="s">
        <v>71</v>
      </c>
      <c r="S406" s="34">
        <v>20140930</v>
      </c>
      <c r="T406" s="45">
        <v>9.8140075229000008</v>
      </c>
      <c r="U406" s="46">
        <v>10.743801127399999</v>
      </c>
      <c r="V406" s="34" t="s">
        <v>231</v>
      </c>
      <c r="W406" s="34" t="s">
        <v>44</v>
      </c>
      <c r="X406" s="34" t="s">
        <v>45</v>
      </c>
      <c r="Y406" s="34" t="s">
        <v>274</v>
      </c>
      <c r="Z406" s="34"/>
      <c r="AA406" s="34"/>
      <c r="AB406" s="22">
        <v>0.89586013793945307</v>
      </c>
      <c r="AC406" s="23" t="s">
        <v>1550</v>
      </c>
      <c r="AD406" s="24">
        <v>2.2712328767123289</v>
      </c>
      <c r="AE406" s="25">
        <v>0.12858205669449063</v>
      </c>
      <c r="AF406" s="26">
        <v>0</v>
      </c>
      <c r="AG406" s="26">
        <v>0</v>
      </c>
      <c r="AH406" s="27">
        <v>0.47126840987572177</v>
      </c>
      <c r="AI406" s="27">
        <v>0.47126840987572177</v>
      </c>
      <c r="AJ406" s="27">
        <v>0.47126840987572177</v>
      </c>
      <c r="AK406" s="28" t="s">
        <v>409</v>
      </c>
      <c r="AL406" s="29" t="s">
        <v>48</v>
      </c>
      <c r="AM406" s="29" t="s">
        <v>48</v>
      </c>
      <c r="AN406" s="29" t="s">
        <v>48</v>
      </c>
      <c r="AO406" s="47" t="s">
        <v>845</v>
      </c>
      <c r="AP406" s="28">
        <v>0</v>
      </c>
      <c r="AQ406" s="26">
        <v>1.4999999999999999E-2</v>
      </c>
      <c r="AR406" s="26">
        <v>0</v>
      </c>
    </row>
    <row r="407" spans="1:44" x14ac:dyDescent="0.15">
      <c r="A407">
        <v>389</v>
      </c>
      <c r="B407" s="11">
        <v>788</v>
      </c>
      <c r="C407" s="32"/>
      <c r="D407" s="32">
        <v>-2.5201862963755701E-3</v>
      </c>
      <c r="E407" s="32">
        <v>131</v>
      </c>
      <c r="F407" s="32">
        <v>0.191072637956469</v>
      </c>
      <c r="G407" s="11"/>
      <c r="H407" s="11"/>
      <c r="I407" s="11"/>
      <c r="J407" s="18" t="s">
        <v>44</v>
      </c>
      <c r="K407" s="18" t="s">
        <v>45</v>
      </c>
      <c r="L407" s="58" t="s">
        <v>65</v>
      </c>
      <c r="M407" s="18">
        <f>[1]!f_prt_stocktonav(B407,"2017/03/31")</f>
        <v>87.706199645996094</v>
      </c>
      <c r="N407" s="20" t="str">
        <f>[1]!f_info_fundmanager(B407)</f>
        <v>徐立平</v>
      </c>
      <c r="O407" s="21">
        <v>2.504109589041096</v>
      </c>
      <c r="P407" s="34" t="s">
        <v>1754</v>
      </c>
      <c r="Q407" s="34" t="s">
        <v>1755</v>
      </c>
      <c r="R407" s="34" t="s">
        <v>78</v>
      </c>
      <c r="S407" s="34">
        <v>20140929</v>
      </c>
      <c r="T407" s="45">
        <v>0.53802352200000003</v>
      </c>
      <c r="U407" s="46">
        <v>0.59592650629999999</v>
      </c>
      <c r="V407" s="34" t="s">
        <v>231</v>
      </c>
      <c r="W407" s="34" t="s">
        <v>44</v>
      </c>
      <c r="X407" s="34" t="s">
        <v>45</v>
      </c>
      <c r="Y407" s="34" t="s">
        <v>274</v>
      </c>
      <c r="Z407" s="34"/>
      <c r="AA407" s="34"/>
      <c r="AB407" s="22">
        <v>0.94921546936035162</v>
      </c>
      <c r="AC407" s="23" t="s">
        <v>1756</v>
      </c>
      <c r="AD407" s="24">
        <v>2.2739726027397262</v>
      </c>
      <c r="AE407" s="25">
        <v>7.753125516705861E-2</v>
      </c>
      <c r="AF407" s="26">
        <v>0</v>
      </c>
      <c r="AG407" s="26">
        <v>0</v>
      </c>
      <c r="AH407" s="27">
        <v>0.35443369489424625</v>
      </c>
      <c r="AI407" s="27">
        <v>0.35443369489424625</v>
      </c>
      <c r="AJ407" s="27">
        <v>0.35443369489424625</v>
      </c>
      <c r="AK407" s="28" t="s">
        <v>196</v>
      </c>
      <c r="AL407" s="29" t="s">
        <v>48</v>
      </c>
      <c r="AM407" s="29" t="s">
        <v>48</v>
      </c>
      <c r="AN407" s="29" t="s">
        <v>48</v>
      </c>
      <c r="AO407" s="47" t="s">
        <v>270</v>
      </c>
      <c r="AP407" s="28">
        <v>0</v>
      </c>
      <c r="AQ407" s="26">
        <v>1.4999999999999999E-2</v>
      </c>
      <c r="AR407" s="26">
        <v>0</v>
      </c>
    </row>
    <row r="408" spans="1:44" x14ac:dyDescent="0.15">
      <c r="A408">
        <v>304</v>
      </c>
      <c r="B408" s="11">
        <v>794</v>
      </c>
      <c r="C408" s="32"/>
      <c r="D408" s="32">
        <v>-4.5495873654224899E-3</v>
      </c>
      <c r="E408" s="32">
        <v>40</v>
      </c>
      <c r="F408" s="32">
        <v>5.3290335857199504E-3</v>
      </c>
      <c r="G408" s="11"/>
      <c r="H408" s="11"/>
      <c r="I408" s="11"/>
      <c r="J408" s="18" t="s">
        <v>44</v>
      </c>
      <c r="K408" s="18" t="s">
        <v>45</v>
      </c>
      <c r="L408" s="58" t="s">
        <v>65</v>
      </c>
      <c r="M408" s="18">
        <f>[1]!f_prt_stocktonav(B408,"2017/03/31")</f>
        <v>89.336013793945313</v>
      </c>
      <c r="N408" s="20" t="str">
        <f>[1]!f_info_fundmanager(B408)</f>
        <v>易祚兴,朱建明</v>
      </c>
      <c r="O408" s="21">
        <v>0.75068493150684934</v>
      </c>
      <c r="P408" s="34" t="s">
        <v>1757</v>
      </c>
      <c r="Q408" s="34" t="s">
        <v>1758</v>
      </c>
      <c r="R408" s="34" t="s">
        <v>402</v>
      </c>
      <c r="S408" s="34">
        <v>20140926</v>
      </c>
      <c r="T408" s="45">
        <v>4.8849614102999999</v>
      </c>
      <c r="U408" s="46">
        <v>6.2777948738999996</v>
      </c>
      <c r="V408" s="34" t="s">
        <v>231</v>
      </c>
      <c r="W408" s="34" t="s">
        <v>44</v>
      </c>
      <c r="X408" s="34" t="s">
        <v>45</v>
      </c>
      <c r="Y408" s="34" t="s">
        <v>65</v>
      </c>
      <c r="Z408" s="34"/>
      <c r="AA408" s="34"/>
      <c r="AB408" s="22">
        <v>0.93750877380371089</v>
      </c>
      <c r="AC408" s="23" t="s">
        <v>1759</v>
      </c>
      <c r="AD408" s="24">
        <v>0.52054794520547942</v>
      </c>
      <c r="AE408" s="25">
        <v>0.18083113969184761</v>
      </c>
      <c r="AF408" s="26">
        <v>0</v>
      </c>
      <c r="AG408" s="26">
        <v>0</v>
      </c>
      <c r="AH408" s="27">
        <v>0.58801591569979517</v>
      </c>
      <c r="AI408" s="27">
        <v>0.58801591569979517</v>
      </c>
      <c r="AJ408" s="27">
        <v>0.58801591569979517</v>
      </c>
      <c r="AK408" s="28" t="s">
        <v>1607</v>
      </c>
      <c r="AL408" s="29" t="s">
        <v>48</v>
      </c>
      <c r="AM408" s="29" t="s">
        <v>48</v>
      </c>
      <c r="AN408" s="29" t="s">
        <v>48</v>
      </c>
      <c r="AO408" s="47" t="s">
        <v>1760</v>
      </c>
      <c r="AP408" s="28" t="s">
        <v>1761</v>
      </c>
      <c r="AQ408" s="26">
        <v>1.4999999999999999E-2</v>
      </c>
      <c r="AR408" s="26">
        <v>0</v>
      </c>
    </row>
    <row r="409" spans="1:44" x14ac:dyDescent="0.15">
      <c r="A409">
        <v>487</v>
      </c>
      <c r="B409" s="11">
        <v>761</v>
      </c>
      <c r="C409" s="32"/>
      <c r="D409" s="32">
        <v>-4.6797143496416201E-3</v>
      </c>
      <c r="E409" s="32">
        <v>132</v>
      </c>
      <c r="F409" s="32">
        <v>1.36860275605929E-2</v>
      </c>
      <c r="G409" s="11"/>
      <c r="H409" s="11"/>
      <c r="I409" s="11"/>
      <c r="J409" s="18" t="s">
        <v>44</v>
      </c>
      <c r="K409" s="18" t="s">
        <v>45</v>
      </c>
      <c r="L409" s="58" t="s">
        <v>274</v>
      </c>
      <c r="M409" s="18">
        <f>[1]!f_prt_stocktonav(B409,"2017/03/31")</f>
        <v>85.5784912109375</v>
      </c>
      <c r="N409" s="20" t="str">
        <f>[1]!f_info_fundmanager(B409)</f>
        <v>王晓宁</v>
      </c>
      <c r="O409" s="21">
        <v>2.5205479452054793</v>
      </c>
      <c r="P409" s="34" t="s">
        <v>1762</v>
      </c>
      <c r="Q409" s="34" t="s">
        <v>1763</v>
      </c>
      <c r="R409" s="34" t="s">
        <v>742</v>
      </c>
      <c r="S409" s="34">
        <v>20140923</v>
      </c>
      <c r="T409" s="45">
        <v>0.18252794789999999</v>
      </c>
      <c r="U409" s="46">
        <v>0.22095985360000001</v>
      </c>
      <c r="V409" s="34" t="s">
        <v>231</v>
      </c>
      <c r="W409" s="34" t="s">
        <v>44</v>
      </c>
      <c r="X409" s="34" t="s">
        <v>45</v>
      </c>
      <c r="Y409" s="34" t="s">
        <v>274</v>
      </c>
      <c r="Z409" s="34"/>
      <c r="AA409" s="34"/>
      <c r="AB409" s="22">
        <v>0.82334350585937499</v>
      </c>
      <c r="AC409" s="23" t="s">
        <v>1764</v>
      </c>
      <c r="AD409" s="24">
        <v>2.2904109589041095</v>
      </c>
      <c r="AE409" s="25">
        <v>2.9740687117021158E-2</v>
      </c>
      <c r="AF409" s="26">
        <v>0</v>
      </c>
      <c r="AG409" s="26">
        <v>0</v>
      </c>
      <c r="AH409" s="27">
        <v>0.23981248024677609</v>
      </c>
      <c r="AI409" s="27">
        <v>0.23981248024677609</v>
      </c>
      <c r="AJ409" s="27">
        <v>0.23981248024677609</v>
      </c>
      <c r="AK409" s="28" t="s">
        <v>744</v>
      </c>
      <c r="AL409" s="29" t="s">
        <v>48</v>
      </c>
      <c r="AM409" s="29" t="s">
        <v>48</v>
      </c>
      <c r="AN409" s="29" t="s">
        <v>48</v>
      </c>
      <c r="AO409" s="47" t="s">
        <v>249</v>
      </c>
      <c r="AP409" s="28">
        <v>0</v>
      </c>
      <c r="AQ409" s="26">
        <v>1.4999999999999999E-2</v>
      </c>
      <c r="AR409" s="26">
        <v>0</v>
      </c>
    </row>
    <row r="410" spans="1:44" x14ac:dyDescent="0.15">
      <c r="A410">
        <v>376</v>
      </c>
      <c r="B410" s="11">
        <v>780</v>
      </c>
      <c r="C410" s="32"/>
      <c r="D410" s="32">
        <v>-9.9933269214604704E-5</v>
      </c>
      <c r="E410" s="32">
        <v>24</v>
      </c>
      <c r="F410" s="32">
        <v>0.96708635277648602</v>
      </c>
      <c r="G410" s="11"/>
      <c r="H410" s="11"/>
      <c r="I410" s="11"/>
      <c r="J410" s="18" t="s">
        <v>44</v>
      </c>
      <c r="K410" s="18" t="s">
        <v>86</v>
      </c>
      <c r="L410" s="58" t="s">
        <v>65</v>
      </c>
      <c r="M410" s="18">
        <f>[1]!f_prt_stocktonav(B410,"2017/03/31")</f>
        <v>87.990951538085938</v>
      </c>
      <c r="N410" s="20" t="str">
        <f>[1]!f_info_fundmanager(B410)</f>
        <v>陈鹏</v>
      </c>
      <c r="O410" s="21">
        <v>0.46027397260273972</v>
      </c>
      <c r="P410" s="34" t="s">
        <v>1765</v>
      </c>
      <c r="Q410" s="34" t="s">
        <v>1766</v>
      </c>
      <c r="R410" s="34" t="s">
        <v>705</v>
      </c>
      <c r="S410" s="34">
        <v>20140923</v>
      </c>
      <c r="T410" s="45">
        <v>19.152807593599999</v>
      </c>
      <c r="U410" s="46">
        <v>22.668347348099999</v>
      </c>
      <c r="V410" s="34" t="s">
        <v>231</v>
      </c>
      <c r="W410" s="34" t="s">
        <v>44</v>
      </c>
      <c r="X410" s="34" t="s">
        <v>45</v>
      </c>
      <c r="Y410" s="34" t="s">
        <v>65</v>
      </c>
      <c r="Z410" s="34"/>
      <c r="AA410" s="34"/>
      <c r="AB410" s="22">
        <v>0.86417175292968751</v>
      </c>
      <c r="AC410" s="23" t="s">
        <v>1767</v>
      </c>
      <c r="AD410" s="24">
        <v>0.23013698630136986</v>
      </c>
      <c r="AE410" s="25">
        <v>0.1183411393104301</v>
      </c>
      <c r="AF410" s="26">
        <v>0</v>
      </c>
      <c r="AG410" s="26">
        <v>0</v>
      </c>
      <c r="AH410" s="27">
        <v>0.4501747297385657</v>
      </c>
      <c r="AI410" s="27">
        <v>0.4501747297385657</v>
      </c>
      <c r="AJ410" s="27">
        <v>0.4501747297385657</v>
      </c>
      <c r="AK410" s="28" t="s">
        <v>1211</v>
      </c>
      <c r="AL410" s="29" t="s">
        <v>48</v>
      </c>
      <c r="AM410" s="29" t="s">
        <v>48</v>
      </c>
      <c r="AN410" s="29" t="s">
        <v>48</v>
      </c>
      <c r="AO410" s="47" t="s">
        <v>1768</v>
      </c>
      <c r="AP410" s="28">
        <v>0</v>
      </c>
      <c r="AQ410" s="26">
        <v>1.4999999999999999E-2</v>
      </c>
      <c r="AR410" s="26">
        <v>0</v>
      </c>
    </row>
    <row r="411" spans="1:44" x14ac:dyDescent="0.15">
      <c r="A411">
        <v>527</v>
      </c>
      <c r="B411" s="11">
        <v>169101</v>
      </c>
      <c r="C411" s="32"/>
      <c r="D411" s="32">
        <v>4.6234124103864804E-3</v>
      </c>
      <c r="E411" s="32">
        <v>131</v>
      </c>
      <c r="F411" s="32">
        <v>2.3896689961624699E-4</v>
      </c>
      <c r="G411" s="11"/>
      <c r="H411" s="11"/>
      <c r="I411" s="11"/>
      <c r="J411" s="18" t="s">
        <v>44</v>
      </c>
      <c r="K411" s="18" t="s">
        <v>45</v>
      </c>
      <c r="L411" s="58" t="s">
        <v>65</v>
      </c>
      <c r="M411" s="18">
        <f>[1]!f_prt_stocktonav(B411,"2017/03/31")</f>
        <v>84.634162902832031</v>
      </c>
      <c r="N411" s="20" t="str">
        <f>[1]!f_info_fundmanager(B411)</f>
        <v>林鹏</v>
      </c>
      <c r="O411" s="21">
        <v>2.515068493150685</v>
      </c>
      <c r="P411" s="34" t="s">
        <v>1769</v>
      </c>
      <c r="Q411" s="34" t="s">
        <v>1770</v>
      </c>
      <c r="R411" s="34" t="s">
        <v>313</v>
      </c>
      <c r="S411" s="34">
        <v>20140919</v>
      </c>
      <c r="T411" s="45">
        <v>20.099275867500001</v>
      </c>
      <c r="U411" s="46">
        <v>19.468692940699999</v>
      </c>
      <c r="V411" s="34" t="s">
        <v>231</v>
      </c>
      <c r="W411" s="34" t="s">
        <v>44</v>
      </c>
      <c r="X411" s="17" t="s">
        <v>45</v>
      </c>
      <c r="Y411" s="17" t="s">
        <v>65</v>
      </c>
      <c r="Z411" s="34"/>
      <c r="AA411" s="34"/>
      <c r="AB411" s="22">
        <v>0.91212226867675783</v>
      </c>
      <c r="AC411" s="23" t="s">
        <v>1771</v>
      </c>
      <c r="AD411" s="24">
        <v>2.2849315068493152</v>
      </c>
      <c r="AE411" s="25">
        <v>0.33386705772612268</v>
      </c>
      <c r="AF411" s="26">
        <v>0</v>
      </c>
      <c r="AG411" s="26">
        <v>0</v>
      </c>
      <c r="AH411" s="27">
        <v>1.4243134473837056</v>
      </c>
      <c r="AI411" s="27">
        <v>1.4243134473837056</v>
      </c>
      <c r="AJ411" s="27">
        <v>1.4243134473837056</v>
      </c>
      <c r="AK411" s="28" t="s">
        <v>1647</v>
      </c>
      <c r="AL411" s="29" t="s">
        <v>48</v>
      </c>
      <c r="AM411" s="29" t="s">
        <v>48</v>
      </c>
      <c r="AN411" s="29" t="s">
        <v>48</v>
      </c>
      <c r="AO411" s="47">
        <v>0</v>
      </c>
      <c r="AP411" s="28">
        <v>0</v>
      </c>
      <c r="AQ411" s="26">
        <v>1.4999999999999999E-2</v>
      </c>
      <c r="AR411" s="26">
        <v>0</v>
      </c>
    </row>
    <row r="412" spans="1:44" x14ac:dyDescent="0.15">
      <c r="A412">
        <v>810</v>
      </c>
      <c r="B412" s="11">
        <v>751</v>
      </c>
      <c r="C412" s="32"/>
      <c r="D412" s="32">
        <v>3.3753295793980198E-3</v>
      </c>
      <c r="E412" s="32">
        <v>55</v>
      </c>
      <c r="F412" s="32">
        <v>7.7241226359978099E-2</v>
      </c>
      <c r="G412" s="11"/>
      <c r="H412" s="11"/>
      <c r="I412" s="11"/>
      <c r="J412" s="18" t="s">
        <v>44</v>
      </c>
      <c r="K412" s="18" t="s">
        <v>87</v>
      </c>
      <c r="L412" s="58" t="s">
        <v>817</v>
      </c>
      <c r="M412" s="18">
        <f>[1]!f_prt_stocktonav(B412,"2017/03/31")</f>
        <v>76.317909240722656</v>
      </c>
      <c r="N412" s="20" t="str">
        <f>[1]!f_info_fundmanager(B412)</f>
        <v>季文华</v>
      </c>
      <c r="O412" s="21">
        <v>1.0438356164383562</v>
      </c>
      <c r="P412" s="34" t="s">
        <v>1772</v>
      </c>
      <c r="Q412" s="34" t="s">
        <v>1773</v>
      </c>
      <c r="R412" s="34" t="s">
        <v>92</v>
      </c>
      <c r="S412" s="34">
        <v>20140917</v>
      </c>
      <c r="T412" s="45">
        <v>1.8625958191</v>
      </c>
      <c r="U412" s="46">
        <v>2.1930611562000002</v>
      </c>
      <c r="V412" s="34" t="s">
        <v>231</v>
      </c>
      <c r="W412" s="34" t="s">
        <v>44</v>
      </c>
      <c r="X412" s="34" t="s">
        <v>45</v>
      </c>
      <c r="Y412" s="34" t="s">
        <v>65</v>
      </c>
      <c r="Z412" s="34"/>
      <c r="AA412" s="34"/>
      <c r="AB412" s="22">
        <v>0.80993446350097653</v>
      </c>
      <c r="AC412" s="23" t="s">
        <v>1774</v>
      </c>
      <c r="AD412" s="24">
        <v>0.81369863013698629</v>
      </c>
      <c r="AE412" s="25">
        <v>0.18399553017763748</v>
      </c>
      <c r="AF412" s="26">
        <v>0</v>
      </c>
      <c r="AG412" s="26">
        <v>0</v>
      </c>
      <c r="AH412" s="27">
        <v>0.75441785484760437</v>
      </c>
      <c r="AI412" s="27">
        <v>0.75441785484760437</v>
      </c>
      <c r="AJ412" s="27">
        <v>0.75441785484760437</v>
      </c>
      <c r="AK412" s="28" t="s">
        <v>1775</v>
      </c>
      <c r="AL412" s="29" t="s">
        <v>48</v>
      </c>
      <c r="AM412" s="29" t="s">
        <v>48</v>
      </c>
      <c r="AN412" s="29" t="s">
        <v>48</v>
      </c>
      <c r="AO412" s="47" t="s">
        <v>249</v>
      </c>
      <c r="AP412" s="28">
        <v>0</v>
      </c>
      <c r="AQ412" s="26">
        <v>1.4999999999999999E-2</v>
      </c>
      <c r="AR412" s="26">
        <v>0</v>
      </c>
    </row>
    <row r="413" spans="1:44" x14ac:dyDescent="0.15">
      <c r="A413">
        <v>134</v>
      </c>
      <c r="B413" s="11">
        <v>696</v>
      </c>
      <c r="C413" s="32"/>
      <c r="D413" s="32">
        <v>-3.4247199825868302E-3</v>
      </c>
      <c r="E413" s="32">
        <v>133</v>
      </c>
      <c r="F413" s="32">
        <v>2.79654140017686E-2</v>
      </c>
      <c r="G413" s="11"/>
      <c r="H413" s="11"/>
      <c r="I413" s="11"/>
      <c r="J413" s="18" t="s">
        <v>44</v>
      </c>
      <c r="K413" s="18" t="s">
        <v>87</v>
      </c>
      <c r="L413" s="58" t="s">
        <v>274</v>
      </c>
      <c r="M413" s="18">
        <f>[1]!f_prt_stocktonav(B413,"2017/03/31")</f>
        <v>93.011848449707031</v>
      </c>
      <c r="N413" s="20" t="str">
        <f>[1]!f_info_fundmanager(B413)</f>
        <v>叶从飞</v>
      </c>
      <c r="O413" s="21">
        <v>2.5397260273972604</v>
      </c>
      <c r="P413" s="34" t="s">
        <v>1776</v>
      </c>
      <c r="Q413" s="34" t="s">
        <v>1777</v>
      </c>
      <c r="R413" s="34" t="s">
        <v>331</v>
      </c>
      <c r="S413" s="34">
        <v>20140916</v>
      </c>
      <c r="T413" s="45">
        <v>35.013171080600003</v>
      </c>
      <c r="U413" s="46">
        <v>37.701309884200001</v>
      </c>
      <c r="V413" s="34" t="s">
        <v>231</v>
      </c>
      <c r="W413" s="34" t="s">
        <v>44</v>
      </c>
      <c r="X413" s="34" t="s">
        <v>86</v>
      </c>
      <c r="Y413" s="34" t="s">
        <v>274</v>
      </c>
      <c r="Z413" s="34" t="s">
        <v>1778</v>
      </c>
      <c r="AA413" s="34"/>
      <c r="AB413" s="22">
        <v>0.93054748535156251</v>
      </c>
      <c r="AC413" s="23" t="s">
        <v>1779</v>
      </c>
      <c r="AD413" s="24">
        <v>2.3095890410958906</v>
      </c>
      <c r="AE413" s="25">
        <v>0.15963690102132344</v>
      </c>
      <c r="AF413" s="26">
        <v>0</v>
      </c>
      <c r="AG413" s="26">
        <v>0</v>
      </c>
      <c r="AH413" s="27">
        <v>0.53700629488539875</v>
      </c>
      <c r="AI413" s="27">
        <v>0.53700629488539875</v>
      </c>
      <c r="AJ413" s="27">
        <v>0.53700629488539875</v>
      </c>
      <c r="AK413" s="33" t="s">
        <v>1780</v>
      </c>
      <c r="AL413" s="29" t="s">
        <v>48</v>
      </c>
      <c r="AM413" s="29" t="s">
        <v>48</v>
      </c>
      <c r="AN413" s="29" t="s">
        <v>48</v>
      </c>
      <c r="AO413" s="47" t="s">
        <v>334</v>
      </c>
      <c r="AP413" s="28">
        <v>0</v>
      </c>
      <c r="AQ413" s="26">
        <v>1.4999999999999999E-2</v>
      </c>
      <c r="AR413" s="26">
        <v>0</v>
      </c>
    </row>
    <row r="414" spans="1:44" x14ac:dyDescent="0.15">
      <c r="A414">
        <v>603</v>
      </c>
      <c r="B414" s="11">
        <v>742</v>
      </c>
      <c r="C414" s="32"/>
      <c r="D414" s="32">
        <v>3.7112508163136201E-3</v>
      </c>
      <c r="E414" s="32">
        <v>70</v>
      </c>
      <c r="F414" s="32">
        <v>7.2869321687381194E-2</v>
      </c>
      <c r="G414" s="11"/>
      <c r="H414" s="11"/>
      <c r="I414" s="11"/>
      <c r="J414" s="18" t="s">
        <v>44</v>
      </c>
      <c r="K414" s="18" t="s">
        <v>45</v>
      </c>
      <c r="L414" s="58" t="s">
        <v>65</v>
      </c>
      <c r="M414" s="18">
        <f>[1]!f_prt_stocktonav(B414,"2017/03/31")</f>
        <v>82.875717163085938</v>
      </c>
      <c r="N414" s="20" t="str">
        <f>[1]!f_info_fundmanager(B414)</f>
        <v>彭凌志</v>
      </c>
      <c r="O414" s="21">
        <v>1.3315068493150686</v>
      </c>
      <c r="P414" s="34" t="s">
        <v>1781</v>
      </c>
      <c r="Q414" s="34" t="s">
        <v>1782</v>
      </c>
      <c r="R414" s="34" t="s">
        <v>663</v>
      </c>
      <c r="S414" s="34">
        <v>20140916</v>
      </c>
      <c r="T414" s="45">
        <v>8.0217792773000003</v>
      </c>
      <c r="U414" s="46">
        <v>8.5113067561999998</v>
      </c>
      <c r="V414" s="34" t="s">
        <v>231</v>
      </c>
      <c r="W414" s="34" t="s">
        <v>41</v>
      </c>
      <c r="X414" s="34" t="s">
        <v>42</v>
      </c>
      <c r="Y414" s="34" t="s">
        <v>388</v>
      </c>
      <c r="Z414" s="34"/>
      <c r="AA414" s="34"/>
      <c r="AB414" s="22">
        <v>0.26714187622070312</v>
      </c>
      <c r="AC414" s="23" t="s">
        <v>1005</v>
      </c>
      <c r="AD414" s="24">
        <v>1.1013698630136985</v>
      </c>
      <c r="AE414" s="25">
        <v>0.32350272964801663</v>
      </c>
      <c r="AF414" s="26">
        <v>0</v>
      </c>
      <c r="AG414" s="26">
        <v>0</v>
      </c>
      <c r="AH414" s="27">
        <v>0.95228663940699043</v>
      </c>
      <c r="AI414" s="27">
        <v>0.95228663940699043</v>
      </c>
      <c r="AJ414" s="27">
        <v>0.95228663940699043</v>
      </c>
      <c r="AK414" s="28" t="s">
        <v>105</v>
      </c>
      <c r="AL414" s="29" t="s">
        <v>48</v>
      </c>
      <c r="AM414" s="29" t="s">
        <v>48</v>
      </c>
      <c r="AN414" s="29" t="s">
        <v>48</v>
      </c>
      <c r="AO414" s="47" t="s">
        <v>1783</v>
      </c>
      <c r="AP414" s="28">
        <v>0</v>
      </c>
      <c r="AQ414" s="26">
        <v>1.4999999999999999E-2</v>
      </c>
      <c r="AR414" s="26">
        <v>0</v>
      </c>
    </row>
    <row r="415" spans="1:44" x14ac:dyDescent="0.15">
      <c r="A415">
        <v>428</v>
      </c>
      <c r="B415" s="11">
        <v>519606</v>
      </c>
      <c r="C415" s="32"/>
      <c r="D415" s="32">
        <v>5.8955185477756796E-3</v>
      </c>
      <c r="E415" s="32">
        <v>49</v>
      </c>
      <c r="F415" s="32">
        <v>6.5195593955853599E-3</v>
      </c>
      <c r="G415" s="11"/>
      <c r="H415" s="11"/>
      <c r="I415" s="11"/>
      <c r="J415" s="18" t="s">
        <v>44</v>
      </c>
      <c r="K415" s="18" t="s">
        <v>45</v>
      </c>
      <c r="L415" s="58" t="s">
        <v>65</v>
      </c>
      <c r="M415" s="18">
        <f>[1]!f_prt_stocktonav(B415,"2017/03/31")</f>
        <v>86.713356018066406</v>
      </c>
      <c r="N415" s="20" t="str">
        <f>[1]!f_info_fundmanager(B415)</f>
        <v>申坤</v>
      </c>
      <c r="O415" s="21">
        <v>0.92876712328767119</v>
      </c>
      <c r="P415" s="34" t="s">
        <v>1784</v>
      </c>
      <c r="Q415" s="34" t="s">
        <v>1785</v>
      </c>
      <c r="R415" s="34" t="s">
        <v>663</v>
      </c>
      <c r="S415" s="34">
        <v>20140915</v>
      </c>
      <c r="T415" s="45">
        <v>5.6750987779999997</v>
      </c>
      <c r="U415" s="46">
        <v>5.2077104497000004</v>
      </c>
      <c r="V415" s="34" t="s">
        <v>231</v>
      </c>
      <c r="W415" s="34" t="s">
        <v>44</v>
      </c>
      <c r="X415" s="34" t="s">
        <v>45</v>
      </c>
      <c r="Y415" s="34" t="s">
        <v>65</v>
      </c>
      <c r="Z415" s="34"/>
      <c r="AA415" s="34"/>
      <c r="AB415" s="22">
        <v>0.80247947692871091</v>
      </c>
      <c r="AC415" s="23" t="s">
        <v>1786</v>
      </c>
      <c r="AD415" s="24">
        <v>0.69863013698630139</v>
      </c>
      <c r="AE415" s="25">
        <v>0.13372899167050112</v>
      </c>
      <c r="AF415" s="26">
        <v>0</v>
      </c>
      <c r="AG415" s="26">
        <v>0</v>
      </c>
      <c r="AH415" s="27">
        <v>0.5076645475674143</v>
      </c>
      <c r="AI415" s="27">
        <v>0.5076645475674143</v>
      </c>
      <c r="AJ415" s="27">
        <v>0.5076645475674143</v>
      </c>
      <c r="AK415" s="28" t="s">
        <v>1787</v>
      </c>
      <c r="AL415" s="29">
        <v>5</v>
      </c>
      <c r="AM415" s="29">
        <v>3</v>
      </c>
      <c r="AN415" s="29" t="s">
        <v>48</v>
      </c>
      <c r="AO415" s="47" t="s">
        <v>1788</v>
      </c>
      <c r="AP415" s="28">
        <v>0</v>
      </c>
      <c r="AQ415" s="26">
        <v>1.4999999999999999E-2</v>
      </c>
      <c r="AR415" s="26">
        <v>0</v>
      </c>
    </row>
    <row r="416" spans="1:44" x14ac:dyDescent="0.15">
      <c r="A416">
        <v>34</v>
      </c>
      <c r="B416" s="11">
        <v>755</v>
      </c>
      <c r="C416" s="32"/>
      <c r="D416" s="32">
        <v>-2.3189581430715202E-3</v>
      </c>
      <c r="E416" s="32">
        <v>97</v>
      </c>
      <c r="F416" s="32">
        <v>0.39931270400622698</v>
      </c>
      <c r="G416" s="11"/>
      <c r="H416" s="11"/>
      <c r="I416" s="11"/>
      <c r="J416" s="18" t="s">
        <v>44</v>
      </c>
      <c r="K416" s="18" t="s">
        <v>87</v>
      </c>
      <c r="L416" s="58" t="s">
        <v>274</v>
      </c>
      <c r="M416" s="18">
        <f>[1]!f_prt_stocktonav(B416,"2017/03/31")</f>
        <v>94.537864685058594</v>
      </c>
      <c r="N416" s="20" t="str">
        <f>[1]!f_info_fundmanager(B416)</f>
        <v>孙绍冰</v>
      </c>
      <c r="O416" s="21">
        <v>1.8602739726027397</v>
      </c>
      <c r="P416" s="34" t="s">
        <v>1789</v>
      </c>
      <c r="Q416" s="34" t="s">
        <v>1790</v>
      </c>
      <c r="R416" s="34" t="s">
        <v>98</v>
      </c>
      <c r="S416" s="34">
        <v>20140911</v>
      </c>
      <c r="T416" s="45">
        <v>0.63016816919999996</v>
      </c>
      <c r="U416" s="46">
        <v>0.83193752509999996</v>
      </c>
      <c r="V416" s="34" t="s">
        <v>231</v>
      </c>
      <c r="W416" s="34" t="s">
        <v>44</v>
      </c>
      <c r="X416" s="34" t="s">
        <v>45</v>
      </c>
      <c r="Y416" s="34" t="s">
        <v>274</v>
      </c>
      <c r="Z416" s="34"/>
      <c r="AA416" s="34"/>
      <c r="AB416" s="22">
        <v>0.79633033752441407</v>
      </c>
      <c r="AC416" s="23" t="s">
        <v>1791</v>
      </c>
      <c r="AD416" s="24">
        <v>1.6301369863013699</v>
      </c>
      <c r="AE416" s="25">
        <v>1.6364100400917403E-2</v>
      </c>
      <c r="AF416" s="26">
        <v>0</v>
      </c>
      <c r="AG416" s="26">
        <v>0</v>
      </c>
      <c r="AH416" s="27">
        <v>0.11038087228575164</v>
      </c>
      <c r="AI416" s="27">
        <v>0.11038087228575164</v>
      </c>
      <c r="AJ416" s="27">
        <v>0.11038087228575164</v>
      </c>
      <c r="AK416" s="28" t="s">
        <v>100</v>
      </c>
      <c r="AL416" s="29" t="s">
        <v>48</v>
      </c>
      <c r="AM416" s="29" t="s">
        <v>48</v>
      </c>
      <c r="AN416" s="29" t="s">
        <v>48</v>
      </c>
      <c r="AO416" s="47" t="s">
        <v>310</v>
      </c>
      <c r="AP416" s="28">
        <v>0</v>
      </c>
      <c r="AQ416" s="26">
        <v>1.4999999999999999E-2</v>
      </c>
      <c r="AR416" s="26">
        <v>0</v>
      </c>
    </row>
    <row r="417" spans="1:44" x14ac:dyDescent="0.15">
      <c r="A417">
        <v>272</v>
      </c>
      <c r="B417" s="11">
        <v>756</v>
      </c>
      <c r="C417" s="32"/>
      <c r="D417" s="32">
        <v>-1.9984772158533502E-3</v>
      </c>
      <c r="E417" s="32">
        <v>133</v>
      </c>
      <c r="F417" s="32">
        <v>0.204026035574008</v>
      </c>
      <c r="G417" s="11"/>
      <c r="H417" s="11"/>
      <c r="I417" s="11"/>
      <c r="J417" s="18" t="s">
        <v>44</v>
      </c>
      <c r="K417" s="18" t="s">
        <v>45</v>
      </c>
      <c r="L417" s="58" t="s">
        <v>274</v>
      </c>
      <c r="M417" s="18">
        <f>[1]!f_prt_stocktonav(B417,"2017/03/31")</f>
        <v>90.022216796875</v>
      </c>
      <c r="N417" s="20" t="str">
        <f>[1]!f_info_fundmanager(B417)</f>
        <v>许杰</v>
      </c>
      <c r="O417" s="21">
        <v>2.5561643835616437</v>
      </c>
      <c r="P417" s="34" t="s">
        <v>1792</v>
      </c>
      <c r="Q417" s="34" t="s">
        <v>1793</v>
      </c>
      <c r="R417" s="34" t="s">
        <v>307</v>
      </c>
      <c r="S417" s="34">
        <v>20140910</v>
      </c>
      <c r="T417" s="45">
        <v>1.0907631613</v>
      </c>
      <c r="U417" s="46">
        <v>1.1322966002999999</v>
      </c>
      <c r="V417" s="34" t="s">
        <v>231</v>
      </c>
      <c r="W417" s="34" t="s">
        <v>44</v>
      </c>
      <c r="X417" s="34" t="s">
        <v>45</v>
      </c>
      <c r="Y417" s="34" t="s">
        <v>274</v>
      </c>
      <c r="Z417" s="34"/>
      <c r="AA417" s="34"/>
      <c r="AB417" s="22">
        <v>0.88375770568847656</v>
      </c>
      <c r="AC417" s="23" t="s">
        <v>1241</v>
      </c>
      <c r="AD417" s="24">
        <v>2.3260273972602739</v>
      </c>
      <c r="AE417" s="25">
        <v>0.12461064936907927</v>
      </c>
      <c r="AF417" s="26">
        <v>0</v>
      </c>
      <c r="AG417" s="26">
        <v>0</v>
      </c>
      <c r="AH417" s="27">
        <v>0.47872095918324742</v>
      </c>
      <c r="AI417" s="27">
        <v>0.47872095918324742</v>
      </c>
      <c r="AJ417" s="27">
        <v>0.47872095918324742</v>
      </c>
      <c r="AK417" s="28" t="s">
        <v>1013</v>
      </c>
      <c r="AL417" s="29" t="s">
        <v>48</v>
      </c>
      <c r="AM417" s="29" t="s">
        <v>48</v>
      </c>
      <c r="AN417" s="29" t="s">
        <v>48</v>
      </c>
      <c r="AO417" s="47" t="s">
        <v>310</v>
      </c>
      <c r="AP417" s="28">
        <v>0</v>
      </c>
      <c r="AQ417" s="26">
        <v>1.4999999999999999E-2</v>
      </c>
      <c r="AR417" s="26">
        <v>0</v>
      </c>
    </row>
    <row r="418" spans="1:44" x14ac:dyDescent="0.15">
      <c r="A418">
        <v>785</v>
      </c>
      <c r="B418" s="11">
        <v>598</v>
      </c>
      <c r="C418" s="32"/>
      <c r="D418" s="32">
        <v>-9.9051648285823396E-4</v>
      </c>
      <c r="E418" s="32">
        <v>133</v>
      </c>
      <c r="F418" s="32">
        <v>0.45936844651476799</v>
      </c>
      <c r="G418" s="11"/>
      <c r="H418" s="11"/>
      <c r="I418" s="11"/>
      <c r="J418" s="18" t="s">
        <v>44</v>
      </c>
      <c r="K418" s="18" t="s">
        <v>87</v>
      </c>
      <c r="L418" s="58" t="s">
        <v>65</v>
      </c>
      <c r="M418" s="18">
        <f>[1]!f_prt_stocktonav(B418,"2017/03/31")</f>
        <v>77.177391052246094</v>
      </c>
      <c r="N418" s="20" t="str">
        <f>[1]!f_info_fundmanager(B418)</f>
        <v>刘旭明</v>
      </c>
      <c r="O418" s="21">
        <v>2.5534246575342467</v>
      </c>
      <c r="P418" s="39" t="s">
        <v>1794</v>
      </c>
      <c r="Q418" s="39" t="s">
        <v>1795</v>
      </c>
      <c r="R418" s="39" t="s">
        <v>364</v>
      </c>
      <c r="S418" s="39">
        <v>20140910</v>
      </c>
      <c r="T418" s="48">
        <v>3.3914457092000001</v>
      </c>
      <c r="U418" s="46">
        <v>4.0269897149</v>
      </c>
      <c r="V418" s="39" t="s">
        <v>231</v>
      </c>
      <c r="W418" s="39" t="s">
        <v>44</v>
      </c>
      <c r="X418" s="39" t="s">
        <v>86</v>
      </c>
      <c r="Y418" s="34" t="s">
        <v>65</v>
      </c>
      <c r="Z418" s="34" t="s">
        <v>1796</v>
      </c>
      <c r="AA418" s="34"/>
      <c r="AB418" s="22">
        <v>0.76715209960937503</v>
      </c>
      <c r="AC418" s="23" t="s">
        <v>1718</v>
      </c>
      <c r="AD418" s="24">
        <v>2.3232876712328765</v>
      </c>
      <c r="AE418" s="25">
        <v>0.15698915563511573</v>
      </c>
      <c r="AF418" s="26">
        <v>0</v>
      </c>
      <c r="AG418" s="26">
        <v>0</v>
      </c>
      <c r="AH418" s="27">
        <v>0.60316937118560965</v>
      </c>
      <c r="AI418" s="27">
        <v>0.60316937118560965</v>
      </c>
      <c r="AJ418" s="27">
        <v>0.60316937118560965</v>
      </c>
      <c r="AK418" s="40" t="s">
        <v>1797</v>
      </c>
      <c r="AL418" s="41" t="s">
        <v>48</v>
      </c>
      <c r="AM418" s="41" t="s">
        <v>48</v>
      </c>
      <c r="AN418" s="41" t="s">
        <v>48</v>
      </c>
      <c r="AO418" s="50" t="s">
        <v>367</v>
      </c>
      <c r="AP418" s="51">
        <v>0</v>
      </c>
      <c r="AQ418" s="52">
        <v>1.4999999999999999E-2</v>
      </c>
      <c r="AR418" s="52">
        <v>0</v>
      </c>
    </row>
    <row r="419" spans="1:44" x14ac:dyDescent="0.15">
      <c r="A419">
        <v>438</v>
      </c>
      <c r="B419" s="11">
        <v>746</v>
      </c>
      <c r="C419" s="32"/>
      <c r="D419" s="32">
        <v>3.4789658163900902E-3</v>
      </c>
      <c r="E419" s="32">
        <v>13</v>
      </c>
      <c r="F419" s="32">
        <v>0.49029987986586998</v>
      </c>
      <c r="G419" s="11"/>
      <c r="H419" s="11"/>
      <c r="I419" s="11"/>
      <c r="J419" s="18" t="s">
        <v>44</v>
      </c>
      <c r="K419" s="18" t="s">
        <v>45</v>
      </c>
      <c r="L419" s="58" t="s">
        <v>65</v>
      </c>
      <c r="M419" s="18">
        <f>[1]!f_prt_stocktonav(B419,"2017/03/31")</f>
        <v>86.513374328613281</v>
      </c>
      <c r="N419" s="20" t="str">
        <f>[1]!f_info_fundmanager(B419)</f>
        <v>贾成东</v>
      </c>
      <c r="O419" s="21">
        <v>0.24657534246575341</v>
      </c>
      <c r="P419" s="34" t="s">
        <v>1798</v>
      </c>
      <c r="Q419" s="34" t="s">
        <v>1799</v>
      </c>
      <c r="R419" s="34" t="s">
        <v>165</v>
      </c>
      <c r="S419" s="34">
        <v>20140903</v>
      </c>
      <c r="T419" s="45">
        <v>5.3055765426999999</v>
      </c>
      <c r="U419" s="46">
        <v>7.1314393420000002</v>
      </c>
      <c r="V419" s="34" t="s">
        <v>231</v>
      </c>
      <c r="W419" s="34" t="s">
        <v>44</v>
      </c>
      <c r="X419" s="34" t="s">
        <v>45</v>
      </c>
      <c r="Y419" s="34" t="s">
        <v>274</v>
      </c>
      <c r="Z419" s="34"/>
      <c r="AA419" s="34"/>
      <c r="AB419" s="22">
        <v>0.8101602172851563</v>
      </c>
      <c r="AC419" s="23" t="s">
        <v>1800</v>
      </c>
      <c r="AD419" s="24">
        <v>2.3452054794520549</v>
      </c>
      <c r="AE419" s="25">
        <v>0.10570697533844342</v>
      </c>
      <c r="AF419" s="26">
        <v>0</v>
      </c>
      <c r="AG419" s="26">
        <v>0</v>
      </c>
      <c r="AH419" s="27">
        <v>0.42200877564458111</v>
      </c>
      <c r="AI419" s="27">
        <v>0.42200877564458111</v>
      </c>
      <c r="AJ419" s="27">
        <v>0.42200877564458111</v>
      </c>
      <c r="AK419" s="28" t="s">
        <v>957</v>
      </c>
      <c r="AL419" s="29" t="s">
        <v>48</v>
      </c>
      <c r="AM419" s="29" t="s">
        <v>48</v>
      </c>
      <c r="AN419" s="29" t="s">
        <v>48</v>
      </c>
      <c r="AO419" s="47" t="s">
        <v>249</v>
      </c>
      <c r="AP419" s="28">
        <v>0</v>
      </c>
      <c r="AQ419" s="26">
        <v>1.4999999999999999E-2</v>
      </c>
      <c r="AR419" s="26">
        <v>0</v>
      </c>
    </row>
    <row r="420" spans="1:44" x14ac:dyDescent="0.15">
      <c r="A420">
        <v>160</v>
      </c>
      <c r="B420" s="11">
        <v>697</v>
      </c>
      <c r="C420" s="32"/>
      <c r="D420" s="32">
        <v>-2.1438560449720001E-3</v>
      </c>
      <c r="E420" s="32">
        <v>136</v>
      </c>
      <c r="F420" s="32">
        <v>0.34809601718312599</v>
      </c>
      <c r="G420" s="11"/>
      <c r="H420" s="11"/>
      <c r="I420" s="11"/>
      <c r="J420" s="18" t="s">
        <v>44</v>
      </c>
      <c r="K420" s="18" t="s">
        <v>87</v>
      </c>
      <c r="L420" s="58" t="s">
        <v>274</v>
      </c>
      <c r="M420" s="18">
        <f>[1]!f_prt_stocktonav(B420,"2017/03/31")</f>
        <v>92.588409423828125</v>
      </c>
      <c r="N420" s="20" t="str">
        <f>[1]!f_info_fundmanager(B420)</f>
        <v>欧阳沁春</v>
      </c>
      <c r="O420" s="21">
        <v>2.5972602739726027</v>
      </c>
      <c r="P420" s="34" t="s">
        <v>1801</v>
      </c>
      <c r="Q420" s="34" t="s">
        <v>1802</v>
      </c>
      <c r="R420" s="34" t="s">
        <v>331</v>
      </c>
      <c r="S420" s="34">
        <v>20140826</v>
      </c>
      <c r="T420" s="45">
        <v>64.229237859700007</v>
      </c>
      <c r="U420" s="46">
        <v>74.121415941699993</v>
      </c>
      <c r="V420" s="34" t="s">
        <v>231</v>
      </c>
      <c r="W420" s="34" t="s">
        <v>44</v>
      </c>
      <c r="X420" s="34" t="s">
        <v>45</v>
      </c>
      <c r="Y420" s="34" t="s">
        <v>274</v>
      </c>
      <c r="Z420" s="34"/>
      <c r="AA420" s="34"/>
      <c r="AB420" s="22">
        <v>0.914698486328125</v>
      </c>
      <c r="AC420" s="23" t="s">
        <v>1803</v>
      </c>
      <c r="AD420" s="24">
        <v>2.3671232876712329</v>
      </c>
      <c r="AE420" s="25">
        <v>0.16413743071473941</v>
      </c>
      <c r="AF420" s="26">
        <v>0</v>
      </c>
      <c r="AG420" s="26">
        <v>0</v>
      </c>
      <c r="AH420" s="27">
        <v>0.53188338218431397</v>
      </c>
      <c r="AI420" s="27">
        <v>0.53188338218431397</v>
      </c>
      <c r="AJ420" s="27">
        <v>0.53188338218431397</v>
      </c>
      <c r="AK420" s="28" t="s">
        <v>1804</v>
      </c>
      <c r="AL420" s="29" t="s">
        <v>48</v>
      </c>
      <c r="AM420" s="29" t="s">
        <v>48</v>
      </c>
      <c r="AN420" s="29" t="s">
        <v>48</v>
      </c>
      <c r="AO420" s="47" t="s">
        <v>334</v>
      </c>
      <c r="AP420" s="28">
        <v>0</v>
      </c>
      <c r="AQ420" s="26">
        <v>1.4999999999999999E-2</v>
      </c>
      <c r="AR420" s="26">
        <v>0</v>
      </c>
    </row>
    <row r="421" spans="1:44" x14ac:dyDescent="0.15">
      <c r="A421">
        <v>693</v>
      </c>
      <c r="B421" s="11">
        <v>689</v>
      </c>
      <c r="C421" s="32"/>
      <c r="D421" s="32">
        <v>-3.1158459822578301E-3</v>
      </c>
      <c r="E421" s="32">
        <v>136</v>
      </c>
      <c r="F421" s="32">
        <v>0.14627337313073699</v>
      </c>
      <c r="G421" s="11"/>
      <c r="H421" s="11"/>
      <c r="I421" s="11"/>
      <c r="J421" s="18" t="s">
        <v>44</v>
      </c>
      <c r="K421" s="18" t="s">
        <v>45</v>
      </c>
      <c r="L421" s="58" t="s">
        <v>65</v>
      </c>
      <c r="M421" s="18">
        <f>[1]!f_prt_stocktonav(B421,"2017/03/31")</f>
        <v>80.174064636230469</v>
      </c>
      <c r="N421" s="20" t="str">
        <f>[1]!f_info_fundmanager(B421)</f>
        <v>丁骏</v>
      </c>
      <c r="O421" s="21">
        <v>2.6136986301369864</v>
      </c>
      <c r="P421" s="34" t="s">
        <v>1805</v>
      </c>
      <c r="Q421" s="34" t="s">
        <v>1806</v>
      </c>
      <c r="R421" s="34" t="s">
        <v>78</v>
      </c>
      <c r="S421" s="34">
        <v>20140820</v>
      </c>
      <c r="T421" s="45">
        <v>2.6619930793000002</v>
      </c>
      <c r="U421" s="46">
        <v>2.7442876381999999</v>
      </c>
      <c r="V421" s="34" t="s">
        <v>231</v>
      </c>
      <c r="W421" s="34" t="s">
        <v>44</v>
      </c>
      <c r="X421" s="34" t="s">
        <v>45</v>
      </c>
      <c r="Y421" s="34" t="s">
        <v>65</v>
      </c>
      <c r="Z421" s="34"/>
      <c r="AA421" s="34"/>
      <c r="AB421" s="22">
        <v>0.87839996337890625</v>
      </c>
      <c r="AC421" s="23" t="s">
        <v>80</v>
      </c>
      <c r="AD421" s="24">
        <v>2.3835616438356166</v>
      </c>
      <c r="AE421" s="25">
        <v>3.3814732813084447E-2</v>
      </c>
      <c r="AF421" s="26">
        <v>0</v>
      </c>
      <c r="AG421" s="26">
        <v>0</v>
      </c>
      <c r="AH421" s="27">
        <v>0.20284806012255302</v>
      </c>
      <c r="AI421" s="27">
        <v>0.20284806012255302</v>
      </c>
      <c r="AJ421" s="27">
        <v>0.20284806012255302</v>
      </c>
      <c r="AK421" s="28" t="s">
        <v>196</v>
      </c>
      <c r="AL421" s="29" t="s">
        <v>48</v>
      </c>
      <c r="AM421" s="29" t="s">
        <v>48</v>
      </c>
      <c r="AN421" s="29" t="s">
        <v>48</v>
      </c>
      <c r="AO421" s="47" t="s">
        <v>270</v>
      </c>
      <c r="AP421" s="28">
        <v>0</v>
      </c>
      <c r="AQ421" s="26">
        <v>1.4999999999999999E-2</v>
      </c>
      <c r="AR421" s="26">
        <v>0</v>
      </c>
    </row>
    <row r="422" spans="1:44" x14ac:dyDescent="0.15">
      <c r="A422">
        <v>501</v>
      </c>
      <c r="B422" s="11">
        <v>729</v>
      </c>
      <c r="C422" s="32"/>
      <c r="D422" s="32">
        <v>0</v>
      </c>
      <c r="E422" s="32">
        <v>0</v>
      </c>
      <c r="F422" s="32">
        <v>0</v>
      </c>
      <c r="G422" s="11"/>
      <c r="H422" s="11"/>
      <c r="I422" s="11"/>
      <c r="J422" s="18" t="s">
        <v>44</v>
      </c>
      <c r="K422" s="18" t="s">
        <v>45</v>
      </c>
      <c r="L422" s="58">
        <v>0</v>
      </c>
      <c r="M422" s="18">
        <f>[1]!f_prt_stocktonav(B422,"2017/03/31")</f>
        <v>85.241134643554687</v>
      </c>
      <c r="N422" s="20" t="str">
        <f>[1]!f_info_fundmanager(B422)</f>
        <v>许杰</v>
      </c>
      <c r="O422" s="21">
        <v>2.4657534246575342E-2</v>
      </c>
      <c r="P422" s="34" t="s">
        <v>1807</v>
      </c>
      <c r="Q422" s="34" t="s">
        <v>1808</v>
      </c>
      <c r="R422" s="34" t="s">
        <v>307</v>
      </c>
      <c r="S422" s="34">
        <v>20140820</v>
      </c>
      <c r="T422" s="45">
        <v>2.9223712461</v>
      </c>
      <c r="U422" s="46">
        <v>3.2938405883000001</v>
      </c>
      <c r="V422" s="34" t="s">
        <v>231</v>
      </c>
      <c r="W422" s="34" t="s">
        <v>44</v>
      </c>
      <c r="X422" s="34" t="s">
        <v>45</v>
      </c>
      <c r="Y422" s="34" t="s">
        <v>274</v>
      </c>
      <c r="Z422" s="34"/>
      <c r="AA422" s="34"/>
      <c r="AB422" s="22">
        <v>0.83859870910644529</v>
      </c>
      <c r="AC422" s="23" t="s">
        <v>1809</v>
      </c>
      <c r="AD422" s="24">
        <v>2.3835616438356166</v>
      </c>
      <c r="AE422" s="25">
        <v>0.15255315269103731</v>
      </c>
      <c r="AF422" s="26">
        <v>0</v>
      </c>
      <c r="AG422" s="26">
        <v>0</v>
      </c>
      <c r="AH422" s="27">
        <v>0.55112418814003494</v>
      </c>
      <c r="AI422" s="27">
        <v>0.55112418814003494</v>
      </c>
      <c r="AJ422" s="27">
        <v>0.55112418814003494</v>
      </c>
      <c r="AK422" s="28" t="s">
        <v>1810</v>
      </c>
      <c r="AL422" s="29" t="s">
        <v>48</v>
      </c>
      <c r="AM422" s="29" t="s">
        <v>48</v>
      </c>
      <c r="AN422" s="29" t="s">
        <v>48</v>
      </c>
      <c r="AO422" s="47" t="s">
        <v>310</v>
      </c>
      <c r="AP422" s="28">
        <v>0</v>
      </c>
      <c r="AQ422" s="26">
        <v>1.4999999999999999E-2</v>
      </c>
      <c r="AR422" s="26">
        <v>0</v>
      </c>
    </row>
    <row r="423" spans="1:44" x14ac:dyDescent="0.15">
      <c r="A423">
        <v>237</v>
      </c>
      <c r="B423" s="11">
        <v>646</v>
      </c>
      <c r="C423" s="32"/>
      <c r="D423" s="32">
        <v>2.7934063789723199E-5</v>
      </c>
      <c r="E423" s="32">
        <v>81</v>
      </c>
      <c r="F423" s="32">
        <v>0.984974802687409</v>
      </c>
      <c r="G423" s="11"/>
      <c r="H423" s="11"/>
      <c r="I423" s="11"/>
      <c r="J423" s="18" t="s">
        <v>44</v>
      </c>
      <c r="K423" s="18" t="s">
        <v>86</v>
      </c>
      <c r="L423" s="58" t="s">
        <v>274</v>
      </c>
      <c r="M423" s="18">
        <f>[1]!f_prt_stocktonav(B423,"2017/03/31")</f>
        <v>90.9041748046875</v>
      </c>
      <c r="N423" s="20" t="str">
        <f>[1]!f_info_fundmanager(B423)</f>
        <v>袁华涛,石武斌</v>
      </c>
      <c r="O423" s="21">
        <v>1.5397260273972602</v>
      </c>
      <c r="P423" s="34" t="s">
        <v>1811</v>
      </c>
      <c r="Q423" s="34" t="s">
        <v>1812</v>
      </c>
      <c r="R423" s="34" t="s">
        <v>1813</v>
      </c>
      <c r="S423" s="34">
        <v>20140818</v>
      </c>
      <c r="T423" s="45">
        <v>0.58508167</v>
      </c>
      <c r="U423" s="46">
        <v>0.52810688949999995</v>
      </c>
      <c r="V423" s="34" t="s">
        <v>231</v>
      </c>
      <c r="W423" s="34" t="s">
        <v>44</v>
      </c>
      <c r="X423" s="34" t="s">
        <v>45</v>
      </c>
      <c r="Y423" s="34" t="s">
        <v>274</v>
      </c>
      <c r="Z423" s="34"/>
      <c r="AA423" s="34"/>
      <c r="AB423" s="22">
        <v>0.93232261657714843</v>
      </c>
      <c r="AC423" s="23" t="s">
        <v>1814</v>
      </c>
      <c r="AD423" s="24">
        <v>1.3095890410958904</v>
      </c>
      <c r="AE423" s="25">
        <v>0.14241782812635151</v>
      </c>
      <c r="AF423" s="26">
        <v>0</v>
      </c>
      <c r="AG423" s="26">
        <v>0</v>
      </c>
      <c r="AH423" s="27">
        <v>0.52410945164649814</v>
      </c>
      <c r="AI423" s="27">
        <v>0.52410945164649814</v>
      </c>
      <c r="AJ423" s="27">
        <v>0.52410945164649814</v>
      </c>
      <c r="AK423" s="28" t="s">
        <v>1815</v>
      </c>
      <c r="AL423" s="29" t="s">
        <v>48</v>
      </c>
      <c r="AM423" s="29" t="s">
        <v>48</v>
      </c>
      <c r="AN423" s="29" t="s">
        <v>48</v>
      </c>
      <c r="AO423" s="47" t="s">
        <v>702</v>
      </c>
      <c r="AP423" s="28">
        <v>0</v>
      </c>
      <c r="AQ423" s="26">
        <v>1.4999999999999999E-2</v>
      </c>
      <c r="AR423" s="26">
        <v>0</v>
      </c>
    </row>
    <row r="424" spans="1:44" x14ac:dyDescent="0.15">
      <c r="A424">
        <v>142</v>
      </c>
      <c r="B424" s="11">
        <v>711</v>
      </c>
      <c r="C424" s="32"/>
      <c r="D424" s="32">
        <v>-2.7413620767120801E-3</v>
      </c>
      <c r="E424" s="32">
        <v>137</v>
      </c>
      <c r="F424" s="32">
        <v>6.7213152687283395E-2</v>
      </c>
      <c r="G424" s="11"/>
      <c r="H424" s="11"/>
      <c r="I424" s="11"/>
      <c r="J424" s="18" t="s">
        <v>44</v>
      </c>
      <c r="K424" s="18" t="s">
        <v>86</v>
      </c>
      <c r="L424" s="58" t="s">
        <v>274</v>
      </c>
      <c r="M424" s="18">
        <f>[1]!f_prt_stocktonav(B424,"2017/03/31")</f>
        <v>92.895027160644531</v>
      </c>
      <c r="N424" s="20" t="str">
        <f>[1]!f_info_fundmanager(B424)</f>
        <v>齐海滔</v>
      </c>
      <c r="O424" s="21">
        <v>2.6328767123287671</v>
      </c>
      <c r="P424" s="34" t="s">
        <v>1816</v>
      </c>
      <c r="Q424" s="34" t="s">
        <v>1817</v>
      </c>
      <c r="R424" s="34" t="s">
        <v>92</v>
      </c>
      <c r="S424" s="34">
        <v>20140813</v>
      </c>
      <c r="T424" s="45">
        <v>16.354790371</v>
      </c>
      <c r="U424" s="46">
        <v>15.786649066000001</v>
      </c>
      <c r="V424" s="34" t="s">
        <v>231</v>
      </c>
      <c r="W424" s="34" t="s">
        <v>44</v>
      </c>
      <c r="X424" s="34" t="s">
        <v>45</v>
      </c>
      <c r="Y424" s="34" t="s">
        <v>274</v>
      </c>
      <c r="Z424" s="34"/>
      <c r="AA424" s="34"/>
      <c r="AB424" s="22">
        <v>0.9303916931152344</v>
      </c>
      <c r="AC424" s="23" t="s">
        <v>1818</v>
      </c>
      <c r="AD424" s="24">
        <v>2.4027397260273973</v>
      </c>
      <c r="AE424" s="25">
        <v>0.11607705165595504</v>
      </c>
      <c r="AF424" s="26">
        <v>0</v>
      </c>
      <c r="AG424" s="26">
        <v>0</v>
      </c>
      <c r="AH424" s="27">
        <v>0.45202062105614405</v>
      </c>
      <c r="AI424" s="27">
        <v>0.45202062105614405</v>
      </c>
      <c r="AJ424" s="27">
        <v>0.45202062105614405</v>
      </c>
      <c r="AK424" s="28" t="s">
        <v>1819</v>
      </c>
      <c r="AL424" s="29" t="s">
        <v>48</v>
      </c>
      <c r="AM424" s="29" t="s">
        <v>48</v>
      </c>
      <c r="AN424" s="29" t="s">
        <v>48</v>
      </c>
      <c r="AO424" s="47" t="s">
        <v>249</v>
      </c>
      <c r="AP424" s="28">
        <v>0</v>
      </c>
      <c r="AQ424" s="26">
        <v>1.4999999999999999E-2</v>
      </c>
      <c r="AR424" s="26">
        <v>0</v>
      </c>
    </row>
    <row r="425" spans="1:44" x14ac:dyDescent="0.15">
      <c r="A425">
        <v>607</v>
      </c>
      <c r="B425" s="11">
        <v>698</v>
      </c>
      <c r="C425" s="32"/>
      <c r="D425" s="32">
        <v>7.4148866686087002E-4</v>
      </c>
      <c r="E425" s="32">
        <v>28</v>
      </c>
      <c r="F425" s="32">
        <v>0.70835275501169004</v>
      </c>
      <c r="G425" s="11"/>
      <c r="H425" s="11"/>
      <c r="I425" s="11"/>
      <c r="J425" s="18" t="s">
        <v>44</v>
      </c>
      <c r="K425" s="18" t="s">
        <v>45</v>
      </c>
      <c r="L425" s="58" t="s">
        <v>65</v>
      </c>
      <c r="M425" s="18">
        <f>[1]!f_prt_stocktonav(B425,"2017/03/31")</f>
        <v>82.718650817871094</v>
      </c>
      <c r="N425" s="20" t="str">
        <f>[1]!f_info_fundmanager(B425)</f>
        <v>张仲维</v>
      </c>
      <c r="O425" s="21">
        <v>0.52328767123287667</v>
      </c>
      <c r="P425" s="34" t="s">
        <v>1820</v>
      </c>
      <c r="Q425" s="34" t="s">
        <v>1821</v>
      </c>
      <c r="R425" s="34" t="s">
        <v>402</v>
      </c>
      <c r="S425" s="34">
        <v>20140813</v>
      </c>
      <c r="T425" s="45">
        <v>29.438616740899999</v>
      </c>
      <c r="U425" s="46">
        <v>35.467301644899997</v>
      </c>
      <c r="V425" s="34" t="s">
        <v>231</v>
      </c>
      <c r="W425" s="34" t="s">
        <v>44</v>
      </c>
      <c r="X425" s="34" t="s">
        <v>45</v>
      </c>
      <c r="Y425" s="34" t="s">
        <v>65</v>
      </c>
      <c r="Z425" s="34"/>
      <c r="AA425" s="34"/>
      <c r="AB425" s="22">
        <v>0.94655349731445315</v>
      </c>
      <c r="AC425" s="23" t="s">
        <v>1822</v>
      </c>
      <c r="AD425" s="24">
        <v>0.29315068493150687</v>
      </c>
      <c r="AE425" s="25">
        <v>0.17599632964085152</v>
      </c>
      <c r="AF425" s="26">
        <v>0</v>
      </c>
      <c r="AG425" s="26">
        <v>0</v>
      </c>
      <c r="AH425" s="27">
        <v>0.56281123494091423</v>
      </c>
      <c r="AI425" s="27">
        <v>0.56281123494091423</v>
      </c>
      <c r="AJ425" s="27">
        <v>0.56281123494091423</v>
      </c>
      <c r="AK425" s="28" t="s">
        <v>714</v>
      </c>
      <c r="AL425" s="29" t="s">
        <v>48</v>
      </c>
      <c r="AM425" s="29" t="s">
        <v>48</v>
      </c>
      <c r="AN425" s="29" t="s">
        <v>48</v>
      </c>
      <c r="AO425" s="47" t="s">
        <v>715</v>
      </c>
      <c r="AP425" s="28">
        <v>0</v>
      </c>
      <c r="AQ425" s="26">
        <v>1.4999999999999999E-2</v>
      </c>
      <c r="AR425" s="26">
        <v>0</v>
      </c>
    </row>
    <row r="426" spans="1:44" x14ac:dyDescent="0.15">
      <c r="A426">
        <v>249</v>
      </c>
      <c r="B426" s="11">
        <v>688</v>
      </c>
      <c r="C426" s="32"/>
      <c r="D426" s="32">
        <v>-2.3207432930833802E-3</v>
      </c>
      <c r="E426" s="32">
        <v>138</v>
      </c>
      <c r="F426" s="32">
        <v>6.6528172990138995E-2</v>
      </c>
      <c r="G426" s="11"/>
      <c r="H426" s="11"/>
      <c r="I426" s="11"/>
      <c r="J426" s="18" t="s">
        <v>44</v>
      </c>
      <c r="K426" s="18" t="s">
        <v>45</v>
      </c>
      <c r="L426" s="58" t="s">
        <v>65</v>
      </c>
      <c r="M426" s="18">
        <f>[1]!f_prt_stocktonav(B426,"2017/03/31")</f>
        <v>90.572998046875</v>
      </c>
      <c r="N426" s="20" t="str">
        <f>[1]!f_info_fundmanager(B426)</f>
        <v>江科宏,徐喻军</v>
      </c>
      <c r="O426" s="21">
        <v>2.6356164383561644</v>
      </c>
      <c r="P426" s="34" t="s">
        <v>1823</v>
      </c>
      <c r="Q426" s="34" t="s">
        <v>1824</v>
      </c>
      <c r="R426" s="34" t="s">
        <v>353</v>
      </c>
      <c r="S426" s="34">
        <v>20140812</v>
      </c>
      <c r="T426" s="45">
        <v>0.50556050949999998</v>
      </c>
      <c r="U426" s="46">
        <v>0.58251269670000005</v>
      </c>
      <c r="V426" s="34" t="s">
        <v>231</v>
      </c>
      <c r="W426" s="34" t="s">
        <v>44</v>
      </c>
      <c r="X426" s="34" t="s">
        <v>45</v>
      </c>
      <c r="Y426" s="34" t="s">
        <v>274</v>
      </c>
      <c r="Z426" s="34"/>
      <c r="AA426" s="34"/>
      <c r="AB426" s="22">
        <v>0.88304100036621092</v>
      </c>
      <c r="AC426" s="23" t="s">
        <v>1825</v>
      </c>
      <c r="AD426" s="24">
        <v>2.4054794520547946</v>
      </c>
      <c r="AE426" s="25">
        <v>9.6983142087744945E-2</v>
      </c>
      <c r="AF426" s="26">
        <v>0</v>
      </c>
      <c r="AG426" s="26">
        <v>0</v>
      </c>
      <c r="AH426" s="27">
        <v>0.39726235375694957</v>
      </c>
      <c r="AI426" s="27">
        <v>0.39726235375694957</v>
      </c>
      <c r="AJ426" s="27">
        <v>0.39726235375694957</v>
      </c>
      <c r="AK426" s="28" t="s">
        <v>1468</v>
      </c>
      <c r="AL426" s="29" t="s">
        <v>48</v>
      </c>
      <c r="AM426" s="29" t="s">
        <v>48</v>
      </c>
      <c r="AN426" s="29" t="s">
        <v>48</v>
      </c>
      <c r="AO426" s="47" t="s">
        <v>1826</v>
      </c>
      <c r="AP426" s="28">
        <v>0</v>
      </c>
      <c r="AQ426" s="26">
        <v>1.4999999999999999E-2</v>
      </c>
      <c r="AR426" s="26">
        <v>0</v>
      </c>
    </row>
    <row r="427" spans="1:44" x14ac:dyDescent="0.15">
      <c r="A427">
        <v>490</v>
      </c>
      <c r="B427" s="11">
        <v>477</v>
      </c>
      <c r="C427" s="32"/>
      <c r="D427" s="32">
        <v>-1.21679999148046E-3</v>
      </c>
      <c r="E427" s="32">
        <v>139</v>
      </c>
      <c r="F427" s="32">
        <v>0.40100154238861302</v>
      </c>
      <c r="G427" s="11"/>
      <c r="H427" s="11"/>
      <c r="I427" s="11"/>
      <c r="J427" s="18" t="s">
        <v>44</v>
      </c>
      <c r="K427" s="18" t="s">
        <v>87</v>
      </c>
      <c r="L427" s="58" t="s">
        <v>274</v>
      </c>
      <c r="M427" s="18">
        <f>[1]!f_prt_stocktonav(B427,"2017/03/31")</f>
        <v>85.5328369140625</v>
      </c>
      <c r="N427" s="20" t="str">
        <f>[1]!f_info_fundmanager(B427)</f>
        <v>李巍</v>
      </c>
      <c r="O427" s="21">
        <v>2.6684931506849314</v>
      </c>
      <c r="P427" s="34" t="s">
        <v>1827</v>
      </c>
      <c r="Q427" s="34" t="s">
        <v>1828</v>
      </c>
      <c r="R427" s="34" t="s">
        <v>132</v>
      </c>
      <c r="S427" s="34">
        <v>20140731</v>
      </c>
      <c r="T427" s="45">
        <v>18.823828752200001</v>
      </c>
      <c r="U427" s="46">
        <v>20.280788844500002</v>
      </c>
      <c r="V427" s="34" t="s">
        <v>231</v>
      </c>
      <c r="W427" s="34" t="s">
        <v>44</v>
      </c>
      <c r="X427" s="34" t="s">
        <v>45</v>
      </c>
      <c r="Y427" s="34" t="s">
        <v>274</v>
      </c>
      <c r="Z427" s="34"/>
      <c r="AA427" s="34"/>
      <c r="AB427" s="22">
        <v>0.90427474975585942</v>
      </c>
      <c r="AC427" s="23" t="s">
        <v>1829</v>
      </c>
      <c r="AD427" s="24">
        <v>2.4383561643835616</v>
      </c>
      <c r="AE427" s="25">
        <v>0.22293248414808597</v>
      </c>
      <c r="AF427" s="26">
        <v>0</v>
      </c>
      <c r="AG427" s="26">
        <v>0</v>
      </c>
      <c r="AH427" s="27">
        <v>0.68137550526314339</v>
      </c>
      <c r="AI427" s="27">
        <v>0.68137550526314339</v>
      </c>
      <c r="AJ427" s="27">
        <v>0.68137550526314339</v>
      </c>
      <c r="AK427" s="28" t="s">
        <v>1830</v>
      </c>
      <c r="AL427" s="29" t="s">
        <v>48</v>
      </c>
      <c r="AM427" s="29" t="s">
        <v>48</v>
      </c>
      <c r="AN427" s="29" t="s">
        <v>48</v>
      </c>
      <c r="AO427" s="47" t="s">
        <v>1831</v>
      </c>
      <c r="AP427" s="28">
        <v>0</v>
      </c>
      <c r="AQ427" s="26">
        <v>1.4999999999999999E-2</v>
      </c>
      <c r="AR427" s="26">
        <v>0</v>
      </c>
    </row>
    <row r="428" spans="1:44" x14ac:dyDescent="0.15">
      <c r="A428">
        <v>81</v>
      </c>
      <c r="B428" s="11">
        <v>690</v>
      </c>
      <c r="C428" s="32"/>
      <c r="D428" s="32">
        <v>-3.69695757233123E-3</v>
      </c>
      <c r="E428" s="32">
        <v>79</v>
      </c>
      <c r="F428" s="32">
        <v>4.58328732307847E-2</v>
      </c>
      <c r="G428" s="11"/>
      <c r="H428" s="11"/>
      <c r="I428" s="11"/>
      <c r="J428" s="18" t="s">
        <v>44</v>
      </c>
      <c r="K428" s="18" t="s">
        <v>45</v>
      </c>
      <c r="L428" s="58" t="s">
        <v>65</v>
      </c>
      <c r="M428" s="18">
        <f>[1]!f_prt_stocktonav(B428,"2017/03/31")</f>
        <v>93.887672424316406</v>
      </c>
      <c r="N428" s="20" t="str">
        <f>[1]!f_info_fundmanager(B428)</f>
        <v>吴国清</v>
      </c>
      <c r="O428" s="21">
        <v>1.515068493150685</v>
      </c>
      <c r="P428" s="34" t="s">
        <v>1832</v>
      </c>
      <c r="Q428" s="34" t="s">
        <v>1833</v>
      </c>
      <c r="R428" s="34" t="s">
        <v>78</v>
      </c>
      <c r="S428" s="34">
        <v>20140731</v>
      </c>
      <c r="T428" s="45">
        <v>1.7185645146999999</v>
      </c>
      <c r="U428" s="46">
        <v>1.7211111521</v>
      </c>
      <c r="V428" s="34" t="s">
        <v>231</v>
      </c>
      <c r="W428" s="34" t="s">
        <v>44</v>
      </c>
      <c r="X428" s="34" t="s">
        <v>45</v>
      </c>
      <c r="Y428" s="34" t="s">
        <v>817</v>
      </c>
      <c r="Z428" s="34"/>
      <c r="AA428" s="34"/>
      <c r="AB428" s="22">
        <v>0.86524200439453125</v>
      </c>
      <c r="AC428" s="23" t="s">
        <v>1834</v>
      </c>
      <c r="AD428" s="24">
        <v>1.284931506849315</v>
      </c>
      <c r="AE428" s="25">
        <v>4.9006288233962136E-2</v>
      </c>
      <c r="AF428" s="26">
        <v>0</v>
      </c>
      <c r="AG428" s="26">
        <v>0</v>
      </c>
      <c r="AH428" s="27">
        <v>0.26055291913108786</v>
      </c>
      <c r="AI428" s="27">
        <v>0.26055291913108786</v>
      </c>
      <c r="AJ428" s="27">
        <v>0.26055291913108786</v>
      </c>
      <c r="AK428" s="28" t="s">
        <v>196</v>
      </c>
      <c r="AL428" s="29" t="s">
        <v>48</v>
      </c>
      <c r="AM428" s="29" t="s">
        <v>48</v>
      </c>
      <c r="AN428" s="29" t="s">
        <v>48</v>
      </c>
      <c r="AO428" s="47" t="s">
        <v>270</v>
      </c>
      <c r="AP428" s="28">
        <v>0</v>
      </c>
      <c r="AQ428" s="26">
        <v>1.4999999999999999E-2</v>
      </c>
      <c r="AR428" s="26">
        <v>0</v>
      </c>
    </row>
    <row r="429" spans="1:44" x14ac:dyDescent="0.15">
      <c r="A429">
        <v>91</v>
      </c>
      <c r="B429" s="11">
        <v>654</v>
      </c>
      <c r="C429" s="32"/>
      <c r="D429" s="32">
        <v>-5.2836315545509603E-3</v>
      </c>
      <c r="E429" s="32">
        <v>140</v>
      </c>
      <c r="F429" s="32">
        <v>2.50410247801969E-3</v>
      </c>
      <c r="G429" s="11"/>
      <c r="H429" s="11"/>
      <c r="I429" s="11"/>
      <c r="J429" s="18" t="s">
        <v>44</v>
      </c>
      <c r="K429" s="18" t="s">
        <v>45</v>
      </c>
      <c r="L429" s="58" t="s">
        <v>274</v>
      </c>
      <c r="M429" s="18">
        <f>[1]!f_prt_stocktonav(B429,"2017/03/31")</f>
        <v>93.739067077636719</v>
      </c>
      <c r="N429" s="20" t="str">
        <f>[1]!f_info_fundmanager(B429)</f>
        <v>梁永强,童立</v>
      </c>
      <c r="O429" s="21">
        <v>2.6876712328767125</v>
      </c>
      <c r="P429" s="34" t="s">
        <v>1835</v>
      </c>
      <c r="Q429" s="34" t="s">
        <v>1836</v>
      </c>
      <c r="R429" s="34" t="s">
        <v>387</v>
      </c>
      <c r="S429" s="34">
        <v>20140724</v>
      </c>
      <c r="T429" s="45">
        <v>41.522037922700001</v>
      </c>
      <c r="U429" s="46">
        <v>45.771731602999999</v>
      </c>
      <c r="V429" s="34" t="s">
        <v>231</v>
      </c>
      <c r="W429" s="34" t="s">
        <v>44</v>
      </c>
      <c r="X429" s="34" t="s">
        <v>45</v>
      </c>
      <c r="Y429" s="34" t="s">
        <v>274</v>
      </c>
      <c r="Z429" s="34"/>
      <c r="AA429" s="34"/>
      <c r="AB429" s="22">
        <v>0.94951179504394534</v>
      </c>
      <c r="AC429" s="23" t="s">
        <v>1837</v>
      </c>
      <c r="AD429" s="24">
        <v>2.4575342465753423</v>
      </c>
      <c r="AE429" s="25">
        <v>0.14239591254210948</v>
      </c>
      <c r="AF429" s="26">
        <v>0</v>
      </c>
      <c r="AG429" s="26">
        <v>0</v>
      </c>
      <c r="AH429" s="27">
        <v>0.49684838887215615</v>
      </c>
      <c r="AI429" s="27">
        <v>0.49684838887215615</v>
      </c>
      <c r="AJ429" s="27">
        <v>0.49684838887215615</v>
      </c>
      <c r="AK429" s="28" t="s">
        <v>1048</v>
      </c>
      <c r="AL429" s="29" t="s">
        <v>48</v>
      </c>
      <c r="AM429" s="29" t="s">
        <v>48</v>
      </c>
      <c r="AN429" s="29" t="s">
        <v>48</v>
      </c>
      <c r="AO429" s="47" t="s">
        <v>1838</v>
      </c>
      <c r="AP429" s="28">
        <v>0</v>
      </c>
      <c r="AQ429" s="26">
        <v>1.4999999999999999E-2</v>
      </c>
      <c r="AR429" s="26">
        <v>0</v>
      </c>
    </row>
    <row r="430" spans="1:44" x14ac:dyDescent="0.15">
      <c r="A430">
        <v>923</v>
      </c>
      <c r="B430" s="11">
        <v>202027</v>
      </c>
      <c r="C430" s="32"/>
      <c r="D430" s="32">
        <v>-5.2067288565344697E-4</v>
      </c>
      <c r="E430" s="32">
        <v>96</v>
      </c>
      <c r="F430" s="32">
        <v>0.71669226024975596</v>
      </c>
      <c r="G430" s="11"/>
      <c r="H430" s="11"/>
      <c r="I430" s="11"/>
      <c r="J430" s="18" t="s">
        <v>44</v>
      </c>
      <c r="K430" s="18" t="s">
        <v>45</v>
      </c>
      <c r="L430" s="58" t="s">
        <v>274</v>
      </c>
      <c r="M430" s="18">
        <f>[1]!f_prt_stocktonav(B430,"2017/03/31")</f>
        <v>71.490264892578125</v>
      </c>
      <c r="N430" s="20" t="str">
        <f>[1]!f_info_fundmanager(B430)</f>
        <v>骆帅</v>
      </c>
      <c r="O430" s="21">
        <v>1.8438356164383563</v>
      </c>
      <c r="P430" s="34" t="s">
        <v>1839</v>
      </c>
      <c r="Q430" s="34" t="s">
        <v>1840</v>
      </c>
      <c r="R430" s="34" t="s">
        <v>284</v>
      </c>
      <c r="S430" s="34">
        <v>20140724</v>
      </c>
      <c r="T430" s="45">
        <v>4.5022789300000001</v>
      </c>
      <c r="U430" s="46">
        <v>4.8776478234000002</v>
      </c>
      <c r="V430" s="34" t="s">
        <v>231</v>
      </c>
      <c r="W430" s="34" t="s">
        <v>41</v>
      </c>
      <c r="X430" s="34" t="s">
        <v>42</v>
      </c>
      <c r="Y430" s="34" t="s">
        <v>181</v>
      </c>
      <c r="Z430" s="34"/>
      <c r="AA430" s="34"/>
      <c r="AB430" s="22">
        <v>0.63514930725097651</v>
      </c>
      <c r="AC430" s="23" t="s">
        <v>1841</v>
      </c>
      <c r="AD430" s="24">
        <v>1.6136986301369862</v>
      </c>
      <c r="AE430" s="25">
        <v>0.13704596910479028</v>
      </c>
      <c r="AF430" s="26">
        <v>0.17580146705166544</v>
      </c>
      <c r="AG430" s="26">
        <v>0</v>
      </c>
      <c r="AH430" s="27">
        <v>0.76756506236536259</v>
      </c>
      <c r="AI430" s="27">
        <v>0.68687552479545289</v>
      </c>
      <c r="AJ430" s="27">
        <v>0.5852718676810541</v>
      </c>
      <c r="AK430" s="28" t="s">
        <v>1842</v>
      </c>
      <c r="AL430" s="29" t="s">
        <v>48</v>
      </c>
      <c r="AM430" s="29" t="s">
        <v>48</v>
      </c>
      <c r="AN430" s="29" t="s">
        <v>48</v>
      </c>
      <c r="AO430" s="47" t="s">
        <v>287</v>
      </c>
      <c r="AP430" s="28" t="s">
        <v>1843</v>
      </c>
      <c r="AQ430" s="26">
        <v>1.4999999999999999E-2</v>
      </c>
      <c r="AR430" s="26">
        <v>0</v>
      </c>
    </row>
    <row r="431" spans="1:44" x14ac:dyDescent="0.15">
      <c r="A431">
        <v>224</v>
      </c>
      <c r="B431" s="11">
        <v>160133</v>
      </c>
      <c r="C431" s="32"/>
      <c r="D431" s="32">
        <v>2.02950525155139E-3</v>
      </c>
      <c r="E431" s="32">
        <v>94</v>
      </c>
      <c r="F431" s="32">
        <v>0.203248166699141</v>
      </c>
      <c r="G431" s="11"/>
      <c r="H431" s="11"/>
      <c r="I431" s="11"/>
      <c r="J431" s="18" t="s">
        <v>44</v>
      </c>
      <c r="K431" s="18" t="s">
        <v>45</v>
      </c>
      <c r="L431" s="58" t="s">
        <v>65</v>
      </c>
      <c r="M431" s="18">
        <f>[1]!f_prt_stocktonav(B431,"2017/03/31")</f>
        <v>91.298973083496094</v>
      </c>
      <c r="N431" s="20" t="str">
        <f>[1]!f_info_fundmanager(B431)</f>
        <v>蒋秋洁</v>
      </c>
      <c r="O431" s="21">
        <v>1.7917808219178082</v>
      </c>
      <c r="P431" s="34" t="s">
        <v>1844</v>
      </c>
      <c r="Q431" s="34" t="s">
        <v>1845</v>
      </c>
      <c r="R431" s="34" t="s">
        <v>284</v>
      </c>
      <c r="S431" s="34">
        <v>20140703</v>
      </c>
      <c r="T431" s="45">
        <v>5.0188276482000003</v>
      </c>
      <c r="U431" s="46">
        <v>5.2163355436999996</v>
      </c>
      <c r="V431" s="34" t="s">
        <v>231</v>
      </c>
      <c r="W431" s="34" t="s">
        <v>44</v>
      </c>
      <c r="X431" s="34" t="s">
        <v>45</v>
      </c>
      <c r="Y431" s="34" t="s">
        <v>274</v>
      </c>
      <c r="Z431" s="34"/>
      <c r="AA431" s="34"/>
      <c r="AB431" s="22">
        <v>0.80374893188476559</v>
      </c>
      <c r="AC431" s="23" t="s">
        <v>1846</v>
      </c>
      <c r="AD431" s="24">
        <v>1.5616438356164384</v>
      </c>
      <c r="AE431" s="25">
        <v>0.25461362031813972</v>
      </c>
      <c r="AF431" s="26">
        <v>0</v>
      </c>
      <c r="AG431" s="26">
        <v>0</v>
      </c>
      <c r="AH431" s="27">
        <v>0.85816075846430206</v>
      </c>
      <c r="AI431" s="27">
        <v>0.85816075846430206</v>
      </c>
      <c r="AJ431" s="27">
        <v>0.85816075846430206</v>
      </c>
      <c r="AK431" s="28" t="s">
        <v>1459</v>
      </c>
      <c r="AL431" s="29">
        <v>5</v>
      </c>
      <c r="AM431" s="29">
        <v>2</v>
      </c>
      <c r="AN431" s="29" t="s">
        <v>48</v>
      </c>
      <c r="AO431" s="47" t="s">
        <v>1847</v>
      </c>
      <c r="AP431" s="28">
        <v>0</v>
      </c>
      <c r="AQ431" s="26">
        <v>1.4999999999999999E-2</v>
      </c>
      <c r="AR431" s="26">
        <v>0</v>
      </c>
    </row>
    <row r="432" spans="1:44" x14ac:dyDescent="0.15">
      <c r="A432">
        <v>245</v>
      </c>
      <c r="B432" s="11">
        <v>663</v>
      </c>
      <c r="C432" s="32"/>
      <c r="D432" s="32">
        <v>9.8175243214160593E-4</v>
      </c>
      <c r="E432" s="32">
        <v>145</v>
      </c>
      <c r="F432" s="32">
        <v>0.533887177196955</v>
      </c>
      <c r="G432" s="11"/>
      <c r="H432" s="11"/>
      <c r="I432" s="11"/>
      <c r="J432" s="18" t="s">
        <v>44</v>
      </c>
      <c r="K432" s="18" t="s">
        <v>45</v>
      </c>
      <c r="L432" s="58" t="s">
        <v>65</v>
      </c>
      <c r="M432" s="18">
        <f>[1]!f_prt_stocktonav(B432,"2017/03/31")</f>
        <v>90.698066711425781</v>
      </c>
      <c r="N432" s="20" t="str">
        <f>[1]!f_info_fundmanager(B432)</f>
        <v>陈小玲,董晗</v>
      </c>
      <c r="O432" s="21">
        <v>2.7698630136986302</v>
      </c>
      <c r="P432" s="34" t="s">
        <v>1848</v>
      </c>
      <c r="Q432" s="34" t="s">
        <v>1849</v>
      </c>
      <c r="R432" s="34" t="s">
        <v>452</v>
      </c>
      <c r="S432" s="34">
        <v>20140624</v>
      </c>
      <c r="T432" s="45">
        <v>5.5646242670000001</v>
      </c>
      <c r="U432" s="46">
        <v>6.6148856874000002</v>
      </c>
      <c r="V432" s="34" t="s">
        <v>231</v>
      </c>
      <c r="W432" s="34" t="s">
        <v>44</v>
      </c>
      <c r="X432" s="17" t="s">
        <v>45</v>
      </c>
      <c r="Y432" s="17" t="s">
        <v>65</v>
      </c>
      <c r="Z432" s="34"/>
      <c r="AA432" s="34"/>
      <c r="AB432" s="22">
        <v>0.81946411132812502</v>
      </c>
      <c r="AC432" s="23" t="s">
        <v>1850</v>
      </c>
      <c r="AD432" s="24">
        <v>2.5397260273972604</v>
      </c>
      <c r="AE432" s="25">
        <v>0.24296226241254715</v>
      </c>
      <c r="AF432" s="26">
        <v>0</v>
      </c>
      <c r="AG432" s="26">
        <v>0</v>
      </c>
      <c r="AH432" s="27">
        <v>1.0856460195390032</v>
      </c>
      <c r="AI432" s="27">
        <v>1.0856460195390032</v>
      </c>
      <c r="AJ432" s="27">
        <v>1.0856460195390032</v>
      </c>
      <c r="AK432" s="28" t="s">
        <v>409</v>
      </c>
      <c r="AL432" s="29" t="s">
        <v>48</v>
      </c>
      <c r="AM432" s="29" t="s">
        <v>48</v>
      </c>
      <c r="AN432" s="29" t="s">
        <v>48</v>
      </c>
      <c r="AO432" s="47" t="s">
        <v>209</v>
      </c>
      <c r="AP432" s="28">
        <v>0</v>
      </c>
      <c r="AQ432" s="26">
        <v>1.4999999999999999E-2</v>
      </c>
      <c r="AR432" s="26">
        <v>0</v>
      </c>
    </row>
    <row r="433" spans="1:44" x14ac:dyDescent="0.15">
      <c r="A433">
        <v>251</v>
      </c>
      <c r="B433" s="11">
        <v>513</v>
      </c>
      <c r="C433" s="32"/>
      <c r="D433" s="32">
        <v>-3.3336047670375398E-3</v>
      </c>
      <c r="E433" s="32">
        <v>145</v>
      </c>
      <c r="F433" s="32">
        <v>3.3070579675333903E-2</v>
      </c>
      <c r="G433" s="11"/>
      <c r="H433" s="11"/>
      <c r="I433" s="11"/>
      <c r="J433" s="18" t="s">
        <v>44</v>
      </c>
      <c r="K433" s="18" t="s">
        <v>45</v>
      </c>
      <c r="L433" s="58" t="s">
        <v>274</v>
      </c>
      <c r="M433" s="18">
        <f>[1]!f_prt_stocktonav(B433,"2017/03/31")</f>
        <v>90.553619384765625</v>
      </c>
      <c r="N433" s="20" t="str">
        <f>[1]!f_info_fundmanager(B433)</f>
        <v>毕天宇,厉叶淼</v>
      </c>
      <c r="O433" s="21">
        <v>2.7808219178082192</v>
      </c>
      <c r="P433" s="39" t="s">
        <v>1851</v>
      </c>
      <c r="Q433" s="39" t="s">
        <v>1852</v>
      </c>
      <c r="R433" s="39" t="s">
        <v>396</v>
      </c>
      <c r="S433" s="39">
        <v>20140620</v>
      </c>
      <c r="T433" s="48">
        <v>8.6097582109000008</v>
      </c>
      <c r="U433" s="46">
        <v>10.228941057</v>
      </c>
      <c r="V433" s="39" t="s">
        <v>231</v>
      </c>
      <c r="W433" s="39" t="s">
        <v>44</v>
      </c>
      <c r="X433" s="39" t="s">
        <v>87</v>
      </c>
      <c r="Y433" s="55" t="s">
        <v>274</v>
      </c>
      <c r="Z433" s="34" t="s">
        <v>1743</v>
      </c>
      <c r="AA433" s="34"/>
      <c r="AB433" s="22">
        <v>0.92057617187499996</v>
      </c>
      <c r="AC433" s="23" t="s">
        <v>1853</v>
      </c>
      <c r="AD433" s="24">
        <v>2.5506849315068494</v>
      </c>
      <c r="AE433" s="25">
        <v>0.131464280950778</v>
      </c>
      <c r="AF433" s="26">
        <v>0</v>
      </c>
      <c r="AG433" s="26">
        <v>0</v>
      </c>
      <c r="AH433" s="27">
        <v>0.47575936757208459</v>
      </c>
      <c r="AI433" s="27">
        <v>0.47575936757208459</v>
      </c>
      <c r="AJ433" s="27">
        <v>0.47575936757208459</v>
      </c>
      <c r="AK433" s="40" t="s">
        <v>489</v>
      </c>
      <c r="AL433" s="41" t="s">
        <v>48</v>
      </c>
      <c r="AM433" s="41" t="s">
        <v>48</v>
      </c>
      <c r="AN433" s="41" t="s">
        <v>48</v>
      </c>
      <c r="AO433" s="50" t="s">
        <v>1854</v>
      </c>
      <c r="AP433" s="51" t="s">
        <v>608</v>
      </c>
      <c r="AQ433" s="52">
        <v>1.4999999999999999E-2</v>
      </c>
      <c r="AR433" s="52">
        <v>0</v>
      </c>
    </row>
    <row r="434" spans="1:44" x14ac:dyDescent="0.15">
      <c r="A434">
        <v>880</v>
      </c>
      <c r="B434" s="11">
        <v>612</v>
      </c>
      <c r="C434" s="32"/>
      <c r="D434" s="32">
        <v>-8.9455186714312797E-4</v>
      </c>
      <c r="E434" s="32">
        <v>111</v>
      </c>
      <c r="F434" s="32">
        <v>0.49788378824290802</v>
      </c>
      <c r="G434" s="11"/>
      <c r="H434" s="11"/>
      <c r="I434" s="11"/>
      <c r="J434" s="18" t="s">
        <v>44</v>
      </c>
      <c r="K434" s="18" t="s">
        <v>45</v>
      </c>
      <c r="L434" s="58" t="s">
        <v>274</v>
      </c>
      <c r="M434" s="18">
        <f>[1]!f_prt_stocktonav(B434,"2017/03/31")</f>
        <v>73.476852416992188</v>
      </c>
      <c r="N434" s="20" t="str">
        <f>[1]!f_info_fundmanager(B434)</f>
        <v>区伟良,夏林锋</v>
      </c>
      <c r="O434" s="21">
        <v>2.117808219178082</v>
      </c>
      <c r="P434" s="34" t="s">
        <v>1855</v>
      </c>
      <c r="Q434" s="34" t="s">
        <v>1856</v>
      </c>
      <c r="R434" s="34" t="s">
        <v>737</v>
      </c>
      <c r="S434" s="34">
        <v>20140613</v>
      </c>
      <c r="T434" s="45">
        <v>10.1654816066</v>
      </c>
      <c r="U434" s="46">
        <v>10.8973780275</v>
      </c>
      <c r="V434" s="34" t="s">
        <v>231</v>
      </c>
      <c r="W434" s="34" t="s">
        <v>44</v>
      </c>
      <c r="X434" s="34" t="s">
        <v>45</v>
      </c>
      <c r="Y434" s="34" t="s">
        <v>274</v>
      </c>
      <c r="Z434" s="34"/>
      <c r="AA434" s="34"/>
      <c r="AB434" s="22">
        <v>0.83279373168945314</v>
      </c>
      <c r="AC434" s="23" t="s">
        <v>1857</v>
      </c>
      <c r="AD434" s="24">
        <v>1.8876712328767122</v>
      </c>
      <c r="AE434" s="25">
        <v>0.30236122076022953</v>
      </c>
      <c r="AF434" s="26">
        <v>0</v>
      </c>
      <c r="AG434" s="26">
        <v>0</v>
      </c>
      <c r="AH434" s="27">
        <v>0.87024880223373091</v>
      </c>
      <c r="AI434" s="27">
        <v>0.87024880223373091</v>
      </c>
      <c r="AJ434" s="27">
        <v>0.87024880223373091</v>
      </c>
      <c r="AK434" s="28" t="s">
        <v>1858</v>
      </c>
      <c r="AL434" s="29" t="s">
        <v>48</v>
      </c>
      <c r="AM434" s="29" t="s">
        <v>48</v>
      </c>
      <c r="AN434" s="29" t="s">
        <v>48</v>
      </c>
      <c r="AO434" s="47" t="s">
        <v>739</v>
      </c>
      <c r="AP434" s="28">
        <v>0</v>
      </c>
      <c r="AQ434" s="26">
        <v>1.4999999999999999E-2</v>
      </c>
      <c r="AR434" s="26">
        <v>0</v>
      </c>
    </row>
    <row r="435" spans="1:44" x14ac:dyDescent="0.15">
      <c r="A435">
        <v>512</v>
      </c>
      <c r="B435" s="11">
        <v>554</v>
      </c>
      <c r="C435" s="32"/>
      <c r="D435" s="32">
        <v>-2.9078684732431099E-4</v>
      </c>
      <c r="E435" s="32">
        <v>88</v>
      </c>
      <c r="F435" s="32">
        <v>0.82481852053786198</v>
      </c>
      <c r="G435" s="11"/>
      <c r="H435" s="11"/>
      <c r="I435" s="11"/>
      <c r="J435" s="18" t="s">
        <v>44</v>
      </c>
      <c r="K435" s="18" t="s">
        <v>45</v>
      </c>
      <c r="L435" s="58" t="s">
        <v>65</v>
      </c>
      <c r="M435" s="18">
        <f>[1]!f_prt_stocktonav(B435,"2017/03/31")</f>
        <v>84.995979309082031</v>
      </c>
      <c r="N435" s="20" t="str">
        <f>[1]!f_info_fundmanager(B435)</f>
        <v>蔡望鹏</v>
      </c>
      <c r="O435" s="21">
        <v>1.6876712328767123</v>
      </c>
      <c r="P435" s="34" t="s">
        <v>1859</v>
      </c>
      <c r="Q435" s="34" t="s">
        <v>1860</v>
      </c>
      <c r="R435" s="34" t="s">
        <v>284</v>
      </c>
      <c r="S435" s="34">
        <v>20140609</v>
      </c>
      <c r="T435" s="45">
        <v>2.8464615705999998</v>
      </c>
      <c r="U435" s="46">
        <v>3.1077350470999998</v>
      </c>
      <c r="V435" s="34" t="s">
        <v>231</v>
      </c>
      <c r="W435" s="34" t="s">
        <v>44</v>
      </c>
      <c r="X435" s="34" t="s">
        <v>45</v>
      </c>
      <c r="Y435" s="34" t="s">
        <v>65</v>
      </c>
      <c r="Z435" s="34"/>
      <c r="AA435" s="34"/>
      <c r="AB435" s="22">
        <v>0.88797737121582032</v>
      </c>
      <c r="AC435" s="23" t="s">
        <v>1861</v>
      </c>
      <c r="AD435" s="24">
        <v>1.4575342465753425</v>
      </c>
      <c r="AE435" s="25">
        <v>0.14352829665347477</v>
      </c>
      <c r="AF435" s="26">
        <v>0</v>
      </c>
      <c r="AG435" s="26">
        <v>0</v>
      </c>
      <c r="AH435" s="27">
        <v>0.5221937411701747</v>
      </c>
      <c r="AI435" s="27">
        <v>0.5221937411701747</v>
      </c>
      <c r="AJ435" s="27">
        <v>0.5221937411701747</v>
      </c>
      <c r="AK435" s="28" t="s">
        <v>323</v>
      </c>
      <c r="AL435" s="29" t="s">
        <v>48</v>
      </c>
      <c r="AM435" s="29" t="s">
        <v>48</v>
      </c>
      <c r="AN435" s="29" t="s">
        <v>48</v>
      </c>
      <c r="AO435" s="47" t="s">
        <v>287</v>
      </c>
      <c r="AP435" s="28">
        <v>0</v>
      </c>
      <c r="AQ435" s="26">
        <v>1.4999999999999999E-2</v>
      </c>
      <c r="AR435" s="26">
        <v>0</v>
      </c>
    </row>
    <row r="436" spans="1:44" x14ac:dyDescent="0.15">
      <c r="A436">
        <v>625</v>
      </c>
      <c r="B436" s="11">
        <v>619</v>
      </c>
      <c r="C436" s="32"/>
      <c r="D436" s="32">
        <v>3.0266325324363602E-3</v>
      </c>
      <c r="E436" s="32">
        <v>92</v>
      </c>
      <c r="F436" s="32">
        <v>1.73861248867649E-2</v>
      </c>
      <c r="G436" s="11"/>
      <c r="H436" s="11"/>
      <c r="I436" s="11"/>
      <c r="J436" s="18" t="s">
        <v>44</v>
      </c>
      <c r="K436" s="18" t="s">
        <v>45</v>
      </c>
      <c r="L436" s="58" t="s">
        <v>65</v>
      </c>
      <c r="M436" s="18">
        <f>[1]!f_prt_stocktonav(B436,"2017/03/31")</f>
        <v>82.181915283203125</v>
      </c>
      <c r="N436" s="20" t="str">
        <f>[1]!f_info_fundmanager(B436)</f>
        <v>王延飞</v>
      </c>
      <c r="O436" s="21">
        <v>1.7643835616438357</v>
      </c>
      <c r="P436" s="34" t="s">
        <v>1862</v>
      </c>
      <c r="Q436" s="34" t="s">
        <v>1863</v>
      </c>
      <c r="R436" s="34" t="s">
        <v>313</v>
      </c>
      <c r="S436" s="34">
        <v>20140606</v>
      </c>
      <c r="T436" s="45">
        <v>7.4140252279999999</v>
      </c>
      <c r="U436" s="46">
        <v>7.3470042830000004</v>
      </c>
      <c r="V436" s="34" t="s">
        <v>231</v>
      </c>
      <c r="W436" s="34" t="s">
        <v>44</v>
      </c>
      <c r="X436" s="34" t="s">
        <v>45</v>
      </c>
      <c r="Y436" s="34" t="s">
        <v>65</v>
      </c>
      <c r="Z436" s="34"/>
      <c r="AA436" s="34"/>
      <c r="AB436" s="22">
        <v>0.86147773742675782</v>
      </c>
      <c r="AC436" s="23" t="s">
        <v>1864</v>
      </c>
      <c r="AD436" s="24">
        <v>1.5342465753424657</v>
      </c>
      <c r="AE436" s="25">
        <v>0.35073100414232483</v>
      </c>
      <c r="AF436" s="26">
        <v>0</v>
      </c>
      <c r="AG436" s="26">
        <v>0</v>
      </c>
      <c r="AH436" s="27">
        <v>1.319045899090826</v>
      </c>
      <c r="AI436" s="27">
        <v>1.319045899090826</v>
      </c>
      <c r="AJ436" s="27">
        <v>1.319045899090826</v>
      </c>
      <c r="AK436" s="28" t="s">
        <v>1659</v>
      </c>
      <c r="AL436" s="29" t="s">
        <v>48</v>
      </c>
      <c r="AM436" s="29" t="s">
        <v>48</v>
      </c>
      <c r="AN436" s="29" t="s">
        <v>48</v>
      </c>
      <c r="AO436" s="47" t="s">
        <v>1865</v>
      </c>
      <c r="AP436" s="28">
        <v>0</v>
      </c>
      <c r="AQ436" s="26">
        <v>1.4999999999999999E-2</v>
      </c>
      <c r="AR436" s="26">
        <v>0</v>
      </c>
    </row>
    <row r="437" spans="1:44" x14ac:dyDescent="0.15">
      <c r="A437">
        <v>758</v>
      </c>
      <c r="B437" s="11">
        <v>652</v>
      </c>
      <c r="C437" s="32"/>
      <c r="D437" s="32">
        <v>-8.8860256779473294E-5</v>
      </c>
      <c r="E437" s="32">
        <v>84</v>
      </c>
      <c r="F437" s="32">
        <v>0.94626462993201599</v>
      </c>
      <c r="G437" s="11"/>
      <c r="H437" s="11"/>
      <c r="I437" s="11"/>
      <c r="J437" s="18" t="s">
        <v>44</v>
      </c>
      <c r="K437" s="18" t="s">
        <v>45</v>
      </c>
      <c r="L437" s="58" t="s">
        <v>274</v>
      </c>
      <c r="M437" s="18">
        <f>[1]!f_prt_stocktonav(B437,"2017/03/31")</f>
        <v>77.994651794433594</v>
      </c>
      <c r="N437" s="20" t="str">
        <f>[1]!f_info_fundmanager(B437)</f>
        <v>陈鹏扬</v>
      </c>
      <c r="O437" s="21">
        <v>1.6027397260273972</v>
      </c>
      <c r="P437" s="34" t="s">
        <v>1866</v>
      </c>
      <c r="Q437" s="34" t="s">
        <v>1867</v>
      </c>
      <c r="R437" s="34" t="s">
        <v>413</v>
      </c>
      <c r="S437" s="34">
        <v>20140603</v>
      </c>
      <c r="T437" s="45">
        <v>12.361364551699999</v>
      </c>
      <c r="U437" s="46">
        <v>8.5988849741000006</v>
      </c>
      <c r="V437" s="34" t="s">
        <v>231</v>
      </c>
      <c r="W437" s="34" t="s">
        <v>44</v>
      </c>
      <c r="X437" s="34" t="s">
        <v>45</v>
      </c>
      <c r="Y437" s="34" t="s">
        <v>65</v>
      </c>
      <c r="Z437" s="34"/>
      <c r="AA437" s="34"/>
      <c r="AB437" s="22">
        <v>0.81718132019042966</v>
      </c>
      <c r="AC437" s="23" t="s">
        <v>435</v>
      </c>
      <c r="AD437" s="24">
        <v>1.3726027397260274</v>
      </c>
      <c r="AE437" s="25">
        <v>0.309652643573606</v>
      </c>
      <c r="AF437" s="26">
        <v>0</v>
      </c>
      <c r="AG437" s="26">
        <v>0</v>
      </c>
      <c r="AH437" s="27">
        <v>0.87727625556281286</v>
      </c>
      <c r="AI437" s="27">
        <v>0.87727625556281286</v>
      </c>
      <c r="AJ437" s="27">
        <v>0.87727625556281286</v>
      </c>
      <c r="AK437" s="28" t="s">
        <v>1868</v>
      </c>
      <c r="AL437" s="29">
        <v>1</v>
      </c>
      <c r="AM437" s="29">
        <v>3</v>
      </c>
      <c r="AN437" s="29" t="s">
        <v>48</v>
      </c>
      <c r="AO437" s="47" t="s">
        <v>1869</v>
      </c>
      <c r="AP437" s="28">
        <v>0</v>
      </c>
      <c r="AQ437" s="26">
        <v>1.4999999999999999E-2</v>
      </c>
      <c r="AR437" s="26">
        <v>0</v>
      </c>
    </row>
    <row r="438" spans="1:44" x14ac:dyDescent="0.15">
      <c r="A438">
        <v>462</v>
      </c>
      <c r="B438" s="11">
        <v>519918</v>
      </c>
      <c r="C438" s="32"/>
      <c r="D438" s="32">
        <v>-1.59632618896705E-3</v>
      </c>
      <c r="E438" s="32">
        <v>33</v>
      </c>
      <c r="F438" s="32">
        <v>0.47380223420747702</v>
      </c>
      <c r="G438" s="11"/>
      <c r="H438" s="11"/>
      <c r="I438" s="11"/>
      <c r="J438" s="18" t="s">
        <v>44</v>
      </c>
      <c r="K438" s="18" t="s">
        <v>45</v>
      </c>
      <c r="L438" s="58" t="s">
        <v>65</v>
      </c>
      <c r="M438" s="18">
        <f>[1]!f_prt_stocktonav(B438,"2017/03/31")</f>
        <v>86.059112548828125</v>
      </c>
      <c r="N438" s="20" t="str">
        <f>[1]!f_info_fundmanager(B438)</f>
        <v>佟巍</v>
      </c>
      <c r="O438" s="21">
        <v>0.61643835616438358</v>
      </c>
      <c r="P438" s="34" t="s">
        <v>1870</v>
      </c>
      <c r="Q438" s="34" t="s">
        <v>1871</v>
      </c>
      <c r="R438" s="34" t="s">
        <v>143</v>
      </c>
      <c r="S438" s="34">
        <v>20140530</v>
      </c>
      <c r="T438" s="45">
        <v>6.7338963261</v>
      </c>
      <c r="U438" s="46">
        <v>7.0618641200000001</v>
      </c>
      <c r="V438" s="34" t="s">
        <v>231</v>
      </c>
      <c r="W438" s="34" t="s">
        <v>44</v>
      </c>
      <c r="X438" s="34" t="s">
        <v>45</v>
      </c>
      <c r="Y438" s="34" t="s">
        <v>65</v>
      </c>
      <c r="Z438" s="34"/>
      <c r="AA438" s="34"/>
      <c r="AB438" s="22">
        <v>0.79260910034179688</v>
      </c>
      <c r="AC438" s="23" t="s">
        <v>1872</v>
      </c>
      <c r="AD438" s="24">
        <v>0.38630136986301372</v>
      </c>
      <c r="AE438" s="25">
        <v>0.14372911936023081</v>
      </c>
      <c r="AF438" s="26">
        <v>0</v>
      </c>
      <c r="AG438" s="26">
        <v>0</v>
      </c>
      <c r="AH438" s="27">
        <v>0.50988850150451481</v>
      </c>
      <c r="AI438" s="27">
        <v>0.50988850150451481</v>
      </c>
      <c r="AJ438" s="27">
        <v>0.50988850150451481</v>
      </c>
      <c r="AK438" s="28" t="s">
        <v>882</v>
      </c>
      <c r="AL438" s="29">
        <v>4</v>
      </c>
      <c r="AM438" s="29">
        <v>3</v>
      </c>
      <c r="AN438" s="29" t="s">
        <v>48</v>
      </c>
      <c r="AO438" s="47" t="s">
        <v>1873</v>
      </c>
      <c r="AP438" s="28">
        <v>0</v>
      </c>
      <c r="AQ438" s="26">
        <v>1.4999999999999999E-2</v>
      </c>
      <c r="AR438" s="26">
        <v>0</v>
      </c>
    </row>
    <row r="439" spans="1:44" x14ac:dyDescent="0.15">
      <c r="A439">
        <v>302</v>
      </c>
      <c r="B439" s="11">
        <v>519126</v>
      </c>
      <c r="C439" s="32"/>
      <c r="D439" s="32">
        <v>-3.2764294041162999E-3</v>
      </c>
      <c r="E439" s="32">
        <v>140</v>
      </c>
      <c r="F439" s="32">
        <v>3.6935973526679697E-2</v>
      </c>
      <c r="G439" s="11"/>
      <c r="H439" s="11"/>
      <c r="I439" s="11"/>
      <c r="J439" s="18" t="s">
        <v>44</v>
      </c>
      <c r="K439" s="18" t="s">
        <v>45</v>
      </c>
      <c r="L439" s="58" t="s">
        <v>274</v>
      </c>
      <c r="M439" s="18">
        <f>[1]!f_prt_stocktonav(B439,"2017/03/31")</f>
        <v>89.4083251953125</v>
      </c>
      <c r="N439" s="20" t="str">
        <f>[1]!f_info_fundmanager(B439)</f>
        <v>褚艳辉</v>
      </c>
      <c r="O439" s="21">
        <v>2.6767123287671235</v>
      </c>
      <c r="P439" s="34" t="s">
        <v>1874</v>
      </c>
      <c r="Q439" s="34" t="s">
        <v>1875</v>
      </c>
      <c r="R439" s="34" t="s">
        <v>649</v>
      </c>
      <c r="S439" s="34">
        <v>20140520</v>
      </c>
      <c r="T439" s="45">
        <v>1.2304290808</v>
      </c>
      <c r="U439" s="46">
        <v>1.2944241889999999</v>
      </c>
      <c r="V439" s="34" t="s">
        <v>231</v>
      </c>
      <c r="W439" s="34" t="s">
        <v>44</v>
      </c>
      <c r="X439" s="34" t="s">
        <v>45</v>
      </c>
      <c r="Y439" s="34" t="s">
        <v>274</v>
      </c>
      <c r="Z439" s="34"/>
      <c r="AA439" s="34"/>
      <c r="AB439" s="22">
        <v>0.87036987304687496</v>
      </c>
      <c r="AC439" s="23" t="s">
        <v>1876</v>
      </c>
      <c r="AD439" s="24">
        <v>2.4465753424657533</v>
      </c>
      <c r="AE439" s="25">
        <v>0.1335134202965127</v>
      </c>
      <c r="AF439" s="26">
        <v>0</v>
      </c>
      <c r="AG439" s="26">
        <v>0</v>
      </c>
      <c r="AH439" s="27">
        <v>0.48506560467773174</v>
      </c>
      <c r="AI439" s="27">
        <v>0.48506560467773174</v>
      </c>
      <c r="AJ439" s="27">
        <v>0.48506560467773174</v>
      </c>
      <c r="AK439" s="28" t="s">
        <v>1877</v>
      </c>
      <c r="AL439" s="29" t="s">
        <v>48</v>
      </c>
      <c r="AM439" s="29" t="s">
        <v>48</v>
      </c>
      <c r="AN439" s="29" t="s">
        <v>48</v>
      </c>
      <c r="AO439" s="47" t="s">
        <v>652</v>
      </c>
      <c r="AP439" s="28">
        <v>0</v>
      </c>
      <c r="AQ439" s="26">
        <v>1.4999999999999999E-2</v>
      </c>
      <c r="AR439" s="26">
        <v>0</v>
      </c>
    </row>
    <row r="440" spans="1:44" x14ac:dyDescent="0.15">
      <c r="A440">
        <v>387</v>
      </c>
      <c r="B440" s="11">
        <v>591</v>
      </c>
      <c r="C440" s="32"/>
      <c r="D440" s="32">
        <v>-2.7520918701499698E-3</v>
      </c>
      <c r="E440" s="32">
        <v>21</v>
      </c>
      <c r="F440" s="32">
        <v>0.21944659824677601</v>
      </c>
      <c r="G440" s="11"/>
      <c r="H440" s="11"/>
      <c r="I440" s="11"/>
      <c r="J440" s="18" t="s">
        <v>44</v>
      </c>
      <c r="K440" s="18" t="s">
        <v>45</v>
      </c>
      <c r="L440" s="58" t="s">
        <v>65</v>
      </c>
      <c r="M440" s="18">
        <f>[1]!f_prt_stocktonav(B440,"2017/03/31")</f>
        <v>87.752601623535156</v>
      </c>
      <c r="N440" s="20" t="str">
        <f>[1]!f_info_fundmanager(B440)</f>
        <v>辜岚</v>
      </c>
      <c r="O440" s="21">
        <v>0.39178082191780822</v>
      </c>
      <c r="P440" s="34" t="s">
        <v>1878</v>
      </c>
      <c r="Q440" s="34" t="s">
        <v>1879</v>
      </c>
      <c r="R440" s="34" t="s">
        <v>71</v>
      </c>
      <c r="S440" s="34">
        <v>20140520</v>
      </c>
      <c r="T440" s="45">
        <v>0.9006894781</v>
      </c>
      <c r="U440" s="46">
        <v>0.91444570749999998</v>
      </c>
      <c r="V440" s="34" t="s">
        <v>231</v>
      </c>
      <c r="W440" s="34" t="s">
        <v>44</v>
      </c>
      <c r="X440" s="34" t="s">
        <v>45</v>
      </c>
      <c r="Y440" s="34" t="s">
        <v>65</v>
      </c>
      <c r="Z440" s="34"/>
      <c r="AA440" s="34"/>
      <c r="AB440" s="22">
        <v>0.84965850830078127</v>
      </c>
      <c r="AC440" s="23" t="s">
        <v>1449</v>
      </c>
      <c r="AD440" s="24">
        <v>0.16164383561643836</v>
      </c>
      <c r="AE440" s="25">
        <v>0.14094379791711797</v>
      </c>
      <c r="AF440" s="26">
        <v>0</v>
      </c>
      <c r="AG440" s="26">
        <v>0</v>
      </c>
      <c r="AH440" s="27">
        <v>0.53709239566608291</v>
      </c>
      <c r="AI440" s="27">
        <v>0.53709239566608291</v>
      </c>
      <c r="AJ440" s="27">
        <v>0.53709239566608291</v>
      </c>
      <c r="AK440" s="28" t="s">
        <v>167</v>
      </c>
      <c r="AL440" s="29" t="s">
        <v>48</v>
      </c>
      <c r="AM440" s="29" t="s">
        <v>48</v>
      </c>
      <c r="AN440" s="29" t="s">
        <v>48</v>
      </c>
      <c r="AO440" s="47" t="s">
        <v>845</v>
      </c>
      <c r="AP440" s="28">
        <v>0</v>
      </c>
      <c r="AQ440" s="26">
        <v>1.4999999999999999E-2</v>
      </c>
      <c r="AR440" s="26">
        <v>0</v>
      </c>
    </row>
    <row r="441" spans="1:44" x14ac:dyDescent="0.15">
      <c r="A441">
        <v>535</v>
      </c>
      <c r="B441" s="11">
        <v>592</v>
      </c>
      <c r="C441" s="32"/>
      <c r="D441" s="32">
        <v>-7.5504876894537799E-4</v>
      </c>
      <c r="E441" s="32">
        <v>150</v>
      </c>
      <c r="F441" s="32">
        <v>0.49196218352987697</v>
      </c>
      <c r="G441" s="11"/>
      <c r="H441" s="11"/>
      <c r="I441" s="11"/>
      <c r="J441" s="18" t="s">
        <v>44</v>
      </c>
      <c r="K441" s="18" t="s">
        <v>45</v>
      </c>
      <c r="L441" s="58" t="s">
        <v>274</v>
      </c>
      <c r="M441" s="18">
        <f>[1]!f_prt_stocktonav(B441,"2017/03/31")</f>
        <v>84.512687683105469</v>
      </c>
      <c r="N441" s="20" t="str">
        <f>[1]!f_info_fundmanager(B441)</f>
        <v>陶灿</v>
      </c>
      <c r="O441" s="21">
        <v>2.882191780821918</v>
      </c>
      <c r="P441" s="34" t="s">
        <v>1880</v>
      </c>
      <c r="Q441" s="34" t="s">
        <v>1881</v>
      </c>
      <c r="R441" s="34" t="s">
        <v>307</v>
      </c>
      <c r="S441" s="34">
        <v>20140514</v>
      </c>
      <c r="T441" s="45">
        <v>2.4403954426999999</v>
      </c>
      <c r="U441" s="46">
        <v>2.6207052532000001</v>
      </c>
      <c r="V441" s="34" t="s">
        <v>231</v>
      </c>
      <c r="W441" s="34" t="s">
        <v>44</v>
      </c>
      <c r="X441" s="34" t="s">
        <v>45</v>
      </c>
      <c r="Y441" s="34" t="s">
        <v>274</v>
      </c>
      <c r="Z441" s="34"/>
      <c r="AA441" s="34"/>
      <c r="AB441" s="22">
        <v>0.88818710327148442</v>
      </c>
      <c r="AC441" s="23" t="s">
        <v>626</v>
      </c>
      <c r="AD441" s="24">
        <v>2.6520547945205482</v>
      </c>
      <c r="AE441" s="25">
        <v>0.25139171956050177</v>
      </c>
      <c r="AF441" s="26">
        <v>0</v>
      </c>
      <c r="AG441" s="26">
        <v>0</v>
      </c>
      <c r="AH441" s="27">
        <v>0.82078445269136802</v>
      </c>
      <c r="AI441" s="27">
        <v>0.82078445269136802</v>
      </c>
      <c r="AJ441" s="27">
        <v>0.82078445269136802</v>
      </c>
      <c r="AK441" s="28" t="s">
        <v>1013</v>
      </c>
      <c r="AL441" s="29" t="s">
        <v>48</v>
      </c>
      <c r="AM441" s="29" t="s">
        <v>48</v>
      </c>
      <c r="AN441" s="29" t="s">
        <v>48</v>
      </c>
      <c r="AO441" s="47" t="s">
        <v>310</v>
      </c>
      <c r="AP441" s="28">
        <v>0</v>
      </c>
      <c r="AQ441" s="26">
        <v>1.4999999999999999E-2</v>
      </c>
      <c r="AR441" s="26">
        <v>0</v>
      </c>
    </row>
    <row r="442" spans="1:44" x14ac:dyDescent="0.15">
      <c r="A442">
        <v>735</v>
      </c>
      <c r="B442" s="11">
        <v>587</v>
      </c>
      <c r="C442" s="32"/>
      <c r="D442" s="32">
        <v>1.58212442869669E-3</v>
      </c>
      <c r="E442" s="32">
        <v>79</v>
      </c>
      <c r="F442" s="32">
        <v>0.32169428658419502</v>
      </c>
      <c r="G442" s="11"/>
      <c r="H442" s="11"/>
      <c r="I442" s="11"/>
      <c r="J442" s="18" t="s">
        <v>44</v>
      </c>
      <c r="K442" s="18" t="s">
        <v>45</v>
      </c>
      <c r="L442" s="58" t="s">
        <v>65</v>
      </c>
      <c r="M442" s="18">
        <f>[1]!f_prt_stocktonav(B442,"2017/03/31")</f>
        <v>78.953315734863281</v>
      </c>
      <c r="N442" s="20" t="str">
        <f>[1]!f_info_fundmanager(B442)</f>
        <v>孙蓓琳</v>
      </c>
      <c r="O442" s="21">
        <v>1.5041095890410958</v>
      </c>
      <c r="P442" s="34" t="s">
        <v>1882</v>
      </c>
      <c r="Q442" s="34" t="s">
        <v>1883</v>
      </c>
      <c r="R442" s="34" t="s">
        <v>486</v>
      </c>
      <c r="S442" s="34">
        <v>20140514</v>
      </c>
      <c r="T442" s="45">
        <v>7.2131392983999998</v>
      </c>
      <c r="U442" s="46">
        <v>3.8013924448999998</v>
      </c>
      <c r="V442" s="34" t="s">
        <v>231</v>
      </c>
      <c r="W442" s="34" t="s">
        <v>44</v>
      </c>
      <c r="X442" s="34" t="s">
        <v>45</v>
      </c>
      <c r="Y442" s="34" t="s">
        <v>274</v>
      </c>
      <c r="Z442" s="34"/>
      <c r="AA442" s="34"/>
      <c r="AB442" s="22">
        <v>0.82786712646484373</v>
      </c>
      <c r="AC442" s="23" t="s">
        <v>1884</v>
      </c>
      <c r="AD442" s="24">
        <v>1.273972602739726</v>
      </c>
      <c r="AE442" s="25">
        <v>0.29667958132615646</v>
      </c>
      <c r="AF442" s="26">
        <v>0</v>
      </c>
      <c r="AG442" s="26">
        <v>0</v>
      </c>
      <c r="AH442" s="27">
        <v>0.89488053854638749</v>
      </c>
      <c r="AI442" s="27">
        <v>0.89488053854638749</v>
      </c>
      <c r="AJ442" s="27">
        <v>0.89488053854638749</v>
      </c>
      <c r="AK442" s="28" t="s">
        <v>1885</v>
      </c>
      <c r="AL442" s="29" t="s">
        <v>48</v>
      </c>
      <c r="AM442" s="29" t="s">
        <v>48</v>
      </c>
      <c r="AN442" s="29" t="s">
        <v>48</v>
      </c>
      <c r="AO442" s="47" t="s">
        <v>101</v>
      </c>
      <c r="AP442" s="28">
        <v>0</v>
      </c>
      <c r="AQ442" s="26">
        <v>1.4999999999999999E-2</v>
      </c>
      <c r="AR442" s="26">
        <v>0</v>
      </c>
    </row>
    <row r="443" spans="1:44" x14ac:dyDescent="0.15">
      <c r="A443">
        <v>707</v>
      </c>
      <c r="B443" s="11">
        <v>601</v>
      </c>
      <c r="C443" s="32"/>
      <c r="D443" s="32">
        <v>2.81009635242345E-3</v>
      </c>
      <c r="E443" s="32">
        <v>30</v>
      </c>
      <c r="F443" s="32">
        <v>0.223272934412694</v>
      </c>
      <c r="G443" s="11"/>
      <c r="H443" s="11"/>
      <c r="I443" s="11"/>
      <c r="J443" s="18" t="s">
        <v>44</v>
      </c>
      <c r="K443" s="18" t="s">
        <v>45</v>
      </c>
      <c r="L443" s="58" t="s">
        <v>65</v>
      </c>
      <c r="M443" s="18">
        <f>[1]!f_prt_stocktonav(B443,"2017/03/31")</f>
        <v>79.805351257324219</v>
      </c>
      <c r="N443" s="20" t="str">
        <f>[1]!f_info_fundmanager(B443)</f>
        <v>区伟良</v>
      </c>
      <c r="O443" s="21">
        <v>0.56164383561643838</v>
      </c>
      <c r="P443" s="34" t="s">
        <v>1886</v>
      </c>
      <c r="Q443" s="34" t="s">
        <v>1887</v>
      </c>
      <c r="R443" s="34" t="s">
        <v>737</v>
      </c>
      <c r="S443" s="34">
        <v>20140514</v>
      </c>
      <c r="T443" s="45">
        <v>1.1089612158</v>
      </c>
      <c r="U443" s="46">
        <v>1.2333974272999999</v>
      </c>
      <c r="V443" s="34" t="s">
        <v>231</v>
      </c>
      <c r="W443" s="34" t="s">
        <v>44</v>
      </c>
      <c r="X443" s="34" t="s">
        <v>45</v>
      </c>
      <c r="Y443" s="34" t="s">
        <v>65</v>
      </c>
      <c r="Z443" s="34"/>
      <c r="AA443" s="34"/>
      <c r="AB443" s="22">
        <v>0.79440719604492183</v>
      </c>
      <c r="AC443" s="23" t="s">
        <v>813</v>
      </c>
      <c r="AD443" s="24">
        <v>0.33150684931506852</v>
      </c>
      <c r="AE443" s="25">
        <v>1.1499023769119709E-2</v>
      </c>
      <c r="AF443" s="26">
        <v>0</v>
      </c>
      <c r="AG443" s="26">
        <v>0</v>
      </c>
      <c r="AH443" s="27">
        <v>0.18307300609527619</v>
      </c>
      <c r="AI443" s="27">
        <v>0.18307300609527619</v>
      </c>
      <c r="AJ443" s="27">
        <v>0.18307300609527619</v>
      </c>
      <c r="AK443" s="28" t="s">
        <v>1858</v>
      </c>
      <c r="AL443" s="29" t="s">
        <v>48</v>
      </c>
      <c r="AM443" s="29" t="s">
        <v>48</v>
      </c>
      <c r="AN443" s="29" t="s">
        <v>48</v>
      </c>
      <c r="AO443" s="47" t="s">
        <v>739</v>
      </c>
      <c r="AP443" s="28">
        <v>0</v>
      </c>
      <c r="AQ443" s="26">
        <v>1.4999999999999999E-2</v>
      </c>
      <c r="AR443" s="26">
        <v>0</v>
      </c>
    </row>
    <row r="444" spans="1:44" x14ac:dyDescent="0.15">
      <c r="A444">
        <v>814</v>
      </c>
      <c r="B444" s="11">
        <v>519909</v>
      </c>
      <c r="C444" s="32"/>
      <c r="D444" s="32">
        <v>-2.71329460811551E-3</v>
      </c>
      <c r="E444" s="32">
        <v>109</v>
      </c>
      <c r="F444" s="32">
        <v>9.0005805731146901E-2</v>
      </c>
      <c r="G444" s="11"/>
      <c r="H444" s="11"/>
      <c r="I444" s="11"/>
      <c r="J444" s="18" t="s">
        <v>44</v>
      </c>
      <c r="K444" s="18" t="s">
        <v>45</v>
      </c>
      <c r="L444" s="58" t="s">
        <v>274</v>
      </c>
      <c r="M444" s="18">
        <f>[1]!f_prt_stocktonav(B444,"2017/03/31")</f>
        <v>76.097984313964844</v>
      </c>
      <c r="N444" s="20" t="str">
        <f>[1]!f_info_fundmanager(B444)</f>
        <v>谢振东</v>
      </c>
      <c r="O444" s="21">
        <v>2.0821917808219177</v>
      </c>
      <c r="P444" s="34" t="s">
        <v>1888</v>
      </c>
      <c r="Q444" s="34" t="s">
        <v>1889</v>
      </c>
      <c r="R444" s="34" t="s">
        <v>63</v>
      </c>
      <c r="S444" s="34">
        <v>20140512</v>
      </c>
      <c r="T444" s="45">
        <v>6.3383929905</v>
      </c>
      <c r="U444" s="46">
        <v>6.4688959840000004</v>
      </c>
      <c r="V444" s="34" t="s">
        <v>231</v>
      </c>
      <c r="W444" s="34" t="s">
        <v>44</v>
      </c>
      <c r="X444" s="34" t="s">
        <v>45</v>
      </c>
      <c r="Y444" s="34" t="s">
        <v>274</v>
      </c>
      <c r="Z444" s="34"/>
      <c r="AA444" s="34"/>
      <c r="AB444" s="22">
        <v>0.8593331146240234</v>
      </c>
      <c r="AC444" s="23" t="s">
        <v>1890</v>
      </c>
      <c r="AD444" s="24">
        <v>1.8520547945205479</v>
      </c>
      <c r="AE444" s="25">
        <v>0.15316885110490497</v>
      </c>
      <c r="AF444" s="26">
        <v>0</v>
      </c>
      <c r="AG444" s="26">
        <v>0</v>
      </c>
      <c r="AH444" s="27">
        <v>0.59887048752911631</v>
      </c>
      <c r="AI444" s="27">
        <v>0.59887048752911631</v>
      </c>
      <c r="AJ444" s="27">
        <v>0.59887048752911631</v>
      </c>
      <c r="AK444" s="28" t="s">
        <v>602</v>
      </c>
      <c r="AL444" s="29">
        <v>5</v>
      </c>
      <c r="AM444" s="29">
        <v>5</v>
      </c>
      <c r="AN444" s="29" t="s">
        <v>48</v>
      </c>
      <c r="AO444" s="47" t="s">
        <v>1891</v>
      </c>
      <c r="AP444" s="28">
        <v>0</v>
      </c>
      <c r="AQ444" s="26">
        <v>1.4999999999999999E-2</v>
      </c>
      <c r="AR444" s="26">
        <v>0</v>
      </c>
    </row>
    <row r="445" spans="1:44" x14ac:dyDescent="0.15">
      <c r="A445">
        <v>669</v>
      </c>
      <c r="B445" s="11">
        <v>519736</v>
      </c>
      <c r="C445" s="32"/>
      <c r="D445" s="32">
        <v>2.2667529144874301E-3</v>
      </c>
      <c r="E445" s="32">
        <v>127</v>
      </c>
      <c r="F445" s="32">
        <v>0.15167200263960101</v>
      </c>
      <c r="G445" s="11"/>
      <c r="H445" s="11"/>
      <c r="I445" s="11"/>
      <c r="J445" s="18" t="s">
        <v>44</v>
      </c>
      <c r="K445" s="18" t="s">
        <v>45</v>
      </c>
      <c r="L445" s="58" t="s">
        <v>274</v>
      </c>
      <c r="M445" s="18">
        <f>[1]!f_prt_stocktonav(B445,"2017/03/31")</f>
        <v>80.83935546875</v>
      </c>
      <c r="N445" s="20" t="str">
        <f>[1]!f_info_fundmanager(B445)</f>
        <v>王崇</v>
      </c>
      <c r="O445" s="21">
        <v>2.441095890410959</v>
      </c>
      <c r="P445" s="34" t="s">
        <v>1892</v>
      </c>
      <c r="Q445" s="34" t="s">
        <v>1893</v>
      </c>
      <c r="R445" s="34" t="s">
        <v>138</v>
      </c>
      <c r="S445" s="34">
        <v>20140509</v>
      </c>
      <c r="T445" s="45">
        <v>5.0915041481000003</v>
      </c>
      <c r="U445" s="46">
        <v>5.5647250334000002</v>
      </c>
      <c r="V445" s="34" t="s">
        <v>231</v>
      </c>
      <c r="W445" s="34" t="s">
        <v>44</v>
      </c>
      <c r="X445" s="34" t="s">
        <v>45</v>
      </c>
      <c r="Y445" s="34" t="s">
        <v>274</v>
      </c>
      <c r="Z445" s="34"/>
      <c r="AA445" s="34"/>
      <c r="AB445" s="22">
        <v>0.85003799438476557</v>
      </c>
      <c r="AC445" s="23" t="s">
        <v>1894</v>
      </c>
      <c r="AD445" s="24">
        <v>2.2109589041095892</v>
      </c>
      <c r="AE445" s="25">
        <v>0.2605621847385331</v>
      </c>
      <c r="AF445" s="26">
        <v>0</v>
      </c>
      <c r="AG445" s="26">
        <v>0</v>
      </c>
      <c r="AH445" s="27">
        <v>0.87736714127271764</v>
      </c>
      <c r="AI445" s="27">
        <v>0.87736714127271764</v>
      </c>
      <c r="AJ445" s="27">
        <v>0.87736714127271764</v>
      </c>
      <c r="AK445" s="28" t="s">
        <v>1895</v>
      </c>
      <c r="AL445" s="29" t="s">
        <v>48</v>
      </c>
      <c r="AM445" s="29" t="s">
        <v>48</v>
      </c>
      <c r="AN445" s="29" t="s">
        <v>48</v>
      </c>
      <c r="AO445" s="47" t="s">
        <v>1896</v>
      </c>
      <c r="AP445" s="28" t="s">
        <v>608</v>
      </c>
      <c r="AQ445" s="26">
        <v>1.4999999999999999E-2</v>
      </c>
      <c r="AR445" s="26">
        <v>0</v>
      </c>
    </row>
    <row r="446" spans="1:44" x14ac:dyDescent="0.15">
      <c r="A446">
        <v>319</v>
      </c>
      <c r="B446" s="11">
        <v>496</v>
      </c>
      <c r="C446" s="32"/>
      <c r="D446" s="32">
        <v>2.6977592961622399E-4</v>
      </c>
      <c r="E446" s="32">
        <v>97</v>
      </c>
      <c r="F446" s="32">
        <v>0.65900225497366904</v>
      </c>
      <c r="G446" s="11"/>
      <c r="H446" s="11"/>
      <c r="I446" s="11"/>
      <c r="J446" s="18" t="s">
        <v>44</v>
      </c>
      <c r="K446" s="18" t="s">
        <v>45</v>
      </c>
      <c r="L446" s="58" t="s">
        <v>65</v>
      </c>
      <c r="M446" s="18">
        <f>[1]!f_prt_stocktonav(B446,"2017/03/31")</f>
        <v>89.073089599609375</v>
      </c>
      <c r="N446" s="20" t="str">
        <f>[1]!f_info_fundmanager(B446)</f>
        <v>林忠晶,栾绍菲</v>
      </c>
      <c r="O446" s="21">
        <v>1.8520547945205479</v>
      </c>
      <c r="P446" s="34" t="s">
        <v>1897</v>
      </c>
      <c r="Q446" s="34" t="s">
        <v>1898</v>
      </c>
      <c r="R446" s="34" t="s">
        <v>1306</v>
      </c>
      <c r="S446" s="34">
        <v>20140507</v>
      </c>
      <c r="T446" s="45">
        <v>1.3555902077999999</v>
      </c>
      <c r="U446" s="46">
        <v>0.17084416550000001</v>
      </c>
      <c r="V446" s="34" t="s">
        <v>231</v>
      </c>
      <c r="W446" s="34" t="s">
        <v>41</v>
      </c>
      <c r="X446" s="34" t="s">
        <v>42</v>
      </c>
      <c r="Y446" s="34" t="s">
        <v>388</v>
      </c>
      <c r="Z446" s="34"/>
      <c r="AA446" s="34"/>
      <c r="AB446" s="22">
        <v>3.3753702640533449E-2</v>
      </c>
      <c r="AC446" s="23" t="s">
        <v>1899</v>
      </c>
      <c r="AD446" s="24">
        <v>1.6219178082191781</v>
      </c>
      <c r="AE446" s="25">
        <v>6.9309969512797887E-2</v>
      </c>
      <c r="AF446" s="26">
        <v>0</v>
      </c>
      <c r="AG446" s="26">
        <v>0</v>
      </c>
      <c r="AH446" s="27">
        <v>1.6632623960003228</v>
      </c>
      <c r="AI446" s="27">
        <v>1.6632623960003228</v>
      </c>
      <c r="AJ446" s="27">
        <v>1.6632623960003228</v>
      </c>
      <c r="AK446" s="28" t="s">
        <v>1900</v>
      </c>
      <c r="AL446" s="29" t="s">
        <v>48</v>
      </c>
      <c r="AM446" s="29" t="s">
        <v>48</v>
      </c>
      <c r="AN446" s="29" t="s">
        <v>48</v>
      </c>
      <c r="AO446" s="47" t="s">
        <v>209</v>
      </c>
      <c r="AP446" s="28">
        <v>0</v>
      </c>
      <c r="AQ446" s="26">
        <v>1.2000000476837159E-2</v>
      </c>
      <c r="AR446" s="26">
        <v>0</v>
      </c>
    </row>
    <row r="447" spans="1:44" x14ac:dyDescent="0.15">
      <c r="A447">
        <v>388</v>
      </c>
      <c r="B447" s="11">
        <v>566</v>
      </c>
      <c r="C447" s="32"/>
      <c r="D447" s="32">
        <v>-7.5383339798084704E-4</v>
      </c>
      <c r="E447" s="32">
        <v>152</v>
      </c>
      <c r="F447" s="32">
        <v>0.63368692931336501</v>
      </c>
      <c r="G447" s="11"/>
      <c r="H447" s="11"/>
      <c r="I447" s="11"/>
      <c r="J447" s="18" t="s">
        <v>44</v>
      </c>
      <c r="K447" s="18" t="s">
        <v>87</v>
      </c>
      <c r="L447" s="58" t="s">
        <v>274</v>
      </c>
      <c r="M447" s="18">
        <f>[1]!f_prt_stocktonav(B447,"2017/03/31")</f>
        <v>87.739799499511719</v>
      </c>
      <c r="N447" s="20" t="str">
        <f>[1]!f_info_fundmanager(B447)</f>
        <v>张慧</v>
      </c>
      <c r="O447" s="21">
        <v>2.904109589041096</v>
      </c>
      <c r="P447" s="34" t="s">
        <v>1901</v>
      </c>
      <c r="Q447" s="34" t="s">
        <v>1902</v>
      </c>
      <c r="R447" s="34" t="s">
        <v>880</v>
      </c>
      <c r="S447" s="34">
        <v>20140506</v>
      </c>
      <c r="T447" s="45">
        <v>2.6027803957</v>
      </c>
      <c r="U447" s="46">
        <v>3.3378950727999999</v>
      </c>
      <c r="V447" s="34" t="s">
        <v>231</v>
      </c>
      <c r="W447" s="34" t="s">
        <v>44</v>
      </c>
      <c r="X447" s="34" t="s">
        <v>45</v>
      </c>
      <c r="Y447" s="34" t="s">
        <v>274</v>
      </c>
      <c r="Z447" s="34"/>
      <c r="AA447" s="34"/>
      <c r="AB447" s="22">
        <v>0.89753219604492185</v>
      </c>
      <c r="AC447" s="23" t="s">
        <v>1589</v>
      </c>
      <c r="AD447" s="24">
        <v>2.6739726027397261</v>
      </c>
      <c r="AE447" s="25">
        <v>0.26017295655309303</v>
      </c>
      <c r="AF447" s="26">
        <v>0</v>
      </c>
      <c r="AG447" s="26">
        <v>0</v>
      </c>
      <c r="AH447" s="27">
        <v>0.83560257534812454</v>
      </c>
      <c r="AI447" s="27">
        <v>0.83560257534812454</v>
      </c>
      <c r="AJ447" s="27">
        <v>0.83560257534812454</v>
      </c>
      <c r="AK447" s="28" t="s">
        <v>1903</v>
      </c>
      <c r="AL447" s="29" t="s">
        <v>48</v>
      </c>
      <c r="AM447" s="29" t="s">
        <v>48</v>
      </c>
      <c r="AN447" s="29" t="s">
        <v>48</v>
      </c>
      <c r="AO447" s="47" t="s">
        <v>1904</v>
      </c>
      <c r="AP447" s="28">
        <v>0</v>
      </c>
      <c r="AQ447" s="26">
        <v>1.4999999999999999E-2</v>
      </c>
      <c r="AR447" s="26">
        <v>0</v>
      </c>
    </row>
    <row r="448" spans="1:44" x14ac:dyDescent="0.15">
      <c r="A448">
        <v>151</v>
      </c>
      <c r="B448" s="11">
        <v>520</v>
      </c>
      <c r="C448" s="32"/>
      <c r="D448" s="32">
        <v>1.7126874153262301E-3</v>
      </c>
      <c r="E448" s="32">
        <v>99</v>
      </c>
      <c r="F448" s="32">
        <v>0.44254983283263699</v>
      </c>
      <c r="G448" s="11"/>
      <c r="H448" s="11"/>
      <c r="I448" s="11"/>
      <c r="J448" s="18" t="s">
        <v>44</v>
      </c>
      <c r="K448" s="18" t="s">
        <v>45</v>
      </c>
      <c r="L448" s="58" t="s">
        <v>274</v>
      </c>
      <c r="M448" s="18">
        <f>[1]!f_prt_stocktonav(B448,"2017/03/31")</f>
        <v>92.705162048339844</v>
      </c>
      <c r="N448" s="20" t="str">
        <f>[1]!f_info_fundmanager(B448)</f>
        <v>赵治烨</v>
      </c>
      <c r="O448" s="21">
        <v>1.8849315068493151</v>
      </c>
      <c r="P448" s="34" t="s">
        <v>1905</v>
      </c>
      <c r="Q448" s="34" t="s">
        <v>1906</v>
      </c>
      <c r="R448" s="34" t="s">
        <v>1907</v>
      </c>
      <c r="S448" s="34">
        <v>20140506</v>
      </c>
      <c r="T448" s="45">
        <v>2.2049595621</v>
      </c>
      <c r="U448" s="46">
        <v>2.1919005168000001</v>
      </c>
      <c r="V448" s="34" t="s">
        <v>231</v>
      </c>
      <c r="W448" s="34" t="s">
        <v>44</v>
      </c>
      <c r="X448" s="34" t="s">
        <v>45</v>
      </c>
      <c r="Y448" s="34" t="s">
        <v>274</v>
      </c>
      <c r="Z448" s="34"/>
      <c r="AA448" s="34"/>
      <c r="AB448" s="22">
        <v>0.83301193237304683</v>
      </c>
      <c r="AC448" s="23" t="s">
        <v>1908</v>
      </c>
      <c r="AD448" s="24">
        <v>1.6547945205479453</v>
      </c>
      <c r="AE448" s="25">
        <v>0.28057549669812465</v>
      </c>
      <c r="AF448" s="26">
        <v>0</v>
      </c>
      <c r="AG448" s="26">
        <v>0</v>
      </c>
      <c r="AH448" s="27">
        <v>0.83568435571007249</v>
      </c>
      <c r="AI448" s="27">
        <v>0.83568435571007249</v>
      </c>
      <c r="AJ448" s="27">
        <v>0.83568435571007249</v>
      </c>
      <c r="AK448" s="28" t="s">
        <v>191</v>
      </c>
      <c r="AL448" s="29" t="s">
        <v>48</v>
      </c>
      <c r="AM448" s="29" t="s">
        <v>48</v>
      </c>
      <c r="AN448" s="29" t="s">
        <v>48</v>
      </c>
      <c r="AO448" s="47" t="s">
        <v>1909</v>
      </c>
      <c r="AP448" s="28">
        <v>0</v>
      </c>
      <c r="AQ448" s="26">
        <v>1.4999999999999999E-2</v>
      </c>
      <c r="AR448" s="26">
        <v>0</v>
      </c>
    </row>
    <row r="449" spans="1:44" x14ac:dyDescent="0.15">
      <c r="A449">
        <v>570</v>
      </c>
      <c r="B449" s="11">
        <v>634</v>
      </c>
      <c r="C449" s="32"/>
      <c r="D449" s="32">
        <v>-1.90306824128755E-3</v>
      </c>
      <c r="E449" s="32">
        <v>152</v>
      </c>
      <c r="F449" s="32">
        <v>0.17013996023503</v>
      </c>
      <c r="G449" s="11"/>
      <c r="H449" s="11"/>
      <c r="I449" s="11"/>
      <c r="J449" s="18" t="s">
        <v>44</v>
      </c>
      <c r="K449" s="18" t="s">
        <v>45</v>
      </c>
      <c r="L449" s="58" t="s">
        <v>274</v>
      </c>
      <c r="M449" s="18">
        <f>[1]!f_prt_stocktonav(B449,"2017/03/31")</f>
        <v>83.560279846191406</v>
      </c>
      <c r="N449" s="20" t="str">
        <f>[1]!f_info_fundmanager(B449)</f>
        <v>袁宜</v>
      </c>
      <c r="O449" s="21">
        <v>2.9205479452054797</v>
      </c>
      <c r="P449" s="34" t="s">
        <v>1910</v>
      </c>
      <c r="Q449" s="34" t="s">
        <v>1911</v>
      </c>
      <c r="R449" s="34" t="s">
        <v>396</v>
      </c>
      <c r="S449" s="34">
        <v>20140430</v>
      </c>
      <c r="T449" s="45">
        <v>3.0470211263999998</v>
      </c>
      <c r="U449" s="46">
        <v>3.1181122722999999</v>
      </c>
      <c r="V449" s="34" t="s">
        <v>231</v>
      </c>
      <c r="W449" s="34" t="s">
        <v>44</v>
      </c>
      <c r="X449" s="34" t="s">
        <v>45</v>
      </c>
      <c r="Y449" s="34" t="s">
        <v>274</v>
      </c>
      <c r="Z449" s="34"/>
      <c r="AA449" s="34"/>
      <c r="AB449" s="22">
        <v>0.8159017181396484</v>
      </c>
      <c r="AC449" s="23" t="s">
        <v>1912</v>
      </c>
      <c r="AD449" s="24">
        <v>2.6904109589041094</v>
      </c>
      <c r="AE449" s="25">
        <v>0.15828137387192376</v>
      </c>
      <c r="AF449" s="26">
        <v>0</v>
      </c>
      <c r="AG449" s="26">
        <v>0</v>
      </c>
      <c r="AH449" s="27">
        <v>0.6217669294569742</v>
      </c>
      <c r="AI449" s="27">
        <v>0.6217669294569742</v>
      </c>
      <c r="AJ449" s="27">
        <v>0.6217669294569742</v>
      </c>
      <c r="AK449" s="28" t="s">
        <v>874</v>
      </c>
      <c r="AL449" s="29">
        <v>5</v>
      </c>
      <c r="AM449" s="29">
        <v>4</v>
      </c>
      <c r="AN449" s="29" t="s">
        <v>48</v>
      </c>
      <c r="AO449" s="47" t="s">
        <v>1913</v>
      </c>
      <c r="AP449" s="28" t="s">
        <v>1914</v>
      </c>
      <c r="AQ449" s="26">
        <v>1.4999999999999999E-2</v>
      </c>
      <c r="AR449" s="26">
        <v>0</v>
      </c>
    </row>
    <row r="450" spans="1:44" x14ac:dyDescent="0.15">
      <c r="A450">
        <v>136</v>
      </c>
      <c r="B450" s="11">
        <v>586</v>
      </c>
      <c r="C450" s="32"/>
      <c r="D450" s="32">
        <v>-2.70046109962639E-3</v>
      </c>
      <c r="E450" s="32">
        <v>109</v>
      </c>
      <c r="F450" s="32">
        <v>0.106435223706822</v>
      </c>
      <c r="G450" s="11"/>
      <c r="H450" s="11"/>
      <c r="I450" s="11"/>
      <c r="J450" s="18" t="s">
        <v>44</v>
      </c>
      <c r="K450" s="18" t="s">
        <v>45</v>
      </c>
      <c r="L450" s="58" t="s">
        <v>274</v>
      </c>
      <c r="M450" s="18">
        <f>[1]!f_prt_stocktonav(B450,"2017/03/31")</f>
        <v>92.978775024414063</v>
      </c>
      <c r="N450" s="20" t="str">
        <f>[1]!f_info_fundmanager(B450)</f>
        <v>李孟海</v>
      </c>
      <c r="O450" s="21">
        <v>2.0794520547945203</v>
      </c>
      <c r="P450" s="34" t="s">
        <v>1915</v>
      </c>
      <c r="Q450" s="34" t="s">
        <v>1916</v>
      </c>
      <c r="R450" s="34" t="s">
        <v>353</v>
      </c>
      <c r="S450" s="34">
        <v>20140430</v>
      </c>
      <c r="T450" s="45">
        <v>6.7432423807999999</v>
      </c>
      <c r="U450" s="46">
        <v>7.6290850973</v>
      </c>
      <c r="V450" s="34" t="s">
        <v>231</v>
      </c>
      <c r="W450" s="34" t="s">
        <v>44</v>
      </c>
      <c r="X450" s="34" t="s">
        <v>45</v>
      </c>
      <c r="Y450" s="34" t="s">
        <v>274</v>
      </c>
      <c r="Z450" s="34"/>
      <c r="AA450" s="34"/>
      <c r="AB450" s="22">
        <v>0.91335113525390621</v>
      </c>
      <c r="AC450" s="23" t="s">
        <v>596</v>
      </c>
      <c r="AD450" s="24">
        <v>1.8493150684931507</v>
      </c>
      <c r="AE450" s="25">
        <v>0.21898552885169309</v>
      </c>
      <c r="AF450" s="26">
        <v>0</v>
      </c>
      <c r="AG450" s="26">
        <v>0</v>
      </c>
      <c r="AH450" s="27">
        <v>0.66177270900764462</v>
      </c>
      <c r="AI450" s="27">
        <v>0.66177270900764462</v>
      </c>
      <c r="AJ450" s="27">
        <v>0.66177270900764462</v>
      </c>
      <c r="AK450" s="28" t="s">
        <v>1917</v>
      </c>
      <c r="AL450" s="29" t="s">
        <v>48</v>
      </c>
      <c r="AM450" s="29" t="s">
        <v>48</v>
      </c>
      <c r="AN450" s="29" t="s">
        <v>48</v>
      </c>
      <c r="AO450" s="47" t="s">
        <v>1918</v>
      </c>
      <c r="AP450" s="28">
        <v>0</v>
      </c>
      <c r="AQ450" s="26">
        <v>1.4999999999999999E-2</v>
      </c>
      <c r="AR450" s="26">
        <v>0</v>
      </c>
    </row>
    <row r="451" spans="1:44" x14ac:dyDescent="0.15">
      <c r="A451">
        <v>25</v>
      </c>
      <c r="B451" s="11">
        <v>589</v>
      </c>
      <c r="C451" s="32"/>
      <c r="D451" s="32">
        <v>-1.11610739084549E-3</v>
      </c>
      <c r="E451" s="32">
        <v>103</v>
      </c>
      <c r="F451" s="32">
        <v>0.21435957083775101</v>
      </c>
      <c r="G451" s="11"/>
      <c r="H451" s="11"/>
      <c r="I451" s="11"/>
      <c r="J451" s="18" t="s">
        <v>44</v>
      </c>
      <c r="K451" s="18" t="s">
        <v>87</v>
      </c>
      <c r="L451" s="58" t="s">
        <v>65</v>
      </c>
      <c r="M451" s="18">
        <f>[1]!f_prt_stocktonav(B451,"2017/03/31")</f>
        <v>94.682624816894531</v>
      </c>
      <c r="N451" s="20" t="str">
        <f>[1]!f_info_fundmanager(B451)</f>
        <v>陈栋</v>
      </c>
      <c r="O451" s="21">
        <v>1.9643835616438357</v>
      </c>
      <c r="P451" s="34" t="s">
        <v>1919</v>
      </c>
      <c r="Q451" s="34" t="s">
        <v>1920</v>
      </c>
      <c r="R451" s="34" t="s">
        <v>634</v>
      </c>
      <c r="S451" s="34">
        <v>20140429</v>
      </c>
      <c r="T451" s="45">
        <v>2.3701332130999999</v>
      </c>
      <c r="U451" s="46">
        <v>2.5307700207999999</v>
      </c>
      <c r="V451" s="34" t="s">
        <v>231</v>
      </c>
      <c r="W451" s="34" t="s">
        <v>44</v>
      </c>
      <c r="X451" s="34" t="s">
        <v>87</v>
      </c>
      <c r="Y451" s="34" t="s">
        <v>65</v>
      </c>
      <c r="Z451" s="34" t="s">
        <v>1921</v>
      </c>
      <c r="AA451" s="34"/>
      <c r="AB451" s="22">
        <v>0.94445365905761713</v>
      </c>
      <c r="AC451" s="23" t="s">
        <v>1922</v>
      </c>
      <c r="AD451" s="24">
        <v>1.7342465753424658</v>
      </c>
      <c r="AE451" s="25">
        <v>0.23580178172048072</v>
      </c>
      <c r="AF451" s="26">
        <v>0</v>
      </c>
      <c r="AG451" s="26">
        <v>0</v>
      </c>
      <c r="AH451" s="27">
        <v>0.82214894689785156</v>
      </c>
      <c r="AI451" s="27">
        <v>0.82214894689785156</v>
      </c>
      <c r="AJ451" s="27">
        <v>0.82214894689785156</v>
      </c>
      <c r="AK451" s="33" t="s">
        <v>1868</v>
      </c>
      <c r="AL451" s="29" t="s">
        <v>48</v>
      </c>
      <c r="AM451" s="29" t="s">
        <v>48</v>
      </c>
      <c r="AN451" s="29" t="s">
        <v>48</v>
      </c>
      <c r="AO451" s="47" t="s">
        <v>1923</v>
      </c>
      <c r="AP451" s="28">
        <v>0</v>
      </c>
      <c r="AQ451" s="26">
        <v>1.4999999999999999E-2</v>
      </c>
      <c r="AR451" s="26">
        <v>0</v>
      </c>
    </row>
    <row r="452" spans="1:44" x14ac:dyDescent="0.15">
      <c r="A452">
        <v>637</v>
      </c>
      <c r="B452" s="11">
        <v>551</v>
      </c>
      <c r="C452" s="32"/>
      <c r="D452" s="32">
        <v>-2.4474579169433699E-3</v>
      </c>
      <c r="E452" s="32">
        <v>100</v>
      </c>
      <c r="F452" s="32">
        <v>0.116048314558392</v>
      </c>
      <c r="G452" s="11"/>
      <c r="H452" s="11"/>
      <c r="I452" s="11"/>
      <c r="J452" s="18" t="s">
        <v>44</v>
      </c>
      <c r="K452" s="18" t="s">
        <v>45</v>
      </c>
      <c r="L452" s="58" t="s">
        <v>274</v>
      </c>
      <c r="M452" s="18">
        <f>[1]!f_prt_stocktonav(B452,"2017/03/31")</f>
        <v>81.907806396484375</v>
      </c>
      <c r="N452" s="20" t="str">
        <f>[1]!f_info_fundmanager(B452)</f>
        <v>张光成,闾志刚</v>
      </c>
      <c r="O452" s="21">
        <v>1.9205479452054794</v>
      </c>
      <c r="P452" s="34" t="s">
        <v>1924</v>
      </c>
      <c r="Q452" s="34" t="s">
        <v>1925</v>
      </c>
      <c r="R452" s="34" t="s">
        <v>456</v>
      </c>
      <c r="S452" s="34">
        <v>20140429</v>
      </c>
      <c r="T452" s="45">
        <v>0.17837444529999999</v>
      </c>
      <c r="U452" s="46">
        <v>0.170598482</v>
      </c>
      <c r="V452" s="34" t="s">
        <v>231</v>
      </c>
      <c r="W452" s="34" t="s">
        <v>41</v>
      </c>
      <c r="X452" s="34" t="s">
        <v>42</v>
      </c>
      <c r="Y452" s="34" t="s">
        <v>181</v>
      </c>
      <c r="Z452" s="34"/>
      <c r="AA452" s="34"/>
      <c r="AB452" s="22">
        <v>0.68738914489746095</v>
      </c>
      <c r="AC452" s="23" t="s">
        <v>1926</v>
      </c>
      <c r="AD452" s="24">
        <v>1.6904109589041096</v>
      </c>
      <c r="AE452" s="25">
        <v>0.21713067592297186</v>
      </c>
      <c r="AF452" s="26">
        <v>0</v>
      </c>
      <c r="AG452" s="26">
        <v>0</v>
      </c>
      <c r="AH452" s="27">
        <v>0.69524569106603196</v>
      </c>
      <c r="AI452" s="27">
        <v>0.69524569106603196</v>
      </c>
      <c r="AJ452" s="27">
        <v>0.69524569106603196</v>
      </c>
      <c r="AK452" s="28" t="s">
        <v>380</v>
      </c>
      <c r="AL452" s="29" t="s">
        <v>48</v>
      </c>
      <c r="AM452" s="29" t="s">
        <v>48</v>
      </c>
      <c r="AN452" s="29" t="s">
        <v>48</v>
      </c>
      <c r="AO452" s="47" t="s">
        <v>101</v>
      </c>
      <c r="AP452" s="28">
        <v>0</v>
      </c>
      <c r="AQ452" s="26">
        <v>1.4999999999999999E-2</v>
      </c>
      <c r="AR452" s="26">
        <v>0</v>
      </c>
    </row>
    <row r="453" spans="1:44" x14ac:dyDescent="0.15">
      <c r="A453">
        <v>328</v>
      </c>
      <c r="B453" s="11">
        <v>545</v>
      </c>
      <c r="C453" s="32"/>
      <c r="D453" s="32">
        <v>-1.5343842723792699E-3</v>
      </c>
      <c r="E453" s="32">
        <v>153</v>
      </c>
      <c r="F453" s="32">
        <v>0.31438638970935201</v>
      </c>
      <c r="G453" s="11"/>
      <c r="H453" s="11"/>
      <c r="I453" s="11"/>
      <c r="J453" s="18" t="s">
        <v>44</v>
      </c>
      <c r="K453" s="18" t="s">
        <v>45</v>
      </c>
      <c r="L453" s="58" t="s">
        <v>65</v>
      </c>
      <c r="M453" s="18">
        <f>[1]!f_prt_stocktonav(B453,"2017/03/31")</f>
        <v>88.904296875</v>
      </c>
      <c r="N453" s="20" t="str">
        <f>[1]!f_info_fundmanager(B453)</f>
        <v>任泽松,许忠海</v>
      </c>
      <c r="O453" s="21">
        <v>2.9397260273972603</v>
      </c>
      <c r="P453" s="34" t="s">
        <v>1927</v>
      </c>
      <c r="Q453" s="34" t="s">
        <v>1928</v>
      </c>
      <c r="R453" s="34" t="s">
        <v>85</v>
      </c>
      <c r="S453" s="34">
        <v>20140423</v>
      </c>
      <c r="T453" s="45">
        <v>23.421345451800001</v>
      </c>
      <c r="U453" s="46">
        <v>29.586564922099999</v>
      </c>
      <c r="V453" s="34" t="s">
        <v>231</v>
      </c>
      <c r="W453" s="34" t="s">
        <v>44</v>
      </c>
      <c r="X453" s="34" t="s">
        <v>45</v>
      </c>
      <c r="Y453" s="34" t="s">
        <v>274</v>
      </c>
      <c r="Z453" s="34"/>
      <c r="AA453" s="34"/>
      <c r="AB453" s="22">
        <v>0.85776824951171871</v>
      </c>
      <c r="AC453" s="23" t="s">
        <v>775</v>
      </c>
      <c r="AD453" s="24">
        <v>2.7095890410958905</v>
      </c>
      <c r="AE453" s="25">
        <v>0.20601965501882513</v>
      </c>
      <c r="AF453" s="26">
        <v>0</v>
      </c>
      <c r="AG453" s="26">
        <v>0</v>
      </c>
      <c r="AH453" s="27">
        <v>0.64737557938380808</v>
      </c>
      <c r="AI453" s="27">
        <v>0.64737557938380808</v>
      </c>
      <c r="AJ453" s="27">
        <v>0.64737557938380808</v>
      </c>
      <c r="AK453" s="28" t="s">
        <v>1929</v>
      </c>
      <c r="AL453" s="29" t="s">
        <v>48</v>
      </c>
      <c r="AM453" s="29" t="s">
        <v>48</v>
      </c>
      <c r="AN453" s="29" t="s">
        <v>48</v>
      </c>
      <c r="AO453" s="47" t="s">
        <v>367</v>
      </c>
      <c r="AP453" s="28">
        <v>0</v>
      </c>
      <c r="AQ453" s="26">
        <v>1.4999999999999999E-2</v>
      </c>
      <c r="AR453" s="26">
        <v>0</v>
      </c>
    </row>
    <row r="454" spans="1:44" x14ac:dyDescent="0.15">
      <c r="A454">
        <v>289</v>
      </c>
      <c r="B454" s="11">
        <v>519165</v>
      </c>
      <c r="C454" s="32"/>
      <c r="D454" s="32">
        <v>-2.8829392812065699E-3</v>
      </c>
      <c r="E454" s="32">
        <v>118</v>
      </c>
      <c r="F454" s="32">
        <v>0.14958101241215899</v>
      </c>
      <c r="G454" s="11"/>
      <c r="H454" s="11"/>
      <c r="I454" s="11"/>
      <c r="J454" s="18" t="s">
        <v>44</v>
      </c>
      <c r="K454" s="18" t="s">
        <v>45</v>
      </c>
      <c r="L454" s="58" t="s">
        <v>274</v>
      </c>
      <c r="M454" s="18">
        <f>[1]!f_prt_stocktonav(B454,"2017/03/31")</f>
        <v>89.618392944335938</v>
      </c>
      <c r="N454" s="20" t="str">
        <f>[1]!f_info_fundmanager(B454)</f>
        <v>李会忠</v>
      </c>
      <c r="O454" s="21">
        <v>2.2630136986301368</v>
      </c>
      <c r="P454" s="34" t="s">
        <v>1930</v>
      </c>
      <c r="Q454" s="34" t="s">
        <v>1931</v>
      </c>
      <c r="R454" s="34" t="s">
        <v>569</v>
      </c>
      <c r="S454" s="34">
        <v>20140423</v>
      </c>
      <c r="T454" s="45">
        <v>0.95043970600000005</v>
      </c>
      <c r="U454" s="46">
        <v>1.5962398501999999</v>
      </c>
      <c r="V454" s="34" t="s">
        <v>231</v>
      </c>
      <c r="W454" s="34" t="s">
        <v>44</v>
      </c>
      <c r="X454" s="34" t="s">
        <v>45</v>
      </c>
      <c r="Y454" s="34" t="s">
        <v>274</v>
      </c>
      <c r="Z454" s="34"/>
      <c r="AA454" s="34"/>
      <c r="AB454" s="22">
        <v>0.88268989562988276</v>
      </c>
      <c r="AC454" s="23" t="s">
        <v>571</v>
      </c>
      <c r="AD454" s="24">
        <v>2.032876712328767</v>
      </c>
      <c r="AE454" s="25">
        <v>8.0139547155916979E-2</v>
      </c>
      <c r="AF454" s="26">
        <v>0</v>
      </c>
      <c r="AG454" s="26">
        <v>0</v>
      </c>
      <c r="AH454" s="27">
        <v>0.36031739614257058</v>
      </c>
      <c r="AI454" s="27">
        <v>0.36031739614257058</v>
      </c>
      <c r="AJ454" s="27">
        <v>0.36031739614257058</v>
      </c>
      <c r="AK454" s="28" t="s">
        <v>191</v>
      </c>
      <c r="AL454" s="29" t="s">
        <v>48</v>
      </c>
      <c r="AM454" s="29" t="s">
        <v>48</v>
      </c>
      <c r="AN454" s="29" t="s">
        <v>48</v>
      </c>
      <c r="AO454" s="47" t="s">
        <v>310</v>
      </c>
      <c r="AP454" s="28">
        <v>0</v>
      </c>
      <c r="AQ454" s="26">
        <v>1.4999999999999999E-2</v>
      </c>
      <c r="AR454" s="26">
        <v>0</v>
      </c>
    </row>
    <row r="455" spans="1:44" x14ac:dyDescent="0.15">
      <c r="A455">
        <v>92</v>
      </c>
      <c r="B455" s="11">
        <v>577</v>
      </c>
      <c r="C455" s="32"/>
      <c r="D455" s="32">
        <v>1.4472202238154E-3</v>
      </c>
      <c r="E455" s="32">
        <v>154</v>
      </c>
      <c r="F455" s="32">
        <v>0.11713051690104601</v>
      </c>
      <c r="G455" s="11"/>
      <c r="H455" s="11"/>
      <c r="I455" s="11"/>
      <c r="J455" s="18" t="s">
        <v>44</v>
      </c>
      <c r="K455" s="18" t="s">
        <v>45</v>
      </c>
      <c r="L455" s="58" t="s">
        <v>65</v>
      </c>
      <c r="M455" s="18">
        <f>[1]!f_prt_stocktonav(B455,"2017/03/31")</f>
        <v>93.733901977539062</v>
      </c>
      <c r="N455" s="20" t="str">
        <f>[1]!f_info_fundmanager(B455)</f>
        <v>陈一峰</v>
      </c>
      <c r="O455" s="21">
        <v>2.9452054794520546</v>
      </c>
      <c r="P455" s="34" t="s">
        <v>1932</v>
      </c>
      <c r="Q455" s="34" t="s">
        <v>1933</v>
      </c>
      <c r="R455" s="34" t="s">
        <v>975</v>
      </c>
      <c r="S455" s="34">
        <v>20140421</v>
      </c>
      <c r="T455" s="45">
        <v>5.6213170503000001</v>
      </c>
      <c r="U455" s="46">
        <v>1.2604296789</v>
      </c>
      <c r="V455" s="34" t="s">
        <v>231</v>
      </c>
      <c r="W455" s="34" t="s">
        <v>44</v>
      </c>
      <c r="X455" s="34" t="s">
        <v>45</v>
      </c>
      <c r="Y455" s="34" t="s">
        <v>65</v>
      </c>
      <c r="Z455" s="34"/>
      <c r="AA455" s="34"/>
      <c r="AB455" s="22">
        <v>0.91723266601562503</v>
      </c>
      <c r="AC455" s="23" t="s">
        <v>1509</v>
      </c>
      <c r="AD455" s="24">
        <v>2.7150684931506848</v>
      </c>
      <c r="AE455" s="25">
        <v>0.31815808135129853</v>
      </c>
      <c r="AF455" s="26">
        <v>0</v>
      </c>
      <c r="AG455" s="26">
        <v>0</v>
      </c>
      <c r="AH455" s="27">
        <v>1.246002133989442</v>
      </c>
      <c r="AI455" s="27">
        <v>1.246002133989442</v>
      </c>
      <c r="AJ455" s="27">
        <v>1.246002133989442</v>
      </c>
      <c r="AK455" s="28" t="s">
        <v>1934</v>
      </c>
      <c r="AL455" s="29" t="s">
        <v>48</v>
      </c>
      <c r="AM455" s="29" t="s">
        <v>48</v>
      </c>
      <c r="AN455" s="29" t="s">
        <v>48</v>
      </c>
      <c r="AO455" s="47" t="s">
        <v>209</v>
      </c>
      <c r="AP455" s="28">
        <v>0</v>
      </c>
      <c r="AQ455" s="26">
        <v>0.01</v>
      </c>
      <c r="AR455" s="26">
        <v>0</v>
      </c>
    </row>
    <row r="456" spans="1:44" x14ac:dyDescent="0.15">
      <c r="A456">
        <v>247</v>
      </c>
      <c r="B456" s="11">
        <v>584</v>
      </c>
      <c r="C456" s="32"/>
      <c r="D456" s="32">
        <v>-1.7392107228310901E-3</v>
      </c>
      <c r="E456" s="32">
        <v>141</v>
      </c>
      <c r="F456" s="32">
        <v>0.25012510426906198</v>
      </c>
      <c r="G456" s="11"/>
      <c r="H456" s="11"/>
      <c r="I456" s="11"/>
      <c r="J456" s="18" t="s">
        <v>44</v>
      </c>
      <c r="K456" s="18" t="s">
        <v>45</v>
      </c>
      <c r="L456" s="58" t="s">
        <v>65</v>
      </c>
      <c r="M456" s="18">
        <f>[1]!f_prt_stocktonav(B456,"2017/03/31")</f>
        <v>90.620170593261719</v>
      </c>
      <c r="N456" s="20" t="str">
        <f>[1]!f_info_fundmanager(B456)</f>
        <v>崔建波,李会忠</v>
      </c>
      <c r="O456" s="21">
        <v>2.7041095890410958</v>
      </c>
      <c r="P456" s="34" t="s">
        <v>1935</v>
      </c>
      <c r="Q456" s="34" t="s">
        <v>1936</v>
      </c>
      <c r="R456" s="34" t="s">
        <v>569</v>
      </c>
      <c r="S456" s="34">
        <v>20140416</v>
      </c>
      <c r="T456" s="45">
        <v>2.4157036879999998</v>
      </c>
      <c r="U456" s="46">
        <v>2.5316419567000001</v>
      </c>
      <c r="V456" s="34" t="s">
        <v>231</v>
      </c>
      <c r="W456" s="34" t="s">
        <v>41</v>
      </c>
      <c r="X456" s="34" t="s">
        <v>42</v>
      </c>
      <c r="Y456" s="34" t="s">
        <v>181</v>
      </c>
      <c r="Z456" s="34"/>
      <c r="AA456" s="34"/>
      <c r="AB456" s="22">
        <v>0.61211174011230474</v>
      </c>
      <c r="AC456" s="23" t="s">
        <v>1937</v>
      </c>
      <c r="AD456" s="24">
        <v>2.473972602739726</v>
      </c>
      <c r="AE456" s="25">
        <v>0.21899773485531271</v>
      </c>
      <c r="AF456" s="26">
        <v>0</v>
      </c>
      <c r="AG456" s="26">
        <v>0</v>
      </c>
      <c r="AH456" s="27">
        <v>0.80670384860491806</v>
      </c>
      <c r="AI456" s="27">
        <v>0.80670384860491806</v>
      </c>
      <c r="AJ456" s="27">
        <v>0.80670384860491806</v>
      </c>
      <c r="AK456" s="28" t="s">
        <v>1938</v>
      </c>
      <c r="AL456" s="29" t="s">
        <v>48</v>
      </c>
      <c r="AM456" s="29" t="s">
        <v>48</v>
      </c>
      <c r="AN456" s="29" t="s">
        <v>48</v>
      </c>
      <c r="AO456" s="47">
        <v>0</v>
      </c>
      <c r="AP456" s="28">
        <v>0</v>
      </c>
      <c r="AQ456" s="26">
        <v>1.4999999999999999E-2</v>
      </c>
      <c r="AR456" s="26">
        <v>5.0000000000000001E-3</v>
      </c>
    </row>
    <row r="457" spans="1:44" x14ac:dyDescent="0.15">
      <c r="A457">
        <v>58</v>
      </c>
      <c r="B457" s="11">
        <v>549</v>
      </c>
      <c r="C457" s="32"/>
      <c r="D457" s="32">
        <v>-2.3609121034562901E-3</v>
      </c>
      <c r="E457" s="32">
        <v>155</v>
      </c>
      <c r="F457" s="32">
        <v>5.6840354268187801E-2</v>
      </c>
      <c r="G457" s="11"/>
      <c r="H457" s="11"/>
      <c r="I457" s="11"/>
      <c r="J457" s="18" t="s">
        <v>44</v>
      </c>
      <c r="K457" s="18" t="s">
        <v>45</v>
      </c>
      <c r="L457" s="58" t="s">
        <v>274</v>
      </c>
      <c r="M457" s="18">
        <f>[1]!f_prt_stocktonav(B457,"2017/03/31")</f>
        <v>94.214027404785156</v>
      </c>
      <c r="N457" s="20" t="str">
        <f>[1]!f_info_fundmanager(B457)</f>
        <v>翁启森</v>
      </c>
      <c r="O457" s="21">
        <v>2.9616438356164383</v>
      </c>
      <c r="P457" s="34" t="s">
        <v>1939</v>
      </c>
      <c r="Q457" s="34" t="s">
        <v>1940</v>
      </c>
      <c r="R457" s="34" t="s">
        <v>63</v>
      </c>
      <c r="S457" s="34">
        <v>20140414</v>
      </c>
      <c r="T457" s="45">
        <v>2.9500984250000002</v>
      </c>
      <c r="U457" s="46">
        <v>3.7648692648000002</v>
      </c>
      <c r="V457" s="34" t="s">
        <v>231</v>
      </c>
      <c r="W457" s="34" t="s">
        <v>44</v>
      </c>
      <c r="X457" s="34" t="s">
        <v>45</v>
      </c>
      <c r="Y457" s="34" t="s">
        <v>274</v>
      </c>
      <c r="Z457" s="34"/>
      <c r="AA457" s="34"/>
      <c r="AB457" s="22">
        <v>0.92505874633789065</v>
      </c>
      <c r="AC457" s="23" t="s">
        <v>1516</v>
      </c>
      <c r="AD457" s="24">
        <v>2.7315068493150685</v>
      </c>
      <c r="AE457" s="25">
        <v>0.20823406472441053</v>
      </c>
      <c r="AF457" s="26">
        <v>0</v>
      </c>
      <c r="AG457" s="26">
        <v>0</v>
      </c>
      <c r="AH457" s="27">
        <v>0.65547639358386922</v>
      </c>
      <c r="AI457" s="27">
        <v>0.65547639358386922</v>
      </c>
      <c r="AJ457" s="27">
        <v>0.65547639358386922</v>
      </c>
      <c r="AK457" s="28" t="s">
        <v>1941</v>
      </c>
      <c r="AL457" s="29" t="s">
        <v>48</v>
      </c>
      <c r="AM457" s="29" t="s">
        <v>48</v>
      </c>
      <c r="AN457" s="29" t="s">
        <v>48</v>
      </c>
      <c r="AO457" s="47" t="s">
        <v>1942</v>
      </c>
      <c r="AP457" s="28">
        <v>0</v>
      </c>
      <c r="AQ457" s="26">
        <v>1.4999999999999999E-2</v>
      </c>
      <c r="AR457" s="26">
        <v>0</v>
      </c>
    </row>
    <row r="458" spans="1:44" x14ac:dyDescent="0.15">
      <c r="A458">
        <v>137</v>
      </c>
      <c r="B458" s="11">
        <v>574</v>
      </c>
      <c r="C458" s="32"/>
      <c r="D458" s="32">
        <v>-8.7350695998533105E-4</v>
      </c>
      <c r="E458" s="32">
        <v>13</v>
      </c>
      <c r="F458" s="32">
        <v>0.74778066506645902</v>
      </c>
      <c r="G458" s="11"/>
      <c r="H458" s="11"/>
      <c r="I458" s="11"/>
      <c r="J458" s="18" t="s">
        <v>44</v>
      </c>
      <c r="K458" s="18" t="s">
        <v>45</v>
      </c>
      <c r="L458" s="58" t="s">
        <v>65</v>
      </c>
      <c r="M458" s="18">
        <f>[1]!f_prt_stocktonav(B458,"2017/03/31")</f>
        <v>92.944366455078125</v>
      </c>
      <c r="N458" s="20" t="str">
        <f>[1]!f_info_fundmanager(B458)</f>
        <v>段鹏程</v>
      </c>
      <c r="O458" s="21">
        <v>0.23561643835616439</v>
      </c>
      <c r="P458" s="34" t="s">
        <v>1943</v>
      </c>
      <c r="Q458" s="34" t="s">
        <v>1944</v>
      </c>
      <c r="R458" s="34" t="s">
        <v>402</v>
      </c>
      <c r="S458" s="34">
        <v>20140410</v>
      </c>
      <c r="T458" s="45">
        <v>23.9469418732</v>
      </c>
      <c r="U458" s="46">
        <v>28.556680477699999</v>
      </c>
      <c r="V458" s="34" t="s">
        <v>231</v>
      </c>
      <c r="W458" s="34" t="s">
        <v>44</v>
      </c>
      <c r="X458" s="34" t="s">
        <v>45</v>
      </c>
      <c r="Y458" s="34" t="s">
        <v>65</v>
      </c>
      <c r="Z458" s="34"/>
      <c r="AA458" s="34"/>
      <c r="AB458" s="22">
        <v>0.94682685852050785</v>
      </c>
      <c r="AC458" s="23" t="s">
        <v>832</v>
      </c>
      <c r="AD458" s="24">
        <v>5.4794520547945206E-3</v>
      </c>
      <c r="AE458" s="25">
        <v>0.31206059871779845</v>
      </c>
      <c r="AF458" s="26">
        <v>0</v>
      </c>
      <c r="AG458" s="26">
        <v>0</v>
      </c>
      <c r="AH458" s="27">
        <v>0.83113343011816676</v>
      </c>
      <c r="AI458" s="27">
        <v>0.83113343011816676</v>
      </c>
      <c r="AJ458" s="27">
        <v>0.83113343011816676</v>
      </c>
      <c r="AK458" s="28" t="s">
        <v>874</v>
      </c>
      <c r="AL458" s="29" t="s">
        <v>48</v>
      </c>
      <c r="AM458" s="29" t="s">
        <v>48</v>
      </c>
      <c r="AN458" s="29" t="s">
        <v>48</v>
      </c>
      <c r="AO458" s="47" t="s">
        <v>715</v>
      </c>
      <c r="AP458" s="28">
        <v>0</v>
      </c>
      <c r="AQ458" s="26">
        <v>1.4999999999999999E-2</v>
      </c>
      <c r="AR458" s="26">
        <v>0</v>
      </c>
    </row>
    <row r="459" spans="1:44" x14ac:dyDescent="0.15">
      <c r="A459">
        <v>55</v>
      </c>
      <c r="B459" s="11">
        <v>595</v>
      </c>
      <c r="C459" s="32"/>
      <c r="D459" s="32">
        <v>1.0010408932102401E-3</v>
      </c>
      <c r="E459" s="32">
        <v>55</v>
      </c>
      <c r="F459" s="32">
        <v>0.56683395795328995</v>
      </c>
      <c r="G459" s="11"/>
      <c r="H459" s="11"/>
      <c r="I459" s="11"/>
      <c r="J459" s="18" t="s">
        <v>44</v>
      </c>
      <c r="K459" s="18" t="s">
        <v>45</v>
      </c>
      <c r="L459" s="58" t="s">
        <v>817</v>
      </c>
      <c r="M459" s="18">
        <f>[1]!f_prt_stocktonav(B459,"2017/03/31")</f>
        <v>94.256782531738281</v>
      </c>
      <c r="N459" s="20" t="str">
        <f>[1]!f_info_fundmanager(B459)</f>
        <v>归凯</v>
      </c>
      <c r="O459" s="21">
        <v>1.0575342465753426</v>
      </c>
      <c r="P459" s="34" t="s">
        <v>1945</v>
      </c>
      <c r="Q459" s="34" t="s">
        <v>1946</v>
      </c>
      <c r="R459" s="34" t="s">
        <v>92</v>
      </c>
      <c r="S459" s="34">
        <v>20140404</v>
      </c>
      <c r="T459" s="45">
        <v>13.3822055521</v>
      </c>
      <c r="U459" s="46">
        <v>15.344845144900001</v>
      </c>
      <c r="V459" s="34" t="s">
        <v>231</v>
      </c>
      <c r="W459" s="34" t="s">
        <v>44</v>
      </c>
      <c r="X459" s="34" t="s">
        <v>45</v>
      </c>
      <c r="Y459" s="34" t="s">
        <v>65</v>
      </c>
      <c r="Z459" s="34"/>
      <c r="AA459" s="34"/>
      <c r="AB459" s="22">
        <v>0.93400863647460941</v>
      </c>
      <c r="AC459" s="23" t="s">
        <v>1947</v>
      </c>
      <c r="AD459" s="24">
        <v>0.82739726027397265</v>
      </c>
      <c r="AE459" s="25">
        <v>0.25815846780933516</v>
      </c>
      <c r="AF459" s="26">
        <v>0</v>
      </c>
      <c r="AG459" s="26">
        <v>0</v>
      </c>
      <c r="AH459" s="27">
        <v>1.2556994688357559</v>
      </c>
      <c r="AI459" s="27">
        <v>1.2556994688357559</v>
      </c>
      <c r="AJ459" s="27">
        <v>1.2556994688357559</v>
      </c>
      <c r="AK459" s="28" t="s">
        <v>1948</v>
      </c>
      <c r="AL459" s="29">
        <v>5</v>
      </c>
      <c r="AM459" s="29">
        <v>4</v>
      </c>
      <c r="AN459" s="29" t="s">
        <v>48</v>
      </c>
      <c r="AO459" s="47" t="s">
        <v>1949</v>
      </c>
      <c r="AP459" s="28">
        <v>0</v>
      </c>
      <c r="AQ459" s="26">
        <v>1.4999999999999999E-2</v>
      </c>
      <c r="AR459" s="26">
        <v>0</v>
      </c>
    </row>
    <row r="460" spans="1:44" x14ac:dyDescent="0.15">
      <c r="A460">
        <v>183</v>
      </c>
      <c r="B460" s="11">
        <v>522</v>
      </c>
      <c r="C460" s="32"/>
      <c r="D460" s="32">
        <v>4.4870616253839604E-3</v>
      </c>
      <c r="E460" s="32">
        <v>34</v>
      </c>
      <c r="F460" s="32">
        <v>0.15050211113249701</v>
      </c>
      <c r="G460" s="11"/>
      <c r="H460" s="11"/>
      <c r="I460" s="11"/>
      <c r="J460" s="18" t="s">
        <v>44</v>
      </c>
      <c r="K460" s="18" t="s">
        <v>87</v>
      </c>
      <c r="L460" s="58" t="s">
        <v>65</v>
      </c>
      <c r="M460" s="18">
        <f>[1]!f_prt_stocktonav(B460,"2017/03/31")</f>
        <v>92.067176818847656</v>
      </c>
      <c r="N460" s="20" t="str">
        <f>[1]!f_info_fundmanager(B460)</f>
        <v>袁华涛</v>
      </c>
      <c r="O460" s="21">
        <v>0.65205479452054793</v>
      </c>
      <c r="P460" s="34" t="s">
        <v>1950</v>
      </c>
      <c r="Q460" s="34" t="s">
        <v>1951</v>
      </c>
      <c r="R460" s="34" t="s">
        <v>1813</v>
      </c>
      <c r="S460" s="34">
        <v>20140331</v>
      </c>
      <c r="T460" s="45">
        <v>0.51384335250000002</v>
      </c>
      <c r="U460" s="46">
        <v>0.52886024300000001</v>
      </c>
      <c r="V460" s="34" t="s">
        <v>231</v>
      </c>
      <c r="W460" s="34" t="s">
        <v>44</v>
      </c>
      <c r="X460" s="34" t="s">
        <v>45</v>
      </c>
      <c r="Y460" s="34" t="s">
        <v>65</v>
      </c>
      <c r="Z460" s="34"/>
      <c r="AA460" s="34"/>
      <c r="AB460" s="22">
        <v>0.92307609558105463</v>
      </c>
      <c r="AC460" s="23" t="s">
        <v>1952</v>
      </c>
      <c r="AD460" s="24">
        <v>0.42191780821917807</v>
      </c>
      <c r="AE460" s="25">
        <v>0.14015168163937752</v>
      </c>
      <c r="AF460" s="26">
        <v>0</v>
      </c>
      <c r="AG460" s="26">
        <v>0</v>
      </c>
      <c r="AH460" s="27">
        <v>0.50674521763771363</v>
      </c>
      <c r="AI460" s="27">
        <v>0.50674521763771363</v>
      </c>
      <c r="AJ460" s="27">
        <v>0.50674521763771363</v>
      </c>
      <c r="AK460" s="28" t="s">
        <v>1953</v>
      </c>
      <c r="AL460" s="29" t="s">
        <v>48</v>
      </c>
      <c r="AM460" s="29" t="s">
        <v>48</v>
      </c>
      <c r="AN460" s="29" t="s">
        <v>48</v>
      </c>
      <c r="AO460" s="47" t="s">
        <v>702</v>
      </c>
      <c r="AP460" s="28">
        <v>0</v>
      </c>
      <c r="AQ460" s="26">
        <v>1.4999999999999999E-2</v>
      </c>
      <c r="AR460" s="26">
        <v>0</v>
      </c>
    </row>
    <row r="461" spans="1:44" x14ac:dyDescent="0.15">
      <c r="A461">
        <v>831</v>
      </c>
      <c r="B461" s="11">
        <v>534</v>
      </c>
      <c r="C461" s="32"/>
      <c r="D461" s="32">
        <v>-2.0906292710643E-3</v>
      </c>
      <c r="E461" s="32">
        <v>101</v>
      </c>
      <c r="F461" s="32">
        <v>0.12327709182840101</v>
      </c>
      <c r="G461" s="11"/>
      <c r="H461" s="11"/>
      <c r="I461" s="11"/>
      <c r="J461" s="18" t="s">
        <v>44</v>
      </c>
      <c r="K461" s="18" t="s">
        <v>45</v>
      </c>
      <c r="L461" s="58" t="s">
        <v>274</v>
      </c>
      <c r="M461" s="18">
        <f>[1]!f_prt_stocktonav(B461,"2017/03/31")</f>
        <v>75.631011962890625</v>
      </c>
      <c r="N461" s="20" t="str">
        <f>[1]!f_info_fundmanager(B461)</f>
        <v>冯雨生</v>
      </c>
      <c r="O461" s="21">
        <v>1.9287671232876713</v>
      </c>
      <c r="P461" s="34" t="s">
        <v>1954</v>
      </c>
      <c r="Q461" s="34" t="s">
        <v>1955</v>
      </c>
      <c r="R461" s="34" t="s">
        <v>364</v>
      </c>
      <c r="S461" s="34">
        <v>20140325</v>
      </c>
      <c r="T461" s="45">
        <v>5.1594591733000001</v>
      </c>
      <c r="U461" s="46">
        <v>5.4788817787999999</v>
      </c>
      <c r="V461" s="34" t="s">
        <v>231</v>
      </c>
      <c r="W461" s="34" t="s">
        <v>44</v>
      </c>
      <c r="X461" s="34" t="s">
        <v>45</v>
      </c>
      <c r="Y461" s="34" t="s">
        <v>274</v>
      </c>
      <c r="Z461" s="34"/>
      <c r="AA461" s="34"/>
      <c r="AB461" s="22">
        <v>0.78164215087890621</v>
      </c>
      <c r="AC461" s="23" t="s">
        <v>1956</v>
      </c>
      <c r="AD461" s="24">
        <v>1.6986301369863013</v>
      </c>
      <c r="AE461" s="25">
        <v>0.16805972762723775</v>
      </c>
      <c r="AF461" s="26">
        <v>0</v>
      </c>
      <c r="AG461" s="26">
        <v>0</v>
      </c>
      <c r="AH461" s="27">
        <v>0.62795735491228044</v>
      </c>
      <c r="AI461" s="27">
        <v>0.62795735491228044</v>
      </c>
      <c r="AJ461" s="27">
        <v>0.62795735491228044</v>
      </c>
      <c r="AK461" s="28" t="s">
        <v>1957</v>
      </c>
      <c r="AL461" s="29" t="s">
        <v>48</v>
      </c>
      <c r="AM461" s="29" t="s">
        <v>48</v>
      </c>
      <c r="AN461" s="29" t="s">
        <v>48</v>
      </c>
      <c r="AO461" s="47" t="s">
        <v>367</v>
      </c>
      <c r="AP461" s="28">
        <v>0</v>
      </c>
      <c r="AQ461" s="26">
        <v>1.4999999999999999E-2</v>
      </c>
      <c r="AR461" s="26">
        <v>0</v>
      </c>
    </row>
    <row r="462" spans="1:44" x14ac:dyDescent="0.15">
      <c r="A462">
        <v>642</v>
      </c>
      <c r="B462" s="11">
        <v>547</v>
      </c>
      <c r="C462" s="32"/>
      <c r="D462" s="32">
        <v>-9.2042303762211199E-4</v>
      </c>
      <c r="E462" s="32">
        <v>158</v>
      </c>
      <c r="F462" s="32">
        <v>0.39230271623656099</v>
      </c>
      <c r="G462" s="11"/>
      <c r="H462" s="11"/>
      <c r="I462" s="11"/>
      <c r="J462" s="18" t="s">
        <v>44</v>
      </c>
      <c r="K462" s="18" t="s">
        <v>45</v>
      </c>
      <c r="L462" s="58" t="s">
        <v>274</v>
      </c>
      <c r="M462" s="18">
        <f>[1]!f_prt_stocktonav(B462,"2017/03/31")</f>
        <v>81.766632080078125</v>
      </c>
      <c r="N462" s="20" t="str">
        <f>[1]!f_info_fundmanager(B462)</f>
        <v>姜锋,孙晟</v>
      </c>
      <c r="O462" s="21">
        <v>3.0301369863013701</v>
      </c>
      <c r="P462" s="34" t="s">
        <v>1958</v>
      </c>
      <c r="Q462" s="34" t="s">
        <v>1959</v>
      </c>
      <c r="R462" s="34" t="s">
        <v>307</v>
      </c>
      <c r="S462" s="34">
        <v>20140321</v>
      </c>
      <c r="T462" s="45">
        <v>0.93594902270000002</v>
      </c>
      <c r="U462" s="46">
        <v>0.94679417180000003</v>
      </c>
      <c r="V462" s="34" t="s">
        <v>231</v>
      </c>
      <c r="W462" s="34" t="s">
        <v>44</v>
      </c>
      <c r="X462" s="34" t="s">
        <v>45</v>
      </c>
      <c r="Y462" s="34" t="s">
        <v>274</v>
      </c>
      <c r="Z462" s="34"/>
      <c r="AA462" s="34"/>
      <c r="AB462" s="22">
        <v>0.71977073669433589</v>
      </c>
      <c r="AC462" s="23" t="s">
        <v>1960</v>
      </c>
      <c r="AD462" s="24">
        <v>2.8</v>
      </c>
      <c r="AE462" s="25">
        <v>0.30309072277386595</v>
      </c>
      <c r="AF462" s="26">
        <v>0</v>
      </c>
      <c r="AG462" s="26">
        <v>0</v>
      </c>
      <c r="AH462" s="27">
        <v>1.0169787143195168</v>
      </c>
      <c r="AI462" s="27">
        <v>1.0169787143195168</v>
      </c>
      <c r="AJ462" s="27">
        <v>1.0169787143195168</v>
      </c>
      <c r="AK462" s="28" t="s">
        <v>1961</v>
      </c>
      <c r="AL462" s="29" t="s">
        <v>48</v>
      </c>
      <c r="AM462" s="29" t="s">
        <v>48</v>
      </c>
      <c r="AN462" s="29" t="s">
        <v>48</v>
      </c>
      <c r="AO462" s="47" t="s">
        <v>310</v>
      </c>
      <c r="AP462" s="28">
        <v>0</v>
      </c>
      <c r="AQ462" s="26">
        <v>1.4999999999999999E-2</v>
      </c>
      <c r="AR462" s="26">
        <v>0</v>
      </c>
    </row>
    <row r="463" spans="1:44" x14ac:dyDescent="0.15">
      <c r="A463">
        <v>842</v>
      </c>
      <c r="B463" s="11">
        <v>567</v>
      </c>
      <c r="C463" s="32"/>
      <c r="D463" s="32">
        <v>-1.18777181300746E-3</v>
      </c>
      <c r="E463" s="32">
        <v>158</v>
      </c>
      <c r="F463" s="32">
        <v>0.353442674322682</v>
      </c>
      <c r="G463" s="11"/>
      <c r="H463" s="11"/>
      <c r="I463" s="11"/>
      <c r="J463" s="18" t="s">
        <v>44</v>
      </c>
      <c r="K463" s="18" t="s">
        <v>45</v>
      </c>
      <c r="L463" s="58" t="s">
        <v>274</v>
      </c>
      <c r="M463" s="18">
        <f>[1]!f_prt_stocktonav(B463,"2017/03/31")</f>
        <v>74.92999267578125</v>
      </c>
      <c r="N463" s="20" t="str">
        <f>[1]!f_info_fundmanager(B463)</f>
        <v>易阳方</v>
      </c>
      <c r="O463" s="21">
        <v>3.0301369863013701</v>
      </c>
      <c r="P463" s="34" t="s">
        <v>1962</v>
      </c>
      <c r="Q463" s="34" t="s">
        <v>1963</v>
      </c>
      <c r="R463" s="34" t="s">
        <v>132</v>
      </c>
      <c r="S463" s="34">
        <v>20140321</v>
      </c>
      <c r="T463" s="45">
        <v>6.3862424174000001</v>
      </c>
      <c r="U463" s="46">
        <v>7.3935887140999998</v>
      </c>
      <c r="V463" s="34" t="s">
        <v>231</v>
      </c>
      <c r="W463" s="34" t="s">
        <v>41</v>
      </c>
      <c r="X463" s="17" t="s">
        <v>42</v>
      </c>
      <c r="Y463" s="17" t="s">
        <v>181</v>
      </c>
      <c r="Z463" s="34"/>
      <c r="AA463" s="34"/>
      <c r="AB463" s="22">
        <v>0.65476768493652349</v>
      </c>
      <c r="AC463" s="23" t="s">
        <v>760</v>
      </c>
      <c r="AD463" s="24">
        <v>2.8</v>
      </c>
      <c r="AE463" s="25">
        <v>0.19384633848523669</v>
      </c>
      <c r="AF463" s="26">
        <v>0</v>
      </c>
      <c r="AG463" s="26">
        <v>0</v>
      </c>
      <c r="AH463" s="27">
        <v>0.66706181538621645</v>
      </c>
      <c r="AI463" s="27">
        <v>0.66706181538621645</v>
      </c>
      <c r="AJ463" s="27">
        <v>0.66706181538621645</v>
      </c>
      <c r="AK463" s="28" t="s">
        <v>1964</v>
      </c>
      <c r="AL463" s="29" t="s">
        <v>48</v>
      </c>
      <c r="AM463" s="29" t="s">
        <v>48</v>
      </c>
      <c r="AN463" s="29" t="s">
        <v>48</v>
      </c>
      <c r="AO463" s="47" t="s">
        <v>1965</v>
      </c>
      <c r="AP463" s="28">
        <v>0</v>
      </c>
      <c r="AQ463" s="26">
        <v>1.4999999999999999E-2</v>
      </c>
      <c r="AR463" s="26">
        <v>0</v>
      </c>
    </row>
    <row r="464" spans="1:44" x14ac:dyDescent="0.15">
      <c r="A464">
        <v>67</v>
      </c>
      <c r="B464" s="11">
        <v>531</v>
      </c>
      <c r="C464" s="32"/>
      <c r="D464" s="32">
        <v>-3.0559296230214901E-3</v>
      </c>
      <c r="E464" s="32">
        <v>146</v>
      </c>
      <c r="F464" s="32">
        <v>0.20089891794651399</v>
      </c>
      <c r="G464" s="11"/>
      <c r="H464" s="11"/>
      <c r="I464" s="11"/>
      <c r="J464" s="18" t="s">
        <v>44</v>
      </c>
      <c r="K464" s="18" t="s">
        <v>64</v>
      </c>
      <c r="L464" s="58" t="s">
        <v>274</v>
      </c>
      <c r="M464" s="18">
        <f>[1]!f_prt_stocktonav(B464,"2017/03/31")</f>
        <v>94.096824645996094</v>
      </c>
      <c r="N464" s="20" t="str">
        <f>[1]!f_info_fundmanager(B464)</f>
        <v>王立立,张能进</v>
      </c>
      <c r="O464" s="21">
        <v>2.7972602739726029</v>
      </c>
      <c r="P464" s="34" t="s">
        <v>1966</v>
      </c>
      <c r="Q464" s="34" t="s">
        <v>1967</v>
      </c>
      <c r="R464" s="34" t="s">
        <v>1057</v>
      </c>
      <c r="S464" s="34">
        <v>20140319</v>
      </c>
      <c r="T464" s="45">
        <v>0.35451488460000002</v>
      </c>
      <c r="U464" s="46">
        <v>0.45552733849999999</v>
      </c>
      <c r="V464" s="34" t="s">
        <v>231</v>
      </c>
      <c r="W464" s="34" t="s">
        <v>41</v>
      </c>
      <c r="X464" s="34" t="s">
        <v>42</v>
      </c>
      <c r="Y464" s="34" t="s">
        <v>388</v>
      </c>
      <c r="Z464" s="34"/>
      <c r="AA464" s="34"/>
      <c r="AB464" s="22">
        <v>0.32546730041503907</v>
      </c>
      <c r="AC464" s="23" t="s">
        <v>1968</v>
      </c>
      <c r="AD464" s="24">
        <v>2.5671232876712327</v>
      </c>
      <c r="AE464" s="25">
        <v>1.9363077025688513E-2</v>
      </c>
      <c r="AF464" s="26">
        <v>0</v>
      </c>
      <c r="AG464" s="26">
        <v>0</v>
      </c>
      <c r="AH464" s="27">
        <v>0.16076630907470724</v>
      </c>
      <c r="AI464" s="27">
        <v>0.16076630907470724</v>
      </c>
      <c r="AJ464" s="27">
        <v>0.16076630907470724</v>
      </c>
      <c r="AK464" s="28" t="s">
        <v>1059</v>
      </c>
      <c r="AL464" s="29" t="s">
        <v>48</v>
      </c>
      <c r="AM464" s="29" t="s">
        <v>48</v>
      </c>
      <c r="AN464" s="29" t="s">
        <v>48</v>
      </c>
      <c r="AO464" s="47" t="s">
        <v>797</v>
      </c>
      <c r="AP464" s="28">
        <v>0</v>
      </c>
      <c r="AQ464" s="26">
        <v>1.4999999999999999E-2</v>
      </c>
      <c r="AR464" s="26">
        <v>0</v>
      </c>
    </row>
    <row r="465" spans="1:44" x14ac:dyDescent="0.15">
      <c r="A465">
        <v>881</v>
      </c>
      <c r="B465" s="11">
        <v>550</v>
      </c>
      <c r="C465" s="32"/>
      <c r="D465" s="32">
        <v>1.07482344373306E-3</v>
      </c>
      <c r="E465" s="32">
        <v>21</v>
      </c>
      <c r="F465" s="32">
        <v>0.69007926931627395</v>
      </c>
      <c r="G465" s="11"/>
      <c r="H465" s="11"/>
      <c r="I465" s="11"/>
      <c r="J465" s="18" t="s">
        <v>44</v>
      </c>
      <c r="K465" s="18" t="s">
        <v>45</v>
      </c>
      <c r="L465" s="58" t="s">
        <v>65</v>
      </c>
      <c r="M465" s="18">
        <f>[1]!f_prt_stocktonav(B465,"2017/03/31")</f>
        <v>73.439559936523438</v>
      </c>
      <c r="N465" s="20" t="str">
        <f>[1]!f_info_fundmanager(B465)</f>
        <v>马文文</v>
      </c>
      <c r="O465" s="21">
        <v>0.39178082191780822</v>
      </c>
      <c r="P465" s="34" t="s">
        <v>1969</v>
      </c>
      <c r="Q465" s="34" t="s">
        <v>1970</v>
      </c>
      <c r="R465" s="34" t="s">
        <v>132</v>
      </c>
      <c r="S465" s="34">
        <v>20140319</v>
      </c>
      <c r="T465" s="45">
        <v>14.4179840519</v>
      </c>
      <c r="U465" s="46">
        <v>18.231756925399999</v>
      </c>
      <c r="V465" s="34" t="s">
        <v>231</v>
      </c>
      <c r="W465" s="34" t="s">
        <v>44</v>
      </c>
      <c r="X465" s="34" t="s">
        <v>45</v>
      </c>
      <c r="Y465" s="34" t="s">
        <v>274</v>
      </c>
      <c r="Z465" s="34"/>
      <c r="AA465" s="34"/>
      <c r="AB465" s="22">
        <v>0.73800521850585943</v>
      </c>
      <c r="AC465" s="23" t="s">
        <v>1971</v>
      </c>
      <c r="AD465" s="24">
        <v>2.8054794520547945</v>
      </c>
      <c r="AE465" s="25">
        <v>0.31216498812408844</v>
      </c>
      <c r="AF465" s="26">
        <v>0</v>
      </c>
      <c r="AG465" s="26">
        <v>0</v>
      </c>
      <c r="AH465" s="27">
        <v>0.99265744690388646</v>
      </c>
      <c r="AI465" s="27">
        <v>0.99265744690388646</v>
      </c>
      <c r="AJ465" s="27">
        <v>0.99265744690388646</v>
      </c>
      <c r="AK465" s="28" t="s">
        <v>957</v>
      </c>
      <c r="AL465" s="29" t="s">
        <v>48</v>
      </c>
      <c r="AM465" s="29" t="s">
        <v>48</v>
      </c>
      <c r="AN465" s="29" t="s">
        <v>48</v>
      </c>
      <c r="AO465" s="47" t="s">
        <v>1972</v>
      </c>
      <c r="AP465" s="28">
        <v>0</v>
      </c>
      <c r="AQ465" s="26">
        <v>1.4999999999999999E-2</v>
      </c>
      <c r="AR465" s="26">
        <v>0</v>
      </c>
    </row>
    <row r="466" spans="1:44" x14ac:dyDescent="0.15">
      <c r="A466">
        <v>701</v>
      </c>
      <c r="B466" s="11">
        <v>541</v>
      </c>
      <c r="C466" s="32"/>
      <c r="D466" s="32">
        <v>1.57983795822653E-3</v>
      </c>
      <c r="E466" s="32">
        <v>14</v>
      </c>
      <c r="F466" s="32">
        <v>0.59496976486422803</v>
      </c>
      <c r="G466" s="11"/>
      <c r="H466" s="11"/>
      <c r="I466" s="11"/>
      <c r="J466" s="18" t="s">
        <v>44</v>
      </c>
      <c r="K466" s="18" t="s">
        <v>45</v>
      </c>
      <c r="L466" s="58" t="s">
        <v>65</v>
      </c>
      <c r="M466" s="18">
        <f>[1]!f_prt_stocktonav(B466,"2017/03/31")</f>
        <v>80.02423095703125</v>
      </c>
      <c r="N466" s="20" t="str">
        <f>[1]!f_info_fundmanager(B466)</f>
        <v>高兵</v>
      </c>
      <c r="O466" s="21">
        <v>0.26849315068493151</v>
      </c>
      <c r="P466" s="34" t="s">
        <v>1973</v>
      </c>
      <c r="Q466" s="34" t="s">
        <v>1974</v>
      </c>
      <c r="R466" s="34" t="s">
        <v>387</v>
      </c>
      <c r="S466" s="34">
        <v>20140318</v>
      </c>
      <c r="T466" s="45">
        <v>12.971072791699999</v>
      </c>
      <c r="U466" s="46">
        <v>14.9325666297</v>
      </c>
      <c r="V466" s="34" t="s">
        <v>231</v>
      </c>
      <c r="W466" s="34" t="s">
        <v>44</v>
      </c>
      <c r="X466" s="34" t="s">
        <v>45</v>
      </c>
      <c r="Y466" s="34" t="s">
        <v>274</v>
      </c>
      <c r="Z466" s="34"/>
      <c r="AA466" s="34"/>
      <c r="AB466" s="22">
        <v>0.7536916351318359</v>
      </c>
      <c r="AC466" s="23" t="s">
        <v>1975</v>
      </c>
      <c r="AD466" s="24">
        <v>2.8082191780821919</v>
      </c>
      <c r="AE466" s="25">
        <v>0.21784936323220894</v>
      </c>
      <c r="AF466" s="26">
        <v>0</v>
      </c>
      <c r="AG466" s="26">
        <v>0</v>
      </c>
      <c r="AH466" s="27">
        <v>0.72934691241328908</v>
      </c>
      <c r="AI466" s="27">
        <v>0.72934691241328908</v>
      </c>
      <c r="AJ466" s="27">
        <v>0.72934691241328908</v>
      </c>
      <c r="AK466" s="28" t="s">
        <v>240</v>
      </c>
      <c r="AL466" s="29" t="s">
        <v>48</v>
      </c>
      <c r="AM466" s="29" t="s">
        <v>48</v>
      </c>
      <c r="AN466" s="29" t="s">
        <v>48</v>
      </c>
      <c r="AO466" s="47" t="s">
        <v>1976</v>
      </c>
      <c r="AP466" s="28">
        <v>0</v>
      </c>
      <c r="AQ466" s="26">
        <v>1.4999999999999999E-2</v>
      </c>
      <c r="AR466" s="26">
        <v>0</v>
      </c>
    </row>
    <row r="467" spans="1:44" x14ac:dyDescent="0.15">
      <c r="A467">
        <v>696</v>
      </c>
      <c r="B467" s="11">
        <v>524</v>
      </c>
      <c r="C467" s="32"/>
      <c r="D467" s="32">
        <v>1.9602694753122602E-3</v>
      </c>
      <c r="E467" s="32">
        <v>113</v>
      </c>
      <c r="F467" s="32">
        <v>0.19031519433553301</v>
      </c>
      <c r="G467" s="11"/>
      <c r="H467" s="11"/>
      <c r="I467" s="11"/>
      <c r="J467" s="18" t="s">
        <v>44</v>
      </c>
      <c r="K467" s="19" t="s">
        <v>45</v>
      </c>
      <c r="L467" s="58" t="s">
        <v>65</v>
      </c>
      <c r="M467" s="18">
        <f>[1]!f_prt_stocktonav(B467,"2017/03/31")</f>
        <v>80.105293273925781</v>
      </c>
      <c r="N467" s="20" t="str">
        <f>[1]!f_info_fundmanager(B467)</f>
        <v>帅虎</v>
      </c>
      <c r="O467" s="21">
        <v>2.1671232876712327</v>
      </c>
      <c r="P467" s="32" t="s">
        <v>1977</v>
      </c>
      <c r="Q467" s="13" t="s">
        <v>1978</v>
      </c>
      <c r="R467" s="13" t="s">
        <v>511</v>
      </c>
      <c r="S467" s="13">
        <v>20140314</v>
      </c>
      <c r="T467" s="14">
        <v>15.1587570518</v>
      </c>
      <c r="U467" s="15" t="s">
        <v>39</v>
      </c>
      <c r="V467" s="16" t="s">
        <v>40</v>
      </c>
      <c r="W467" s="17" t="s">
        <v>44</v>
      </c>
      <c r="X467" s="17" t="s">
        <v>45</v>
      </c>
      <c r="Y467" s="17" t="s">
        <v>65</v>
      </c>
      <c r="Z467" s="13"/>
      <c r="AA467" s="13"/>
      <c r="AB467" s="22">
        <v>0.9271395874023437</v>
      </c>
      <c r="AC467" s="23" t="s">
        <v>1979</v>
      </c>
      <c r="AD467" s="24">
        <v>1.9369863013698629</v>
      </c>
      <c r="AE467" s="25">
        <v>0.28827607988029902</v>
      </c>
      <c r="AF467" s="26">
        <v>0</v>
      </c>
      <c r="AG467" s="26">
        <v>0</v>
      </c>
      <c r="AH467" s="27">
        <v>0.90787833079029689</v>
      </c>
      <c r="AI467" s="27">
        <v>0.90787833079029689</v>
      </c>
      <c r="AJ467" s="27">
        <v>0.90787833079029689</v>
      </c>
      <c r="AK467" s="28" t="s">
        <v>1980</v>
      </c>
      <c r="AL467" s="29" t="s">
        <v>48</v>
      </c>
      <c r="AM467" s="29" t="s">
        <v>48</v>
      </c>
      <c r="AN467" s="29" t="s">
        <v>48</v>
      </c>
      <c r="AO467" s="23" t="s">
        <v>1981</v>
      </c>
      <c r="AP467" s="30">
        <v>0</v>
      </c>
      <c r="AQ467" s="31">
        <v>1.4999999999999999E-2</v>
      </c>
      <c r="AR467" s="31">
        <v>0</v>
      </c>
    </row>
    <row r="468" spans="1:44" x14ac:dyDescent="0.15">
      <c r="A468">
        <v>274</v>
      </c>
      <c r="B468" s="11">
        <v>529</v>
      </c>
      <c r="C468" s="32"/>
      <c r="D468" s="32">
        <v>-1.38440149413449E-3</v>
      </c>
      <c r="E468" s="32">
        <v>111</v>
      </c>
      <c r="F468" s="32">
        <v>0.53485719078255001</v>
      </c>
      <c r="G468" s="11"/>
      <c r="H468" s="11"/>
      <c r="I468" s="11"/>
      <c r="J468" s="18" t="s">
        <v>44</v>
      </c>
      <c r="K468" s="18" t="s">
        <v>45</v>
      </c>
      <c r="L468" s="58" t="s">
        <v>274</v>
      </c>
      <c r="M468" s="18">
        <f>[1]!f_prt_stocktonav(B468,"2017/03/31")</f>
        <v>90.001060485839844</v>
      </c>
      <c r="N468" s="20" t="str">
        <f>[1]!f_info_fundmanager(B468)</f>
        <v>苗宇</v>
      </c>
      <c r="O468" s="21">
        <v>2.117808219178082</v>
      </c>
      <c r="P468" s="34" t="s">
        <v>1982</v>
      </c>
      <c r="Q468" s="34" t="s">
        <v>1983</v>
      </c>
      <c r="R468" s="34" t="s">
        <v>132</v>
      </c>
      <c r="S468" s="34">
        <v>20140312</v>
      </c>
      <c r="T468" s="45">
        <v>5.8673162259999998</v>
      </c>
      <c r="U468" s="46">
        <v>6.4009062454999999</v>
      </c>
      <c r="V468" s="34" t="s">
        <v>231</v>
      </c>
      <c r="W468" s="34" t="s">
        <v>44</v>
      </c>
      <c r="X468" s="34" t="s">
        <v>45</v>
      </c>
      <c r="Y468" s="34" t="s">
        <v>274</v>
      </c>
      <c r="Z468" s="34"/>
      <c r="AA468" s="34"/>
      <c r="AB468" s="22">
        <v>0.89710494995117185</v>
      </c>
      <c r="AC468" s="23" t="s">
        <v>1984</v>
      </c>
      <c r="AD468" s="24">
        <v>1.8876712328767122</v>
      </c>
      <c r="AE468" s="25">
        <v>0.11617829077886821</v>
      </c>
      <c r="AF468" s="26">
        <v>0</v>
      </c>
      <c r="AG468" s="26">
        <v>0</v>
      </c>
      <c r="AH468" s="27">
        <v>0.45253348991926717</v>
      </c>
      <c r="AI468" s="27">
        <v>0.45253348991926717</v>
      </c>
      <c r="AJ468" s="27">
        <v>0.45253348991926717</v>
      </c>
      <c r="AK468" s="28" t="s">
        <v>1830</v>
      </c>
      <c r="AL468" s="29" t="s">
        <v>48</v>
      </c>
      <c r="AM468" s="29" t="s">
        <v>48</v>
      </c>
      <c r="AN468" s="29" t="s">
        <v>48</v>
      </c>
      <c r="AO468" s="47" t="s">
        <v>1985</v>
      </c>
      <c r="AP468" s="28">
        <v>0</v>
      </c>
      <c r="AQ468" s="26">
        <v>1.4999999999999999E-2</v>
      </c>
      <c r="AR468" s="26">
        <v>0</v>
      </c>
    </row>
    <row r="469" spans="1:44" x14ac:dyDescent="0.15">
      <c r="A469">
        <v>493</v>
      </c>
      <c r="B469" s="11">
        <v>535</v>
      </c>
      <c r="C469" s="32"/>
      <c r="D469" s="32">
        <v>-4.0165910065894901E-3</v>
      </c>
      <c r="E469" s="32">
        <v>101</v>
      </c>
      <c r="F469" s="32">
        <v>3.3897882853356501E-2</v>
      </c>
      <c r="G469" s="11"/>
      <c r="H469" s="11"/>
      <c r="I469" s="11"/>
      <c r="J469" s="18" t="s">
        <v>44</v>
      </c>
      <c r="K469" s="18" t="s">
        <v>45</v>
      </c>
      <c r="L469" s="58" t="s">
        <v>274</v>
      </c>
      <c r="M469" s="18">
        <f>[1]!f_prt_stocktonav(B469,"2017/03/31")</f>
        <v>85.468704223632812</v>
      </c>
      <c r="N469" s="20" t="str">
        <f>[1]!f_info_fundmanager(B469)</f>
        <v>王超</v>
      </c>
      <c r="O469" s="21">
        <v>1.9287671232876713</v>
      </c>
      <c r="P469" s="34" t="s">
        <v>1986</v>
      </c>
      <c r="Q469" s="34" t="s">
        <v>1987</v>
      </c>
      <c r="R469" s="34" t="s">
        <v>364</v>
      </c>
      <c r="S469" s="34">
        <v>20140311</v>
      </c>
      <c r="T469" s="45">
        <v>1.6045194704000001</v>
      </c>
      <c r="U469" s="46">
        <v>1.6727371732</v>
      </c>
      <c r="V469" s="34" t="s">
        <v>231</v>
      </c>
      <c r="W469" s="34" t="s">
        <v>44</v>
      </c>
      <c r="X469" s="34" t="s">
        <v>45</v>
      </c>
      <c r="Y469" s="34" t="s">
        <v>274</v>
      </c>
      <c r="Z469" s="34"/>
      <c r="AA469" s="34"/>
      <c r="AB469" s="22">
        <v>0.83869087219238281</v>
      </c>
      <c r="AC469" s="23" t="s">
        <v>1988</v>
      </c>
      <c r="AD469" s="24">
        <v>1.6986301369863013</v>
      </c>
      <c r="AE469" s="25">
        <v>0.20207555565262769</v>
      </c>
      <c r="AF469" s="26">
        <v>0</v>
      </c>
      <c r="AG469" s="26">
        <v>0</v>
      </c>
      <c r="AH469" s="27">
        <v>0.70754135164734067</v>
      </c>
      <c r="AI469" s="27">
        <v>0.70754135164734067</v>
      </c>
      <c r="AJ469" s="27">
        <v>0.70754135164734067</v>
      </c>
      <c r="AK469" s="28" t="s">
        <v>1989</v>
      </c>
      <c r="AL469" s="29" t="s">
        <v>48</v>
      </c>
      <c r="AM469" s="29" t="s">
        <v>48</v>
      </c>
      <c r="AN469" s="29" t="s">
        <v>48</v>
      </c>
      <c r="AO469" s="47" t="s">
        <v>367</v>
      </c>
      <c r="AP469" s="28">
        <v>0</v>
      </c>
      <c r="AQ469" s="26">
        <v>1.4999999999999999E-2</v>
      </c>
      <c r="AR469" s="26">
        <v>0</v>
      </c>
    </row>
    <row r="470" spans="1:44" x14ac:dyDescent="0.15">
      <c r="A470">
        <v>626</v>
      </c>
      <c r="B470" s="11">
        <v>409</v>
      </c>
      <c r="C470" s="32"/>
      <c r="D470" s="32">
        <v>2.5224657635008498E-4</v>
      </c>
      <c r="E470" s="32">
        <v>95</v>
      </c>
      <c r="F470" s="32">
        <v>0.83616270722775099</v>
      </c>
      <c r="G470" s="11"/>
      <c r="H470" s="11"/>
      <c r="I470" s="11"/>
      <c r="J470" s="18" t="s">
        <v>44</v>
      </c>
      <c r="K470" s="18" t="s">
        <v>87</v>
      </c>
      <c r="L470" s="58" t="s">
        <v>274</v>
      </c>
      <c r="M470" s="18">
        <f>[1]!f_prt_stocktonav(B470,"2017/03/31")</f>
        <v>82.165107727050781</v>
      </c>
      <c r="N470" s="20" t="str">
        <f>[1]!f_info_fundmanager(B470)</f>
        <v>郑川江</v>
      </c>
      <c r="O470" s="21">
        <v>1.821917808219178</v>
      </c>
      <c r="P470" s="34" t="s">
        <v>1990</v>
      </c>
      <c r="Q470" s="34" t="s">
        <v>1991</v>
      </c>
      <c r="R470" s="34" t="s">
        <v>705</v>
      </c>
      <c r="S470" s="34">
        <v>20140307</v>
      </c>
      <c r="T470" s="45">
        <v>3.7066796047000001</v>
      </c>
      <c r="U470" s="46">
        <v>5.2222947021000001</v>
      </c>
      <c r="V470" s="34" t="s">
        <v>231</v>
      </c>
      <c r="W470" s="34" t="s">
        <v>44</v>
      </c>
      <c r="X470" s="34" t="s">
        <v>45</v>
      </c>
      <c r="Y470" s="34" t="s">
        <v>274</v>
      </c>
      <c r="Z470" s="34"/>
      <c r="AA470" s="34"/>
      <c r="AB470" s="22">
        <v>0.80582527160644535</v>
      </c>
      <c r="AC470" s="23" t="s">
        <v>1992</v>
      </c>
      <c r="AD470" s="24">
        <v>1.5917808219178082</v>
      </c>
      <c r="AE470" s="25">
        <v>0.15843220256250623</v>
      </c>
      <c r="AF470" s="26">
        <v>0</v>
      </c>
      <c r="AG470" s="26">
        <v>0</v>
      </c>
      <c r="AH470" s="27">
        <v>0.58669739595136539</v>
      </c>
      <c r="AI470" s="27">
        <v>0.58669739595136539</v>
      </c>
      <c r="AJ470" s="27">
        <v>0.58669739595136539</v>
      </c>
      <c r="AK470" s="28" t="s">
        <v>1993</v>
      </c>
      <c r="AL470" s="29" t="s">
        <v>48</v>
      </c>
      <c r="AM470" s="29" t="s">
        <v>48</v>
      </c>
      <c r="AN470" s="29" t="s">
        <v>48</v>
      </c>
      <c r="AO470" s="47" t="s">
        <v>1994</v>
      </c>
      <c r="AP470" s="28">
        <v>0</v>
      </c>
      <c r="AQ470" s="26">
        <v>1.4999999999999999E-2</v>
      </c>
      <c r="AR470" s="26">
        <v>0</v>
      </c>
    </row>
    <row r="471" spans="1:44" x14ac:dyDescent="0.15">
      <c r="A471">
        <v>786</v>
      </c>
      <c r="B471" s="11">
        <v>458</v>
      </c>
      <c r="C471" s="32"/>
      <c r="D471" s="32">
        <v>9.5257781179368796E-4</v>
      </c>
      <c r="E471" s="32">
        <v>91</v>
      </c>
      <c r="F471" s="32">
        <v>0.17444731551596801</v>
      </c>
      <c r="G471" s="11"/>
      <c r="H471" s="11"/>
      <c r="I471" s="11"/>
      <c r="J471" s="18" t="s">
        <v>44</v>
      </c>
      <c r="K471" s="18" t="s">
        <v>45</v>
      </c>
      <c r="L471" s="58" t="s">
        <v>354</v>
      </c>
      <c r="M471" s="18">
        <f>[1]!f_prt_stocktonav(B471,"2017/03/31")</f>
        <v>77.166763305664062</v>
      </c>
      <c r="N471" s="20" t="str">
        <f>[1]!f_info_fundmanager(B471)</f>
        <v>袁忠伟,刘杰</v>
      </c>
      <c r="O471" s="21">
        <v>1.7315068493150685</v>
      </c>
      <c r="P471" s="34" t="s">
        <v>1995</v>
      </c>
      <c r="Q471" s="34" t="s">
        <v>1996</v>
      </c>
      <c r="R471" s="34" t="s">
        <v>113</v>
      </c>
      <c r="S471" s="34">
        <v>20140305</v>
      </c>
      <c r="T471" s="45">
        <v>0.93758162060000005</v>
      </c>
      <c r="U471" s="46">
        <v>0.94966048309999995</v>
      </c>
      <c r="V471" s="34" t="s">
        <v>201</v>
      </c>
      <c r="W471" s="34" t="s">
        <v>44</v>
      </c>
      <c r="X471" s="34" t="s">
        <v>45</v>
      </c>
      <c r="Y471" s="34" t="s">
        <v>65</v>
      </c>
      <c r="Z471" s="34"/>
      <c r="AA471" s="34"/>
      <c r="AB471" s="22">
        <v>0.9324811553955078</v>
      </c>
      <c r="AC471" s="23" t="s">
        <v>1997</v>
      </c>
      <c r="AD471" s="24">
        <v>1.5013698630136987</v>
      </c>
      <c r="AE471" s="25">
        <v>0.10600443808242301</v>
      </c>
      <c r="AF471" s="26">
        <v>0</v>
      </c>
      <c r="AG471" s="26">
        <v>0</v>
      </c>
      <c r="AH471" s="27">
        <v>0.47343516421304777</v>
      </c>
      <c r="AI471" s="27">
        <v>0.47343516421304777</v>
      </c>
      <c r="AJ471" s="27">
        <v>0.47343516421304777</v>
      </c>
      <c r="AK471" s="28" t="s">
        <v>1998</v>
      </c>
      <c r="AL471" s="29" t="s">
        <v>48</v>
      </c>
      <c r="AM471" s="29" t="s">
        <v>48</v>
      </c>
      <c r="AN471" s="29" t="s">
        <v>48</v>
      </c>
      <c r="AO471" s="47" t="s">
        <v>1999</v>
      </c>
      <c r="AP471" s="28" t="s">
        <v>2000</v>
      </c>
      <c r="AQ471" s="26">
        <v>1.4999999999999999E-2</v>
      </c>
      <c r="AR471" s="26">
        <v>0</v>
      </c>
    </row>
    <row r="472" spans="1:44" x14ac:dyDescent="0.15">
      <c r="A472">
        <v>59</v>
      </c>
      <c r="B472" s="11">
        <v>523</v>
      </c>
      <c r="C472" s="32"/>
      <c r="D472" s="32">
        <v>1.51478174025914E-3</v>
      </c>
      <c r="E472" s="32">
        <v>70</v>
      </c>
      <c r="F472" s="32">
        <v>0.28528486823759303</v>
      </c>
      <c r="G472" s="11"/>
      <c r="H472" s="11"/>
      <c r="I472" s="11"/>
      <c r="J472" s="18" t="s">
        <v>44</v>
      </c>
      <c r="K472" s="18" t="s">
        <v>86</v>
      </c>
      <c r="L472" s="58" t="s">
        <v>274</v>
      </c>
      <c r="M472" s="18">
        <f>[1]!f_prt_stocktonav(B472,"2017/03/31")</f>
        <v>94.204978942871094</v>
      </c>
      <c r="N472" s="20" t="str">
        <f>[1]!f_info_fundmanager(B472)</f>
        <v>张佳荣</v>
      </c>
      <c r="O472" s="21">
        <v>1.3315068493150686</v>
      </c>
      <c r="P472" s="34" t="s">
        <v>2001</v>
      </c>
      <c r="Q472" s="34" t="s">
        <v>2002</v>
      </c>
      <c r="R472" s="34" t="s">
        <v>452</v>
      </c>
      <c r="S472" s="34">
        <v>20140225</v>
      </c>
      <c r="T472" s="45">
        <v>9.8651142973999999</v>
      </c>
      <c r="U472" s="46">
        <v>6.1508475402</v>
      </c>
      <c r="V472" s="34" t="s">
        <v>201</v>
      </c>
      <c r="W472" s="34" t="s">
        <v>44</v>
      </c>
      <c r="X472" s="34" t="s">
        <v>86</v>
      </c>
      <c r="Y472" s="34" t="s">
        <v>274</v>
      </c>
      <c r="Z472" s="34" t="s">
        <v>1725</v>
      </c>
      <c r="AA472" s="34"/>
      <c r="AB472" s="22">
        <v>0.94191383361816405</v>
      </c>
      <c r="AC472" s="23" t="s">
        <v>2003</v>
      </c>
      <c r="AD472" s="24">
        <v>1.1013698630136985</v>
      </c>
      <c r="AE472" s="25">
        <v>0.23691463378868208</v>
      </c>
      <c r="AF472" s="26">
        <v>0</v>
      </c>
      <c r="AG472" s="26">
        <v>0</v>
      </c>
      <c r="AH472" s="27">
        <v>0.80635743371851387</v>
      </c>
      <c r="AI472" s="27">
        <v>0.80635743371851387</v>
      </c>
      <c r="AJ472" s="27">
        <v>0.80635743371851387</v>
      </c>
      <c r="AK472" s="33" t="s">
        <v>2004</v>
      </c>
      <c r="AL472" s="29" t="s">
        <v>48</v>
      </c>
      <c r="AM472" s="29" t="s">
        <v>48</v>
      </c>
      <c r="AN472" s="29" t="s">
        <v>48</v>
      </c>
      <c r="AO472" s="47" t="s">
        <v>209</v>
      </c>
      <c r="AP472" s="28">
        <v>0</v>
      </c>
      <c r="AQ472" s="26">
        <v>1.4999999999999999E-2</v>
      </c>
      <c r="AR472" s="26">
        <v>0</v>
      </c>
    </row>
    <row r="473" spans="1:44" x14ac:dyDescent="0.15">
      <c r="A473">
        <v>883</v>
      </c>
      <c r="B473" s="11">
        <v>519656</v>
      </c>
      <c r="C473" s="32"/>
      <c r="D473" s="32">
        <v>-5.8326403238052698E-4</v>
      </c>
      <c r="E473" s="32">
        <v>66</v>
      </c>
      <c r="F473" s="32">
        <v>0.72013753955731896</v>
      </c>
      <c r="G473" s="11"/>
      <c r="H473" s="11"/>
      <c r="I473" s="11"/>
      <c r="J473" s="18" t="s">
        <v>44</v>
      </c>
      <c r="K473" s="18" t="s">
        <v>45</v>
      </c>
      <c r="L473" s="58" t="s">
        <v>65</v>
      </c>
      <c r="M473" s="18">
        <f>[1]!f_prt_stocktonav(B473,"2017/03/31")</f>
        <v>73.337860107421875</v>
      </c>
      <c r="N473" s="20" t="str">
        <f>[1]!f_info_fundmanager(B473)</f>
        <v>祝建辉</v>
      </c>
      <c r="O473" s="21">
        <v>1.2575342465753425</v>
      </c>
      <c r="P473" s="34" t="s">
        <v>2005</v>
      </c>
      <c r="Q473" s="34" t="s">
        <v>2006</v>
      </c>
      <c r="R473" s="34" t="s">
        <v>807</v>
      </c>
      <c r="S473" s="34">
        <v>20140211</v>
      </c>
      <c r="T473" s="45">
        <v>1.8458506571</v>
      </c>
      <c r="U473" s="46">
        <v>1.9470904145000001</v>
      </c>
      <c r="V473" s="34" t="s">
        <v>201</v>
      </c>
      <c r="W473" s="34" t="s">
        <v>44</v>
      </c>
      <c r="X473" s="34" t="s">
        <v>45</v>
      </c>
      <c r="Y473" s="34" t="s">
        <v>274</v>
      </c>
      <c r="Z473" s="34"/>
      <c r="AA473" s="34"/>
      <c r="AB473" s="22">
        <v>0.7225916290283203</v>
      </c>
      <c r="AC473" s="23" t="s">
        <v>2007</v>
      </c>
      <c r="AD473" s="24">
        <v>1.0273972602739727</v>
      </c>
      <c r="AE473" s="25">
        <v>0.20126925864878076</v>
      </c>
      <c r="AF473" s="26">
        <v>0</v>
      </c>
      <c r="AG473" s="26">
        <v>0</v>
      </c>
      <c r="AH473" s="27">
        <v>0.69299997225838927</v>
      </c>
      <c r="AI473" s="27">
        <v>0.69299997225838927</v>
      </c>
      <c r="AJ473" s="27">
        <v>0.69299997225838927</v>
      </c>
      <c r="AK473" s="28" t="s">
        <v>2008</v>
      </c>
      <c r="AL473" s="29" t="s">
        <v>48</v>
      </c>
      <c r="AM473" s="29" t="s">
        <v>48</v>
      </c>
      <c r="AN473" s="29" t="s">
        <v>48</v>
      </c>
      <c r="AO473" s="47" t="s">
        <v>101</v>
      </c>
      <c r="AP473" s="28">
        <v>0</v>
      </c>
      <c r="AQ473" s="26">
        <v>1.4999999999999999E-2</v>
      </c>
      <c r="AR473" s="26">
        <v>0</v>
      </c>
    </row>
    <row r="474" spans="1:44" x14ac:dyDescent="0.15">
      <c r="A474">
        <v>620</v>
      </c>
      <c r="B474" s="11">
        <v>457</v>
      </c>
      <c r="C474" s="32"/>
      <c r="D474" s="32">
        <v>1.6092764187117801E-3</v>
      </c>
      <c r="E474" s="32">
        <v>117</v>
      </c>
      <c r="F474" s="32">
        <v>0.41708722761841999</v>
      </c>
      <c r="G474" s="11"/>
      <c r="H474" s="11"/>
      <c r="I474" s="11"/>
      <c r="J474" s="18" t="s">
        <v>44</v>
      </c>
      <c r="K474" s="19" t="s">
        <v>45</v>
      </c>
      <c r="L474" s="58" t="s">
        <v>65</v>
      </c>
      <c r="M474" s="18">
        <f>[1]!f_prt_stocktonav(B474,"2017/03/31")</f>
        <v>82.355758666992188</v>
      </c>
      <c r="N474" s="20" t="str">
        <f>[1]!f_info_fundmanager(B474)</f>
        <v>李博</v>
      </c>
      <c r="O474" s="21">
        <v>2.2493150684931509</v>
      </c>
      <c r="P474" s="32" t="s">
        <v>2009</v>
      </c>
      <c r="Q474" s="13" t="s">
        <v>2010</v>
      </c>
      <c r="R474" s="13" t="s">
        <v>511</v>
      </c>
      <c r="S474" s="13">
        <v>20140210</v>
      </c>
      <c r="T474" s="14">
        <v>5.1350246261999999</v>
      </c>
      <c r="U474" s="15" t="s">
        <v>39</v>
      </c>
      <c r="V474" s="16" t="s">
        <v>40</v>
      </c>
      <c r="W474" s="17" t="s">
        <v>44</v>
      </c>
      <c r="X474" s="17" t="s">
        <v>45</v>
      </c>
      <c r="Y474" s="17" t="s">
        <v>274</v>
      </c>
      <c r="Z474" s="13"/>
      <c r="AA474" s="13"/>
      <c r="AB474" s="22">
        <v>0.80915367126464843</v>
      </c>
      <c r="AC474" s="23" t="s">
        <v>1419</v>
      </c>
      <c r="AD474" s="24">
        <v>2.0191780821917806</v>
      </c>
      <c r="AE474" s="25">
        <v>0.22291738145726359</v>
      </c>
      <c r="AF474" s="26">
        <v>0</v>
      </c>
      <c r="AG474" s="26">
        <v>0</v>
      </c>
      <c r="AH474" s="27">
        <v>0.78360450374561674</v>
      </c>
      <c r="AI474" s="27">
        <v>0.78360450374561674</v>
      </c>
      <c r="AJ474" s="27">
        <v>0.78360450374561674</v>
      </c>
      <c r="AK474" s="28" t="s">
        <v>1980</v>
      </c>
      <c r="AL474" s="29" t="s">
        <v>48</v>
      </c>
      <c r="AM474" s="29" t="s">
        <v>48</v>
      </c>
      <c r="AN474" s="29" t="s">
        <v>48</v>
      </c>
      <c r="AO474" s="23" t="s">
        <v>417</v>
      </c>
      <c r="AP474" s="30">
        <v>0</v>
      </c>
      <c r="AQ474" s="31">
        <v>1.4999999999999999E-2</v>
      </c>
      <c r="AR474" s="31">
        <v>0</v>
      </c>
    </row>
    <row r="475" spans="1:44" x14ac:dyDescent="0.15">
      <c r="A475">
        <v>189</v>
      </c>
      <c r="B475" s="11">
        <v>471</v>
      </c>
      <c r="C475" s="32"/>
      <c r="D475" s="32">
        <v>-8.6330202650789498E-4</v>
      </c>
      <c r="E475" s="32">
        <v>165</v>
      </c>
      <c r="F475" s="32">
        <v>0.48835272319387002</v>
      </c>
      <c r="G475" s="11"/>
      <c r="H475" s="11"/>
      <c r="I475" s="11"/>
      <c r="J475" s="18" t="s">
        <v>44</v>
      </c>
      <c r="K475" s="18" t="s">
        <v>45</v>
      </c>
      <c r="L475" s="58" t="s">
        <v>274</v>
      </c>
      <c r="M475" s="18">
        <f>[1]!f_prt_stocktonav(B475,"2017/03/31")</f>
        <v>92.002357482910156</v>
      </c>
      <c r="N475" s="20" t="str">
        <f>[1]!f_info_fundmanager(B475)</f>
        <v>汪鸣,毕天宇</v>
      </c>
      <c r="O475" s="21">
        <v>3.1726027397260275</v>
      </c>
      <c r="P475" s="34" t="s">
        <v>2011</v>
      </c>
      <c r="Q475" s="34" t="s">
        <v>2012</v>
      </c>
      <c r="R475" s="34" t="s">
        <v>396</v>
      </c>
      <c r="S475" s="34">
        <v>20140128</v>
      </c>
      <c r="T475" s="45">
        <v>40.860494884200001</v>
      </c>
      <c r="U475" s="46">
        <v>45.5907116331</v>
      </c>
      <c r="V475" s="34" t="s">
        <v>201</v>
      </c>
      <c r="W475" s="34" t="s">
        <v>44</v>
      </c>
      <c r="X475" s="34" t="s">
        <v>45</v>
      </c>
      <c r="Y475" s="34" t="s">
        <v>274</v>
      </c>
      <c r="Z475" s="34"/>
      <c r="AA475" s="34"/>
      <c r="AB475" s="22">
        <v>0.87761451721191408</v>
      </c>
      <c r="AC475" s="23" t="s">
        <v>2013</v>
      </c>
      <c r="AD475" s="24">
        <v>2.9424657534246577</v>
      </c>
      <c r="AE475" s="25">
        <v>0.37051997432956019</v>
      </c>
      <c r="AF475" s="26">
        <v>0</v>
      </c>
      <c r="AG475" s="26">
        <v>0</v>
      </c>
      <c r="AH475" s="27">
        <v>1.0345338018707864</v>
      </c>
      <c r="AI475" s="27">
        <v>1.0345338018707864</v>
      </c>
      <c r="AJ475" s="27">
        <v>1.0345338018707864</v>
      </c>
      <c r="AK475" s="28" t="s">
        <v>167</v>
      </c>
      <c r="AL475" s="29" t="s">
        <v>48</v>
      </c>
      <c r="AM475" s="29" t="s">
        <v>48</v>
      </c>
      <c r="AN475" s="29" t="s">
        <v>48</v>
      </c>
      <c r="AO475" s="47" t="s">
        <v>1854</v>
      </c>
      <c r="AP475" s="28" t="s">
        <v>608</v>
      </c>
      <c r="AQ475" s="26">
        <v>1.4999999999999999E-2</v>
      </c>
      <c r="AR475" s="26">
        <v>0</v>
      </c>
    </row>
    <row r="476" spans="1:44" x14ac:dyDescent="0.15">
      <c r="A476">
        <v>30</v>
      </c>
      <c r="B476" s="11">
        <v>431</v>
      </c>
      <c r="C476" s="32"/>
      <c r="D476" s="32">
        <v>6.5587218658267905E-4</v>
      </c>
      <c r="E476" s="32">
        <v>140</v>
      </c>
      <c r="F476" s="32">
        <v>0.35388638591661198</v>
      </c>
      <c r="G476" s="11"/>
      <c r="H476" s="11"/>
      <c r="I476" s="11"/>
      <c r="J476" s="18" t="s">
        <v>44</v>
      </c>
      <c r="K476" s="18" t="s">
        <v>45</v>
      </c>
      <c r="L476" s="58" t="s">
        <v>65</v>
      </c>
      <c r="M476" s="18">
        <f>[1]!f_prt_stocktonav(B476,"2017/03/31")</f>
        <v>94.608978271484375</v>
      </c>
      <c r="N476" s="20" t="str">
        <f>[1]!f_info_fundmanager(B476)</f>
        <v>王宗合</v>
      </c>
      <c r="O476" s="21">
        <v>2.6821917808219178</v>
      </c>
      <c r="P476" s="34" t="s">
        <v>2014</v>
      </c>
      <c r="Q476" s="34" t="s">
        <v>2015</v>
      </c>
      <c r="R476" s="34" t="s">
        <v>705</v>
      </c>
      <c r="S476" s="34">
        <v>20140128</v>
      </c>
      <c r="T476" s="45">
        <v>0.99761570379999998</v>
      </c>
      <c r="U476" s="46">
        <v>11.4224034776</v>
      </c>
      <c r="V476" s="34" t="s">
        <v>231</v>
      </c>
      <c r="W476" s="34" t="s">
        <v>41</v>
      </c>
      <c r="X476" s="34" t="s">
        <v>42</v>
      </c>
      <c r="Y476" s="34" t="s">
        <v>43</v>
      </c>
      <c r="Z476" s="34"/>
      <c r="AA476" s="34"/>
      <c r="AB476" s="22">
        <v>0.24699090957641601</v>
      </c>
      <c r="AC476" s="23" t="s">
        <v>2016</v>
      </c>
      <c r="AD476" s="24">
        <v>2.452054794520548</v>
      </c>
      <c r="AE476" s="25">
        <v>3.5177102031676011E-2</v>
      </c>
      <c r="AF476" s="26">
        <v>0</v>
      </c>
      <c r="AG476" s="26">
        <v>0</v>
      </c>
      <c r="AH476" s="27">
        <v>0.68387195395304889</v>
      </c>
      <c r="AI476" s="27">
        <v>0.68387195395304889</v>
      </c>
      <c r="AJ476" s="27">
        <v>0.68387195395304889</v>
      </c>
      <c r="AK476" s="28" t="s">
        <v>380</v>
      </c>
      <c r="AL476" s="29" t="s">
        <v>48</v>
      </c>
      <c r="AM476" s="29" t="s">
        <v>48</v>
      </c>
      <c r="AN476" s="29" t="s">
        <v>48</v>
      </c>
      <c r="AO476" s="47" t="s">
        <v>2017</v>
      </c>
      <c r="AP476" s="28">
        <v>0</v>
      </c>
      <c r="AQ476" s="26">
        <v>1.4999999999999999E-2</v>
      </c>
      <c r="AR476" s="26">
        <v>0</v>
      </c>
    </row>
    <row r="477" spans="1:44" x14ac:dyDescent="0.15">
      <c r="A477">
        <v>300</v>
      </c>
      <c r="B477" s="11">
        <v>432</v>
      </c>
      <c r="C477" s="32"/>
      <c r="D477" s="32">
        <v>-7.4612406723473604E-4</v>
      </c>
      <c r="E477" s="32">
        <v>88</v>
      </c>
      <c r="F477" s="32">
        <v>0.367356727651097</v>
      </c>
      <c r="G477" s="11"/>
      <c r="H477" s="11"/>
      <c r="I477" s="11"/>
      <c r="J477" s="18" t="s">
        <v>44</v>
      </c>
      <c r="K477" s="18" t="s">
        <v>45</v>
      </c>
      <c r="L477" s="58" t="s">
        <v>274</v>
      </c>
      <c r="M477" s="18">
        <f>[1]!f_prt_stocktonav(B477,"2017/03/31")</f>
        <v>89.445060729980469</v>
      </c>
      <c r="N477" s="20" t="str">
        <f>[1]!f_info_fundmanager(B477)</f>
        <v>赵志华</v>
      </c>
      <c r="O477" s="21">
        <v>1.6794520547945206</v>
      </c>
      <c r="P477" s="34" t="s">
        <v>2018</v>
      </c>
      <c r="Q477" s="34" t="s">
        <v>2019</v>
      </c>
      <c r="R477" s="34" t="s">
        <v>71</v>
      </c>
      <c r="S477" s="34">
        <v>20140128</v>
      </c>
      <c r="T477" s="45">
        <v>0.7022378776</v>
      </c>
      <c r="U477" s="46">
        <v>0.55113390839999998</v>
      </c>
      <c r="V477" s="34" t="s">
        <v>231</v>
      </c>
      <c r="W477" s="34" t="s">
        <v>44</v>
      </c>
      <c r="X477" s="34" t="s">
        <v>45</v>
      </c>
      <c r="Y477" s="34" t="s">
        <v>274</v>
      </c>
      <c r="Z477" s="34"/>
      <c r="AA477" s="34"/>
      <c r="AB477" s="22">
        <v>0.8716300964355469</v>
      </c>
      <c r="AC477" s="23" t="s">
        <v>73</v>
      </c>
      <c r="AD477" s="24">
        <v>1.4493150684931506</v>
      </c>
      <c r="AE477" s="25">
        <v>0.17030244544664286</v>
      </c>
      <c r="AF477" s="26">
        <v>0</v>
      </c>
      <c r="AG477" s="26">
        <v>0</v>
      </c>
      <c r="AH477" s="27">
        <v>0.61635970311923194</v>
      </c>
      <c r="AI477" s="27">
        <v>0.61635970311923194</v>
      </c>
      <c r="AJ477" s="27">
        <v>0.61635970311923194</v>
      </c>
      <c r="AK477" s="28" t="s">
        <v>167</v>
      </c>
      <c r="AL477" s="29" t="s">
        <v>48</v>
      </c>
      <c r="AM477" s="29" t="s">
        <v>48</v>
      </c>
      <c r="AN477" s="29" t="s">
        <v>48</v>
      </c>
      <c r="AO477" s="47" t="s">
        <v>845</v>
      </c>
      <c r="AP477" s="28">
        <v>0</v>
      </c>
      <c r="AQ477" s="26">
        <v>1.4999999999999999E-2</v>
      </c>
      <c r="AR477" s="26">
        <v>0</v>
      </c>
    </row>
    <row r="478" spans="1:44" x14ac:dyDescent="0.15">
      <c r="A478">
        <v>530</v>
      </c>
      <c r="B478" s="11">
        <v>519191</v>
      </c>
      <c r="C478" s="32"/>
      <c r="D478" s="32">
        <v>5.4312828780864804E-4</v>
      </c>
      <c r="E478" s="32">
        <v>98</v>
      </c>
      <c r="F478" s="32">
        <v>0.80770991626708399</v>
      </c>
      <c r="G478" s="11"/>
      <c r="H478" s="11"/>
      <c r="I478" s="11"/>
      <c r="J478" s="18" t="s">
        <v>44</v>
      </c>
      <c r="K478" s="18" t="s">
        <v>45</v>
      </c>
      <c r="L478" s="58" t="s">
        <v>65</v>
      </c>
      <c r="M478" s="18">
        <f>[1]!f_prt_stocktonav(B478,"2017/03/31")</f>
        <v>84.59295654296875</v>
      </c>
      <c r="N478" s="20" t="str">
        <f>[1]!f_info_fundmanager(B478)</f>
        <v>高翰昆,莫海波</v>
      </c>
      <c r="O478" s="21">
        <v>1.8684931506849316</v>
      </c>
      <c r="P478" s="34" t="s">
        <v>2020</v>
      </c>
      <c r="Q478" s="34" t="s">
        <v>2021</v>
      </c>
      <c r="R478" s="34" t="s">
        <v>718</v>
      </c>
      <c r="S478" s="34">
        <v>20140124</v>
      </c>
      <c r="T478" s="45">
        <v>7.1774064915000002</v>
      </c>
      <c r="U478" s="46">
        <v>8.2405027531999995</v>
      </c>
      <c r="V478" s="34" t="s">
        <v>231</v>
      </c>
      <c r="W478" s="34" t="s">
        <v>44</v>
      </c>
      <c r="X478" s="17" t="s">
        <v>45</v>
      </c>
      <c r="Y478" s="17" t="s">
        <v>65</v>
      </c>
      <c r="Z478" s="34"/>
      <c r="AA478" s="34"/>
      <c r="AB478" s="22">
        <v>0.94600967407226566</v>
      </c>
      <c r="AC478" s="23" t="s">
        <v>2022</v>
      </c>
      <c r="AD478" s="24">
        <v>1.6383561643835616</v>
      </c>
      <c r="AE478" s="25">
        <v>5.9114654528258148E-2</v>
      </c>
      <c r="AF478" s="26">
        <v>0</v>
      </c>
      <c r="AG478" s="26">
        <v>0</v>
      </c>
      <c r="AH478" s="27">
        <v>0.31021564137178925</v>
      </c>
      <c r="AI478" s="27">
        <v>0.31021564137178925</v>
      </c>
      <c r="AJ478" s="27">
        <v>0.31021564137178925</v>
      </c>
      <c r="AK478" s="28" t="s">
        <v>720</v>
      </c>
      <c r="AL478" s="29" t="s">
        <v>48</v>
      </c>
      <c r="AM478" s="29" t="s">
        <v>48</v>
      </c>
      <c r="AN478" s="29" t="s">
        <v>48</v>
      </c>
      <c r="AO478" s="47" t="s">
        <v>2023</v>
      </c>
      <c r="AP478" s="28">
        <v>0</v>
      </c>
      <c r="AQ478" s="26">
        <v>1.4999999999999999E-2</v>
      </c>
      <c r="AR478" s="26">
        <v>0</v>
      </c>
    </row>
    <row r="479" spans="1:44" x14ac:dyDescent="0.15">
      <c r="A479">
        <v>381</v>
      </c>
      <c r="B479" s="11">
        <v>411</v>
      </c>
      <c r="C479" s="32"/>
      <c r="D479" s="32">
        <v>-1.0831641202455301E-3</v>
      </c>
      <c r="E479" s="32">
        <v>86</v>
      </c>
      <c r="F479" s="32">
        <v>0.47274764852585099</v>
      </c>
      <c r="G479" s="11"/>
      <c r="H479" s="11"/>
      <c r="I479" s="11"/>
      <c r="J479" s="18" t="s">
        <v>44</v>
      </c>
      <c r="K479" s="18" t="s">
        <v>45</v>
      </c>
      <c r="L479" s="58" t="s">
        <v>274</v>
      </c>
      <c r="M479" s="18">
        <f>[1]!f_prt_stocktonav(B479,"2017/03/31")</f>
        <v>87.882102966308594</v>
      </c>
      <c r="N479" s="20" t="str">
        <f>[1]!f_info_fundmanager(B479)</f>
        <v>丁丹</v>
      </c>
      <c r="O479" s="21">
        <v>1.6383561643835616</v>
      </c>
      <c r="P479" s="34" t="s">
        <v>2024</v>
      </c>
      <c r="Q479" s="34" t="s">
        <v>2025</v>
      </c>
      <c r="R479" s="34" t="s">
        <v>353</v>
      </c>
      <c r="S479" s="34">
        <v>20140102</v>
      </c>
      <c r="T479" s="45">
        <v>0.55025872919999996</v>
      </c>
      <c r="U479" s="46">
        <v>1.5465789002999999</v>
      </c>
      <c r="V479" s="34" t="s">
        <v>231</v>
      </c>
      <c r="W479" s="34" t="s">
        <v>44</v>
      </c>
      <c r="X479" s="34" t="s">
        <v>45</v>
      </c>
      <c r="Y479" s="34" t="s">
        <v>274</v>
      </c>
      <c r="Z479" s="34"/>
      <c r="AA479" s="34"/>
      <c r="AB479" s="22">
        <v>0.90101425170898441</v>
      </c>
      <c r="AC479" s="23" t="s">
        <v>2026</v>
      </c>
      <c r="AD479" s="24">
        <v>1.4082191780821918</v>
      </c>
      <c r="AE479" s="25">
        <v>9.0078782286499473E-2</v>
      </c>
      <c r="AF479" s="26">
        <v>0</v>
      </c>
      <c r="AG479" s="26">
        <v>0</v>
      </c>
      <c r="AH479" s="27">
        <v>0.38352082523054248</v>
      </c>
      <c r="AI479" s="27">
        <v>0.38352082523054248</v>
      </c>
      <c r="AJ479" s="27">
        <v>0.38352082523054248</v>
      </c>
      <c r="AK479" s="28" t="s">
        <v>1468</v>
      </c>
      <c r="AL479" s="29" t="s">
        <v>48</v>
      </c>
      <c r="AM479" s="29" t="s">
        <v>48</v>
      </c>
      <c r="AN479" s="29" t="s">
        <v>48</v>
      </c>
      <c r="AO479" s="47" t="s">
        <v>1826</v>
      </c>
      <c r="AP479" s="28">
        <v>0</v>
      </c>
      <c r="AQ479" s="26">
        <v>1.4999999999999999E-2</v>
      </c>
      <c r="AR479" s="26">
        <v>0</v>
      </c>
    </row>
    <row r="480" spans="1:44" x14ac:dyDescent="0.15">
      <c r="A480">
        <v>29</v>
      </c>
      <c r="B480" s="11">
        <v>433</v>
      </c>
      <c r="C480" s="32"/>
      <c r="D480" s="32">
        <v>-1.91871895127895E-3</v>
      </c>
      <c r="E480" s="32">
        <v>169</v>
      </c>
      <c r="F480" s="32">
        <v>0.302862585502925</v>
      </c>
      <c r="G480" s="11"/>
      <c r="H480" s="11"/>
      <c r="I480" s="11"/>
      <c r="J480" s="18" t="s">
        <v>44</v>
      </c>
      <c r="K480" s="18" t="s">
        <v>45</v>
      </c>
      <c r="L480" s="58" t="s">
        <v>274</v>
      </c>
      <c r="M480" s="18">
        <f>[1]!f_prt_stocktonav(B480,"2017/03/31")</f>
        <v>94.638534545898438</v>
      </c>
      <c r="N480" s="20" t="str">
        <f>[1]!f_info_fundmanager(B480)</f>
        <v>蓝雁书</v>
      </c>
      <c r="O480" s="21">
        <v>3.2493150684931509</v>
      </c>
      <c r="P480" s="34" t="s">
        <v>2027</v>
      </c>
      <c r="Q480" s="34" t="s">
        <v>2028</v>
      </c>
      <c r="R480" s="34" t="s">
        <v>975</v>
      </c>
      <c r="S480" s="34">
        <v>20131231</v>
      </c>
      <c r="T480" s="45">
        <v>0.77157269309999998</v>
      </c>
      <c r="U480" s="46">
        <v>0.91731394070000005</v>
      </c>
      <c r="V480" s="34" t="s">
        <v>231</v>
      </c>
      <c r="W480" s="34" t="s">
        <v>44</v>
      </c>
      <c r="X480" s="34" t="s">
        <v>45</v>
      </c>
      <c r="Y480" s="34" t="s">
        <v>274</v>
      </c>
      <c r="Z480" s="34"/>
      <c r="AA480" s="34"/>
      <c r="AB480" s="22">
        <v>0.85821220397949216</v>
      </c>
      <c r="AC480" s="23" t="s">
        <v>2029</v>
      </c>
      <c r="AD480" s="24">
        <v>3.0191780821917806</v>
      </c>
      <c r="AE480" s="25">
        <v>5.0019754252353277E-2</v>
      </c>
      <c r="AF480" s="26">
        <v>5.0113366444413554E-2</v>
      </c>
      <c r="AG480" s="26">
        <v>0</v>
      </c>
      <c r="AH480" s="27">
        <v>0.2670934122266887</v>
      </c>
      <c r="AI480" s="27">
        <v>0.2670934122266887</v>
      </c>
      <c r="AJ480" s="27">
        <v>0.2670934122266887</v>
      </c>
      <c r="AK480" s="28" t="s">
        <v>2030</v>
      </c>
      <c r="AL480" s="29" t="s">
        <v>48</v>
      </c>
      <c r="AM480" s="29" t="s">
        <v>48</v>
      </c>
      <c r="AN480" s="29" t="s">
        <v>48</v>
      </c>
      <c r="AO480" s="47" t="s">
        <v>1290</v>
      </c>
      <c r="AP480" s="28">
        <v>0</v>
      </c>
      <c r="AQ480" s="26">
        <v>0.01</v>
      </c>
      <c r="AR480" s="26">
        <v>0</v>
      </c>
    </row>
    <row r="481" spans="1:44" x14ac:dyDescent="0.15">
      <c r="A481">
        <v>149</v>
      </c>
      <c r="B481" s="11">
        <v>160624</v>
      </c>
      <c r="C481" s="32"/>
      <c r="D481" s="32">
        <v>-1.1561514526749401E-3</v>
      </c>
      <c r="E481" s="32">
        <v>100</v>
      </c>
      <c r="F481" s="32">
        <v>0.46636277829295097</v>
      </c>
      <c r="G481" s="11"/>
      <c r="H481" s="11"/>
      <c r="I481" s="11"/>
      <c r="J481" s="18" t="s">
        <v>44</v>
      </c>
      <c r="K481" s="18" t="s">
        <v>45</v>
      </c>
      <c r="L481" s="58" t="s">
        <v>274</v>
      </c>
      <c r="M481" s="18">
        <f>[1]!f_prt_stocktonav(B481,"2017/03/31")</f>
        <v>92.813529968261719</v>
      </c>
      <c r="N481" s="20" t="str">
        <f>[1]!f_info_fundmanager(B481)</f>
        <v>陈鹏</v>
      </c>
      <c r="O481" s="21">
        <v>1.9068493150684931</v>
      </c>
      <c r="P481" s="34" t="s">
        <v>2031</v>
      </c>
      <c r="Q481" s="34" t="s">
        <v>2032</v>
      </c>
      <c r="R481" s="34" t="s">
        <v>705</v>
      </c>
      <c r="S481" s="34">
        <v>20131223</v>
      </c>
      <c r="T481" s="45">
        <v>3.0392786875</v>
      </c>
      <c r="U481" s="46">
        <v>3.290100566</v>
      </c>
      <c r="V481" s="34" t="s">
        <v>231</v>
      </c>
      <c r="W481" s="34" t="s">
        <v>44</v>
      </c>
      <c r="X481" s="34" t="s">
        <v>45</v>
      </c>
      <c r="Y481" s="34" t="s">
        <v>274</v>
      </c>
      <c r="Z481" s="34"/>
      <c r="AA481" s="34"/>
      <c r="AB481" s="22">
        <v>0.83763984680175785</v>
      </c>
      <c r="AC481" s="23" t="s">
        <v>1767</v>
      </c>
      <c r="AD481" s="24">
        <v>1.6767123287671233</v>
      </c>
      <c r="AE481" s="25">
        <v>0.14028528851303768</v>
      </c>
      <c r="AF481" s="26">
        <v>0.13962321443354964</v>
      </c>
      <c r="AG481" s="26">
        <v>0</v>
      </c>
      <c r="AH481" s="27">
        <v>0.51628980242389755</v>
      </c>
      <c r="AI481" s="27">
        <v>0.5161450691913666</v>
      </c>
      <c r="AJ481" s="27">
        <v>0.51628980242389755</v>
      </c>
      <c r="AK481" s="28" t="s">
        <v>1193</v>
      </c>
      <c r="AL481" s="29">
        <v>2</v>
      </c>
      <c r="AM481" s="29">
        <v>3</v>
      </c>
      <c r="AN481" s="29" t="s">
        <v>48</v>
      </c>
      <c r="AO481" s="47" t="s">
        <v>2033</v>
      </c>
      <c r="AP481" s="28">
        <v>0</v>
      </c>
      <c r="AQ481" s="26">
        <v>1.4999999999999999E-2</v>
      </c>
      <c r="AR481" s="26">
        <v>0</v>
      </c>
    </row>
    <row r="482" spans="1:44" x14ac:dyDescent="0.15">
      <c r="A482">
        <v>56</v>
      </c>
      <c r="B482" s="11">
        <v>519056</v>
      </c>
      <c r="C482" s="32"/>
      <c r="D482" s="32">
        <v>-3.08094702549067E-3</v>
      </c>
      <c r="E482" s="32">
        <v>119</v>
      </c>
      <c r="F482" s="32">
        <v>0.194260809667826</v>
      </c>
      <c r="G482" s="11"/>
      <c r="H482" s="11"/>
      <c r="I482" s="11"/>
      <c r="J482" s="18" t="s">
        <v>44</v>
      </c>
      <c r="K482" s="18" t="s">
        <v>45</v>
      </c>
      <c r="L482" s="58" t="s">
        <v>65</v>
      </c>
      <c r="M482" s="18">
        <f>[1]!f_prt_stocktonav(B482,"2017/03/31")</f>
        <v>94.253158569335938</v>
      </c>
      <c r="N482" s="20" t="str">
        <f>[1]!f_info_fundmanager(B482)</f>
        <v>黄峰</v>
      </c>
      <c r="O482" s="21">
        <v>2.2876712328767121</v>
      </c>
      <c r="P482" s="34" t="s">
        <v>2034</v>
      </c>
      <c r="Q482" s="34" t="s">
        <v>2035</v>
      </c>
      <c r="R482" s="34" t="s">
        <v>496</v>
      </c>
      <c r="S482" s="34">
        <v>20131219</v>
      </c>
      <c r="T482" s="45">
        <v>0.2926273036</v>
      </c>
      <c r="U482" s="46">
        <v>0.32135885060000002</v>
      </c>
      <c r="V482" s="34" t="s">
        <v>231</v>
      </c>
      <c r="W482" s="34" t="s">
        <v>44</v>
      </c>
      <c r="X482" s="34" t="s">
        <v>45</v>
      </c>
      <c r="Y482" s="34" t="s">
        <v>65</v>
      </c>
      <c r="Z482" s="34"/>
      <c r="AA482" s="34"/>
      <c r="AB482" s="22">
        <v>0.87981735229492186</v>
      </c>
      <c r="AC482" s="23" t="s">
        <v>2036</v>
      </c>
      <c r="AD482" s="24">
        <v>2.0575342465753423</v>
      </c>
      <c r="AE482" s="25">
        <v>-4.0841947423156943E-2</v>
      </c>
      <c r="AF482" s="26">
        <v>-4.5471673476091157E-2</v>
      </c>
      <c r="AG482" s="26">
        <v>0</v>
      </c>
      <c r="AH482" s="27">
        <v>2.0122706109339205E-2</v>
      </c>
      <c r="AI482" s="27">
        <v>-2.1207117852661238E-2</v>
      </c>
      <c r="AJ482" s="27">
        <v>2.0122706109339205E-2</v>
      </c>
      <c r="AK482" s="28" t="s">
        <v>2037</v>
      </c>
      <c r="AL482" s="29" t="s">
        <v>48</v>
      </c>
      <c r="AM482" s="29" t="s">
        <v>48</v>
      </c>
      <c r="AN482" s="29" t="s">
        <v>48</v>
      </c>
      <c r="AO482" s="47" t="s">
        <v>310</v>
      </c>
      <c r="AP482" s="28">
        <v>0</v>
      </c>
      <c r="AQ482" s="26">
        <v>1.4999999999999999E-2</v>
      </c>
      <c r="AR482" s="26">
        <v>0</v>
      </c>
    </row>
    <row r="483" spans="1:44" x14ac:dyDescent="0.15">
      <c r="A483">
        <v>213</v>
      </c>
      <c r="B483" s="11">
        <v>423</v>
      </c>
      <c r="C483" s="32"/>
      <c r="D483" s="32">
        <v>7.2294789383431195E-4</v>
      </c>
      <c r="E483" s="32">
        <v>118</v>
      </c>
      <c r="F483" s="32">
        <v>0.66232552617505402</v>
      </c>
      <c r="G483" s="11"/>
      <c r="H483" s="11"/>
      <c r="I483" s="11"/>
      <c r="J483" s="18" t="s">
        <v>44</v>
      </c>
      <c r="K483" s="18" t="s">
        <v>45</v>
      </c>
      <c r="L483" s="58" t="s">
        <v>65</v>
      </c>
      <c r="M483" s="18">
        <f>[1]!f_prt_stocktonav(B483,"2017/03/31")</f>
        <v>91.546424865722656</v>
      </c>
      <c r="N483" s="20" t="str">
        <f>[1]!f_info_fundmanager(B483)</f>
        <v>王霞</v>
      </c>
      <c r="O483" s="21">
        <v>2.2657534246575342</v>
      </c>
      <c r="P483" s="34" t="s">
        <v>2038</v>
      </c>
      <c r="Q483" s="34" t="s">
        <v>2039</v>
      </c>
      <c r="R483" s="34" t="s">
        <v>78</v>
      </c>
      <c r="S483" s="34">
        <v>20131219</v>
      </c>
      <c r="T483" s="45">
        <v>2.1386124345000002</v>
      </c>
      <c r="U483" s="46">
        <v>1.7942551900000001</v>
      </c>
      <c r="V483" s="34" t="s">
        <v>231</v>
      </c>
      <c r="W483" s="34" t="s">
        <v>44</v>
      </c>
      <c r="X483" s="34" t="s">
        <v>45</v>
      </c>
      <c r="Y483" s="34" t="s">
        <v>817</v>
      </c>
      <c r="Z483" s="34"/>
      <c r="AA483" s="34"/>
      <c r="AB483" s="22">
        <v>0.92098243713378902</v>
      </c>
      <c r="AC483" s="23" t="s">
        <v>2040</v>
      </c>
      <c r="AD483" s="24">
        <v>2.0356164383561643</v>
      </c>
      <c r="AE483" s="25">
        <v>2.0627280354950761E-2</v>
      </c>
      <c r="AF483" s="26">
        <v>2.0553673174465326E-2</v>
      </c>
      <c r="AG483" s="26">
        <v>0</v>
      </c>
      <c r="AH483" s="27">
        <v>0.10853910163550942</v>
      </c>
      <c r="AI483" s="27">
        <v>0.10819967700444742</v>
      </c>
      <c r="AJ483" s="27">
        <v>0.10853910163550942</v>
      </c>
      <c r="AK483" s="28" t="s">
        <v>196</v>
      </c>
      <c r="AL483" s="29" t="s">
        <v>48</v>
      </c>
      <c r="AM483" s="29" t="s">
        <v>48</v>
      </c>
      <c r="AN483" s="29" t="s">
        <v>48</v>
      </c>
      <c r="AO483" s="47" t="s">
        <v>2041</v>
      </c>
      <c r="AP483" s="28">
        <v>0</v>
      </c>
      <c r="AQ483" s="26">
        <v>8.999999761581421E-3</v>
      </c>
      <c r="AR483" s="26">
        <v>0</v>
      </c>
    </row>
    <row r="484" spans="1:44" x14ac:dyDescent="0.15">
      <c r="A484">
        <v>106</v>
      </c>
      <c r="B484" s="11">
        <v>418</v>
      </c>
      <c r="C484" s="32"/>
      <c r="D484" s="32">
        <v>-1.29951628095332E-3</v>
      </c>
      <c r="E484" s="32">
        <v>105</v>
      </c>
      <c r="F484" s="32">
        <v>0.43717286760205798</v>
      </c>
      <c r="G484" s="11"/>
      <c r="H484" s="11"/>
      <c r="I484" s="11"/>
      <c r="J484" s="18" t="s">
        <v>44</v>
      </c>
      <c r="K484" s="18" t="s">
        <v>45</v>
      </c>
      <c r="L484" s="58" t="s">
        <v>274</v>
      </c>
      <c r="M484" s="18">
        <f>[1]!f_prt_stocktonav(B484,"2017/03/31")</f>
        <v>93.561393737792969</v>
      </c>
      <c r="N484" s="20" t="str">
        <f>[1]!f_info_fundmanager(B484)</f>
        <v>刘晓明</v>
      </c>
      <c r="O484" s="21">
        <v>2.010958904109589</v>
      </c>
      <c r="P484" s="34" t="s">
        <v>2024</v>
      </c>
      <c r="Q484" s="34" t="s">
        <v>2042</v>
      </c>
      <c r="R484" s="34" t="s">
        <v>353</v>
      </c>
      <c r="S484" s="34">
        <v>20131213</v>
      </c>
      <c r="T484" s="45">
        <v>0.70594918149999997</v>
      </c>
      <c r="U484" s="46">
        <v>0.74604825720000001</v>
      </c>
      <c r="V484" s="34" t="s">
        <v>231</v>
      </c>
      <c r="W484" s="34" t="s">
        <v>44</v>
      </c>
      <c r="X484" s="34" t="s">
        <v>45</v>
      </c>
      <c r="Y484" s="34" t="s">
        <v>274</v>
      </c>
      <c r="Z484" s="34"/>
      <c r="AA484" s="34"/>
      <c r="AB484" s="22">
        <v>0.9157997131347656</v>
      </c>
      <c r="AC484" s="23" t="s">
        <v>2043</v>
      </c>
      <c r="AD484" s="24">
        <v>1.7808219178082192</v>
      </c>
      <c r="AE484" s="25">
        <v>0.14194246660209719</v>
      </c>
      <c r="AF484" s="26">
        <v>0.13979637452435312</v>
      </c>
      <c r="AG484" s="26">
        <v>0</v>
      </c>
      <c r="AH484" s="27">
        <v>0.52531604626843864</v>
      </c>
      <c r="AI484" s="27">
        <v>0.5089887731348316</v>
      </c>
      <c r="AJ484" s="27">
        <v>0.52531604626843864</v>
      </c>
      <c r="AK484" s="28" t="s">
        <v>1468</v>
      </c>
      <c r="AL484" s="29" t="s">
        <v>48</v>
      </c>
      <c r="AM484" s="29" t="s">
        <v>48</v>
      </c>
      <c r="AN484" s="29" t="s">
        <v>48</v>
      </c>
      <c r="AO484" s="47" t="s">
        <v>449</v>
      </c>
      <c r="AP484" s="28">
        <v>0</v>
      </c>
      <c r="AQ484" s="26">
        <v>1.4999999999999999E-2</v>
      </c>
      <c r="AR484" s="26">
        <v>0</v>
      </c>
    </row>
    <row r="485" spans="1:44" x14ac:dyDescent="0.15">
      <c r="A485">
        <v>542</v>
      </c>
      <c r="B485" s="11">
        <v>390</v>
      </c>
      <c r="C485" s="32"/>
      <c r="D485" s="32">
        <v>1.98709635359204E-3</v>
      </c>
      <c r="E485" s="32">
        <v>34</v>
      </c>
      <c r="F485" s="32">
        <v>0.17490285066836</v>
      </c>
      <c r="G485" s="11"/>
      <c r="H485" s="11"/>
      <c r="I485" s="11"/>
      <c r="J485" s="18" t="s">
        <v>44</v>
      </c>
      <c r="K485" s="18" t="s">
        <v>45</v>
      </c>
      <c r="L485" s="58" t="s">
        <v>65</v>
      </c>
      <c r="M485" s="18">
        <f>[1]!f_prt_stocktonav(B485,"2017/03/31")</f>
        <v>84.189361572265625</v>
      </c>
      <c r="N485" s="20" t="str">
        <f>[1]!f_info_fundmanager(B485)</f>
        <v>周海栋</v>
      </c>
      <c r="O485" s="21">
        <v>0.65205479452054793</v>
      </c>
      <c r="P485" s="34" t="s">
        <v>2044</v>
      </c>
      <c r="Q485" s="34" t="s">
        <v>2045</v>
      </c>
      <c r="R485" s="34" t="s">
        <v>387</v>
      </c>
      <c r="S485" s="34">
        <v>20131211</v>
      </c>
      <c r="T485" s="45">
        <v>7.5175431849000001</v>
      </c>
      <c r="U485" s="46">
        <v>11.752788713999999</v>
      </c>
      <c r="V485" s="34" t="s">
        <v>231</v>
      </c>
      <c r="W485" s="34" t="s">
        <v>44</v>
      </c>
      <c r="X485" s="34" t="s">
        <v>45</v>
      </c>
      <c r="Y485" s="34" t="s">
        <v>65</v>
      </c>
      <c r="Z485" s="34"/>
      <c r="AA485" s="34"/>
      <c r="AB485" s="22">
        <v>0.72095794677734371</v>
      </c>
      <c r="AC485" s="23" t="s">
        <v>2046</v>
      </c>
      <c r="AD485" s="24">
        <v>0.42191780821917807</v>
      </c>
      <c r="AE485" s="25">
        <v>0.27405375576246005</v>
      </c>
      <c r="AF485" s="26">
        <v>0.27899094372029687</v>
      </c>
      <c r="AG485" s="26">
        <v>0</v>
      </c>
      <c r="AH485" s="27">
        <v>1.3153676737321593</v>
      </c>
      <c r="AI485" s="27">
        <v>1.324416464186807</v>
      </c>
      <c r="AJ485" s="27">
        <v>1.3153676737321593</v>
      </c>
      <c r="AK485" s="28" t="s">
        <v>240</v>
      </c>
      <c r="AL485" s="29" t="s">
        <v>48</v>
      </c>
      <c r="AM485" s="29" t="s">
        <v>48</v>
      </c>
      <c r="AN485" s="29" t="s">
        <v>48</v>
      </c>
      <c r="AO485" s="47" t="s">
        <v>2047</v>
      </c>
      <c r="AP485" s="28">
        <v>0</v>
      </c>
      <c r="AQ485" s="26">
        <v>1.4999999999999999E-2</v>
      </c>
      <c r="AR485" s="26">
        <v>0</v>
      </c>
    </row>
    <row r="486" spans="1:44" x14ac:dyDescent="0.15">
      <c r="A486">
        <v>35</v>
      </c>
      <c r="B486" s="11">
        <v>519125</v>
      </c>
      <c r="C486" s="32"/>
      <c r="D486" s="32">
        <v>-5.0585265656541596E-3</v>
      </c>
      <c r="E486" s="32">
        <v>173</v>
      </c>
      <c r="F486" s="32">
        <v>1.5150078617750999E-3</v>
      </c>
      <c r="G486" s="11"/>
      <c r="H486" s="11"/>
      <c r="I486" s="11"/>
      <c r="J486" s="18" t="s">
        <v>44</v>
      </c>
      <c r="K486" s="18" t="s">
        <v>87</v>
      </c>
      <c r="L486" s="58" t="s">
        <v>274</v>
      </c>
      <c r="M486" s="18">
        <f>[1]!f_prt_stocktonav(B486,"2017/03/31")</f>
        <v>94.511940002441406</v>
      </c>
      <c r="N486" s="20" t="str">
        <f>[1]!f_info_fundmanager(B486)</f>
        <v>吴勇</v>
      </c>
      <c r="O486" s="21">
        <v>3.3232876712328765</v>
      </c>
      <c r="P486" s="34" t="s">
        <v>2048</v>
      </c>
      <c r="Q486" s="34" t="s">
        <v>2049</v>
      </c>
      <c r="R486" s="34" t="s">
        <v>649</v>
      </c>
      <c r="S486" s="34">
        <v>20131204</v>
      </c>
      <c r="T486" s="45">
        <v>1.5917106429000001</v>
      </c>
      <c r="U486" s="46">
        <v>1.8422690246</v>
      </c>
      <c r="V486" s="34" t="s">
        <v>201</v>
      </c>
      <c r="W486" s="34" t="s">
        <v>44</v>
      </c>
      <c r="X486" s="34" t="s">
        <v>45</v>
      </c>
      <c r="Y486" s="34" t="s">
        <v>274</v>
      </c>
      <c r="Z486" s="34"/>
      <c r="AA486" s="34"/>
      <c r="AB486" s="22">
        <v>0.94108024597167972</v>
      </c>
      <c r="AC486" s="23" t="s">
        <v>650</v>
      </c>
      <c r="AD486" s="24">
        <v>3.0931506849315067</v>
      </c>
      <c r="AE486" s="25">
        <v>0.1646524450282405</v>
      </c>
      <c r="AF486" s="26">
        <v>0.17014399299641306</v>
      </c>
      <c r="AG486" s="26">
        <v>0</v>
      </c>
      <c r="AH486" s="27">
        <v>0.54369902326126607</v>
      </c>
      <c r="AI486" s="27">
        <v>0.54690751310978014</v>
      </c>
      <c r="AJ486" s="27">
        <v>0.54369902326126607</v>
      </c>
      <c r="AK486" s="28" t="s">
        <v>2050</v>
      </c>
      <c r="AL486" s="29" t="s">
        <v>48</v>
      </c>
      <c r="AM486" s="29" t="s">
        <v>48</v>
      </c>
      <c r="AN486" s="29" t="s">
        <v>48</v>
      </c>
      <c r="AO486" s="47" t="s">
        <v>652</v>
      </c>
      <c r="AP486" s="28">
        <v>0</v>
      </c>
      <c r="AQ486" s="26">
        <v>1.4999999999999999E-2</v>
      </c>
      <c r="AR486" s="26">
        <v>0</v>
      </c>
    </row>
    <row r="487" spans="1:44" x14ac:dyDescent="0.15">
      <c r="A487">
        <v>143</v>
      </c>
      <c r="B487" s="11">
        <v>404</v>
      </c>
      <c r="C487" s="32"/>
      <c r="D487" s="32">
        <v>7.3668332138713695E-5</v>
      </c>
      <c r="E487" s="32">
        <v>174</v>
      </c>
      <c r="F487" s="32">
        <v>0.96727089271365096</v>
      </c>
      <c r="G487" s="11"/>
      <c r="H487" s="11"/>
      <c r="I487" s="11"/>
      <c r="J487" s="18" t="s">
        <v>44</v>
      </c>
      <c r="K487" s="18" t="s">
        <v>87</v>
      </c>
      <c r="L487" s="58" t="s">
        <v>65</v>
      </c>
      <c r="M487" s="18">
        <f>[1]!f_prt_stocktonav(B487,"2017/03/31")</f>
        <v>92.872879028320313</v>
      </c>
      <c r="N487" s="20" t="str">
        <f>[1]!f_info_fundmanager(B487)</f>
        <v>宋昆</v>
      </c>
      <c r="O487" s="21">
        <v>3.3397260273972602</v>
      </c>
      <c r="P487" s="34" t="s">
        <v>2051</v>
      </c>
      <c r="Q487" s="34" t="s">
        <v>2052</v>
      </c>
      <c r="R487" s="34" t="s">
        <v>218</v>
      </c>
      <c r="S487" s="34">
        <v>20131128</v>
      </c>
      <c r="T487" s="45">
        <v>9.9256609347999998</v>
      </c>
      <c r="U487" s="46">
        <v>12.2112887813</v>
      </c>
      <c r="V487" s="34" t="s">
        <v>201</v>
      </c>
      <c r="W487" s="34" t="s">
        <v>44</v>
      </c>
      <c r="X487" s="34" t="s">
        <v>45</v>
      </c>
      <c r="Y487" s="34" t="s">
        <v>65</v>
      </c>
      <c r="Z487" s="34"/>
      <c r="AA487" s="34"/>
      <c r="AB487" s="22">
        <v>0.93089576721191403</v>
      </c>
      <c r="AC487" s="23" t="s">
        <v>2053</v>
      </c>
      <c r="AD487" s="24">
        <v>3.1095890410958904</v>
      </c>
      <c r="AE487" s="25">
        <v>0.24728904587027833</v>
      </c>
      <c r="AF487" s="26">
        <v>0.24140826240447955</v>
      </c>
      <c r="AG487" s="26">
        <v>0</v>
      </c>
      <c r="AH487" s="27">
        <v>0.717429903630876</v>
      </c>
      <c r="AI487" s="27">
        <v>0.67318261869149354</v>
      </c>
      <c r="AJ487" s="27">
        <v>0.717429903630876</v>
      </c>
      <c r="AK487" s="28" t="s">
        <v>2054</v>
      </c>
      <c r="AL487" s="29" t="s">
        <v>48</v>
      </c>
      <c r="AM487" s="29" t="s">
        <v>48</v>
      </c>
      <c r="AN487" s="29" t="s">
        <v>48</v>
      </c>
      <c r="AO487" s="47" t="s">
        <v>2055</v>
      </c>
      <c r="AP487" s="28">
        <v>0</v>
      </c>
      <c r="AQ487" s="26">
        <v>1.4999999999999999E-2</v>
      </c>
      <c r="AR487" s="26">
        <v>0</v>
      </c>
    </row>
    <row r="488" spans="1:44" x14ac:dyDescent="0.15">
      <c r="A488">
        <v>659</v>
      </c>
      <c r="B488" s="11">
        <v>294</v>
      </c>
      <c r="C488" s="32"/>
      <c r="D488" s="32">
        <v>4.2724085636047598E-4</v>
      </c>
      <c r="E488" s="32">
        <v>79</v>
      </c>
      <c r="F488" s="32">
        <v>0.80070520613612395</v>
      </c>
      <c r="G488" s="11"/>
      <c r="H488" s="11"/>
      <c r="I488" s="11"/>
      <c r="J488" s="18" t="s">
        <v>44</v>
      </c>
      <c r="K488" s="18" t="s">
        <v>45</v>
      </c>
      <c r="L488" s="58" t="s">
        <v>274</v>
      </c>
      <c r="M488" s="18">
        <f>[1]!f_prt_stocktonav(B488,"2017/03/31")</f>
        <v>81.165473937988281</v>
      </c>
      <c r="N488" s="20" t="str">
        <f>[1]!f_info_fundmanager(B488)</f>
        <v>刘伟亭</v>
      </c>
      <c r="O488" s="21">
        <v>1.515068493150685</v>
      </c>
      <c r="P488" s="34" t="s">
        <v>2056</v>
      </c>
      <c r="Q488" s="34" t="s">
        <v>2057</v>
      </c>
      <c r="R488" s="34" t="s">
        <v>63</v>
      </c>
      <c r="S488" s="34">
        <v>20131128</v>
      </c>
      <c r="T488" s="45">
        <v>1.1379874822</v>
      </c>
      <c r="U488" s="46">
        <v>1.2893392093</v>
      </c>
      <c r="V488" s="34" t="s">
        <v>231</v>
      </c>
      <c r="W488" s="34" t="s">
        <v>44</v>
      </c>
      <c r="X488" s="34" t="s">
        <v>45</v>
      </c>
      <c r="Y488" s="34" t="s">
        <v>274</v>
      </c>
      <c r="Z488" s="34"/>
      <c r="AA488" s="34"/>
      <c r="AB488" s="22">
        <v>0.80900642395019529</v>
      </c>
      <c r="AC488" s="23" t="s">
        <v>243</v>
      </c>
      <c r="AD488" s="24">
        <v>1.284931506849315</v>
      </c>
      <c r="AE488" s="25">
        <v>0.16909090892069734</v>
      </c>
      <c r="AF488" s="26">
        <v>0.17494341058381901</v>
      </c>
      <c r="AG488" s="26">
        <v>0</v>
      </c>
      <c r="AH488" s="27">
        <v>0.56434697257285882</v>
      </c>
      <c r="AI488" s="27">
        <v>0.57369210226957823</v>
      </c>
      <c r="AJ488" s="27">
        <v>0.56434697257285882</v>
      </c>
      <c r="AK488" s="28" t="s">
        <v>1393</v>
      </c>
      <c r="AL488" s="29" t="s">
        <v>48</v>
      </c>
      <c r="AM488" s="29" t="s">
        <v>48</v>
      </c>
      <c r="AN488" s="29" t="s">
        <v>48</v>
      </c>
      <c r="AO488" s="47" t="s">
        <v>2058</v>
      </c>
      <c r="AP488" s="28">
        <v>0</v>
      </c>
      <c r="AQ488" s="26">
        <v>1.4999999999999999E-2</v>
      </c>
      <c r="AR488" s="26">
        <v>0</v>
      </c>
    </row>
    <row r="489" spans="1:44" x14ac:dyDescent="0.15">
      <c r="A489">
        <v>295</v>
      </c>
      <c r="B489" s="11">
        <v>328</v>
      </c>
      <c r="C489" s="32"/>
      <c r="D489" s="32">
        <v>5.6667847291886697E-3</v>
      </c>
      <c r="E489" s="32">
        <v>23</v>
      </c>
      <c r="F489" s="32">
        <v>0.14010894240812299</v>
      </c>
      <c r="G489" s="11"/>
      <c r="H489" s="11"/>
      <c r="I489" s="11"/>
      <c r="J489" s="18" t="s">
        <v>44</v>
      </c>
      <c r="K489" s="19" t="s">
        <v>45</v>
      </c>
      <c r="L489" s="58" t="s">
        <v>65</v>
      </c>
      <c r="M489" s="18">
        <f>[1]!f_prt_stocktonav(B489,"2017/03/31")</f>
        <v>89.522506713867188</v>
      </c>
      <c r="N489" s="20" t="str">
        <f>[1]!f_info_fundmanager(B489)</f>
        <v>孟亮</v>
      </c>
      <c r="O489" s="21">
        <v>0.44109589041095892</v>
      </c>
      <c r="P489" s="32" t="s">
        <v>2059</v>
      </c>
      <c r="Q489" s="13" t="s">
        <v>2060</v>
      </c>
      <c r="R489" s="13" t="s">
        <v>511</v>
      </c>
      <c r="S489" s="13">
        <v>20131125</v>
      </c>
      <c r="T489" s="14">
        <v>7.7578058894000002</v>
      </c>
      <c r="U489" s="15" t="s">
        <v>39</v>
      </c>
      <c r="V489" s="16" t="s">
        <v>40</v>
      </c>
      <c r="W489" s="17" t="s">
        <v>44</v>
      </c>
      <c r="X489" s="17" t="s">
        <v>45</v>
      </c>
      <c r="Y489" s="17" t="s">
        <v>65</v>
      </c>
      <c r="Z489" s="13"/>
      <c r="AA489" s="13"/>
      <c r="AB489" s="22">
        <v>0.9123077392578125</v>
      </c>
      <c r="AC489" s="23" t="s">
        <v>2061</v>
      </c>
      <c r="AD489" s="24">
        <v>0.21095890410958903</v>
      </c>
      <c r="AE489" s="25">
        <v>0.10255794522590689</v>
      </c>
      <c r="AF489" s="26">
        <v>0.10482879289269276</v>
      </c>
      <c r="AG489" s="26">
        <v>0</v>
      </c>
      <c r="AH489" s="27">
        <v>0.41874995814995991</v>
      </c>
      <c r="AI489" s="27">
        <v>0.42135230168542004</v>
      </c>
      <c r="AJ489" s="27">
        <v>0.41874995814995991</v>
      </c>
      <c r="AK489" s="28" t="s">
        <v>1934</v>
      </c>
      <c r="AL489" s="29" t="s">
        <v>48</v>
      </c>
      <c r="AM489" s="29" t="s">
        <v>48</v>
      </c>
      <c r="AN489" s="29" t="s">
        <v>48</v>
      </c>
      <c r="AO489" s="23" t="s">
        <v>49</v>
      </c>
      <c r="AP489" s="30">
        <v>0</v>
      </c>
      <c r="AQ489" s="31">
        <v>1.4999999999999999E-2</v>
      </c>
      <c r="AR489" s="31">
        <v>0</v>
      </c>
    </row>
    <row r="490" spans="1:44" x14ac:dyDescent="0.15">
      <c r="A490">
        <v>262</v>
      </c>
      <c r="B490" s="11">
        <v>263</v>
      </c>
      <c r="C490" s="32"/>
      <c r="D490" s="32">
        <v>-1.71618791064844E-3</v>
      </c>
      <c r="E490" s="32">
        <v>177</v>
      </c>
      <c r="F490" s="32">
        <v>0.308776032298197</v>
      </c>
      <c r="G490" s="11"/>
      <c r="H490" s="11"/>
      <c r="I490" s="11"/>
      <c r="J490" s="18" t="s">
        <v>44</v>
      </c>
      <c r="K490" s="18" t="s">
        <v>87</v>
      </c>
      <c r="L490" s="58" t="s">
        <v>274</v>
      </c>
      <c r="M490" s="18">
        <f>[1]!f_prt_stocktonav(B490,"2017/03/31")</f>
        <v>90.178321838378906</v>
      </c>
      <c r="N490" s="20" t="str">
        <f>[1]!f_info_fundmanager(B490)</f>
        <v>刘天任</v>
      </c>
      <c r="O490" s="21">
        <v>3.3863013698630136</v>
      </c>
      <c r="P490" s="34" t="s">
        <v>2062</v>
      </c>
      <c r="Q490" s="34" t="s">
        <v>2063</v>
      </c>
      <c r="R490" s="34" t="s">
        <v>523</v>
      </c>
      <c r="S490" s="34">
        <v>20131111</v>
      </c>
      <c r="T490" s="45">
        <v>11.641631288699999</v>
      </c>
      <c r="U490" s="46">
        <v>14.078824043099999</v>
      </c>
      <c r="V490" s="34" t="s">
        <v>231</v>
      </c>
      <c r="W490" s="34" t="s">
        <v>44</v>
      </c>
      <c r="X490" s="34" t="s">
        <v>45</v>
      </c>
      <c r="Y490" s="34" t="s">
        <v>274</v>
      </c>
      <c r="Z490" s="34"/>
      <c r="AA490" s="34"/>
      <c r="AB490" s="22">
        <v>0.93893981933593751</v>
      </c>
      <c r="AC490" s="23" t="s">
        <v>2064</v>
      </c>
      <c r="AD490" s="24">
        <v>3.1561643835616437</v>
      </c>
      <c r="AE490" s="25">
        <v>0.223522275678079</v>
      </c>
      <c r="AF490" s="26">
        <v>0.23283924610879539</v>
      </c>
      <c r="AG490" s="26">
        <v>0</v>
      </c>
      <c r="AH490" s="27">
        <v>0.66403881102230267</v>
      </c>
      <c r="AI490" s="27">
        <v>0.67563346836203608</v>
      </c>
      <c r="AJ490" s="27">
        <v>0.66403881102230267</v>
      </c>
      <c r="AK490" s="28" t="s">
        <v>2065</v>
      </c>
      <c r="AL490" s="29" t="s">
        <v>48</v>
      </c>
      <c r="AM490" s="29" t="s">
        <v>48</v>
      </c>
      <c r="AN490" s="29" t="s">
        <v>48</v>
      </c>
      <c r="AO490" s="47" t="s">
        <v>255</v>
      </c>
      <c r="AP490" s="28">
        <v>0</v>
      </c>
      <c r="AQ490" s="26">
        <v>1.4999999999999999E-2</v>
      </c>
      <c r="AR490" s="26">
        <v>0</v>
      </c>
    </row>
    <row r="491" spans="1:44" x14ac:dyDescent="0.15">
      <c r="A491">
        <v>345</v>
      </c>
      <c r="B491" s="11">
        <v>336</v>
      </c>
      <c r="C491" s="32"/>
      <c r="D491" s="32">
        <v>0</v>
      </c>
      <c r="E491" s="32">
        <v>0</v>
      </c>
      <c r="F491" s="32">
        <v>0</v>
      </c>
      <c r="G491" s="11"/>
      <c r="H491" s="11"/>
      <c r="I491" s="11"/>
      <c r="J491" s="18" t="s">
        <v>44</v>
      </c>
      <c r="K491" s="18" t="s">
        <v>45</v>
      </c>
      <c r="L491" s="58">
        <v>0</v>
      </c>
      <c r="M491" s="18">
        <f>[1]!f_prt_stocktonav(B491,"2017/03/31")</f>
        <v>88.602493286132813</v>
      </c>
      <c r="N491" s="20" t="str">
        <f>[1]!f_info_fundmanager(B491)</f>
        <v>赵诣</v>
      </c>
      <c r="O491" s="21">
        <v>2.7397260273972601E-2</v>
      </c>
      <c r="P491" s="34" t="s">
        <v>2066</v>
      </c>
      <c r="Q491" s="34" t="s">
        <v>2067</v>
      </c>
      <c r="R491" s="34" t="s">
        <v>424</v>
      </c>
      <c r="S491" s="34">
        <v>20131105</v>
      </c>
      <c r="T491" s="45">
        <v>3.5270383066000002</v>
      </c>
      <c r="U491" s="46">
        <v>3.7890933595999998</v>
      </c>
      <c r="V491" s="34" t="s">
        <v>231</v>
      </c>
      <c r="W491" s="34" t="s">
        <v>44</v>
      </c>
      <c r="X491" s="34" t="s">
        <v>45</v>
      </c>
      <c r="Y491" s="34" t="s">
        <v>274</v>
      </c>
      <c r="Z491" s="34"/>
      <c r="AA491" s="34"/>
      <c r="AB491" s="22">
        <v>0.76912872314453129</v>
      </c>
      <c r="AC491" s="23" t="s">
        <v>1121</v>
      </c>
      <c r="AD491" s="24">
        <v>3.1726027397260275</v>
      </c>
      <c r="AE491" s="25">
        <v>0.11527970832885505</v>
      </c>
      <c r="AF491" s="26">
        <v>0.11962042029655118</v>
      </c>
      <c r="AG491" s="26">
        <v>0</v>
      </c>
      <c r="AH491" s="27">
        <v>0.44926430241542864</v>
      </c>
      <c r="AI491" s="27">
        <v>0.45730892260556072</v>
      </c>
      <c r="AJ491" s="27">
        <v>0.44926430241542864</v>
      </c>
      <c r="AK491" s="28" t="s">
        <v>1452</v>
      </c>
      <c r="AL491" s="29" t="s">
        <v>48</v>
      </c>
      <c r="AM491" s="29" t="s">
        <v>48</v>
      </c>
      <c r="AN491" s="29" t="s">
        <v>48</v>
      </c>
      <c r="AO491" s="47" t="s">
        <v>702</v>
      </c>
      <c r="AP491" s="28">
        <v>0</v>
      </c>
      <c r="AQ491" s="26">
        <v>1.4999999999999999E-2</v>
      </c>
      <c r="AR491" s="26">
        <v>0</v>
      </c>
    </row>
    <row r="492" spans="1:44" x14ac:dyDescent="0.15">
      <c r="A492">
        <v>455</v>
      </c>
      <c r="B492" s="11">
        <v>309</v>
      </c>
      <c r="C492" s="32"/>
      <c r="D492" s="32">
        <v>1.7825421779703199E-3</v>
      </c>
      <c r="E492" s="32">
        <v>76</v>
      </c>
      <c r="F492" s="32">
        <v>0.13469799934328799</v>
      </c>
      <c r="G492" s="11"/>
      <c r="H492" s="11"/>
      <c r="I492" s="11"/>
      <c r="J492" s="18" t="s">
        <v>44</v>
      </c>
      <c r="K492" s="18" t="s">
        <v>45</v>
      </c>
      <c r="L492" s="58" t="s">
        <v>65</v>
      </c>
      <c r="M492" s="18">
        <f>[1]!f_prt_stocktonav(B492,"2017/03/31")</f>
        <v>86.168006896972656</v>
      </c>
      <c r="N492" s="20" t="str">
        <f>[1]!f_info_fundmanager(B492)</f>
        <v>袁斌</v>
      </c>
      <c r="O492" s="21">
        <v>1.4602739726027398</v>
      </c>
      <c r="P492" s="34" t="s">
        <v>2068</v>
      </c>
      <c r="Q492" s="34" t="s">
        <v>2069</v>
      </c>
      <c r="R492" s="34" t="s">
        <v>378</v>
      </c>
      <c r="S492" s="34">
        <v>20131029</v>
      </c>
      <c r="T492" s="45">
        <v>15.912713502300001</v>
      </c>
      <c r="U492" s="46">
        <v>10.2718029497</v>
      </c>
      <c r="V492" s="34" t="s">
        <v>201</v>
      </c>
      <c r="W492" s="34" t="s">
        <v>44</v>
      </c>
      <c r="X492" s="34" t="s">
        <v>45</v>
      </c>
      <c r="Y492" s="34" t="s">
        <v>337</v>
      </c>
      <c r="Z492" s="34"/>
      <c r="AA492" s="34"/>
      <c r="AB492" s="22">
        <v>0.91806465148925787</v>
      </c>
      <c r="AC492" s="23" t="s">
        <v>2070</v>
      </c>
      <c r="AD492" s="24">
        <v>1.2301369863013698</v>
      </c>
      <c r="AE492" s="25">
        <v>0.20462871629263149</v>
      </c>
      <c r="AF492" s="26">
        <v>0.23044481189668953</v>
      </c>
      <c r="AG492" s="26">
        <v>0</v>
      </c>
      <c r="AH492" s="27">
        <v>0.66516587013303297</v>
      </c>
      <c r="AI492" s="27">
        <v>0.70369466005845982</v>
      </c>
      <c r="AJ492" s="27">
        <v>0.66516587013303297</v>
      </c>
      <c r="AK492" s="28" t="s">
        <v>1206</v>
      </c>
      <c r="AL492" s="29" t="s">
        <v>48</v>
      </c>
      <c r="AM492" s="29" t="s">
        <v>48</v>
      </c>
      <c r="AN492" s="29" t="s">
        <v>48</v>
      </c>
      <c r="AO492" s="47" t="s">
        <v>2071</v>
      </c>
      <c r="AP492" s="28">
        <v>0</v>
      </c>
      <c r="AQ492" s="26">
        <v>1.4999999999999999E-2</v>
      </c>
      <c r="AR492" s="26">
        <v>0</v>
      </c>
    </row>
    <row r="493" spans="1:44" x14ac:dyDescent="0.15">
      <c r="A493">
        <v>898</v>
      </c>
      <c r="B493" s="11">
        <v>308</v>
      </c>
      <c r="C493" s="32"/>
      <c r="D493" s="32">
        <v>2.5719834829446698E-3</v>
      </c>
      <c r="E493" s="32">
        <v>97</v>
      </c>
      <c r="F493" s="32">
        <v>7.70757938818767E-2</v>
      </c>
      <c r="G493" s="11"/>
      <c r="H493" s="11"/>
      <c r="I493" s="11"/>
      <c r="J493" s="18" t="s">
        <v>44</v>
      </c>
      <c r="K493" s="18" t="s">
        <v>45</v>
      </c>
      <c r="L493" s="58" t="s">
        <v>274</v>
      </c>
      <c r="M493" s="18">
        <f>[1]!f_prt_stocktonav(B493,"2017/03/31")</f>
        <v>72.608184814453125</v>
      </c>
      <c r="N493" s="20" t="str">
        <f>[1]!f_info_fundmanager(B493)</f>
        <v>邵卓</v>
      </c>
      <c r="O493" s="21">
        <v>1.8602739726027397</v>
      </c>
      <c r="P493" s="34" t="s">
        <v>2072</v>
      </c>
      <c r="Q493" s="34" t="s">
        <v>2073</v>
      </c>
      <c r="R493" s="34" t="s">
        <v>307</v>
      </c>
      <c r="S493" s="34">
        <v>20130924</v>
      </c>
      <c r="T493" s="45">
        <v>0.95878544509999997</v>
      </c>
      <c r="U493" s="46">
        <v>0.95632291979999995</v>
      </c>
      <c r="V493" s="34" t="s">
        <v>231</v>
      </c>
      <c r="W493" s="34" t="s">
        <v>44</v>
      </c>
      <c r="X493" s="34" t="s">
        <v>45</v>
      </c>
      <c r="Y493" s="34" t="s">
        <v>274</v>
      </c>
      <c r="Z493" s="34"/>
      <c r="AA493" s="34"/>
      <c r="AB493" s="22">
        <v>0.83407844543457033</v>
      </c>
      <c r="AC493" s="23" t="s">
        <v>1499</v>
      </c>
      <c r="AD493" s="24">
        <v>1.6301369863013699</v>
      </c>
      <c r="AE493" s="25">
        <v>0.27212282487112516</v>
      </c>
      <c r="AF493" s="26">
        <v>0.29608838456710429</v>
      </c>
      <c r="AG493" s="26">
        <v>0</v>
      </c>
      <c r="AH493" s="27">
        <v>0.95630459458781614</v>
      </c>
      <c r="AI493" s="27">
        <v>0.98905979900794239</v>
      </c>
      <c r="AJ493" s="27">
        <v>0.95630459458781614</v>
      </c>
      <c r="AK493" s="28" t="s">
        <v>2074</v>
      </c>
      <c r="AL493" s="29" t="s">
        <v>48</v>
      </c>
      <c r="AM493" s="29" t="s">
        <v>48</v>
      </c>
      <c r="AN493" s="29" t="s">
        <v>48</v>
      </c>
      <c r="AO493" s="47" t="s">
        <v>310</v>
      </c>
      <c r="AP493" s="28">
        <v>0</v>
      </c>
      <c r="AQ493" s="26">
        <v>1.4999999999999999E-2</v>
      </c>
      <c r="AR493" s="26">
        <v>0</v>
      </c>
    </row>
    <row r="494" spans="1:44" x14ac:dyDescent="0.15">
      <c r="A494">
        <v>420</v>
      </c>
      <c r="B494" s="11">
        <v>519158</v>
      </c>
      <c r="C494" s="32"/>
      <c r="D494" s="32">
        <v>-1.74218553629115E-3</v>
      </c>
      <c r="E494" s="32">
        <v>185</v>
      </c>
      <c r="F494" s="32">
        <v>5.82695713262903E-2</v>
      </c>
      <c r="G494" s="11"/>
      <c r="H494" s="11"/>
      <c r="I494" s="11"/>
      <c r="J494" s="18" t="s">
        <v>44</v>
      </c>
      <c r="K494" s="18" t="s">
        <v>45</v>
      </c>
      <c r="L494" s="58" t="s">
        <v>274</v>
      </c>
      <c r="M494" s="18">
        <f>[1]!f_prt_stocktonav(B494,"2017/03/31")</f>
        <v>86.928298950195313</v>
      </c>
      <c r="N494" s="20" t="str">
        <f>[1]!f_info_fundmanager(B494)</f>
        <v>崔建波,蔡春红</v>
      </c>
      <c r="O494" s="21">
        <v>3.5534246575342467</v>
      </c>
      <c r="P494" s="34" t="s">
        <v>2075</v>
      </c>
      <c r="Q494" s="34" t="s">
        <v>2076</v>
      </c>
      <c r="R494" s="34" t="s">
        <v>569</v>
      </c>
      <c r="S494" s="34">
        <v>20130911</v>
      </c>
      <c r="T494" s="45">
        <v>29.811435258300001</v>
      </c>
      <c r="U494" s="46">
        <v>24.568343303799999</v>
      </c>
      <c r="V494" s="34" t="s">
        <v>231</v>
      </c>
      <c r="W494" s="34" t="s">
        <v>44</v>
      </c>
      <c r="X494" s="34" t="s">
        <v>45</v>
      </c>
      <c r="Y494" s="34" t="s">
        <v>274</v>
      </c>
      <c r="Z494" s="34"/>
      <c r="AA494" s="34"/>
      <c r="AB494" s="22">
        <v>0.74269874572753902</v>
      </c>
      <c r="AC494" s="23" t="s">
        <v>2077</v>
      </c>
      <c r="AD494" s="24">
        <v>3.3232876712328765</v>
      </c>
      <c r="AE494" s="25">
        <v>0.27940708688594906</v>
      </c>
      <c r="AF494" s="26">
        <v>0.30757902621914002</v>
      </c>
      <c r="AG494" s="26">
        <v>0</v>
      </c>
      <c r="AH494" s="27">
        <v>0.97291931427154321</v>
      </c>
      <c r="AI494" s="27">
        <v>1.0178675045676477</v>
      </c>
      <c r="AJ494" s="27">
        <v>0.97291931427154321</v>
      </c>
      <c r="AK494" s="28" t="s">
        <v>1459</v>
      </c>
      <c r="AL494" s="29" t="s">
        <v>48</v>
      </c>
      <c r="AM494" s="29" t="s">
        <v>48</v>
      </c>
      <c r="AN494" s="29" t="s">
        <v>48</v>
      </c>
      <c r="AO494" s="47" t="s">
        <v>310</v>
      </c>
      <c r="AP494" s="28">
        <v>0</v>
      </c>
      <c r="AQ494" s="26">
        <v>1.4999999999999999E-2</v>
      </c>
      <c r="AR494" s="26">
        <v>0</v>
      </c>
    </row>
    <row r="495" spans="1:44" x14ac:dyDescent="0.15">
      <c r="A495">
        <v>418</v>
      </c>
      <c r="B495" s="11">
        <v>167</v>
      </c>
      <c r="C495" s="32"/>
      <c r="D495" s="32">
        <v>-1.9825687964579899E-3</v>
      </c>
      <c r="E495" s="32">
        <v>118</v>
      </c>
      <c r="F495" s="32">
        <v>0.37154208287513801</v>
      </c>
      <c r="G495" s="11"/>
      <c r="H495" s="11"/>
      <c r="I495" s="11"/>
      <c r="J495" s="18" t="s">
        <v>44</v>
      </c>
      <c r="K495" s="19" t="s">
        <v>45</v>
      </c>
      <c r="L495" s="58" t="s">
        <v>274</v>
      </c>
      <c r="M495" s="18">
        <f>[1]!f_prt_stocktonav(B495,"2017/03/31")</f>
        <v>86.951461791992188</v>
      </c>
      <c r="N495" s="20" t="str">
        <f>[1]!f_info_fundmanager(B495)</f>
        <v>唐晓斌,张东一</v>
      </c>
      <c r="O495" s="21">
        <v>2.2684931506849315</v>
      </c>
      <c r="P495" s="12" t="s">
        <v>2078</v>
      </c>
      <c r="Q495" s="13" t="s">
        <v>2079</v>
      </c>
      <c r="R495" s="13" t="s">
        <v>132</v>
      </c>
      <c r="S495" s="13">
        <v>20130911</v>
      </c>
      <c r="T495" s="14">
        <v>2.1032707128000001</v>
      </c>
      <c r="U495" s="15" t="s">
        <v>39</v>
      </c>
      <c r="V495" s="16" t="s">
        <v>40</v>
      </c>
      <c r="W495" s="17" t="s">
        <v>44</v>
      </c>
      <c r="X495" s="17" t="s">
        <v>45</v>
      </c>
      <c r="Y495" s="17" t="s">
        <v>274</v>
      </c>
      <c r="Z495" s="13"/>
      <c r="AA495" s="13"/>
      <c r="AB495" s="22">
        <v>0.85794906616210942</v>
      </c>
      <c r="AC495" s="23" t="s">
        <v>2080</v>
      </c>
      <c r="AD495" s="24">
        <v>2.0383561643835617</v>
      </c>
      <c r="AE495" s="25">
        <v>5.7431991386243331E-2</v>
      </c>
      <c r="AF495" s="26">
        <v>6.8914903387979898E-2</v>
      </c>
      <c r="AG495" s="26">
        <v>0</v>
      </c>
      <c r="AH495" s="27">
        <v>0.29389953336189084</v>
      </c>
      <c r="AI495" s="27">
        <v>0.29133464789328306</v>
      </c>
      <c r="AJ495" s="27">
        <v>0.29389953336189084</v>
      </c>
      <c r="AK495" s="28" t="s">
        <v>1830</v>
      </c>
      <c r="AL495" s="29" t="s">
        <v>48</v>
      </c>
      <c r="AM495" s="29" t="s">
        <v>48</v>
      </c>
      <c r="AN495" s="29" t="s">
        <v>48</v>
      </c>
      <c r="AO495" s="23">
        <v>0</v>
      </c>
      <c r="AP495" s="30">
        <v>0</v>
      </c>
      <c r="AQ495" s="31">
        <v>1.4999999999999999E-2</v>
      </c>
      <c r="AR495" s="31">
        <v>0</v>
      </c>
    </row>
    <row r="496" spans="1:44" x14ac:dyDescent="0.15">
      <c r="A496">
        <v>316</v>
      </c>
      <c r="B496" s="11">
        <v>273</v>
      </c>
      <c r="C496" s="32"/>
      <c r="D496" s="32">
        <v>-9.3193242136002804E-4</v>
      </c>
      <c r="E496" s="32">
        <v>81</v>
      </c>
      <c r="F496" s="32">
        <v>0.25779290633030899</v>
      </c>
      <c r="G496" s="11"/>
      <c r="H496" s="11"/>
      <c r="I496" s="11"/>
      <c r="J496" s="18" t="s">
        <v>44</v>
      </c>
      <c r="K496" s="18" t="s">
        <v>45</v>
      </c>
      <c r="L496" s="58" t="s">
        <v>65</v>
      </c>
      <c r="M496" s="18">
        <f>[1]!f_prt_stocktonav(B496,"2017/03/31")</f>
        <v>89.18194580078125</v>
      </c>
      <c r="N496" s="20" t="str">
        <f>[1]!f_info_fundmanager(B496)</f>
        <v>袁华涛</v>
      </c>
      <c r="O496" s="21">
        <v>1.5397260273972602</v>
      </c>
      <c r="P496" s="34" t="s">
        <v>2081</v>
      </c>
      <c r="Q496" s="34" t="s">
        <v>2082</v>
      </c>
      <c r="R496" s="34" t="s">
        <v>1813</v>
      </c>
      <c r="S496" s="34">
        <v>20130911</v>
      </c>
      <c r="T496" s="45">
        <v>0.31416741009999999</v>
      </c>
      <c r="U496" s="46">
        <v>4.7297514634000004</v>
      </c>
      <c r="V496" s="34" t="s">
        <v>201</v>
      </c>
      <c r="W496" s="34" t="s">
        <v>41</v>
      </c>
      <c r="X496" s="34" t="s">
        <v>42</v>
      </c>
      <c r="Y496" s="34" t="s">
        <v>43</v>
      </c>
      <c r="Z496" s="34"/>
      <c r="AA496" s="34"/>
      <c r="AB496" s="22">
        <v>0</v>
      </c>
      <c r="AC496" s="23" t="s">
        <v>1952</v>
      </c>
      <c r="AD496" s="24">
        <v>1.3095890410958904</v>
      </c>
      <c r="AE496" s="25">
        <v>0.19354623668617532</v>
      </c>
      <c r="AF496" s="26">
        <v>0.21271557120910026</v>
      </c>
      <c r="AG496" s="26">
        <v>0</v>
      </c>
      <c r="AH496" s="27">
        <v>1.3536381659204715</v>
      </c>
      <c r="AI496" s="27">
        <v>1.4175138265611456</v>
      </c>
      <c r="AJ496" s="27">
        <v>1.3536381659204715</v>
      </c>
      <c r="AK496" s="28" t="s">
        <v>2083</v>
      </c>
      <c r="AL496" s="29" t="s">
        <v>48</v>
      </c>
      <c r="AM496" s="29" t="s">
        <v>48</v>
      </c>
      <c r="AN496" s="29" t="s">
        <v>48</v>
      </c>
      <c r="AO496" s="47" t="s">
        <v>2084</v>
      </c>
      <c r="AP496" s="28">
        <v>0</v>
      </c>
      <c r="AQ496" s="26">
        <v>1.399999976158142E-2</v>
      </c>
      <c r="AR496" s="26">
        <v>0</v>
      </c>
    </row>
    <row r="497" spans="1:44" x14ac:dyDescent="0.15">
      <c r="A497">
        <v>425</v>
      </c>
      <c r="B497" s="11">
        <v>251</v>
      </c>
      <c r="C497" s="32"/>
      <c r="D497" s="32">
        <v>1.8366321457850901E-3</v>
      </c>
      <c r="E497" s="32">
        <v>188</v>
      </c>
      <c r="F497" s="32">
        <v>6.4733800624401094E-2</v>
      </c>
      <c r="G497" s="11"/>
      <c r="H497" s="11"/>
      <c r="I497" s="11"/>
      <c r="J497" s="18" t="s">
        <v>44</v>
      </c>
      <c r="K497" s="18" t="s">
        <v>45</v>
      </c>
      <c r="L497" s="58" t="s">
        <v>354</v>
      </c>
      <c r="M497" s="18">
        <f>[1]!f_prt_stocktonav(B497,"2017/03/31")</f>
        <v>86.800994873046875</v>
      </c>
      <c r="N497" s="20" t="str">
        <f>[1]!f_info_fundmanager(B497)</f>
        <v>鄢耀,王君正,甘宗卫</v>
      </c>
      <c r="O497" s="21">
        <v>3.5972602739726027</v>
      </c>
      <c r="P497" s="34" t="s">
        <v>2085</v>
      </c>
      <c r="Q497" s="34" t="s">
        <v>2086</v>
      </c>
      <c r="R497" s="34" t="s">
        <v>523</v>
      </c>
      <c r="S497" s="34">
        <v>20130826</v>
      </c>
      <c r="T497" s="45">
        <v>14.879501258499999</v>
      </c>
      <c r="U497" s="46">
        <v>16.875640888</v>
      </c>
      <c r="V497" s="34" t="s">
        <v>231</v>
      </c>
      <c r="W497" s="34" t="s">
        <v>44</v>
      </c>
      <c r="X497" s="34" t="s">
        <v>86</v>
      </c>
      <c r="Y497" s="34" t="s">
        <v>65</v>
      </c>
      <c r="Z497" s="34" t="s">
        <v>2087</v>
      </c>
      <c r="AA497" s="34"/>
      <c r="AB497" s="22">
        <v>0.93361587524414058</v>
      </c>
      <c r="AC497" s="23" t="s">
        <v>2088</v>
      </c>
      <c r="AD497" s="24">
        <v>3.3671232876712329</v>
      </c>
      <c r="AE497" s="25">
        <v>0.30896132872664861</v>
      </c>
      <c r="AF497" s="26">
        <v>0.31449361548457166</v>
      </c>
      <c r="AG497" s="26">
        <v>0</v>
      </c>
      <c r="AH497" s="27">
        <v>1.1106187863303862</v>
      </c>
      <c r="AI497" s="27">
        <v>1.1027973449769224</v>
      </c>
      <c r="AJ497" s="27">
        <v>1.1106187863303862</v>
      </c>
      <c r="AK497" s="33" t="s">
        <v>2089</v>
      </c>
      <c r="AL497" s="29" t="s">
        <v>48</v>
      </c>
      <c r="AM497" s="29" t="s">
        <v>48</v>
      </c>
      <c r="AN497" s="29" t="s">
        <v>48</v>
      </c>
      <c r="AO497" s="47" t="s">
        <v>255</v>
      </c>
      <c r="AP497" s="28">
        <v>0</v>
      </c>
      <c r="AQ497" s="26">
        <v>1.4999999999999999E-2</v>
      </c>
      <c r="AR497" s="26">
        <v>0</v>
      </c>
    </row>
    <row r="498" spans="1:44" x14ac:dyDescent="0.15">
      <c r="A498">
        <v>818</v>
      </c>
      <c r="B498" s="11">
        <v>199</v>
      </c>
      <c r="C498" s="32"/>
      <c r="D498" s="32">
        <v>-1.8327577705125301E-4</v>
      </c>
      <c r="E498" s="32">
        <v>115</v>
      </c>
      <c r="F498" s="32">
        <v>0.89730536507330605</v>
      </c>
      <c r="G498" s="11"/>
      <c r="H498" s="11"/>
      <c r="I498" s="11"/>
      <c r="J498" s="18" t="s">
        <v>44</v>
      </c>
      <c r="K498" s="18" t="s">
        <v>45</v>
      </c>
      <c r="L498" s="58" t="s">
        <v>274</v>
      </c>
      <c r="M498" s="18">
        <f>[1]!f_prt_stocktonav(B498,"2017/03/31")</f>
        <v>75.944778442382813</v>
      </c>
      <c r="N498" s="20" t="str">
        <f>[1]!f_info_fundmanager(B498)</f>
        <v>邱晓华,艾小军</v>
      </c>
      <c r="O498" s="21">
        <v>2.2054794520547945</v>
      </c>
      <c r="P498" s="34" t="s">
        <v>2090</v>
      </c>
      <c r="Q498" s="34" t="s">
        <v>2091</v>
      </c>
      <c r="R498" s="34" t="s">
        <v>663</v>
      </c>
      <c r="S498" s="34">
        <v>20130812</v>
      </c>
      <c r="T498" s="45">
        <v>0.43290286239999998</v>
      </c>
      <c r="U498" s="46">
        <v>0.50394128680000005</v>
      </c>
      <c r="V498" s="34" t="s">
        <v>231</v>
      </c>
      <c r="W498" s="34" t="s">
        <v>44</v>
      </c>
      <c r="X498" s="34" t="s">
        <v>45</v>
      </c>
      <c r="Y498" s="34" t="s">
        <v>274</v>
      </c>
      <c r="Z498" s="34"/>
      <c r="AA498" s="34"/>
      <c r="AB498" s="22">
        <v>0.70417030334472652</v>
      </c>
      <c r="AC498" s="23" t="s">
        <v>2092</v>
      </c>
      <c r="AD498" s="24">
        <v>1.9753424657534246</v>
      </c>
      <c r="AE498" s="25">
        <v>0.16838533026666602</v>
      </c>
      <c r="AF498" s="26">
        <v>0</v>
      </c>
      <c r="AG498" s="26">
        <v>0</v>
      </c>
      <c r="AH498" s="27">
        <v>0.57166515817823693</v>
      </c>
      <c r="AI498" s="27">
        <v>0.57166515817823693</v>
      </c>
      <c r="AJ498" s="27">
        <v>0.57166515817823693</v>
      </c>
      <c r="AK498" s="28" t="s">
        <v>226</v>
      </c>
      <c r="AL498" s="29" t="s">
        <v>48</v>
      </c>
      <c r="AM498" s="29" t="s">
        <v>48</v>
      </c>
      <c r="AN498" s="29" t="s">
        <v>48</v>
      </c>
      <c r="AO498" s="47" t="s">
        <v>1420</v>
      </c>
      <c r="AP498" s="28">
        <v>0</v>
      </c>
      <c r="AQ498" s="26">
        <v>1.4999999999999999E-2</v>
      </c>
      <c r="AR498" s="26">
        <v>0</v>
      </c>
    </row>
    <row r="499" spans="1:44" x14ac:dyDescent="0.15">
      <c r="A499">
        <v>212</v>
      </c>
      <c r="B499" s="11">
        <v>220</v>
      </c>
      <c r="C499" s="32"/>
      <c r="D499" s="32">
        <v>-1.2626908377077E-3</v>
      </c>
      <c r="E499" s="32">
        <v>190</v>
      </c>
      <c r="F499" s="32">
        <v>0.44043860658867801</v>
      </c>
      <c r="G499" s="11"/>
      <c r="H499" s="11"/>
      <c r="I499" s="11"/>
      <c r="J499" s="18" t="s">
        <v>44</v>
      </c>
      <c r="K499" s="18" t="s">
        <v>86</v>
      </c>
      <c r="L499" s="58" t="s">
        <v>65</v>
      </c>
      <c r="M499" s="18">
        <f>[1]!f_prt_stocktonav(B499,"2017/03/31")</f>
        <v>91.582656860351563</v>
      </c>
      <c r="N499" s="20" t="str">
        <f>[1]!f_info_fundmanager(B499)</f>
        <v>戴益强</v>
      </c>
      <c r="O499" s="21">
        <v>3.6493150684931508</v>
      </c>
      <c r="P499" s="34" t="s">
        <v>2093</v>
      </c>
      <c r="Q499" s="34" t="s">
        <v>2094</v>
      </c>
      <c r="R499" s="34" t="s">
        <v>396</v>
      </c>
      <c r="S499" s="34">
        <v>20130807</v>
      </c>
      <c r="T499" s="45">
        <v>9.9236526332999997</v>
      </c>
      <c r="U499" s="46">
        <v>13.3359665105</v>
      </c>
      <c r="V499" s="34" t="s">
        <v>231</v>
      </c>
      <c r="W499" s="34" t="s">
        <v>44</v>
      </c>
      <c r="X499" s="34" t="s">
        <v>86</v>
      </c>
      <c r="Y499" s="34" t="s">
        <v>274</v>
      </c>
      <c r="Z499" s="34" t="s">
        <v>1725</v>
      </c>
      <c r="AA499" s="34"/>
      <c r="AB499" s="22">
        <v>0.87566383361816402</v>
      </c>
      <c r="AC499" s="23" t="s">
        <v>1692</v>
      </c>
      <c r="AD499" s="24">
        <v>3.419178082191781</v>
      </c>
      <c r="AE499" s="25">
        <v>0.18664306003670217</v>
      </c>
      <c r="AF499" s="26">
        <v>0.19595902757763242</v>
      </c>
      <c r="AG499" s="26">
        <v>0</v>
      </c>
      <c r="AH499" s="27">
        <v>0.67971422681490501</v>
      </c>
      <c r="AI499" s="27">
        <v>0.67731856804131063</v>
      </c>
      <c r="AJ499" s="27">
        <v>0.67971422681490501</v>
      </c>
      <c r="AK499" s="33" t="s">
        <v>1815</v>
      </c>
      <c r="AL499" s="29" t="s">
        <v>48</v>
      </c>
      <c r="AM499" s="29" t="s">
        <v>48</v>
      </c>
      <c r="AN499" s="29" t="s">
        <v>48</v>
      </c>
      <c r="AO499" s="47" t="s">
        <v>2095</v>
      </c>
      <c r="AP499" s="28" t="s">
        <v>608</v>
      </c>
      <c r="AQ499" s="26">
        <v>1.4999999999999999E-2</v>
      </c>
      <c r="AR499" s="26">
        <v>0</v>
      </c>
    </row>
    <row r="500" spans="1:44" x14ac:dyDescent="0.15">
      <c r="A500">
        <v>61</v>
      </c>
      <c r="B500" s="11">
        <v>172</v>
      </c>
      <c r="C500" s="32"/>
      <c r="D500" s="32">
        <v>4.9200787182023399E-4</v>
      </c>
      <c r="E500" s="32">
        <v>191</v>
      </c>
      <c r="F500" s="32">
        <v>0.334816653472923</v>
      </c>
      <c r="G500" s="11"/>
      <c r="H500" s="11"/>
      <c r="I500" s="11"/>
      <c r="J500" s="18" t="s">
        <v>44</v>
      </c>
      <c r="K500" s="19" t="s">
        <v>64</v>
      </c>
      <c r="L500" s="58" t="s">
        <v>354</v>
      </c>
      <c r="M500" s="18">
        <f>[1]!f_prt_stocktonav(B500,"2017/03/31")</f>
        <v>94.185295104980469</v>
      </c>
      <c r="N500" s="20" t="str">
        <f>[1]!f_info_fundmanager(B500)</f>
        <v>田汉卿</v>
      </c>
      <c r="O500" s="21">
        <v>3.6630136986301371</v>
      </c>
      <c r="P500" s="32" t="s">
        <v>2096</v>
      </c>
      <c r="Q500" s="13" t="s">
        <v>2097</v>
      </c>
      <c r="R500" s="13" t="s">
        <v>880</v>
      </c>
      <c r="S500" s="13">
        <v>20130802</v>
      </c>
      <c r="T500" s="14">
        <v>32.314425321800002</v>
      </c>
      <c r="U500" s="15" t="s">
        <v>39</v>
      </c>
      <c r="V500" s="16" t="s">
        <v>40</v>
      </c>
      <c r="W500" s="17" t="s">
        <v>44</v>
      </c>
      <c r="X500" s="17" t="s">
        <v>64</v>
      </c>
      <c r="Y500" s="17" t="s">
        <v>354</v>
      </c>
      <c r="Z500" s="13"/>
      <c r="AA500" s="13"/>
      <c r="AB500" s="22">
        <v>0.9027580261230469</v>
      </c>
      <c r="AC500" s="23" t="s">
        <v>1188</v>
      </c>
      <c r="AD500" s="24">
        <v>3.4328767123287673</v>
      </c>
      <c r="AE500" s="25">
        <v>0.25304531955445686</v>
      </c>
      <c r="AF500" s="26">
        <v>0.28007593285961518</v>
      </c>
      <c r="AG500" s="26">
        <v>0</v>
      </c>
      <c r="AH500" s="27">
        <v>0.99026281919122128</v>
      </c>
      <c r="AI500" s="27">
        <v>1.0675176771728667</v>
      </c>
      <c r="AJ500" s="27">
        <v>0.99026281919122128</v>
      </c>
      <c r="AK500" s="28" t="s">
        <v>2098</v>
      </c>
      <c r="AL500" s="29" t="s">
        <v>48</v>
      </c>
      <c r="AM500" s="29" t="s">
        <v>48</v>
      </c>
      <c r="AN500" s="29" t="s">
        <v>48</v>
      </c>
      <c r="AO500" s="23" t="s">
        <v>2099</v>
      </c>
      <c r="AP500" s="30">
        <v>0</v>
      </c>
      <c r="AQ500" s="31">
        <v>0.01</v>
      </c>
      <c r="AR500" s="31">
        <v>0</v>
      </c>
    </row>
    <row r="501" spans="1:44" x14ac:dyDescent="0.15">
      <c r="A501">
        <v>385</v>
      </c>
      <c r="B501" s="11">
        <v>219</v>
      </c>
      <c r="C501" s="32"/>
      <c r="D501" s="32">
        <v>0</v>
      </c>
      <c r="E501" s="32">
        <v>0</v>
      </c>
      <c r="F501" s="32">
        <v>0</v>
      </c>
      <c r="G501" s="11"/>
      <c r="H501" s="11"/>
      <c r="I501" s="11"/>
      <c r="J501" s="18" t="s">
        <v>44</v>
      </c>
      <c r="K501" s="18" t="s">
        <v>45</v>
      </c>
      <c r="L501" s="58">
        <v>0</v>
      </c>
      <c r="M501" s="18">
        <f>[1]!f_prt_stocktonav(B501,"2017/03/31")</f>
        <v>87.806022644042969</v>
      </c>
      <c r="N501" s="20" t="str">
        <f>[1]!f_info_fundmanager(B501)</f>
        <v>周心鹏</v>
      </c>
      <c r="O501" s="21">
        <v>5.7534246575342465E-2</v>
      </c>
      <c r="P501" s="34" t="s">
        <v>2100</v>
      </c>
      <c r="Q501" s="34" t="s">
        <v>2101</v>
      </c>
      <c r="R501" s="34" t="s">
        <v>413</v>
      </c>
      <c r="S501" s="34">
        <v>20130729</v>
      </c>
      <c r="T501" s="45">
        <v>1.4210188482999999</v>
      </c>
      <c r="U501" s="46">
        <v>1.6733725997</v>
      </c>
      <c r="V501" s="34" t="s">
        <v>201</v>
      </c>
      <c r="W501" s="34" t="s">
        <v>44</v>
      </c>
      <c r="X501" s="34" t="s">
        <v>45</v>
      </c>
      <c r="Y501" s="34" t="s">
        <v>274</v>
      </c>
      <c r="Z501" s="34"/>
      <c r="AA501" s="34"/>
      <c r="AB501" s="22">
        <v>0.94487777709960941</v>
      </c>
      <c r="AC501" s="23" t="s">
        <v>2102</v>
      </c>
      <c r="AD501" s="24">
        <v>2.0821917808219177</v>
      </c>
      <c r="AE501" s="25">
        <v>9.6442849427982313E-2</v>
      </c>
      <c r="AF501" s="26">
        <v>0.13136435693042903</v>
      </c>
      <c r="AG501" s="26">
        <v>0</v>
      </c>
      <c r="AH501" s="27">
        <v>0.4060900300223908</v>
      </c>
      <c r="AI501" s="27">
        <v>0.49785269714550889</v>
      </c>
      <c r="AJ501" s="27">
        <v>0.4060900300223908</v>
      </c>
      <c r="AK501" s="28" t="s">
        <v>2103</v>
      </c>
      <c r="AL501" s="29" t="s">
        <v>48</v>
      </c>
      <c r="AM501" s="29" t="s">
        <v>48</v>
      </c>
      <c r="AN501" s="29" t="s">
        <v>48</v>
      </c>
      <c r="AO501" s="47" t="s">
        <v>417</v>
      </c>
      <c r="AP501" s="28">
        <v>0</v>
      </c>
      <c r="AQ501" s="26">
        <v>1.4999999999999999E-2</v>
      </c>
      <c r="AR501" s="26">
        <v>0</v>
      </c>
    </row>
    <row r="502" spans="1:44" x14ac:dyDescent="0.15">
      <c r="A502">
        <v>567</v>
      </c>
      <c r="B502" s="11">
        <v>209</v>
      </c>
      <c r="C502" s="32"/>
      <c r="D502" s="32">
        <v>-4.2278876069579401E-3</v>
      </c>
      <c r="E502" s="32">
        <v>189</v>
      </c>
      <c r="F502" s="32">
        <v>1.3298521937556E-3</v>
      </c>
      <c r="G502" s="11"/>
      <c r="H502" s="11"/>
      <c r="I502" s="11"/>
      <c r="J502" s="18" t="s">
        <v>44</v>
      </c>
      <c r="K502" s="18" t="s">
        <v>87</v>
      </c>
      <c r="L502" s="58" t="s">
        <v>274</v>
      </c>
      <c r="M502" s="18">
        <f>[1]!f_prt_stocktonav(B502,"2017/03/31")</f>
        <v>83.62213134765625</v>
      </c>
      <c r="N502" s="20" t="str">
        <f>[1]!f_info_fundmanager(B502)</f>
        <v>郑伟,杨旭</v>
      </c>
      <c r="O502" s="21">
        <v>3.6246575342465754</v>
      </c>
      <c r="P502" s="34" t="s">
        <v>2104</v>
      </c>
      <c r="Q502" s="34" t="s">
        <v>2105</v>
      </c>
      <c r="R502" s="34" t="s">
        <v>456</v>
      </c>
      <c r="S502" s="34">
        <v>20130717</v>
      </c>
      <c r="T502" s="45">
        <v>0.26809860969999999</v>
      </c>
      <c r="U502" s="46">
        <v>0.28837946060000003</v>
      </c>
      <c r="V502" s="34" t="s">
        <v>201</v>
      </c>
      <c r="W502" s="34" t="s">
        <v>44</v>
      </c>
      <c r="X502" s="34" t="s">
        <v>45</v>
      </c>
      <c r="Y502" s="34" t="s">
        <v>274</v>
      </c>
      <c r="Z502" s="34"/>
      <c r="AA502" s="34"/>
      <c r="AB502" s="22">
        <v>0.76686569213867184</v>
      </c>
      <c r="AC502" s="23" t="s">
        <v>2106</v>
      </c>
      <c r="AD502" s="24">
        <v>3.3945205479452056</v>
      </c>
      <c r="AE502" s="25">
        <v>0.15639334849895037</v>
      </c>
      <c r="AF502" s="26">
        <v>0.18499460635275766</v>
      </c>
      <c r="AG502" s="26">
        <v>0</v>
      </c>
      <c r="AH502" s="27">
        <v>0.54792469563421731</v>
      </c>
      <c r="AI502" s="27">
        <v>0.59521885445123912</v>
      </c>
      <c r="AJ502" s="27">
        <v>0.54792469563421731</v>
      </c>
      <c r="AK502" s="28" t="s">
        <v>2107</v>
      </c>
      <c r="AL502" s="29" t="s">
        <v>48</v>
      </c>
      <c r="AM502" s="29" t="s">
        <v>48</v>
      </c>
      <c r="AN502" s="29" t="s">
        <v>48</v>
      </c>
      <c r="AO502" s="47" t="s">
        <v>101</v>
      </c>
      <c r="AP502" s="28">
        <v>0</v>
      </c>
      <c r="AQ502" s="26">
        <v>1.4999999999999999E-2</v>
      </c>
      <c r="AR502" s="26">
        <v>0</v>
      </c>
    </row>
    <row r="503" spans="1:44" x14ac:dyDescent="0.15">
      <c r="A503">
        <v>832</v>
      </c>
      <c r="B503" s="11">
        <v>264</v>
      </c>
      <c r="C503" s="32"/>
      <c r="D503" s="32">
        <v>-3.3522657249938502E-3</v>
      </c>
      <c r="E503" s="32">
        <v>91</v>
      </c>
      <c r="F503" s="32">
        <v>0.116976330046622</v>
      </c>
      <c r="G503" s="11"/>
      <c r="H503" s="11"/>
      <c r="I503" s="11"/>
      <c r="J503" s="18" t="s">
        <v>44</v>
      </c>
      <c r="K503" s="18" t="s">
        <v>45</v>
      </c>
      <c r="L503" s="58" t="s">
        <v>274</v>
      </c>
      <c r="M503" s="18">
        <f>[1]!f_prt_stocktonav(B503,"2017/03/31")</f>
        <v>75.584907531738281</v>
      </c>
      <c r="N503" s="20" t="str">
        <f>[1]!f_info_fundmanager(B503)</f>
        <v>刘阳,陈雷</v>
      </c>
      <c r="O503" s="21">
        <v>1.7342465753424658</v>
      </c>
      <c r="P503" s="34" t="s">
        <v>2108</v>
      </c>
      <c r="Q503" s="34" t="s">
        <v>2109</v>
      </c>
      <c r="R503" s="34" t="s">
        <v>413</v>
      </c>
      <c r="S503" s="34">
        <v>20130715</v>
      </c>
      <c r="T503" s="45">
        <v>2.6421588452</v>
      </c>
      <c r="U503" s="46">
        <v>2.9930618172000001</v>
      </c>
      <c r="V503" s="34" t="s">
        <v>231</v>
      </c>
      <c r="W503" s="34" t="s">
        <v>44</v>
      </c>
      <c r="X503" s="34" t="s">
        <v>45</v>
      </c>
      <c r="Y503" s="34" t="s">
        <v>274</v>
      </c>
      <c r="Z503" s="34"/>
      <c r="AA503" s="34"/>
      <c r="AB503" s="22">
        <v>0.73920104980468748</v>
      </c>
      <c r="AC503" s="23" t="s">
        <v>2110</v>
      </c>
      <c r="AD503" s="24">
        <v>1.5041095890410958</v>
      </c>
      <c r="AE503" s="25">
        <v>-1.9631798674629053E-2</v>
      </c>
      <c r="AF503" s="26">
        <v>-1.6866631769439699E-2</v>
      </c>
      <c r="AG503" s="26">
        <v>0</v>
      </c>
      <c r="AH503" s="27">
        <v>6.3530595703485002E-2</v>
      </c>
      <c r="AI503" s="27">
        <v>7.4730362281486648E-2</v>
      </c>
      <c r="AJ503" s="27">
        <v>6.3530595703485002E-2</v>
      </c>
      <c r="AK503" s="28" t="s">
        <v>226</v>
      </c>
      <c r="AL503" s="29">
        <v>3</v>
      </c>
      <c r="AM503" s="29">
        <v>2</v>
      </c>
      <c r="AN503" s="29" t="s">
        <v>48</v>
      </c>
      <c r="AO503" s="47" t="s">
        <v>1869</v>
      </c>
      <c r="AP503" s="28">
        <v>0</v>
      </c>
      <c r="AQ503" s="26">
        <v>1.4999999999999999E-2</v>
      </c>
      <c r="AR503" s="26">
        <v>0</v>
      </c>
    </row>
    <row r="504" spans="1:44" x14ac:dyDescent="0.15">
      <c r="A504">
        <v>894</v>
      </c>
      <c r="B504" s="11">
        <v>124</v>
      </c>
      <c r="C504" s="32"/>
      <c r="D504" s="32">
        <v>1.0963990412825801E-3</v>
      </c>
      <c r="E504" s="32">
        <v>127</v>
      </c>
      <c r="F504" s="32">
        <v>0.54414311867287601</v>
      </c>
      <c r="G504" s="11"/>
      <c r="H504" s="11"/>
      <c r="I504" s="11"/>
      <c r="J504" s="18" t="s">
        <v>44</v>
      </c>
      <c r="K504" s="18" t="s">
        <v>87</v>
      </c>
      <c r="L504" s="58" t="s">
        <v>65</v>
      </c>
      <c r="M504" s="18">
        <f>[1]!f_prt_stocktonav(B504,"2017/03/31")</f>
        <v>72.925132751464844</v>
      </c>
      <c r="N504" s="20" t="str">
        <f>[1]!f_info_fundmanager(B504)</f>
        <v>楼鸿强</v>
      </c>
      <c r="O504" s="21">
        <v>2.441095890410959</v>
      </c>
      <c r="P504" s="34" t="s">
        <v>2111</v>
      </c>
      <c r="Q504" s="34" t="s">
        <v>2112</v>
      </c>
      <c r="R504" s="34" t="s">
        <v>737</v>
      </c>
      <c r="S504" s="34">
        <v>20130627</v>
      </c>
      <c r="T504" s="45">
        <v>17.433765113900002</v>
      </c>
      <c r="U504" s="46">
        <v>20.773002546000001</v>
      </c>
      <c r="V504" s="34" t="s">
        <v>201</v>
      </c>
      <c r="W504" s="34" t="s">
        <v>44</v>
      </c>
      <c r="X504" s="34" t="s">
        <v>45</v>
      </c>
      <c r="Y504" s="34" t="s">
        <v>65</v>
      </c>
      <c r="Z504" s="34"/>
      <c r="AA504" s="34"/>
      <c r="AB504" s="22">
        <v>0.79697601318359379</v>
      </c>
      <c r="AC504" s="23" t="s">
        <v>1065</v>
      </c>
      <c r="AD504" s="24">
        <v>2.2109589041095892</v>
      </c>
      <c r="AE504" s="25">
        <v>0.19256923180268282</v>
      </c>
      <c r="AF504" s="26">
        <v>0.20839454372483512</v>
      </c>
      <c r="AG504" s="26">
        <v>0</v>
      </c>
      <c r="AH504" s="27">
        <v>0.63816531900878937</v>
      </c>
      <c r="AI504" s="27">
        <v>0.63552638315527477</v>
      </c>
      <c r="AJ504" s="27">
        <v>0.63816531900878937</v>
      </c>
      <c r="AK504" s="28" t="s">
        <v>2113</v>
      </c>
      <c r="AL504" s="29" t="s">
        <v>48</v>
      </c>
      <c r="AM504" s="29" t="s">
        <v>48</v>
      </c>
      <c r="AN504" s="29" t="s">
        <v>48</v>
      </c>
      <c r="AO504" s="47" t="s">
        <v>739</v>
      </c>
      <c r="AP504" s="28">
        <v>0</v>
      </c>
      <c r="AQ504" s="26">
        <v>1.4999999999999999E-2</v>
      </c>
      <c r="AR504" s="26">
        <v>0</v>
      </c>
    </row>
    <row r="505" spans="1:44" x14ac:dyDescent="0.15">
      <c r="A505">
        <v>242</v>
      </c>
      <c r="B505" s="11">
        <v>173</v>
      </c>
      <c r="C505" s="32"/>
      <c r="D505" s="32">
        <v>-1.75368071032613E-3</v>
      </c>
      <c r="E505" s="32">
        <v>196</v>
      </c>
      <c r="F505" s="32">
        <v>0.242008988000665</v>
      </c>
      <c r="G505" s="11"/>
      <c r="H505" s="11"/>
      <c r="I505" s="11"/>
      <c r="J505" s="18" t="s">
        <v>44</v>
      </c>
      <c r="K505" s="18" t="s">
        <v>45</v>
      </c>
      <c r="L505" s="58" t="s">
        <v>65</v>
      </c>
      <c r="M505" s="18">
        <f>[1]!f_prt_stocktonav(B505,"2017/03/31")</f>
        <v>90.737518310546875</v>
      </c>
      <c r="N505" s="20" t="str">
        <f>[1]!f_info_fundmanager(B505)</f>
        <v>王栩</v>
      </c>
      <c r="O505" s="21">
        <v>3.7671232876712328</v>
      </c>
      <c r="P505" s="34" t="s">
        <v>2114</v>
      </c>
      <c r="Q505" s="34" t="s">
        <v>2115</v>
      </c>
      <c r="R505" s="34" t="s">
        <v>331</v>
      </c>
      <c r="S505" s="34">
        <v>20130625</v>
      </c>
      <c r="T505" s="45">
        <v>23.453653621400001</v>
      </c>
      <c r="U505" s="46">
        <v>26.317692449500001</v>
      </c>
      <c r="V505" s="34" t="s">
        <v>231</v>
      </c>
      <c r="W505" s="34" t="s">
        <v>44</v>
      </c>
      <c r="X505" s="34" t="s">
        <v>45</v>
      </c>
      <c r="Y505" s="34" t="s">
        <v>274</v>
      </c>
      <c r="Z505" s="34"/>
      <c r="AA505" s="34"/>
      <c r="AB505" s="22">
        <v>0.89010894775390625</v>
      </c>
      <c r="AC505" s="23" t="s">
        <v>2116</v>
      </c>
      <c r="AD505" s="24">
        <v>3.536986301369863</v>
      </c>
      <c r="AE505" s="25">
        <v>0.19223568936139568</v>
      </c>
      <c r="AF505" s="26">
        <v>0.20383056921811815</v>
      </c>
      <c r="AG505" s="26">
        <v>0</v>
      </c>
      <c r="AH505" s="27">
        <v>0.64475654499210366</v>
      </c>
      <c r="AI505" s="27">
        <v>0.64221054716721993</v>
      </c>
      <c r="AJ505" s="27">
        <v>0.64475654499210366</v>
      </c>
      <c r="AK505" s="28" t="s">
        <v>276</v>
      </c>
      <c r="AL505" s="29" t="s">
        <v>48</v>
      </c>
      <c r="AM505" s="29" t="s">
        <v>48</v>
      </c>
      <c r="AN505" s="29" t="s">
        <v>48</v>
      </c>
      <c r="AO505" s="47" t="s">
        <v>334</v>
      </c>
      <c r="AP505" s="28">
        <v>0</v>
      </c>
      <c r="AQ505" s="26">
        <v>1.4999999999999999E-2</v>
      </c>
      <c r="AR505" s="26">
        <v>0</v>
      </c>
    </row>
    <row r="506" spans="1:44" x14ac:dyDescent="0.15">
      <c r="A506">
        <v>528</v>
      </c>
      <c r="B506" s="11">
        <v>127</v>
      </c>
      <c r="C506" s="32"/>
      <c r="D506" s="32">
        <v>3.3802470435146301E-3</v>
      </c>
      <c r="E506" s="32">
        <v>80</v>
      </c>
      <c r="F506" s="32">
        <v>9.2162173420072394E-2</v>
      </c>
      <c r="G506" s="11"/>
      <c r="H506" s="11"/>
      <c r="I506" s="11"/>
      <c r="J506" s="18" t="s">
        <v>44</v>
      </c>
      <c r="K506" s="18" t="s">
        <v>45</v>
      </c>
      <c r="L506" s="58" t="s">
        <v>274</v>
      </c>
      <c r="M506" s="18">
        <f>[1]!f_prt_stocktonav(B506,"2017/03/31")</f>
        <v>84.620323181152344</v>
      </c>
      <c r="N506" s="20" t="str">
        <f>[1]!f_info_fundmanager(B506)</f>
        <v>张峰</v>
      </c>
      <c r="O506" s="21">
        <v>1.536986301369863</v>
      </c>
      <c r="P506" s="34" t="s">
        <v>2117</v>
      </c>
      <c r="Q506" s="34" t="s">
        <v>2118</v>
      </c>
      <c r="R506" s="34" t="s">
        <v>424</v>
      </c>
      <c r="S506" s="34">
        <v>20130625</v>
      </c>
      <c r="T506" s="45">
        <v>10.751738076100001</v>
      </c>
      <c r="U506" s="46">
        <v>11.1546840637</v>
      </c>
      <c r="V506" s="34" t="s">
        <v>231</v>
      </c>
      <c r="W506" s="34" t="s">
        <v>44</v>
      </c>
      <c r="X506" s="34" t="s">
        <v>45</v>
      </c>
      <c r="Y506" s="34" t="s">
        <v>274</v>
      </c>
      <c r="Z506" s="34"/>
      <c r="AA506" s="34"/>
      <c r="AB506" s="22">
        <v>0.82867027282714845</v>
      </c>
      <c r="AC506" s="23" t="s">
        <v>425</v>
      </c>
      <c r="AD506" s="24">
        <v>1.3068493150684932</v>
      </c>
      <c r="AE506" s="25">
        <v>0.18760529621348218</v>
      </c>
      <c r="AF506" s="26">
        <v>0.25489704344406339</v>
      </c>
      <c r="AG506" s="26">
        <v>0</v>
      </c>
      <c r="AH506" s="27">
        <v>0.66871166621420752</v>
      </c>
      <c r="AI506" s="27">
        <v>0.81582681842721028</v>
      </c>
      <c r="AJ506" s="27">
        <v>0.66871166621420752</v>
      </c>
      <c r="AK506" s="28" t="s">
        <v>2119</v>
      </c>
      <c r="AL506" s="29" t="s">
        <v>48</v>
      </c>
      <c r="AM506" s="29" t="s">
        <v>48</v>
      </c>
      <c r="AN506" s="29" t="s">
        <v>48</v>
      </c>
      <c r="AO506" s="47" t="s">
        <v>702</v>
      </c>
      <c r="AP506" s="28">
        <v>0</v>
      </c>
      <c r="AQ506" s="26">
        <v>1.4999999999999999E-2</v>
      </c>
      <c r="AR506" s="26">
        <v>0</v>
      </c>
    </row>
    <row r="507" spans="1:44" x14ac:dyDescent="0.15">
      <c r="A507">
        <v>738</v>
      </c>
      <c r="B507" s="11">
        <v>56</v>
      </c>
      <c r="C507" s="32"/>
      <c r="D507" s="32">
        <v>-1.11984567188039E-3</v>
      </c>
      <c r="E507" s="32">
        <v>198</v>
      </c>
      <c r="F507" s="32">
        <v>9.99904839904589E-2</v>
      </c>
      <c r="G507" s="11"/>
      <c r="H507" s="11"/>
      <c r="I507" s="11"/>
      <c r="J507" s="18" t="s">
        <v>44</v>
      </c>
      <c r="K507" s="18" t="s">
        <v>45</v>
      </c>
      <c r="L507" s="58" t="s">
        <v>65</v>
      </c>
      <c r="M507" s="18">
        <f>[1]!f_prt_stocktonav(B507,"2017/03/31")</f>
        <v>78.817741394042969</v>
      </c>
      <c r="N507" s="20" t="str">
        <f>[1]!f_info_fundmanager(B507)</f>
        <v>邱宇航</v>
      </c>
      <c r="O507" s="21">
        <v>3.7972602739726029</v>
      </c>
      <c r="P507" s="34" t="s">
        <v>2120</v>
      </c>
      <c r="Q507" s="34" t="s">
        <v>2121</v>
      </c>
      <c r="R507" s="34" t="s">
        <v>307</v>
      </c>
      <c r="S507" s="34">
        <v>20130614</v>
      </c>
      <c r="T507" s="45">
        <v>0.6346382518</v>
      </c>
      <c r="U507" s="46">
        <v>0.62321057800000002</v>
      </c>
      <c r="V507" s="34" t="s">
        <v>231</v>
      </c>
      <c r="W507" s="34" t="s">
        <v>44</v>
      </c>
      <c r="X507" s="34" t="s">
        <v>45</v>
      </c>
      <c r="Y507" s="34" t="s">
        <v>274</v>
      </c>
      <c r="Z507" s="34"/>
      <c r="AA507" s="34"/>
      <c r="AB507" s="22">
        <v>0.71375946044921879</v>
      </c>
      <c r="AC507" s="23" t="s">
        <v>2122</v>
      </c>
      <c r="AD507" s="24">
        <v>3.5671232876712327</v>
      </c>
      <c r="AE507" s="25">
        <v>0.15114477209847954</v>
      </c>
      <c r="AF507" s="26">
        <v>0.18182105360894707</v>
      </c>
      <c r="AG507" s="26">
        <v>0</v>
      </c>
      <c r="AH507" s="27">
        <v>0.65561401747205128</v>
      </c>
      <c r="AI507" s="27">
        <v>0.73674226670629805</v>
      </c>
      <c r="AJ507" s="27">
        <v>0.65561401747205128</v>
      </c>
      <c r="AK507" s="28" t="s">
        <v>2074</v>
      </c>
      <c r="AL507" s="29" t="s">
        <v>48</v>
      </c>
      <c r="AM507" s="29" t="s">
        <v>48</v>
      </c>
      <c r="AN507" s="29" t="s">
        <v>48</v>
      </c>
      <c r="AO507" s="47" t="s">
        <v>310</v>
      </c>
      <c r="AP507" s="28">
        <v>0</v>
      </c>
      <c r="AQ507" s="26">
        <v>1.4999999999999999E-2</v>
      </c>
      <c r="AR507" s="26">
        <v>0</v>
      </c>
    </row>
    <row r="508" spans="1:44" x14ac:dyDescent="0.15">
      <c r="A508">
        <v>820</v>
      </c>
      <c r="B508" s="11">
        <v>120</v>
      </c>
      <c r="C508" s="32"/>
      <c r="D508" s="32">
        <v>-2.6562626457130598E-3</v>
      </c>
      <c r="E508" s="32">
        <v>111</v>
      </c>
      <c r="F508" s="32">
        <v>0.14130337363939799</v>
      </c>
      <c r="G508" s="11"/>
      <c r="H508" s="11"/>
      <c r="I508" s="11"/>
      <c r="J508" s="18" t="s">
        <v>44</v>
      </c>
      <c r="K508" s="18" t="s">
        <v>45</v>
      </c>
      <c r="L508" s="58" t="s">
        <v>65</v>
      </c>
      <c r="M508" s="18">
        <f>[1]!f_prt_stocktonav(B508,"2017/03/31")</f>
        <v>75.875511169433594</v>
      </c>
      <c r="N508" s="20" t="str">
        <f>[1]!f_info_fundmanager(B508)</f>
        <v>王伟,严菲</v>
      </c>
      <c r="O508" s="21">
        <v>2.1342465753424658</v>
      </c>
      <c r="P508" s="34" t="s">
        <v>2123</v>
      </c>
      <c r="Q508" s="34" t="s">
        <v>2124</v>
      </c>
      <c r="R508" s="34" t="s">
        <v>71</v>
      </c>
      <c r="S508" s="34">
        <v>20130607</v>
      </c>
      <c r="T508" s="45">
        <v>0.49054005080000002</v>
      </c>
      <c r="U508" s="46">
        <v>0.49614829700000002</v>
      </c>
      <c r="V508" s="34" t="s">
        <v>231</v>
      </c>
      <c r="W508" s="34" t="s">
        <v>44</v>
      </c>
      <c r="X508" s="34" t="s">
        <v>45</v>
      </c>
      <c r="Y508" s="34" t="s">
        <v>274</v>
      </c>
      <c r="Z508" s="34"/>
      <c r="AA508" s="34"/>
      <c r="AB508" s="22">
        <v>0.78093078613281253</v>
      </c>
      <c r="AC508" s="23" t="s">
        <v>2125</v>
      </c>
      <c r="AD508" s="24">
        <v>1.904109589041096</v>
      </c>
      <c r="AE508" s="25">
        <v>6.8941347366622496E-2</v>
      </c>
      <c r="AF508" s="26">
        <v>7.7270792155275103E-2</v>
      </c>
      <c r="AG508" s="26">
        <v>0</v>
      </c>
      <c r="AH508" s="27">
        <v>0.32752111537666473</v>
      </c>
      <c r="AI508" s="27">
        <v>0.33119517800055748</v>
      </c>
      <c r="AJ508" s="27">
        <v>0.32752111537666473</v>
      </c>
      <c r="AK508" s="28" t="s">
        <v>167</v>
      </c>
      <c r="AL508" s="29" t="s">
        <v>48</v>
      </c>
      <c r="AM508" s="29" t="s">
        <v>48</v>
      </c>
      <c r="AN508" s="29" t="s">
        <v>48</v>
      </c>
      <c r="AO508" s="47" t="s">
        <v>845</v>
      </c>
      <c r="AP508" s="28">
        <v>0</v>
      </c>
      <c r="AQ508" s="26">
        <v>1.4999999999999999E-2</v>
      </c>
      <c r="AR508" s="26">
        <v>0</v>
      </c>
    </row>
    <row r="509" spans="1:44" x14ac:dyDescent="0.15">
      <c r="A509">
        <v>341</v>
      </c>
      <c r="B509" s="11">
        <v>519727</v>
      </c>
      <c r="C509" s="32"/>
      <c r="D509" s="32">
        <v>-3.35703453722716E-3</v>
      </c>
      <c r="E509" s="32">
        <v>195</v>
      </c>
      <c r="F509" s="32">
        <v>3.5068598190294399E-3</v>
      </c>
      <c r="G509" s="11"/>
      <c r="H509" s="11"/>
      <c r="I509" s="11"/>
      <c r="J509" s="18" t="s">
        <v>44</v>
      </c>
      <c r="K509" s="18" t="s">
        <v>45</v>
      </c>
      <c r="L509" s="58" t="s">
        <v>274</v>
      </c>
      <c r="M509" s="18">
        <f>[1]!f_prt_stocktonav(B509,"2017/03/31")</f>
        <v>88.673965454101563</v>
      </c>
      <c r="N509" s="20" t="str">
        <f>[1]!f_info_fundmanager(B509)</f>
        <v>王少成</v>
      </c>
      <c r="O509" s="21">
        <v>3.7479452054794522</v>
      </c>
      <c r="P509" s="34" t="s">
        <v>2126</v>
      </c>
      <c r="Q509" s="34" t="s">
        <v>2127</v>
      </c>
      <c r="R509" s="34" t="s">
        <v>138</v>
      </c>
      <c r="S509" s="34">
        <v>20130605</v>
      </c>
      <c r="T509" s="45">
        <v>1.4457146039</v>
      </c>
      <c r="U509" s="46">
        <v>0.89478382219999997</v>
      </c>
      <c r="V509" s="34" t="s">
        <v>231</v>
      </c>
      <c r="W509" s="34" t="s">
        <v>44</v>
      </c>
      <c r="X509" s="34" t="s">
        <v>45</v>
      </c>
      <c r="Y509" s="34" t="s">
        <v>274</v>
      </c>
      <c r="Z509" s="34"/>
      <c r="AA509" s="34"/>
      <c r="AB509" s="22">
        <v>0.90373695373535157</v>
      </c>
      <c r="AC509" s="23" t="s">
        <v>2128</v>
      </c>
      <c r="AD509" s="24">
        <v>3.5178082191780824</v>
      </c>
      <c r="AE509" s="25">
        <v>0.12458683468261311</v>
      </c>
      <c r="AF509" s="26">
        <v>0.14237965955782816</v>
      </c>
      <c r="AG509" s="26">
        <v>0</v>
      </c>
      <c r="AH509" s="27">
        <v>0.51064846272988873</v>
      </c>
      <c r="AI509" s="27">
        <v>0.53543690240415343</v>
      </c>
      <c r="AJ509" s="27">
        <v>0.51064846272988873</v>
      </c>
      <c r="AK509" s="28" t="s">
        <v>2129</v>
      </c>
      <c r="AL509" s="29" t="s">
        <v>48</v>
      </c>
      <c r="AM509" s="29" t="s">
        <v>48</v>
      </c>
      <c r="AN509" s="29" t="s">
        <v>48</v>
      </c>
      <c r="AO509" s="47" t="s">
        <v>2130</v>
      </c>
      <c r="AP509" s="28" t="s">
        <v>608</v>
      </c>
      <c r="AQ509" s="26">
        <v>1.4999999999999999E-2</v>
      </c>
      <c r="AR509" s="26">
        <v>0</v>
      </c>
    </row>
    <row r="510" spans="1:44" x14ac:dyDescent="0.15">
      <c r="A510">
        <v>84</v>
      </c>
      <c r="B510" s="11">
        <v>117</v>
      </c>
      <c r="C510" s="32"/>
      <c r="D510" s="32">
        <v>-4.1864057825262402E-4</v>
      </c>
      <c r="E510" s="32">
        <v>111</v>
      </c>
      <c r="F510" s="32">
        <v>0.83637966246592899</v>
      </c>
      <c r="G510" s="11"/>
      <c r="H510" s="11"/>
      <c r="I510" s="11"/>
      <c r="J510" s="18" t="s">
        <v>44</v>
      </c>
      <c r="K510" s="18" t="s">
        <v>45</v>
      </c>
      <c r="L510" s="58" t="s">
        <v>274</v>
      </c>
      <c r="M510" s="18">
        <f>[1]!f_prt_stocktonav(B510,"2017/03/31")</f>
        <v>93.862113952636719</v>
      </c>
      <c r="N510" s="20" t="str">
        <f>[1]!f_info_fundmanager(B510)</f>
        <v>吴兴武</v>
      </c>
      <c r="O510" s="21">
        <v>2.1315068493150684</v>
      </c>
      <c r="P510" s="34" t="s">
        <v>2131</v>
      </c>
      <c r="Q510" s="34" t="s">
        <v>2132</v>
      </c>
      <c r="R510" s="34" t="s">
        <v>132</v>
      </c>
      <c r="S510" s="34">
        <v>20130528</v>
      </c>
      <c r="T510" s="45">
        <v>11.0846416052</v>
      </c>
      <c r="U510" s="46">
        <v>11.668985468900001</v>
      </c>
      <c r="V510" s="34" t="s">
        <v>231</v>
      </c>
      <c r="W510" s="34" t="s">
        <v>44</v>
      </c>
      <c r="X510" s="34" t="s">
        <v>45</v>
      </c>
      <c r="Y510" s="34" t="s">
        <v>274</v>
      </c>
      <c r="Z510" s="34"/>
      <c r="AA510" s="34"/>
      <c r="AB510" s="22">
        <v>0.89236587524414057</v>
      </c>
      <c r="AC510" s="23" t="s">
        <v>2133</v>
      </c>
      <c r="AD510" s="24">
        <v>1.9013698630136986</v>
      </c>
      <c r="AE510" s="25">
        <v>0.12354752747747488</v>
      </c>
      <c r="AF510" s="26">
        <v>0.15003150512302277</v>
      </c>
      <c r="AG510" s="26">
        <v>0</v>
      </c>
      <c r="AH510" s="27">
        <v>0.48298402730224055</v>
      </c>
      <c r="AI510" s="27">
        <v>0.50806777478228993</v>
      </c>
      <c r="AJ510" s="27">
        <v>0.48298402730224055</v>
      </c>
      <c r="AK510" s="28" t="s">
        <v>957</v>
      </c>
      <c r="AL510" s="29" t="s">
        <v>48</v>
      </c>
      <c r="AM510" s="29" t="s">
        <v>48</v>
      </c>
      <c r="AN510" s="29" t="s">
        <v>48</v>
      </c>
      <c r="AO510" s="47" t="s">
        <v>2134</v>
      </c>
      <c r="AP510" s="28">
        <v>0</v>
      </c>
      <c r="AQ510" s="26">
        <v>1.4999999999999999E-2</v>
      </c>
      <c r="AR510" s="26">
        <v>0</v>
      </c>
    </row>
    <row r="511" spans="1:44" x14ac:dyDescent="0.15">
      <c r="A511">
        <v>533</v>
      </c>
      <c r="B511" s="11">
        <v>82</v>
      </c>
      <c r="C511" s="32"/>
      <c r="D511" s="32">
        <v>7.2185758059419903E-4</v>
      </c>
      <c r="E511" s="32">
        <v>36</v>
      </c>
      <c r="F511" s="32">
        <v>0.48244264831767503</v>
      </c>
      <c r="G511" s="11"/>
      <c r="H511" s="11"/>
      <c r="I511" s="11"/>
      <c r="J511" s="18" t="s">
        <v>44</v>
      </c>
      <c r="K511" s="18" t="s">
        <v>64</v>
      </c>
      <c r="L511" s="58" t="s">
        <v>65</v>
      </c>
      <c r="M511" s="18">
        <f>[1]!f_prt_stocktonav(B511,"2017/03/31")</f>
        <v>84.565086364746094</v>
      </c>
      <c r="N511" s="20" t="str">
        <f>[1]!f_info_fundmanager(B511)</f>
        <v>赵宇</v>
      </c>
      <c r="O511" s="21">
        <v>0.67671232876712328</v>
      </c>
      <c r="P511" s="34" t="s">
        <v>2135</v>
      </c>
      <c r="Q511" s="34" t="s">
        <v>2136</v>
      </c>
      <c r="R511" s="34" t="s">
        <v>92</v>
      </c>
      <c r="S511" s="34">
        <v>20130528</v>
      </c>
      <c r="T511" s="45">
        <v>4.7869581658999998</v>
      </c>
      <c r="U511" s="46">
        <v>5.0362908632999996</v>
      </c>
      <c r="V511" s="34" t="s">
        <v>201</v>
      </c>
      <c r="W511" s="34" t="s">
        <v>44</v>
      </c>
      <c r="X511" s="34" t="s">
        <v>45</v>
      </c>
      <c r="Y511" s="34" t="s">
        <v>65</v>
      </c>
      <c r="Z511" s="34"/>
      <c r="AA511" s="34"/>
      <c r="AB511" s="22">
        <v>0.86974693298339845</v>
      </c>
      <c r="AC511" s="23" t="s">
        <v>2137</v>
      </c>
      <c r="AD511" s="24">
        <v>0.44657534246575342</v>
      </c>
      <c r="AE511" s="25">
        <v>0.16462908128263209</v>
      </c>
      <c r="AF511" s="26">
        <v>0.1963036780473533</v>
      </c>
      <c r="AG511" s="26">
        <v>0</v>
      </c>
      <c r="AH511" s="27">
        <v>0.69560681834859794</v>
      </c>
      <c r="AI511" s="27">
        <v>0.78356961421528037</v>
      </c>
      <c r="AJ511" s="27">
        <v>0.69560681834859794</v>
      </c>
      <c r="AK511" s="28" t="s">
        <v>2138</v>
      </c>
      <c r="AL511" s="29" t="s">
        <v>48</v>
      </c>
      <c r="AM511" s="29" t="s">
        <v>48</v>
      </c>
      <c r="AN511" s="29" t="s">
        <v>48</v>
      </c>
      <c r="AO511" s="47" t="s">
        <v>249</v>
      </c>
      <c r="AP511" s="28">
        <v>0</v>
      </c>
      <c r="AQ511" s="26">
        <v>1.4999999999999999E-2</v>
      </c>
      <c r="AR511" s="26">
        <v>0</v>
      </c>
    </row>
    <row r="512" spans="1:44" x14ac:dyDescent="0.15">
      <c r="A512">
        <v>465</v>
      </c>
      <c r="B512" s="11">
        <v>519002</v>
      </c>
      <c r="C512" s="32"/>
      <c r="D512" s="32">
        <v>1.5650794430776801E-3</v>
      </c>
      <c r="E512" s="32">
        <v>82</v>
      </c>
      <c r="F512" s="32">
        <v>0.46498810472384899</v>
      </c>
      <c r="G512" s="11"/>
      <c r="H512" s="11"/>
      <c r="I512" s="11"/>
      <c r="J512" s="18" t="s">
        <v>44</v>
      </c>
      <c r="K512" s="18" t="s">
        <v>87</v>
      </c>
      <c r="L512" s="58" t="s">
        <v>274</v>
      </c>
      <c r="M512" s="18">
        <f>[1]!f_prt_stocktonav(B512,"2017/03/31")</f>
        <v>85.940261840820313</v>
      </c>
      <c r="N512" s="20" t="str">
        <f>[1]!f_info_fundmanager(B512)</f>
        <v>饶晓鹏</v>
      </c>
      <c r="O512" s="21">
        <v>1.5643835616438355</v>
      </c>
      <c r="P512" s="34" t="s">
        <v>2139</v>
      </c>
      <c r="Q512" s="34" t="s">
        <v>2140</v>
      </c>
      <c r="R512" s="34" t="s">
        <v>63</v>
      </c>
      <c r="S512" s="34">
        <v>20130523</v>
      </c>
      <c r="T512" s="45">
        <v>5.6429939506000002</v>
      </c>
      <c r="U512" s="46">
        <v>5.0965031392000002</v>
      </c>
      <c r="V512" s="34" t="s">
        <v>201</v>
      </c>
      <c r="W512" s="34" t="s">
        <v>44</v>
      </c>
      <c r="X512" s="34" t="s">
        <v>45</v>
      </c>
      <c r="Y512" s="34" t="s">
        <v>274</v>
      </c>
      <c r="Z512" s="34"/>
      <c r="AA512" s="34"/>
      <c r="AB512" s="22">
        <v>0.91218879699707034</v>
      </c>
      <c r="AC512" s="23" t="s">
        <v>2141</v>
      </c>
      <c r="AD512" s="24">
        <v>1.3342465753424657</v>
      </c>
      <c r="AE512" s="25">
        <v>0.1319982057108291</v>
      </c>
      <c r="AF512" s="26">
        <v>0.18409666814072945</v>
      </c>
      <c r="AG512" s="26">
        <v>0</v>
      </c>
      <c r="AH512" s="27">
        <v>0.49123371228477924</v>
      </c>
      <c r="AI512" s="27">
        <v>0.59316896665036223</v>
      </c>
      <c r="AJ512" s="27">
        <v>0.49123371228477924</v>
      </c>
      <c r="AK512" s="28" t="s">
        <v>2142</v>
      </c>
      <c r="AL512" s="29">
        <v>3</v>
      </c>
      <c r="AM512" s="29">
        <v>4</v>
      </c>
      <c r="AN512" s="29" t="s">
        <v>48</v>
      </c>
      <c r="AO512" s="47" t="s">
        <v>2143</v>
      </c>
      <c r="AP512" s="28">
        <v>0</v>
      </c>
      <c r="AQ512" s="26">
        <v>1.4999999999999999E-2</v>
      </c>
      <c r="AR512" s="26">
        <v>0</v>
      </c>
    </row>
    <row r="513" spans="1:44" x14ac:dyDescent="0.15">
      <c r="A513">
        <v>203</v>
      </c>
      <c r="B513" s="11">
        <v>62</v>
      </c>
      <c r="C513" s="32"/>
      <c r="D513" s="32">
        <v>-4.3897897743223301E-3</v>
      </c>
      <c r="E513" s="32">
        <v>49</v>
      </c>
      <c r="F513" s="32">
        <v>3.1974516333475602E-3</v>
      </c>
      <c r="G513" s="11"/>
      <c r="H513" s="11"/>
      <c r="I513" s="11"/>
      <c r="J513" s="18" t="s">
        <v>44</v>
      </c>
      <c r="K513" s="18" t="s">
        <v>64</v>
      </c>
      <c r="L513" s="58" t="s">
        <v>65</v>
      </c>
      <c r="M513" s="18">
        <f>[1]!f_prt_stocktonav(B513,"2017/03/31")</f>
        <v>91.748023986816406</v>
      </c>
      <c r="N513" s="20" t="str">
        <f>[1]!f_info_fundmanager(B513)</f>
        <v>张凯</v>
      </c>
      <c r="O513" s="21">
        <v>0.93150684931506844</v>
      </c>
      <c r="P513" s="34" t="s">
        <v>2144</v>
      </c>
      <c r="Q513" s="34" t="s">
        <v>2145</v>
      </c>
      <c r="R513" s="34" t="s">
        <v>57</v>
      </c>
      <c r="S513" s="34">
        <v>20130522</v>
      </c>
      <c r="T513" s="45">
        <v>0.89989525260000003</v>
      </c>
      <c r="U513" s="46">
        <v>0.1180604848</v>
      </c>
      <c r="V513" s="34" t="s">
        <v>231</v>
      </c>
      <c r="W513" s="34" t="s">
        <v>44</v>
      </c>
      <c r="X513" s="34" t="s">
        <v>45</v>
      </c>
      <c r="Y513" s="34" t="s">
        <v>65</v>
      </c>
      <c r="Z513" s="34"/>
      <c r="AA513" s="34"/>
      <c r="AB513" s="22">
        <v>0.9427772521972656</v>
      </c>
      <c r="AC513" s="23" t="s">
        <v>2146</v>
      </c>
      <c r="AD513" s="24">
        <v>0.70136986301369864</v>
      </c>
      <c r="AE513" s="25">
        <v>6.2231734212083278E-2</v>
      </c>
      <c r="AF513" s="26">
        <v>7.3348614121986344E-2</v>
      </c>
      <c r="AG513" s="26">
        <v>0</v>
      </c>
      <c r="AH513" s="27">
        <v>0.55051526556096431</v>
      </c>
      <c r="AI513" s="27">
        <v>0.6297695413655422</v>
      </c>
      <c r="AJ513" s="27">
        <v>0.55051526556096431</v>
      </c>
      <c r="AK513" s="28" t="s">
        <v>602</v>
      </c>
      <c r="AL513" s="29" t="s">
        <v>48</v>
      </c>
      <c r="AM513" s="29" t="s">
        <v>48</v>
      </c>
      <c r="AN513" s="29" t="s">
        <v>48</v>
      </c>
      <c r="AO513" s="47" t="s">
        <v>2147</v>
      </c>
      <c r="AP513" s="28">
        <v>0</v>
      </c>
      <c r="AQ513" s="26">
        <v>1.4999999999999999E-2</v>
      </c>
      <c r="AR513" s="26">
        <v>0</v>
      </c>
    </row>
    <row r="514" spans="1:44" x14ac:dyDescent="0.15">
      <c r="A514">
        <v>254</v>
      </c>
      <c r="B514" s="11">
        <v>73</v>
      </c>
      <c r="C514" s="32"/>
      <c r="D514" s="32">
        <v>8.7031047049946698E-4</v>
      </c>
      <c r="E514" s="32">
        <v>48</v>
      </c>
      <c r="F514" s="32">
        <v>0.76532580575920806</v>
      </c>
      <c r="G514" s="11"/>
      <c r="H514" s="11"/>
      <c r="I514" s="11"/>
      <c r="J514" s="18" t="s">
        <v>44</v>
      </c>
      <c r="K514" s="19" t="s">
        <v>45</v>
      </c>
      <c r="L514" s="58" t="s">
        <v>65</v>
      </c>
      <c r="M514" s="18">
        <f>[1]!f_prt_stocktonav(B514,"2017/03/31")</f>
        <v>90.464454650878906</v>
      </c>
      <c r="N514" s="20" t="str">
        <f>[1]!f_info_fundmanager(B514)</f>
        <v>刘辉</v>
      </c>
      <c r="O514" s="21">
        <v>0.92054794520547945</v>
      </c>
      <c r="P514" s="12" t="s">
        <v>2148</v>
      </c>
      <c r="Q514" s="13" t="s">
        <v>2149</v>
      </c>
      <c r="R514" s="13" t="s">
        <v>511</v>
      </c>
      <c r="S514" s="13">
        <v>20130515</v>
      </c>
      <c r="T514" s="14">
        <v>1.5491456441</v>
      </c>
      <c r="U514" s="15" t="s">
        <v>58</v>
      </c>
      <c r="V514" s="16" t="s">
        <v>40</v>
      </c>
      <c r="W514" s="17" t="s">
        <v>44</v>
      </c>
      <c r="X514" s="17" t="s">
        <v>45</v>
      </c>
      <c r="Y514" s="17" t="s">
        <v>65</v>
      </c>
      <c r="Z514" s="13"/>
      <c r="AA514" s="13"/>
      <c r="AB514" s="22">
        <v>0.88723007202148441</v>
      </c>
      <c r="AC514" s="23" t="s">
        <v>2150</v>
      </c>
      <c r="AD514" s="24">
        <v>0.69041095890410964</v>
      </c>
      <c r="AE514" s="25">
        <v>7.6246524492666889E-3</v>
      </c>
      <c r="AF514" s="26">
        <v>1.5721633475643593E-2</v>
      </c>
      <c r="AG514" s="26">
        <v>0</v>
      </c>
      <c r="AH514" s="27">
        <v>0.14023093250861152</v>
      </c>
      <c r="AI514" s="27">
        <v>0.14665261647987837</v>
      </c>
      <c r="AJ514" s="27">
        <v>0.14023093250861152</v>
      </c>
      <c r="AK514" s="28" t="s">
        <v>1934</v>
      </c>
      <c r="AL514" s="29" t="s">
        <v>48</v>
      </c>
      <c r="AM514" s="29" t="s">
        <v>48</v>
      </c>
      <c r="AN514" s="29" t="s">
        <v>48</v>
      </c>
      <c r="AO514" s="23" t="s">
        <v>2151</v>
      </c>
      <c r="AP514" s="30">
        <v>0</v>
      </c>
      <c r="AQ514" s="31">
        <v>1.4999999999999999E-2</v>
      </c>
      <c r="AR514" s="31">
        <v>0</v>
      </c>
    </row>
    <row r="515" spans="1:44" x14ac:dyDescent="0.15">
      <c r="A515">
        <v>101</v>
      </c>
      <c r="B515" s="11">
        <v>166019</v>
      </c>
      <c r="C515" s="32"/>
      <c r="D515" s="32">
        <v>3.5309448251314801E-4</v>
      </c>
      <c r="E515" s="32">
        <v>31</v>
      </c>
      <c r="F515" s="32">
        <v>0.86766244314780305</v>
      </c>
      <c r="G515" s="11"/>
      <c r="H515" s="11"/>
      <c r="I515" s="11"/>
      <c r="J515" s="18" t="s">
        <v>44</v>
      </c>
      <c r="K515" s="18" t="s">
        <v>45</v>
      </c>
      <c r="L515" s="58" t="s">
        <v>274</v>
      </c>
      <c r="M515" s="18">
        <f>[1]!f_prt_stocktonav(B515,"2017/03/31")</f>
        <v>93.578079223632812</v>
      </c>
      <c r="N515" s="20" t="str">
        <f>[1]!f_info_fundmanager(B515)</f>
        <v>张跃鹏,吴鹏飞</v>
      </c>
      <c r="O515" s="21">
        <v>0.57808219178082187</v>
      </c>
      <c r="P515" s="34" t="s">
        <v>2152</v>
      </c>
      <c r="Q515" s="34" t="s">
        <v>2153</v>
      </c>
      <c r="R515" s="34" t="s">
        <v>200</v>
      </c>
      <c r="S515" s="34">
        <v>20130514</v>
      </c>
      <c r="T515" s="45">
        <v>20.843332687299998</v>
      </c>
      <c r="U515" s="46">
        <v>21.789290062500001</v>
      </c>
      <c r="V515" s="34" t="s">
        <v>231</v>
      </c>
      <c r="W515" s="34" t="s">
        <v>41</v>
      </c>
      <c r="X515" s="34" t="s">
        <v>42</v>
      </c>
      <c r="Y515" s="34" t="s">
        <v>181</v>
      </c>
      <c r="Z515" s="34"/>
      <c r="AA515" s="34"/>
      <c r="AB515" s="22">
        <v>0.2363454818725586</v>
      </c>
      <c r="AC515" s="23" t="s">
        <v>2154</v>
      </c>
      <c r="AD515" s="24">
        <v>0.34794520547945207</v>
      </c>
      <c r="AE515" s="25">
        <v>0.23010496413156223</v>
      </c>
      <c r="AF515" s="26">
        <v>0.26079727786817375</v>
      </c>
      <c r="AG515" s="26">
        <v>0</v>
      </c>
      <c r="AH515" s="27">
        <v>0.88524005012046647</v>
      </c>
      <c r="AI515" s="27">
        <v>0.91170480424495925</v>
      </c>
      <c r="AJ515" s="27">
        <v>0.88524005012046647</v>
      </c>
      <c r="AK515" s="28" t="s">
        <v>2155</v>
      </c>
      <c r="AL515" s="29" t="s">
        <v>48</v>
      </c>
      <c r="AM515" s="29" t="s">
        <v>48</v>
      </c>
      <c r="AN515" s="29" t="s">
        <v>48</v>
      </c>
      <c r="AO515" s="47" t="s">
        <v>2156</v>
      </c>
      <c r="AP515" s="28">
        <v>0</v>
      </c>
      <c r="AQ515" s="26">
        <v>1.4999999999999999E-2</v>
      </c>
      <c r="AR515" s="26">
        <v>0</v>
      </c>
    </row>
    <row r="516" spans="1:44" x14ac:dyDescent="0.15">
      <c r="A516">
        <v>117</v>
      </c>
      <c r="B516" s="11">
        <v>63</v>
      </c>
      <c r="C516" s="32"/>
      <c r="D516" s="32">
        <v>1.11607685771494E-3</v>
      </c>
      <c r="E516" s="32">
        <v>203</v>
      </c>
      <c r="F516" s="32">
        <v>0.50769485209461096</v>
      </c>
      <c r="G516" s="11"/>
      <c r="H516" s="11"/>
      <c r="I516" s="11"/>
      <c r="J516" s="18" t="s">
        <v>44</v>
      </c>
      <c r="K516" s="18" t="s">
        <v>87</v>
      </c>
      <c r="L516" s="58" t="s">
        <v>65</v>
      </c>
      <c r="M516" s="18">
        <f>[1]!f_prt_stocktonav(B516,"2017/03/31")</f>
        <v>93.310745239257813</v>
      </c>
      <c r="N516" s="20" t="str">
        <f>[1]!f_info_fundmanager(B516)</f>
        <v>赵宏宇</v>
      </c>
      <c r="O516" s="21">
        <v>3.893150684931507</v>
      </c>
      <c r="P516" s="39" t="s">
        <v>2157</v>
      </c>
      <c r="Q516" s="39" t="s">
        <v>2158</v>
      </c>
      <c r="R516" s="39" t="s">
        <v>364</v>
      </c>
      <c r="S516" s="39">
        <v>20130510</v>
      </c>
      <c r="T516" s="48">
        <v>18.872479822700001</v>
      </c>
      <c r="U516" s="46">
        <v>24.248019785499999</v>
      </c>
      <c r="V516" s="39" t="s">
        <v>201</v>
      </c>
      <c r="W516" s="39" t="s">
        <v>44</v>
      </c>
      <c r="X516" s="39" t="s">
        <v>87</v>
      </c>
      <c r="Y516" s="55" t="s">
        <v>65</v>
      </c>
      <c r="Z516" s="34" t="s">
        <v>2159</v>
      </c>
      <c r="AA516" s="34"/>
      <c r="AB516" s="22">
        <v>0.90684158325195308</v>
      </c>
      <c r="AC516" s="23" t="s">
        <v>2160</v>
      </c>
      <c r="AD516" s="24">
        <v>3.6630136986301371</v>
      </c>
      <c r="AE516" s="25">
        <v>0.17386935137837356</v>
      </c>
      <c r="AF516" s="26">
        <v>0.24417894289795483</v>
      </c>
      <c r="AG516" s="26">
        <v>0</v>
      </c>
      <c r="AH516" s="27">
        <v>0.71569183002541836</v>
      </c>
      <c r="AI516" s="27">
        <v>0.9480725838190629</v>
      </c>
      <c r="AJ516" s="27">
        <v>0.71569183002541836</v>
      </c>
      <c r="AK516" s="40" t="s">
        <v>2161</v>
      </c>
      <c r="AL516" s="41" t="s">
        <v>48</v>
      </c>
      <c r="AM516" s="41" t="s">
        <v>48</v>
      </c>
      <c r="AN516" s="41" t="s">
        <v>48</v>
      </c>
      <c r="AO516" s="50" t="s">
        <v>367</v>
      </c>
      <c r="AP516" s="51">
        <v>0</v>
      </c>
      <c r="AQ516" s="52">
        <v>1.4999999999999999E-2</v>
      </c>
      <c r="AR516" s="52">
        <v>0</v>
      </c>
    </row>
    <row r="517" spans="1:44" x14ac:dyDescent="0.15">
      <c r="A517">
        <v>545</v>
      </c>
      <c r="B517" s="11">
        <v>83</v>
      </c>
      <c r="C517" s="32"/>
      <c r="D517" s="32">
        <v>3.2193990451853702E-3</v>
      </c>
      <c r="E517" s="32">
        <v>51</v>
      </c>
      <c r="F517" s="32">
        <v>8.0711619017880806E-2</v>
      </c>
      <c r="G517" s="11"/>
      <c r="H517" s="11"/>
      <c r="I517" s="11"/>
      <c r="J517" s="18" t="s">
        <v>44</v>
      </c>
      <c r="K517" s="18" t="s">
        <v>45</v>
      </c>
      <c r="L517" s="58" t="s">
        <v>817</v>
      </c>
      <c r="M517" s="18">
        <f>[1]!f_prt_stocktonav(B517,"2017/03/31")</f>
        <v>84.100654602050781</v>
      </c>
      <c r="N517" s="20" t="str">
        <f>[1]!f_info_fundmanager(B517)</f>
        <v>胡昕炜</v>
      </c>
      <c r="O517" s="21">
        <v>0.9780821917808219</v>
      </c>
      <c r="P517" s="34" t="s">
        <v>2162</v>
      </c>
      <c r="Q517" s="34" t="s">
        <v>2163</v>
      </c>
      <c r="R517" s="34" t="s">
        <v>331</v>
      </c>
      <c r="S517" s="34">
        <v>20130503</v>
      </c>
      <c r="T517" s="45">
        <v>21.513820972000001</v>
      </c>
      <c r="U517" s="46">
        <v>22.9396133234</v>
      </c>
      <c r="V517" s="34" t="s">
        <v>231</v>
      </c>
      <c r="W517" s="34" t="s">
        <v>44</v>
      </c>
      <c r="X517" s="34" t="s">
        <v>86</v>
      </c>
      <c r="Y517" s="34" t="s">
        <v>65</v>
      </c>
      <c r="Z517" s="34" t="s">
        <v>2164</v>
      </c>
      <c r="AA517" s="34"/>
      <c r="AB517" s="22">
        <v>0.86124031066894535</v>
      </c>
      <c r="AC517" s="23" t="s">
        <v>2165</v>
      </c>
      <c r="AD517" s="24">
        <v>0.74794520547945209</v>
      </c>
      <c r="AE517" s="25">
        <v>0.24572381071011695</v>
      </c>
      <c r="AF517" s="26">
        <v>0.25268955567714291</v>
      </c>
      <c r="AG517" s="26">
        <v>0</v>
      </c>
      <c r="AH517" s="27">
        <v>0.79722390481988725</v>
      </c>
      <c r="AI517" s="27">
        <v>0.77501770126782665</v>
      </c>
      <c r="AJ517" s="27">
        <v>0.79722390481988725</v>
      </c>
      <c r="AK517" s="33" t="s">
        <v>2166</v>
      </c>
      <c r="AL517" s="29" t="s">
        <v>48</v>
      </c>
      <c r="AM517" s="29" t="s">
        <v>48</v>
      </c>
      <c r="AN517" s="29" t="s">
        <v>48</v>
      </c>
      <c r="AO517" s="47" t="s">
        <v>334</v>
      </c>
      <c r="AP517" s="28">
        <v>0</v>
      </c>
      <c r="AQ517" s="26">
        <v>1.4999999999999999E-2</v>
      </c>
      <c r="AR517" s="26">
        <v>0</v>
      </c>
    </row>
    <row r="518" spans="1:44" x14ac:dyDescent="0.15">
      <c r="A518">
        <v>835</v>
      </c>
      <c r="B518" s="11">
        <v>57</v>
      </c>
      <c r="C518" s="32"/>
      <c r="D518" s="32">
        <v>-1.6012598364551799E-3</v>
      </c>
      <c r="E518" s="32">
        <v>88</v>
      </c>
      <c r="F518" s="32">
        <v>0.29447953483161599</v>
      </c>
      <c r="G518" s="11"/>
      <c r="H518" s="11"/>
      <c r="I518" s="11"/>
      <c r="J518" s="18" t="s">
        <v>44</v>
      </c>
      <c r="K518" s="18" t="s">
        <v>87</v>
      </c>
      <c r="L518" s="58" t="s">
        <v>65</v>
      </c>
      <c r="M518" s="18">
        <f>[1]!f_prt_stocktonav(B518,"2017/03/31")</f>
        <v>75.511528015136719</v>
      </c>
      <c r="N518" s="20" t="str">
        <f>[1]!f_info_fundmanager(B518)</f>
        <v>钱亚风云</v>
      </c>
      <c r="O518" s="21">
        <v>1.6794520547945206</v>
      </c>
      <c r="P518" s="34" t="s">
        <v>2167</v>
      </c>
      <c r="Q518" s="34" t="s">
        <v>2168</v>
      </c>
      <c r="R518" s="34" t="s">
        <v>71</v>
      </c>
      <c r="S518" s="34">
        <v>20130425</v>
      </c>
      <c r="T518" s="45">
        <v>0.27262935649999998</v>
      </c>
      <c r="U518" s="46">
        <v>0.30226082110000002</v>
      </c>
      <c r="V518" s="34" t="s">
        <v>201</v>
      </c>
      <c r="W518" s="34" t="s">
        <v>44</v>
      </c>
      <c r="X518" s="34" t="s">
        <v>87</v>
      </c>
      <c r="Y518" s="34" t="s">
        <v>274</v>
      </c>
      <c r="Z518" s="34" t="s">
        <v>338</v>
      </c>
      <c r="AA518" s="34"/>
      <c r="AB518" s="22">
        <v>0.72041572570800783</v>
      </c>
      <c r="AC518" s="23" t="s">
        <v>843</v>
      </c>
      <c r="AD518" s="24">
        <v>1.4493150684931506</v>
      </c>
      <c r="AE518" s="25">
        <v>7.0986951689580469E-2</v>
      </c>
      <c r="AF518" s="26">
        <v>6.8778727298672848E-2</v>
      </c>
      <c r="AG518" s="26">
        <v>0</v>
      </c>
      <c r="AH518" s="27">
        <v>0.33370334098182591</v>
      </c>
      <c r="AI518" s="27">
        <v>0.31178943604038878</v>
      </c>
      <c r="AJ518" s="27">
        <v>0.33370334098182591</v>
      </c>
      <c r="AK518" s="33" t="s">
        <v>2169</v>
      </c>
      <c r="AL518" s="29" t="s">
        <v>48</v>
      </c>
      <c r="AM518" s="29" t="s">
        <v>48</v>
      </c>
      <c r="AN518" s="29" t="s">
        <v>48</v>
      </c>
      <c r="AO518" s="47" t="s">
        <v>845</v>
      </c>
      <c r="AP518" s="28">
        <v>0</v>
      </c>
      <c r="AQ518" s="26">
        <v>1.4999999999999999E-2</v>
      </c>
      <c r="AR518" s="26">
        <v>0</v>
      </c>
    </row>
    <row r="519" spans="1:44" x14ac:dyDescent="0.15">
      <c r="A519">
        <v>598</v>
      </c>
      <c r="B519" s="11">
        <v>29</v>
      </c>
      <c r="C519" s="32"/>
      <c r="D519" s="32">
        <v>-1.62851041399443E-3</v>
      </c>
      <c r="E519" s="32">
        <v>207</v>
      </c>
      <c r="F519" s="32">
        <v>0.16198043905111201</v>
      </c>
      <c r="G519" s="11"/>
      <c r="H519" s="11"/>
      <c r="I519" s="11"/>
      <c r="J519" s="18" t="s">
        <v>44</v>
      </c>
      <c r="K519" s="18" t="s">
        <v>45</v>
      </c>
      <c r="L519" s="58" t="s">
        <v>274</v>
      </c>
      <c r="M519" s="18">
        <f>[1]!f_prt_stocktonav(B519,"2017/03/31")</f>
        <v>82.926193237304688</v>
      </c>
      <c r="N519" s="20" t="str">
        <f>[1]!f_info_fundmanager(B519)</f>
        <v>袁宜</v>
      </c>
      <c r="O519" s="21">
        <v>3.9698630136986299</v>
      </c>
      <c r="P519" s="34" t="s">
        <v>2170</v>
      </c>
      <c r="Q519" s="34" t="s">
        <v>2171</v>
      </c>
      <c r="R519" s="34" t="s">
        <v>396</v>
      </c>
      <c r="S519" s="34">
        <v>20130412</v>
      </c>
      <c r="T519" s="45">
        <v>1.8678241095000001</v>
      </c>
      <c r="U519" s="46">
        <v>1.8927561714000001</v>
      </c>
      <c r="V519" s="34" t="s">
        <v>201</v>
      </c>
      <c r="W519" s="34" t="s">
        <v>44</v>
      </c>
      <c r="X519" s="34" t="s">
        <v>45</v>
      </c>
      <c r="Y519" s="34" t="s">
        <v>274</v>
      </c>
      <c r="Z519" s="34"/>
      <c r="AA519" s="34"/>
      <c r="AB519" s="22">
        <v>0.81313781738281254</v>
      </c>
      <c r="AC519" s="23" t="s">
        <v>1912</v>
      </c>
      <c r="AD519" s="24">
        <v>3.7397260273972601</v>
      </c>
      <c r="AE519" s="25">
        <v>0.12595614397599064</v>
      </c>
      <c r="AF519" s="26">
        <v>0.13220537964029999</v>
      </c>
      <c r="AG519" s="26">
        <v>0</v>
      </c>
      <c r="AH519" s="27">
        <v>0.5389465773303026</v>
      </c>
      <c r="AI519" s="27">
        <v>0.52205982834823805</v>
      </c>
      <c r="AJ519" s="27">
        <v>0.5389465773303026</v>
      </c>
      <c r="AK519" s="28" t="s">
        <v>874</v>
      </c>
      <c r="AL519" s="29" t="s">
        <v>48</v>
      </c>
      <c r="AM519" s="29" t="s">
        <v>48</v>
      </c>
      <c r="AN519" s="29" t="s">
        <v>48</v>
      </c>
      <c r="AO519" s="47" t="s">
        <v>1854</v>
      </c>
      <c r="AP519" s="28" t="s">
        <v>608</v>
      </c>
      <c r="AQ519" s="26">
        <v>1.4999999999999999E-2</v>
      </c>
      <c r="AR519" s="26">
        <v>0</v>
      </c>
    </row>
    <row r="520" spans="1:44" x14ac:dyDescent="0.15">
      <c r="A520">
        <v>610</v>
      </c>
      <c r="B520" s="11">
        <v>519908</v>
      </c>
      <c r="C520" s="32"/>
      <c r="D520" s="32">
        <v>-1.64657277097764E-3</v>
      </c>
      <c r="E520" s="32">
        <v>207</v>
      </c>
      <c r="F520" s="32">
        <v>0.13493134895126499</v>
      </c>
      <c r="G520" s="11"/>
      <c r="H520" s="11"/>
      <c r="I520" s="11"/>
      <c r="J520" s="18" t="s">
        <v>44</v>
      </c>
      <c r="K520" s="19" t="s">
        <v>45</v>
      </c>
      <c r="L520" s="58" t="s">
        <v>274</v>
      </c>
      <c r="M520" s="18">
        <f>[1]!f_prt_stocktonav(B520,"2017/03/31")</f>
        <v>82.613685607910156</v>
      </c>
      <c r="N520" s="20" t="str">
        <f>[1]!f_info_fundmanager(B520)</f>
        <v>阳琨</v>
      </c>
      <c r="O520" s="21">
        <v>3.9698630136986299</v>
      </c>
      <c r="P520" s="32" t="s">
        <v>2172</v>
      </c>
      <c r="Q520" s="13" t="s">
        <v>2173</v>
      </c>
      <c r="R520" s="13" t="s">
        <v>143</v>
      </c>
      <c r="S520" s="13">
        <v>20130412</v>
      </c>
      <c r="T520" s="14">
        <v>12.1628084288</v>
      </c>
      <c r="U520" s="15" t="s">
        <v>39</v>
      </c>
      <c r="V520" s="16" t="s">
        <v>40</v>
      </c>
      <c r="W520" s="17" t="s">
        <v>44</v>
      </c>
      <c r="X520" s="17" t="s">
        <v>45</v>
      </c>
      <c r="Y520" s="17" t="s">
        <v>274</v>
      </c>
      <c r="Z520" s="13"/>
      <c r="AA520" s="13"/>
      <c r="AB520" s="22">
        <v>0.8843637084960938</v>
      </c>
      <c r="AC520" s="23" t="s">
        <v>2174</v>
      </c>
      <c r="AD520" s="24">
        <v>3.7397260273972601</v>
      </c>
      <c r="AE520" s="25">
        <v>0.18492895118829325</v>
      </c>
      <c r="AF520" s="26">
        <v>0.15635992773776386</v>
      </c>
      <c r="AG520" s="26">
        <v>0</v>
      </c>
      <c r="AH520" s="27">
        <v>0.69976798269557161</v>
      </c>
      <c r="AI520" s="27">
        <v>0.57290075890354164</v>
      </c>
      <c r="AJ520" s="27">
        <v>0.69976798269557161</v>
      </c>
      <c r="AK520" s="28" t="s">
        <v>1948</v>
      </c>
      <c r="AL520" s="29">
        <v>4</v>
      </c>
      <c r="AM520" s="29">
        <v>5</v>
      </c>
      <c r="AN520" s="29" t="s">
        <v>48</v>
      </c>
      <c r="AO520" s="23" t="s">
        <v>2175</v>
      </c>
      <c r="AP520" s="30">
        <v>0</v>
      </c>
      <c r="AQ520" s="31">
        <v>1.4999999999999999E-2</v>
      </c>
      <c r="AR520" s="31">
        <v>0</v>
      </c>
    </row>
    <row r="521" spans="1:44" x14ac:dyDescent="0.15">
      <c r="A521">
        <v>777</v>
      </c>
      <c r="B521" s="11">
        <v>630015</v>
      </c>
      <c r="C521" s="32"/>
      <c r="D521" s="32">
        <v>-6.9258429606548798E-4</v>
      </c>
      <c r="E521" s="32">
        <v>82</v>
      </c>
      <c r="F521" s="32">
        <v>0.59247087115491803</v>
      </c>
      <c r="G521" s="11"/>
      <c r="H521" s="11"/>
      <c r="I521" s="11"/>
      <c r="J521" s="18" t="s">
        <v>44</v>
      </c>
      <c r="K521" s="18" t="s">
        <v>64</v>
      </c>
      <c r="L521" s="58" t="s">
        <v>65</v>
      </c>
      <c r="M521" s="18">
        <f>[1]!f_prt_stocktonav(B521,"2017/03/31")</f>
        <v>77.382369995117188</v>
      </c>
      <c r="N521" s="20" t="str">
        <f>[1]!f_info_fundmanager(B521)</f>
        <v>王东旋</v>
      </c>
      <c r="O521" s="21">
        <v>1.558904109589041</v>
      </c>
      <c r="P521" s="34" t="s">
        <v>2176</v>
      </c>
      <c r="Q521" s="34" t="s">
        <v>2177</v>
      </c>
      <c r="R521" s="34" t="s">
        <v>387</v>
      </c>
      <c r="S521" s="34">
        <v>20130409</v>
      </c>
      <c r="T521" s="45">
        <v>11.433312558400001</v>
      </c>
      <c r="U521" s="46">
        <v>13.2293190454</v>
      </c>
      <c r="V521" s="34" t="s">
        <v>201</v>
      </c>
      <c r="W521" s="34" t="s">
        <v>44</v>
      </c>
      <c r="X521" s="34" t="s">
        <v>45</v>
      </c>
      <c r="Y521" s="34" t="s">
        <v>65</v>
      </c>
      <c r="Z521" s="34"/>
      <c r="AA521" s="34"/>
      <c r="AB521" s="22">
        <v>0.8597616577148437</v>
      </c>
      <c r="AC521" s="23" t="s">
        <v>2178</v>
      </c>
      <c r="AD521" s="24">
        <v>1.3287671232876712</v>
      </c>
      <c r="AE521" s="25">
        <v>0.23324850763721058</v>
      </c>
      <c r="AF521" s="26">
        <v>0.21779536516048245</v>
      </c>
      <c r="AG521" s="26">
        <v>0</v>
      </c>
      <c r="AH521" s="27">
        <v>0.81599735059607115</v>
      </c>
      <c r="AI521" s="27">
        <v>0.74039114842479115</v>
      </c>
      <c r="AJ521" s="27">
        <v>0.81599735059607115</v>
      </c>
      <c r="AK521" s="28" t="s">
        <v>240</v>
      </c>
      <c r="AL521" s="29" t="s">
        <v>48</v>
      </c>
      <c r="AM521" s="29" t="s">
        <v>48</v>
      </c>
      <c r="AN521" s="29" t="s">
        <v>48</v>
      </c>
      <c r="AO521" s="47" t="s">
        <v>1525</v>
      </c>
      <c r="AP521" s="28">
        <v>0</v>
      </c>
      <c r="AQ521" s="26">
        <v>1.4999999999999999E-2</v>
      </c>
      <c r="AR521" s="26">
        <v>0</v>
      </c>
    </row>
    <row r="522" spans="1:44" x14ac:dyDescent="0.15">
      <c r="A522">
        <v>845</v>
      </c>
      <c r="B522" s="11">
        <v>17</v>
      </c>
      <c r="C522" s="32"/>
      <c r="D522" s="32">
        <v>-1.0132865680861701E-3</v>
      </c>
      <c r="E522" s="32">
        <v>90</v>
      </c>
      <c r="F522" s="32">
        <v>0.509478191164079</v>
      </c>
      <c r="G522" s="11"/>
      <c r="H522" s="11"/>
      <c r="I522" s="11"/>
      <c r="J522" s="18" t="s">
        <v>44</v>
      </c>
      <c r="K522" s="18" t="s">
        <v>87</v>
      </c>
      <c r="L522" s="58" t="s">
        <v>274</v>
      </c>
      <c r="M522" s="18">
        <f>[1]!f_prt_stocktonav(B522,"2017/03/31")</f>
        <v>74.618293762207031</v>
      </c>
      <c r="N522" s="20" t="str">
        <f>[1]!f_info_fundmanager(B522)</f>
        <v>金梓才,夏钦</v>
      </c>
      <c r="O522" s="21">
        <v>1.7178082191780821</v>
      </c>
      <c r="P522" s="34" t="s">
        <v>2179</v>
      </c>
      <c r="Q522" s="34" t="s">
        <v>2180</v>
      </c>
      <c r="R522" s="34" t="s">
        <v>238</v>
      </c>
      <c r="S522" s="34">
        <v>20130327</v>
      </c>
      <c r="T522" s="45">
        <v>1.1084311606999999</v>
      </c>
      <c r="U522" s="46">
        <v>1.2332414202999999</v>
      </c>
      <c r="V522" s="34" t="s">
        <v>201</v>
      </c>
      <c r="W522" s="34" t="s">
        <v>44</v>
      </c>
      <c r="X522" s="34" t="s">
        <v>87</v>
      </c>
      <c r="Y522" s="34" t="s">
        <v>274</v>
      </c>
      <c r="Z522" s="34" t="s">
        <v>2181</v>
      </c>
      <c r="AA522" s="34"/>
      <c r="AB522" s="22">
        <v>0.78541160583496095</v>
      </c>
      <c r="AC522" s="23" t="s">
        <v>2182</v>
      </c>
      <c r="AD522" s="24">
        <v>1.4876712328767123</v>
      </c>
      <c r="AE522" s="25">
        <v>0.21229280105469095</v>
      </c>
      <c r="AF522" s="26">
        <v>0.2115116579299898</v>
      </c>
      <c r="AG522" s="26">
        <v>0</v>
      </c>
      <c r="AH522" s="27">
        <v>0.76400930437563364</v>
      </c>
      <c r="AI522" s="27">
        <v>0.71034316154671306</v>
      </c>
      <c r="AJ522" s="27">
        <v>0.76400930437563364</v>
      </c>
      <c r="AK522" s="33" t="s">
        <v>1459</v>
      </c>
      <c r="AL522" s="29" t="s">
        <v>48</v>
      </c>
      <c r="AM522" s="29" t="s">
        <v>48</v>
      </c>
      <c r="AN522" s="29" t="s">
        <v>48</v>
      </c>
      <c r="AO522" s="47" t="s">
        <v>1909</v>
      </c>
      <c r="AP522" s="28">
        <v>0</v>
      </c>
      <c r="AQ522" s="26">
        <v>1.4999999999999999E-2</v>
      </c>
      <c r="AR522" s="26">
        <v>0</v>
      </c>
    </row>
    <row r="523" spans="1:44" x14ac:dyDescent="0.15">
      <c r="A523">
        <v>871</v>
      </c>
      <c r="B523" s="11">
        <v>39</v>
      </c>
      <c r="C523" s="32"/>
      <c r="D523" s="32">
        <v>0</v>
      </c>
      <c r="E523" s="32">
        <v>0</v>
      </c>
      <c r="F523" s="32">
        <v>0</v>
      </c>
      <c r="G523" s="11"/>
      <c r="H523" s="11"/>
      <c r="I523" s="11"/>
      <c r="J523" s="18" t="s">
        <v>44</v>
      </c>
      <c r="K523" s="18" t="s">
        <v>45</v>
      </c>
      <c r="L523" s="58">
        <v>0</v>
      </c>
      <c r="M523" s="18">
        <f>[1]!f_prt_stocktonav(B523,"2017/03/31")</f>
        <v>73.770469665527344</v>
      </c>
      <c r="N523" s="20" t="str">
        <f>[1]!f_info_fundmanager(B523)</f>
        <v>张燕</v>
      </c>
      <c r="O523" s="21">
        <v>2.7397260273972601E-2</v>
      </c>
      <c r="P523" s="34" t="s">
        <v>2183</v>
      </c>
      <c r="Q523" s="34" t="s">
        <v>2184</v>
      </c>
      <c r="R523" s="34" t="s">
        <v>424</v>
      </c>
      <c r="S523" s="34">
        <v>20130326</v>
      </c>
      <c r="T523" s="45">
        <v>4.9888572158000004</v>
      </c>
      <c r="U523" s="46">
        <v>5.4021646233</v>
      </c>
      <c r="V523" s="34" t="s">
        <v>231</v>
      </c>
      <c r="W523" s="34" t="s">
        <v>44</v>
      </c>
      <c r="X523" s="34" t="s">
        <v>45</v>
      </c>
      <c r="Y523" s="34" t="s">
        <v>274</v>
      </c>
      <c r="Z523" s="34"/>
      <c r="AA523" s="34"/>
      <c r="AB523" s="22">
        <v>0.76965110778808599</v>
      </c>
      <c r="AC523" s="23" t="s">
        <v>1121</v>
      </c>
      <c r="AD523" s="24">
        <v>3.1671232876712327</v>
      </c>
      <c r="AE523" s="25">
        <v>0.17082839141219952</v>
      </c>
      <c r="AF523" s="26">
        <v>0.18716094977623343</v>
      </c>
      <c r="AG523" s="26">
        <v>0</v>
      </c>
      <c r="AH523" s="27">
        <v>0.60457903492476051</v>
      </c>
      <c r="AI523" s="27">
        <v>0.59596536881949302</v>
      </c>
      <c r="AJ523" s="27">
        <v>0.60457903492476051</v>
      </c>
      <c r="AK523" s="28" t="s">
        <v>2119</v>
      </c>
      <c r="AL523" s="29" t="s">
        <v>48</v>
      </c>
      <c r="AM523" s="29" t="s">
        <v>48</v>
      </c>
      <c r="AN523" s="29" t="s">
        <v>48</v>
      </c>
      <c r="AO523" s="47" t="s">
        <v>702</v>
      </c>
      <c r="AP523" s="28">
        <v>0</v>
      </c>
      <c r="AQ523" s="26">
        <v>1.4999999999999999E-2</v>
      </c>
      <c r="AR523" s="26">
        <v>0</v>
      </c>
    </row>
    <row r="524" spans="1:44" x14ac:dyDescent="0.15">
      <c r="A524">
        <v>74</v>
      </c>
      <c r="B524" s="11">
        <v>519120</v>
      </c>
      <c r="C524" s="32"/>
      <c r="D524" s="32">
        <v>4.9172118102903798E-4</v>
      </c>
      <c r="E524" s="32">
        <v>209</v>
      </c>
      <c r="F524" s="32">
        <v>0.81530133223267998</v>
      </c>
      <c r="G524" s="11"/>
      <c r="H524" s="11"/>
      <c r="I524" s="11"/>
      <c r="J524" s="18" t="s">
        <v>44</v>
      </c>
      <c r="K524" s="18" t="s">
        <v>87</v>
      </c>
      <c r="L524" s="58" t="s">
        <v>274</v>
      </c>
      <c r="M524" s="18">
        <f>[1]!f_prt_stocktonav(B524,"2017/03/31")</f>
        <v>94.024665832519531</v>
      </c>
      <c r="N524" s="20" t="str">
        <f>[1]!f_info_fundmanager(B524)</f>
        <v>吴勇</v>
      </c>
      <c r="O524" s="21">
        <v>4.0191780821917806</v>
      </c>
      <c r="P524" s="34" t="s">
        <v>2185</v>
      </c>
      <c r="Q524" s="34" t="s">
        <v>2186</v>
      </c>
      <c r="R524" s="34" t="s">
        <v>649</v>
      </c>
      <c r="S524" s="34">
        <v>20130325</v>
      </c>
      <c r="T524" s="45">
        <v>10.7747513584</v>
      </c>
      <c r="U524" s="46">
        <v>12.434439336100001</v>
      </c>
      <c r="V524" s="34" t="s">
        <v>231</v>
      </c>
      <c r="W524" s="34" t="s">
        <v>44</v>
      </c>
      <c r="X524" s="34" t="s">
        <v>45</v>
      </c>
      <c r="Y524" s="34" t="s">
        <v>274</v>
      </c>
      <c r="Z524" s="34"/>
      <c r="AA524" s="34"/>
      <c r="AB524" s="22">
        <v>0.9399920654296875</v>
      </c>
      <c r="AC524" s="23" t="s">
        <v>650</v>
      </c>
      <c r="AD524" s="24">
        <v>3.7890410958904108</v>
      </c>
      <c r="AE524" s="25">
        <v>0.25889019761192977</v>
      </c>
      <c r="AF524" s="26">
        <v>0.28160096132790624</v>
      </c>
      <c r="AG524" s="26">
        <v>0</v>
      </c>
      <c r="AH524" s="27">
        <v>0.81716829036970406</v>
      </c>
      <c r="AI524" s="27">
        <v>0.82349536659858769</v>
      </c>
      <c r="AJ524" s="27">
        <v>0.81716829036970406</v>
      </c>
      <c r="AK524" s="28" t="s">
        <v>2187</v>
      </c>
      <c r="AL524" s="29" t="s">
        <v>48</v>
      </c>
      <c r="AM524" s="29" t="s">
        <v>48</v>
      </c>
      <c r="AN524" s="29" t="s">
        <v>48</v>
      </c>
      <c r="AO524" s="47" t="s">
        <v>652</v>
      </c>
      <c r="AP524" s="28">
        <v>0</v>
      </c>
      <c r="AQ524" s="26">
        <v>1.4999999999999999E-2</v>
      </c>
      <c r="AR524" s="26">
        <v>0</v>
      </c>
    </row>
    <row r="525" spans="1:44" x14ac:dyDescent="0.15">
      <c r="A525">
        <v>675</v>
      </c>
      <c r="B525" s="11">
        <v>165313</v>
      </c>
      <c r="C525" s="32"/>
      <c r="D525" s="32">
        <v>-8.08521966199529E-4</v>
      </c>
      <c r="E525" s="32">
        <v>210</v>
      </c>
      <c r="F525" s="32">
        <v>0.38052486536335201</v>
      </c>
      <c r="G525" s="11"/>
      <c r="H525" s="11"/>
      <c r="I525" s="11"/>
      <c r="J525" s="18" t="s">
        <v>44</v>
      </c>
      <c r="K525" s="18" t="s">
        <v>45</v>
      </c>
      <c r="L525" s="58" t="s">
        <v>65</v>
      </c>
      <c r="M525" s="18">
        <f>[1]!f_prt_stocktonav(B525,"2017/03/31")</f>
        <v>80.68389892578125</v>
      </c>
      <c r="N525" s="20" t="str">
        <f>[1]!f_info_fundmanager(B525)</f>
        <v>姜锋</v>
      </c>
      <c r="O525" s="21">
        <v>4.0356164383561648</v>
      </c>
      <c r="P525" s="34" t="s">
        <v>2188</v>
      </c>
      <c r="Q525" s="34" t="s">
        <v>2189</v>
      </c>
      <c r="R525" s="34" t="s">
        <v>307</v>
      </c>
      <c r="S525" s="34">
        <v>20130319</v>
      </c>
      <c r="T525" s="45">
        <v>5.3887804073999996</v>
      </c>
      <c r="U525" s="46">
        <v>5.6689264890000004</v>
      </c>
      <c r="V525" s="34" t="s">
        <v>231</v>
      </c>
      <c r="W525" s="34" t="s">
        <v>41</v>
      </c>
      <c r="X525" s="17" t="s">
        <v>42</v>
      </c>
      <c r="Y525" s="17" t="s">
        <v>181</v>
      </c>
      <c r="Z525" s="34"/>
      <c r="AA525" s="34"/>
      <c r="AB525" s="22">
        <v>0.64911727905273442</v>
      </c>
      <c r="AC525" s="23" t="s">
        <v>1406</v>
      </c>
      <c r="AD525" s="24">
        <v>3.8054794520547945</v>
      </c>
      <c r="AE525" s="25">
        <v>0.10160285171208905</v>
      </c>
      <c r="AF525" s="26">
        <v>0.13448572712817786</v>
      </c>
      <c r="AG525" s="26">
        <v>0</v>
      </c>
      <c r="AH525" s="27">
        <v>0.48507546661139644</v>
      </c>
      <c r="AI525" s="27">
        <v>0.60714815259461619</v>
      </c>
      <c r="AJ525" s="27">
        <v>0.48507546661139644</v>
      </c>
      <c r="AK525" s="28" t="s">
        <v>2074</v>
      </c>
      <c r="AL525" s="29" t="s">
        <v>48</v>
      </c>
      <c r="AM525" s="29" t="s">
        <v>48</v>
      </c>
      <c r="AN525" s="29" t="s">
        <v>48</v>
      </c>
      <c r="AO525" s="47" t="s">
        <v>209</v>
      </c>
      <c r="AP525" s="28">
        <v>0</v>
      </c>
      <c r="AQ525" s="26">
        <v>1.2500000000000001E-2</v>
      </c>
      <c r="AR525" s="26">
        <v>0</v>
      </c>
    </row>
    <row r="526" spans="1:44" x14ac:dyDescent="0.15">
      <c r="A526">
        <v>431</v>
      </c>
      <c r="B526" s="11">
        <v>20</v>
      </c>
      <c r="C526" s="32"/>
      <c r="D526" s="32">
        <v>2.7942858307189798E-3</v>
      </c>
      <c r="E526" s="32">
        <v>66</v>
      </c>
      <c r="F526" s="32">
        <v>6.8168429745389503E-2</v>
      </c>
      <c r="G526" s="11"/>
      <c r="H526" s="11"/>
      <c r="I526" s="11"/>
      <c r="J526" s="18" t="s">
        <v>44</v>
      </c>
      <c r="K526" s="18" t="s">
        <v>45</v>
      </c>
      <c r="L526" s="58" t="s">
        <v>65</v>
      </c>
      <c r="M526" s="18">
        <f>[1]!f_prt_stocktonav(B526,"2017/03/31")</f>
        <v>86.655433654785156</v>
      </c>
      <c r="N526" s="20" t="str">
        <f>[1]!f_info_fundmanager(B526)</f>
        <v>詹成</v>
      </c>
      <c r="O526" s="21">
        <v>1.2547945205479452</v>
      </c>
      <c r="P526" s="34" t="s">
        <v>2190</v>
      </c>
      <c r="Q526" s="34" t="s">
        <v>2191</v>
      </c>
      <c r="R526" s="34" t="s">
        <v>353</v>
      </c>
      <c r="S526" s="34">
        <v>20130319</v>
      </c>
      <c r="T526" s="45">
        <v>3.3277110250000002</v>
      </c>
      <c r="U526" s="46">
        <v>3.7388780617999999</v>
      </c>
      <c r="V526" s="34" t="s">
        <v>231</v>
      </c>
      <c r="W526" s="34" t="s">
        <v>44</v>
      </c>
      <c r="X526" s="34" t="s">
        <v>45</v>
      </c>
      <c r="Y526" s="34" t="s">
        <v>65</v>
      </c>
      <c r="Z526" s="34"/>
      <c r="AA526" s="34"/>
      <c r="AB526" s="22">
        <v>0.86319175720214847</v>
      </c>
      <c r="AC526" s="23" t="s">
        <v>2192</v>
      </c>
      <c r="AD526" s="24">
        <v>3.8054794520547945</v>
      </c>
      <c r="AE526" s="25">
        <v>0.13789012829885938</v>
      </c>
      <c r="AF526" s="26">
        <v>0.17461865690203873</v>
      </c>
      <c r="AG526" s="26">
        <v>0</v>
      </c>
      <c r="AH526" s="27">
        <v>0.55390648874679993</v>
      </c>
      <c r="AI526" s="27">
        <v>0.64347513794596023</v>
      </c>
      <c r="AJ526" s="27">
        <v>0.55390648874679993</v>
      </c>
      <c r="AK526" s="28" t="s">
        <v>957</v>
      </c>
      <c r="AL526" s="29" t="s">
        <v>48</v>
      </c>
      <c r="AM526" s="29" t="s">
        <v>48</v>
      </c>
      <c r="AN526" s="29" t="s">
        <v>48</v>
      </c>
      <c r="AO526" s="47" t="s">
        <v>334</v>
      </c>
      <c r="AP526" s="28">
        <v>0</v>
      </c>
      <c r="AQ526" s="26">
        <v>1.4999999999999999E-2</v>
      </c>
      <c r="AR526" s="26">
        <v>0</v>
      </c>
    </row>
    <row r="527" spans="1:44" x14ac:dyDescent="0.15">
      <c r="A527">
        <v>788</v>
      </c>
      <c r="B527" s="11">
        <v>630016</v>
      </c>
      <c r="C527" s="32"/>
      <c r="D527" s="32">
        <v>-3.1938461539930399E-3</v>
      </c>
      <c r="E527" s="32">
        <v>114</v>
      </c>
      <c r="F527" s="32">
        <v>4.6421121283987503E-2</v>
      </c>
      <c r="G527" s="11"/>
      <c r="H527" s="11"/>
      <c r="I527" s="11"/>
      <c r="J527" s="18" t="s">
        <v>44</v>
      </c>
      <c r="K527" s="18" t="s">
        <v>45</v>
      </c>
      <c r="L527" s="58" t="s">
        <v>274</v>
      </c>
      <c r="M527" s="18">
        <f>[1]!f_prt_stocktonav(B527,"2017/03/31")</f>
        <v>77.145668029785156</v>
      </c>
      <c r="N527" s="20" t="str">
        <f>[1]!f_info_fundmanager(B527)</f>
        <v>何奇峰</v>
      </c>
      <c r="O527" s="21">
        <v>2.1753424657534248</v>
      </c>
      <c r="P527" s="34" t="s">
        <v>2193</v>
      </c>
      <c r="Q527" s="34" t="s">
        <v>2194</v>
      </c>
      <c r="R527" s="34" t="s">
        <v>387</v>
      </c>
      <c r="S527" s="34">
        <v>20130318</v>
      </c>
      <c r="T527" s="45">
        <v>6.7200307860999997</v>
      </c>
      <c r="U527" s="46">
        <v>7.0422918726999999</v>
      </c>
      <c r="V527" s="34" t="s">
        <v>231</v>
      </c>
      <c r="W527" s="34" t="s">
        <v>44</v>
      </c>
      <c r="X527" s="34" t="s">
        <v>45</v>
      </c>
      <c r="Y527" s="34" t="s">
        <v>274</v>
      </c>
      <c r="Z527" s="34"/>
      <c r="AA527" s="34"/>
      <c r="AB527" s="22">
        <v>0.7550516510009766</v>
      </c>
      <c r="AC527" s="23" t="s">
        <v>2195</v>
      </c>
      <c r="AD527" s="24">
        <v>1.9452054794520548</v>
      </c>
      <c r="AE527" s="25">
        <v>0.24465733493243835</v>
      </c>
      <c r="AF527" s="26">
        <v>0.19082209100333714</v>
      </c>
      <c r="AG527" s="26">
        <v>0</v>
      </c>
      <c r="AH527" s="27">
        <v>0.79268750962555445</v>
      </c>
      <c r="AI527" s="27">
        <v>0.63456395946670263</v>
      </c>
      <c r="AJ527" s="27">
        <v>0.79268750962555445</v>
      </c>
      <c r="AK527" s="28" t="s">
        <v>240</v>
      </c>
      <c r="AL527" s="29" t="s">
        <v>48</v>
      </c>
      <c r="AM527" s="29" t="s">
        <v>48</v>
      </c>
      <c r="AN527" s="29" t="s">
        <v>48</v>
      </c>
      <c r="AO527" s="47" t="s">
        <v>1525</v>
      </c>
      <c r="AP527" s="28">
        <v>0</v>
      </c>
      <c r="AQ527" s="26">
        <v>1.4999999999999999E-2</v>
      </c>
      <c r="AR527" s="26">
        <v>0</v>
      </c>
    </row>
    <row r="528" spans="1:44" x14ac:dyDescent="0.15">
      <c r="A528">
        <v>187</v>
      </c>
      <c r="B528" s="11">
        <v>370027</v>
      </c>
      <c r="C528" s="32"/>
      <c r="D528" s="32">
        <v>3.34523984154457E-3</v>
      </c>
      <c r="E528" s="32">
        <v>79</v>
      </c>
      <c r="F528" s="32">
        <v>0.18132870702048901</v>
      </c>
      <c r="G528" s="11"/>
      <c r="H528" s="11"/>
      <c r="I528" s="11"/>
      <c r="J528" s="18" t="s">
        <v>44</v>
      </c>
      <c r="K528" s="19" t="s">
        <v>45</v>
      </c>
      <c r="L528" s="58" t="s">
        <v>65</v>
      </c>
      <c r="M528" s="18">
        <f>[1]!f_prt_stocktonav(B528,"2017/03/31")</f>
        <v>92.016494750976563</v>
      </c>
      <c r="N528" s="20" t="str">
        <f>[1]!f_info_fundmanager(B528)</f>
        <v>孟亮</v>
      </c>
      <c r="O528" s="21">
        <v>1.5041095890410958</v>
      </c>
      <c r="P528" s="12" t="s">
        <v>2196</v>
      </c>
      <c r="Q528" s="13" t="s">
        <v>2197</v>
      </c>
      <c r="R528" s="13" t="s">
        <v>511</v>
      </c>
      <c r="S528" s="13">
        <v>20130306</v>
      </c>
      <c r="T528" s="14">
        <v>1.9471887603</v>
      </c>
      <c r="U528" s="15" t="s">
        <v>39</v>
      </c>
      <c r="V528" s="16" t="s">
        <v>40</v>
      </c>
      <c r="W528" s="17" t="s">
        <v>44</v>
      </c>
      <c r="X528" s="17" t="s">
        <v>45</v>
      </c>
      <c r="Y528" s="17" t="s">
        <v>274</v>
      </c>
      <c r="Z528" s="13"/>
      <c r="AA528" s="13"/>
      <c r="AB528" s="22">
        <v>0.90484329223632809</v>
      </c>
      <c r="AC528" s="23" t="s">
        <v>2061</v>
      </c>
      <c r="AD528" s="24">
        <v>1.273972602739726</v>
      </c>
      <c r="AE528" s="25">
        <v>0.11155875522907444</v>
      </c>
      <c r="AF528" s="26">
        <v>9.0786822917008583E-2</v>
      </c>
      <c r="AG528" s="26">
        <v>0</v>
      </c>
      <c r="AH528" s="27">
        <v>0.44735401497903077</v>
      </c>
      <c r="AI528" s="27">
        <v>0.35100211878029658</v>
      </c>
      <c r="AJ528" s="27">
        <v>0.44735401497903077</v>
      </c>
      <c r="AK528" s="28" t="s">
        <v>1459</v>
      </c>
      <c r="AL528" s="29" t="s">
        <v>48</v>
      </c>
      <c r="AM528" s="29" t="s">
        <v>48</v>
      </c>
      <c r="AN528" s="29" t="s">
        <v>48</v>
      </c>
      <c r="AO528" s="23" t="s">
        <v>2198</v>
      </c>
      <c r="AP528" s="30">
        <v>0</v>
      </c>
      <c r="AQ528" s="31">
        <v>1.4999999999999999E-2</v>
      </c>
      <c r="AR528" s="31">
        <v>0</v>
      </c>
    </row>
    <row r="529" spans="1:44" x14ac:dyDescent="0.15">
      <c r="A529">
        <v>711</v>
      </c>
      <c r="B529" s="11">
        <v>160212</v>
      </c>
      <c r="C529" s="32"/>
      <c r="D529" s="32">
        <v>3.8167738021009099E-3</v>
      </c>
      <c r="E529" s="32">
        <v>105</v>
      </c>
      <c r="F529" s="32">
        <v>7.6943962079485201E-2</v>
      </c>
      <c r="G529" s="11"/>
      <c r="H529" s="11"/>
      <c r="I529" s="11"/>
      <c r="J529" s="18" t="s">
        <v>44</v>
      </c>
      <c r="K529" s="18" t="s">
        <v>45</v>
      </c>
      <c r="L529" s="58" t="s">
        <v>274</v>
      </c>
      <c r="M529" s="18">
        <f>[1]!f_prt_stocktonav(B529,"2017/03/31")</f>
        <v>79.718833923339844</v>
      </c>
      <c r="N529" s="20" t="str">
        <f>[1]!f_info_fundmanager(B529)</f>
        <v>杨飞</v>
      </c>
      <c r="O529" s="21">
        <v>2.0164383561643837</v>
      </c>
      <c r="P529" s="34" t="s">
        <v>2199</v>
      </c>
      <c r="Q529" s="34" t="s">
        <v>2200</v>
      </c>
      <c r="R529" s="34" t="s">
        <v>663</v>
      </c>
      <c r="S529" s="34">
        <v>20130219</v>
      </c>
      <c r="T529" s="45">
        <v>15.1908757941</v>
      </c>
      <c r="U529" s="46">
        <v>18.556477031499998</v>
      </c>
      <c r="V529" s="34" t="s">
        <v>231</v>
      </c>
      <c r="W529" s="34" t="s">
        <v>44</v>
      </c>
      <c r="X529" s="34" t="s">
        <v>45</v>
      </c>
      <c r="Y529" s="34" t="s">
        <v>274</v>
      </c>
      <c r="Z529" s="34"/>
      <c r="AA529" s="34"/>
      <c r="AB529" s="22">
        <v>0.71757110595703122</v>
      </c>
      <c r="AC529" s="23" t="s">
        <v>664</v>
      </c>
      <c r="AD529" s="24">
        <v>1.7863013698630137</v>
      </c>
      <c r="AE529" s="25">
        <v>0.28913622979309395</v>
      </c>
      <c r="AF529" s="26">
        <v>0.33425116016515366</v>
      </c>
      <c r="AG529" s="26">
        <v>0</v>
      </c>
      <c r="AH529" s="27">
        <v>0.91939304249852083</v>
      </c>
      <c r="AI529" s="27">
        <v>0.97413949784362686</v>
      </c>
      <c r="AJ529" s="27">
        <v>0.91939304249852083</v>
      </c>
      <c r="AK529" s="28" t="s">
        <v>276</v>
      </c>
      <c r="AL529" s="29" t="s">
        <v>48</v>
      </c>
      <c r="AM529" s="29" t="s">
        <v>48</v>
      </c>
      <c r="AN529" s="29" t="s">
        <v>48</v>
      </c>
      <c r="AO529" s="47" t="s">
        <v>592</v>
      </c>
      <c r="AP529" s="28">
        <v>0</v>
      </c>
      <c r="AQ529" s="26">
        <v>1.4999999999999999E-2</v>
      </c>
      <c r="AR529" s="26">
        <v>0</v>
      </c>
    </row>
    <row r="530" spans="1:44" x14ac:dyDescent="0.15">
      <c r="A530">
        <v>649</v>
      </c>
      <c r="B530" s="11">
        <v>487021</v>
      </c>
      <c r="C530" s="32"/>
      <c r="D530" s="32">
        <v>-8.8117863605575303E-4</v>
      </c>
      <c r="E530" s="32">
        <v>10</v>
      </c>
      <c r="F530" s="32">
        <v>0.70999148149379598</v>
      </c>
      <c r="G530" s="11"/>
      <c r="H530" s="11"/>
      <c r="I530" s="11"/>
      <c r="J530" s="18" t="s">
        <v>44</v>
      </c>
      <c r="K530" s="18" t="s">
        <v>45</v>
      </c>
      <c r="L530" s="58" t="s">
        <v>817</v>
      </c>
      <c r="M530" s="18">
        <f>[1]!f_prt_stocktonav(B530,"2017/03/31")</f>
        <v>81.423912048339844</v>
      </c>
      <c r="N530" s="20" t="str">
        <f>[1]!f_info_fundmanager(B530)</f>
        <v>胡志利</v>
      </c>
      <c r="O530" s="21">
        <v>0.17808219178082191</v>
      </c>
      <c r="P530" s="34" t="s">
        <v>2201</v>
      </c>
      <c r="Q530" s="34" t="s">
        <v>2202</v>
      </c>
      <c r="R530" s="34" t="s">
        <v>523</v>
      </c>
      <c r="S530" s="34">
        <v>20130207</v>
      </c>
      <c r="T530" s="45">
        <v>2.6963226619</v>
      </c>
      <c r="U530" s="46">
        <v>3.0659222534000001</v>
      </c>
      <c r="V530" s="34" t="s">
        <v>231</v>
      </c>
      <c r="W530" s="34" t="s">
        <v>41</v>
      </c>
      <c r="X530" s="34" t="s">
        <v>42</v>
      </c>
      <c r="Y530" s="34" t="s">
        <v>43</v>
      </c>
      <c r="Z530" s="34"/>
      <c r="AA530" s="34"/>
      <c r="AB530" s="22">
        <v>0.10814804077148438</v>
      </c>
      <c r="AC530" s="23" t="s">
        <v>2203</v>
      </c>
      <c r="AD530" s="24">
        <v>0.88219178082191785</v>
      </c>
      <c r="AE530" s="25">
        <v>4.971778658733994E-3</v>
      </c>
      <c r="AF530" s="26">
        <v>0</v>
      </c>
      <c r="AG530" s="26">
        <v>0</v>
      </c>
      <c r="AH530" s="27">
        <v>-0.30386072380883561</v>
      </c>
      <c r="AI530" s="27">
        <v>-0.30386072380883561</v>
      </c>
      <c r="AJ530" s="27">
        <v>-0.30386072380883561</v>
      </c>
      <c r="AK530" s="28" t="s">
        <v>226</v>
      </c>
      <c r="AL530" s="29" t="s">
        <v>48</v>
      </c>
      <c r="AM530" s="29" t="s">
        <v>48</v>
      </c>
      <c r="AN530" s="29" t="s">
        <v>48</v>
      </c>
      <c r="AO530" s="47" t="s">
        <v>2204</v>
      </c>
      <c r="AP530" s="28">
        <v>0</v>
      </c>
      <c r="AQ530" s="26">
        <v>1.4999999999999999E-2</v>
      </c>
      <c r="AR530" s="26">
        <v>0</v>
      </c>
    </row>
    <row r="531" spans="1:44" x14ac:dyDescent="0.15">
      <c r="A531">
        <v>807</v>
      </c>
      <c r="B531" s="11">
        <v>270050</v>
      </c>
      <c r="C531" s="32"/>
      <c r="D531" s="32">
        <v>4.13097077063172E-4</v>
      </c>
      <c r="E531" s="32">
        <v>5</v>
      </c>
      <c r="F531" s="32">
        <v>0.89630875455095205</v>
      </c>
      <c r="G531" s="11"/>
      <c r="H531" s="11"/>
      <c r="I531" s="11"/>
      <c r="J531" s="18" t="s">
        <v>44</v>
      </c>
      <c r="K531" s="18" t="s">
        <v>45</v>
      </c>
      <c r="L531" s="58" t="s">
        <v>65</v>
      </c>
      <c r="M531" s="18">
        <f>[1]!f_prt_stocktonav(B531,"2017/03/31")</f>
        <v>76.41705322265625</v>
      </c>
      <c r="N531" s="20" t="str">
        <f>[1]!f_info_fundmanager(B531)</f>
        <v>邱璟旻</v>
      </c>
      <c r="O531" s="21">
        <v>8.2191780821917804E-2</v>
      </c>
      <c r="P531" s="34" t="s">
        <v>2205</v>
      </c>
      <c r="Q531" s="34" t="s">
        <v>2206</v>
      </c>
      <c r="R531" s="34" t="s">
        <v>132</v>
      </c>
      <c r="S531" s="34">
        <v>20130206</v>
      </c>
      <c r="T531" s="45">
        <v>2.7626487567</v>
      </c>
      <c r="U531" s="46">
        <v>2.9538872791999999</v>
      </c>
      <c r="V531" s="34" t="s">
        <v>231</v>
      </c>
      <c r="W531" s="34" t="s">
        <v>44</v>
      </c>
      <c r="X531" s="34" t="s">
        <v>45</v>
      </c>
      <c r="Y531" s="34" t="s">
        <v>274</v>
      </c>
      <c r="Z531" s="34"/>
      <c r="AA531" s="34"/>
      <c r="AB531" s="22">
        <v>0.87934425354003909</v>
      </c>
      <c r="AC531" s="23" t="s">
        <v>2207</v>
      </c>
      <c r="AD531" s="24">
        <v>2.0383561643835617</v>
      </c>
      <c r="AE531" s="25">
        <v>0.14575743422572485</v>
      </c>
      <c r="AF531" s="26">
        <v>8.8203522729056724E-2</v>
      </c>
      <c r="AG531" s="26">
        <v>0</v>
      </c>
      <c r="AH531" s="27">
        <v>0.54225676199741102</v>
      </c>
      <c r="AI531" s="27">
        <v>0.34566265956696635</v>
      </c>
      <c r="AJ531" s="27">
        <v>0.54225676199741102</v>
      </c>
      <c r="AK531" s="28" t="s">
        <v>957</v>
      </c>
      <c r="AL531" s="29" t="s">
        <v>48</v>
      </c>
      <c r="AM531" s="29" t="s">
        <v>48</v>
      </c>
      <c r="AN531" s="29" t="s">
        <v>48</v>
      </c>
      <c r="AO531" s="47" t="s">
        <v>287</v>
      </c>
      <c r="AP531" s="28">
        <v>0</v>
      </c>
      <c r="AQ531" s="26">
        <v>1.4999999999999999E-2</v>
      </c>
      <c r="AR531" s="26">
        <v>0</v>
      </c>
    </row>
    <row r="532" spans="1:44" x14ac:dyDescent="0.15">
      <c r="A532">
        <v>774</v>
      </c>
      <c r="B532" s="11">
        <v>690011</v>
      </c>
      <c r="C532" s="32"/>
      <c r="D532" s="32">
        <v>-1.07767167563153E-3</v>
      </c>
      <c r="E532" s="32">
        <v>54</v>
      </c>
      <c r="F532" s="32">
        <v>0.34165400896256198</v>
      </c>
      <c r="G532" s="11"/>
      <c r="H532" s="11"/>
      <c r="I532" s="11"/>
      <c r="J532" s="18" t="s">
        <v>44</v>
      </c>
      <c r="K532" s="18" t="s">
        <v>45</v>
      </c>
      <c r="L532" s="58" t="s">
        <v>65</v>
      </c>
      <c r="M532" s="18">
        <f>[1]!f_prt_stocktonav(B532,"2017/03/31")</f>
        <v>77.46453857421875</v>
      </c>
      <c r="N532" s="20" t="str">
        <f>[1]!f_info_fundmanager(B532)</f>
        <v>宋磊</v>
      </c>
      <c r="O532" s="21">
        <v>1.0246575342465754</v>
      </c>
      <c r="P532" s="34" t="s">
        <v>2208</v>
      </c>
      <c r="Q532" s="34" t="s">
        <v>2209</v>
      </c>
      <c r="R532" s="34" t="s">
        <v>1234</v>
      </c>
      <c r="S532" s="34">
        <v>20130131</v>
      </c>
      <c r="T532" s="45">
        <v>0.74393919119999996</v>
      </c>
      <c r="U532" s="46">
        <v>0.79741784380000003</v>
      </c>
      <c r="V532" s="34" t="s">
        <v>231</v>
      </c>
      <c r="W532" s="34" t="s">
        <v>44</v>
      </c>
      <c r="X532" s="34" t="s">
        <v>45</v>
      </c>
      <c r="Y532" s="34" t="s">
        <v>65</v>
      </c>
      <c r="Z532" s="34"/>
      <c r="AA532" s="34"/>
      <c r="AB532" s="22">
        <v>0.70323722839355474</v>
      </c>
      <c r="AC532" s="23" t="s">
        <v>1236</v>
      </c>
      <c r="AD532" s="24">
        <v>0.79452054794520544</v>
      </c>
      <c r="AE532" s="25">
        <v>6.3288581274631106E-2</v>
      </c>
      <c r="AF532" s="26">
        <v>9.5687933910928211E-2</v>
      </c>
      <c r="AG532" s="26">
        <v>0</v>
      </c>
      <c r="AH532" s="27">
        <v>0.30965513290015234</v>
      </c>
      <c r="AI532" s="27">
        <v>0.39649402055908628</v>
      </c>
      <c r="AJ532" s="27">
        <v>0.30965513290015234</v>
      </c>
      <c r="AK532" s="28" t="s">
        <v>2210</v>
      </c>
      <c r="AL532" s="29" t="s">
        <v>48</v>
      </c>
      <c r="AM532" s="29" t="s">
        <v>48</v>
      </c>
      <c r="AN532" s="29" t="s">
        <v>48</v>
      </c>
      <c r="AO532" s="47" t="s">
        <v>82</v>
      </c>
      <c r="AP532" s="28">
        <v>0</v>
      </c>
      <c r="AQ532" s="26">
        <v>1.4999999999999999E-2</v>
      </c>
      <c r="AR532" s="26">
        <v>0</v>
      </c>
    </row>
    <row r="533" spans="1:44" x14ac:dyDescent="0.15">
      <c r="A533">
        <v>905</v>
      </c>
      <c r="B533" s="11">
        <v>400018</v>
      </c>
      <c r="C533" s="32"/>
      <c r="D533" s="32">
        <v>-6.4501851786206001E-4</v>
      </c>
      <c r="E533" s="32">
        <v>69</v>
      </c>
      <c r="F533" s="32">
        <v>0.567090031365731</v>
      </c>
      <c r="G533" s="11"/>
      <c r="H533" s="11"/>
      <c r="I533" s="11"/>
      <c r="J533" s="18" t="s">
        <v>44</v>
      </c>
      <c r="K533" s="18" t="s">
        <v>64</v>
      </c>
      <c r="L533" s="58" t="s">
        <v>274</v>
      </c>
      <c r="M533" s="18">
        <f>[1]!f_prt_stocktonav(B533,"2017/03/31")</f>
        <v>72.248451232910156</v>
      </c>
      <c r="N533" s="20" t="str">
        <f>[1]!f_info_fundmanager(B533)</f>
        <v>刘志刚</v>
      </c>
      <c r="O533" s="21">
        <v>1.3260273972602741</v>
      </c>
      <c r="P533" s="34" t="s">
        <v>2211</v>
      </c>
      <c r="Q533" s="34" t="s">
        <v>2212</v>
      </c>
      <c r="R533" s="34" t="s">
        <v>252</v>
      </c>
      <c r="S533" s="34">
        <v>20121219</v>
      </c>
      <c r="T533" s="45">
        <v>0.51779123940000005</v>
      </c>
      <c r="U533" s="46">
        <v>0.12572928650000001</v>
      </c>
      <c r="V533" s="34" t="s">
        <v>231</v>
      </c>
      <c r="W533" s="34" t="s">
        <v>41</v>
      </c>
      <c r="X533" s="17" t="s">
        <v>42</v>
      </c>
      <c r="Y533" s="17" t="s">
        <v>181</v>
      </c>
      <c r="Z533" s="34"/>
      <c r="AA533" s="34"/>
      <c r="AB533" s="22">
        <v>0.30535528182983396</v>
      </c>
      <c r="AC533" s="23" t="s">
        <v>2213</v>
      </c>
      <c r="AD533" s="24">
        <v>1.095890410958904</v>
      </c>
      <c r="AE533" s="25">
        <v>4.6212706205105647E-2</v>
      </c>
      <c r="AF533" s="26">
        <v>0</v>
      </c>
      <c r="AG533" s="26">
        <v>0</v>
      </c>
      <c r="AH533" s="27">
        <v>0.34628822411991256</v>
      </c>
      <c r="AI533" s="27">
        <v>0.34628822411991256</v>
      </c>
      <c r="AJ533" s="27">
        <v>0.34628822411991256</v>
      </c>
      <c r="AK533" s="28" t="s">
        <v>254</v>
      </c>
      <c r="AL533" s="29" t="s">
        <v>48</v>
      </c>
      <c r="AM533" s="29" t="s">
        <v>48</v>
      </c>
      <c r="AN533" s="29" t="s">
        <v>48</v>
      </c>
      <c r="AO533" s="47" t="s">
        <v>2214</v>
      </c>
      <c r="AP533" s="28">
        <v>0</v>
      </c>
      <c r="AQ533" s="26">
        <v>0.01</v>
      </c>
      <c r="AR533" s="26">
        <v>0</v>
      </c>
    </row>
    <row r="534" spans="1:44" x14ac:dyDescent="0.15">
      <c r="A534">
        <v>181</v>
      </c>
      <c r="B534" s="11">
        <v>163415</v>
      </c>
      <c r="C534" s="32"/>
      <c r="D534" s="32">
        <v>5.8327301410761399E-4</v>
      </c>
      <c r="E534" s="32">
        <v>223</v>
      </c>
      <c r="F534" s="32">
        <v>0.57116605058294401</v>
      </c>
      <c r="G534" s="11"/>
      <c r="H534" s="11"/>
      <c r="I534" s="11"/>
      <c r="J534" s="18" t="s">
        <v>44</v>
      </c>
      <c r="K534" s="18" t="s">
        <v>45</v>
      </c>
      <c r="L534" s="58" t="s">
        <v>65</v>
      </c>
      <c r="M534" s="18">
        <f>[1]!f_prt_stocktonav(B534,"2017/03/31")</f>
        <v>92.078277587890625</v>
      </c>
      <c r="N534" s="20" t="str">
        <f>[1]!f_info_fundmanager(B534)</f>
        <v>吴圣涛</v>
      </c>
      <c r="O534" s="21">
        <v>4.2849315068493148</v>
      </c>
      <c r="P534" s="34" t="s">
        <v>2215</v>
      </c>
      <c r="Q534" s="34" t="s">
        <v>2216</v>
      </c>
      <c r="R534" s="34" t="s">
        <v>2217</v>
      </c>
      <c r="S534" s="34">
        <v>20121218</v>
      </c>
      <c r="T534" s="45">
        <v>24.8584336953</v>
      </c>
      <c r="U534" s="46">
        <v>17.531833923899999</v>
      </c>
      <c r="V534" s="34" t="s">
        <v>231</v>
      </c>
      <c r="W534" s="34" t="s">
        <v>44</v>
      </c>
      <c r="X534" s="34" t="s">
        <v>45</v>
      </c>
      <c r="Y534" s="34" t="s">
        <v>65</v>
      </c>
      <c r="Z534" s="34"/>
      <c r="AA534" s="34"/>
      <c r="AB534" s="22">
        <v>0.88410697937011717</v>
      </c>
      <c r="AC534" s="23" t="s">
        <v>2218</v>
      </c>
      <c r="AD534" s="24">
        <v>4.0547945205479454</v>
      </c>
      <c r="AE534" s="25">
        <v>0.23659897896903678</v>
      </c>
      <c r="AF534" s="26">
        <v>0.31262443531640538</v>
      </c>
      <c r="AG534" s="26">
        <v>0</v>
      </c>
      <c r="AH534" s="27">
        <v>0.91162191222926847</v>
      </c>
      <c r="AI534" s="27">
        <v>1.0991431923857746</v>
      </c>
      <c r="AJ534" s="27">
        <v>0.91162191222926847</v>
      </c>
      <c r="AK534" s="28" t="s">
        <v>2219</v>
      </c>
      <c r="AL534" s="29" t="s">
        <v>48</v>
      </c>
      <c r="AM534" s="29">
        <v>4</v>
      </c>
      <c r="AN534" s="29" t="s">
        <v>48</v>
      </c>
      <c r="AO534" s="47" t="s">
        <v>2220</v>
      </c>
      <c r="AP534" s="28" t="s">
        <v>2221</v>
      </c>
      <c r="AQ534" s="26">
        <v>1.4999999999999999E-2</v>
      </c>
      <c r="AR534" s="26">
        <v>0</v>
      </c>
    </row>
    <row r="535" spans="1:44" x14ac:dyDescent="0.15">
      <c r="A535">
        <v>552</v>
      </c>
      <c r="B535" s="11">
        <v>233015</v>
      </c>
      <c r="C535" s="32"/>
      <c r="D535" s="32">
        <v>-8.3920203423166703E-4</v>
      </c>
      <c r="E535" s="32">
        <v>92</v>
      </c>
      <c r="F535" s="32">
        <v>9.5943068366791603E-2</v>
      </c>
      <c r="G535" s="11"/>
      <c r="H535" s="11"/>
      <c r="I535" s="11"/>
      <c r="J535" s="18" t="s">
        <v>44</v>
      </c>
      <c r="K535" s="18" t="s">
        <v>64</v>
      </c>
      <c r="L535" s="58" t="s">
        <v>354</v>
      </c>
      <c r="M535" s="18">
        <f>[1]!f_prt_stocktonav(B535,"2017/03/31")</f>
        <v>83.98333740234375</v>
      </c>
      <c r="N535" s="20" t="str">
        <f>[1]!f_info_fundmanager(B535)</f>
        <v>杨雨龙,吴国雄</v>
      </c>
      <c r="O535" s="21">
        <v>1.7643835616438357</v>
      </c>
      <c r="P535" s="34" t="s">
        <v>2222</v>
      </c>
      <c r="Q535" s="34" t="s">
        <v>2223</v>
      </c>
      <c r="R535" s="34" t="s">
        <v>378</v>
      </c>
      <c r="S535" s="34">
        <v>20121211</v>
      </c>
      <c r="T535" s="45">
        <v>18.798379589100001</v>
      </c>
      <c r="U535" s="46">
        <v>21.5334354258</v>
      </c>
      <c r="V535" s="34" t="s">
        <v>201</v>
      </c>
      <c r="W535" s="34" t="s">
        <v>44</v>
      </c>
      <c r="X535" s="34" t="s">
        <v>45</v>
      </c>
      <c r="Y535" s="34" t="s">
        <v>354</v>
      </c>
      <c r="Z535" s="34"/>
      <c r="AA535" s="34"/>
      <c r="AB535" s="22">
        <v>0.90840614318847657</v>
      </c>
      <c r="AC535" s="23" t="s">
        <v>2224</v>
      </c>
      <c r="AD535" s="24">
        <v>1.5342465753424657</v>
      </c>
      <c r="AE535" s="25">
        <v>0.18862716021352521</v>
      </c>
      <c r="AF535" s="26">
        <v>0.24507793271825265</v>
      </c>
      <c r="AG535" s="26">
        <v>0</v>
      </c>
      <c r="AH535" s="27">
        <v>0.84690524962508174</v>
      </c>
      <c r="AI535" s="27">
        <v>1.0026686917220671</v>
      </c>
      <c r="AJ535" s="27">
        <v>0.84690524962508174</v>
      </c>
      <c r="AK535" s="28" t="s">
        <v>2225</v>
      </c>
      <c r="AL535" s="29" t="s">
        <v>48</v>
      </c>
      <c r="AM535" s="29">
        <v>5</v>
      </c>
      <c r="AN535" s="29" t="s">
        <v>48</v>
      </c>
      <c r="AO535" s="47" t="s">
        <v>2226</v>
      </c>
      <c r="AP535" s="28">
        <v>0</v>
      </c>
      <c r="AQ535" s="26">
        <v>1.4999999999999999E-2</v>
      </c>
      <c r="AR535" s="26">
        <v>0</v>
      </c>
    </row>
    <row r="536" spans="1:44" x14ac:dyDescent="0.15">
      <c r="A536">
        <v>211</v>
      </c>
      <c r="B536" s="11">
        <v>370024</v>
      </c>
      <c r="C536" s="32"/>
      <c r="D536" s="32">
        <v>-1.4558593965972701E-3</v>
      </c>
      <c r="E536" s="32">
        <v>226</v>
      </c>
      <c r="F536" s="32">
        <v>0.19919358387578201</v>
      </c>
      <c r="G536" s="11"/>
      <c r="H536" s="11"/>
      <c r="I536" s="11"/>
      <c r="J536" s="18" t="s">
        <v>44</v>
      </c>
      <c r="K536" s="19" t="s">
        <v>45</v>
      </c>
      <c r="L536" s="58" t="s">
        <v>65</v>
      </c>
      <c r="M536" s="18">
        <f>[1]!f_prt_stocktonav(B536,"2017/03/31")</f>
        <v>91.601127624511719</v>
      </c>
      <c r="N536" s="20" t="str">
        <f>[1]!f_info_fundmanager(B536)</f>
        <v>孙芳</v>
      </c>
      <c r="O536" s="21">
        <v>4.3397260273972602</v>
      </c>
      <c r="P536" s="32" t="s">
        <v>2227</v>
      </c>
      <c r="Q536" s="13" t="s">
        <v>2228</v>
      </c>
      <c r="R536" s="13" t="s">
        <v>511</v>
      </c>
      <c r="S536" s="13">
        <v>20121128</v>
      </c>
      <c r="T536" s="14">
        <v>7.8502234571000002</v>
      </c>
      <c r="U536" s="15" t="s">
        <v>39</v>
      </c>
      <c r="V536" s="16" t="s">
        <v>40</v>
      </c>
      <c r="W536" s="17" t="s">
        <v>44</v>
      </c>
      <c r="X536" s="17" t="s">
        <v>45</v>
      </c>
      <c r="Y536" s="17" t="s">
        <v>274</v>
      </c>
      <c r="Z536" s="13"/>
      <c r="AA536" s="13"/>
      <c r="AB536" s="22">
        <v>0.84414680480957027</v>
      </c>
      <c r="AC536" s="23" t="s">
        <v>2229</v>
      </c>
      <c r="AD536" s="24">
        <v>4.1095890410958908</v>
      </c>
      <c r="AE536" s="25">
        <v>0.20644787791253649</v>
      </c>
      <c r="AF536" s="26">
        <v>0.13480505719869518</v>
      </c>
      <c r="AG536" s="26">
        <v>0</v>
      </c>
      <c r="AH536" s="27">
        <v>0.68395991891532026</v>
      </c>
      <c r="AI536" s="27">
        <v>0.47928125435901214</v>
      </c>
      <c r="AJ536" s="27">
        <v>0.68395991891532026</v>
      </c>
      <c r="AK536" s="28" t="s">
        <v>1009</v>
      </c>
      <c r="AL536" s="29" t="s">
        <v>48</v>
      </c>
      <c r="AM536" s="29">
        <v>3</v>
      </c>
      <c r="AN536" s="29" t="s">
        <v>48</v>
      </c>
      <c r="AO536" s="23" t="s">
        <v>249</v>
      </c>
      <c r="AP536" s="30">
        <v>0</v>
      </c>
      <c r="AQ536" s="31">
        <v>1.4999999999999999E-2</v>
      </c>
      <c r="AR536" s="31">
        <v>0</v>
      </c>
    </row>
    <row r="537" spans="1:44" x14ac:dyDescent="0.15">
      <c r="A537">
        <v>943</v>
      </c>
      <c r="B537" s="11">
        <v>660015</v>
      </c>
      <c r="C537" s="32"/>
      <c r="D537" s="32">
        <v>-8.8153819993318499E-4</v>
      </c>
      <c r="E537" s="32">
        <v>160</v>
      </c>
      <c r="F537" s="32">
        <v>0.49738635325022101</v>
      </c>
      <c r="G537" s="11"/>
      <c r="H537" s="11"/>
      <c r="I537" s="11"/>
      <c r="J537" s="18" t="s">
        <v>44</v>
      </c>
      <c r="K537" s="18" t="s">
        <v>45</v>
      </c>
      <c r="L537" s="58" t="s">
        <v>274</v>
      </c>
      <c r="M537" s="18">
        <f>[1]!f_prt_stocktonav(B537,"2017/03/31")</f>
        <v>70.658561706542969</v>
      </c>
      <c r="N537" s="20" t="str">
        <f>[1]!f_info_fundmanager(B537)</f>
        <v>郭世凯</v>
      </c>
      <c r="O537" s="21">
        <v>3.0602739726027397</v>
      </c>
      <c r="P537" s="34" t="s">
        <v>2230</v>
      </c>
      <c r="Q537" s="34" t="s">
        <v>2231</v>
      </c>
      <c r="R537" s="34" t="s">
        <v>424</v>
      </c>
      <c r="S537" s="34">
        <v>20121114</v>
      </c>
      <c r="T537" s="45">
        <v>2.8233954932000001</v>
      </c>
      <c r="U537" s="46">
        <v>2.9545391665</v>
      </c>
      <c r="V537" s="34" t="s">
        <v>231</v>
      </c>
      <c r="W537" s="34" t="s">
        <v>44</v>
      </c>
      <c r="X537" s="34" t="s">
        <v>45</v>
      </c>
      <c r="Y537" s="34" t="s">
        <v>274</v>
      </c>
      <c r="Z537" s="34"/>
      <c r="AA537" s="34"/>
      <c r="AB537" s="22">
        <v>0.72013267517089841</v>
      </c>
      <c r="AC537" s="23" t="s">
        <v>700</v>
      </c>
      <c r="AD537" s="24">
        <v>2.8301369863013699</v>
      </c>
      <c r="AE537" s="25">
        <v>0.27910711873143201</v>
      </c>
      <c r="AF537" s="26">
        <v>0.248585773427386</v>
      </c>
      <c r="AG537" s="26">
        <v>0</v>
      </c>
      <c r="AH537" s="27">
        <v>0.90019134703453152</v>
      </c>
      <c r="AI537" s="27">
        <v>0.75442109605008623</v>
      </c>
      <c r="AJ537" s="27">
        <v>0.90019134703453152</v>
      </c>
      <c r="AK537" s="28" t="s">
        <v>1868</v>
      </c>
      <c r="AL537" s="29" t="s">
        <v>48</v>
      </c>
      <c r="AM537" s="29">
        <v>5</v>
      </c>
      <c r="AN537" s="29" t="s">
        <v>48</v>
      </c>
      <c r="AO537" s="47" t="s">
        <v>702</v>
      </c>
      <c r="AP537" s="28">
        <v>0</v>
      </c>
      <c r="AQ537" s="26">
        <v>1.4999999999999999E-2</v>
      </c>
      <c r="AR537" s="26">
        <v>0</v>
      </c>
    </row>
    <row r="538" spans="1:44" x14ac:dyDescent="0.15">
      <c r="A538">
        <v>697</v>
      </c>
      <c r="B538" s="11">
        <v>519714</v>
      </c>
      <c r="C538" s="32"/>
      <c r="D538" s="32">
        <v>2.9154744799346302E-3</v>
      </c>
      <c r="E538" s="32">
        <v>92</v>
      </c>
      <c r="F538" s="32">
        <v>6.8024759767408294E-2</v>
      </c>
      <c r="G538" s="11"/>
      <c r="H538" s="11"/>
      <c r="I538" s="11"/>
      <c r="J538" s="18" t="s">
        <v>44</v>
      </c>
      <c r="K538" s="18" t="s">
        <v>87</v>
      </c>
      <c r="L538" s="58" t="s">
        <v>65</v>
      </c>
      <c r="M538" s="18">
        <f>[1]!f_prt_stocktonav(B538,"2017/03/31")</f>
        <v>80.091888427734375</v>
      </c>
      <c r="N538" s="20" t="str">
        <f>[1]!f_info_fundmanager(B538)</f>
        <v>盖婷婷</v>
      </c>
      <c r="O538" s="21">
        <v>1.7506849315068493</v>
      </c>
      <c r="P538" s="34" t="s">
        <v>2232</v>
      </c>
      <c r="Q538" s="34" t="s">
        <v>2233</v>
      </c>
      <c r="R538" s="34" t="s">
        <v>138</v>
      </c>
      <c r="S538" s="34">
        <v>20121107</v>
      </c>
      <c r="T538" s="45">
        <v>0.46077560090000003</v>
      </c>
      <c r="U538" s="46">
        <v>0.46199841530000002</v>
      </c>
      <c r="V538" s="34" t="s">
        <v>201</v>
      </c>
      <c r="W538" s="34" t="s">
        <v>44</v>
      </c>
      <c r="X538" s="34" t="s">
        <v>45</v>
      </c>
      <c r="Y538" s="34" t="s">
        <v>65</v>
      </c>
      <c r="Z538" s="34"/>
      <c r="AA538" s="34"/>
      <c r="AB538" s="22">
        <v>0.87702743530273441</v>
      </c>
      <c r="AC538" s="23" t="s">
        <v>2234</v>
      </c>
      <c r="AD538" s="24">
        <v>1.5205479452054795</v>
      </c>
      <c r="AE538" s="25">
        <v>3.7370707256402458E-2</v>
      </c>
      <c r="AF538" s="26">
        <v>0</v>
      </c>
      <c r="AG538" s="26">
        <v>0</v>
      </c>
      <c r="AH538" s="27">
        <v>0.5987535938110613</v>
      </c>
      <c r="AI538" s="27">
        <v>0.5987535938110613</v>
      </c>
      <c r="AJ538" s="27">
        <v>0.5987535938110613</v>
      </c>
      <c r="AK538" s="28" t="s">
        <v>2235</v>
      </c>
      <c r="AL538" s="29" t="s">
        <v>48</v>
      </c>
      <c r="AM538" s="29" t="s">
        <v>48</v>
      </c>
      <c r="AN538" s="29" t="s">
        <v>48</v>
      </c>
      <c r="AO538" s="47" t="s">
        <v>2236</v>
      </c>
      <c r="AP538" s="28" t="s">
        <v>608</v>
      </c>
      <c r="AQ538" s="26">
        <v>1.4999999999999999E-2</v>
      </c>
      <c r="AR538" s="26">
        <v>0</v>
      </c>
    </row>
    <row r="539" spans="1:44" x14ac:dyDescent="0.15">
      <c r="A539">
        <v>803</v>
      </c>
      <c r="B539" s="11">
        <v>519679</v>
      </c>
      <c r="C539" s="32"/>
      <c r="D539" s="32">
        <v>-7.9101556332599604E-4</v>
      </c>
      <c r="E539" s="32">
        <v>61</v>
      </c>
      <c r="F539" s="32">
        <v>0.62123427598348602</v>
      </c>
      <c r="G539" s="11"/>
      <c r="H539" s="11"/>
      <c r="I539" s="11"/>
      <c r="J539" s="18" t="s">
        <v>44</v>
      </c>
      <c r="K539" s="18" t="s">
        <v>87</v>
      </c>
      <c r="L539" s="58" t="s">
        <v>274</v>
      </c>
      <c r="M539" s="18">
        <f>[1]!f_prt_stocktonav(B539,"2017/03/31")</f>
        <v>76.469741821289063</v>
      </c>
      <c r="N539" s="20" t="str">
        <f>[1]!f_info_fundmanager(B539)</f>
        <v>张杨</v>
      </c>
      <c r="O539" s="21">
        <v>1.1616438356164382</v>
      </c>
      <c r="P539" s="34" t="s">
        <v>2237</v>
      </c>
      <c r="Q539" s="34" t="s">
        <v>2238</v>
      </c>
      <c r="R539" s="34" t="s">
        <v>807</v>
      </c>
      <c r="S539" s="34">
        <v>20120921</v>
      </c>
      <c r="T539" s="45">
        <v>10.6003229397</v>
      </c>
      <c r="U539" s="46">
        <v>11.750877984600001</v>
      </c>
      <c r="V539" s="34" t="s">
        <v>231</v>
      </c>
      <c r="W539" s="34" t="s">
        <v>44</v>
      </c>
      <c r="X539" s="34" t="s">
        <v>45</v>
      </c>
      <c r="Y539" s="34" t="s">
        <v>274</v>
      </c>
      <c r="Z539" s="34"/>
      <c r="AA539" s="34"/>
      <c r="AB539" s="22">
        <v>0.85881790161132809</v>
      </c>
      <c r="AC539" s="23" t="s">
        <v>2239</v>
      </c>
      <c r="AD539" s="24">
        <v>0.93150684931506844</v>
      </c>
      <c r="AE539" s="25">
        <v>0.33849900351539941</v>
      </c>
      <c r="AF539" s="26">
        <v>0.21856537370477902</v>
      </c>
      <c r="AG539" s="26">
        <v>0</v>
      </c>
      <c r="AH539" s="27">
        <v>1.0407436396160914</v>
      </c>
      <c r="AI539" s="27">
        <v>0.67451483913790133</v>
      </c>
      <c r="AJ539" s="27">
        <v>1.0407436396160914</v>
      </c>
      <c r="AK539" s="28" t="s">
        <v>1750</v>
      </c>
      <c r="AL539" s="29">
        <v>5</v>
      </c>
      <c r="AM539" s="29">
        <v>4</v>
      </c>
      <c r="AN539" s="29" t="s">
        <v>48</v>
      </c>
      <c r="AO539" s="47" t="s">
        <v>101</v>
      </c>
      <c r="AP539" s="28">
        <v>0</v>
      </c>
      <c r="AQ539" s="26">
        <v>1.4999999999999999E-2</v>
      </c>
      <c r="AR539" s="26">
        <v>0</v>
      </c>
    </row>
    <row r="540" spans="1:44" x14ac:dyDescent="0.15">
      <c r="A540">
        <v>382</v>
      </c>
      <c r="B540" s="11">
        <v>166301</v>
      </c>
      <c r="C540" s="32"/>
      <c r="D540" s="32">
        <v>-1.2746910760916901E-4</v>
      </c>
      <c r="E540" s="32">
        <v>98</v>
      </c>
      <c r="F540" s="32">
        <v>0.928395559103809</v>
      </c>
      <c r="G540" s="11"/>
      <c r="H540" s="11"/>
      <c r="I540" s="11"/>
      <c r="J540" s="18" t="s">
        <v>44</v>
      </c>
      <c r="K540" s="18" t="s">
        <v>45</v>
      </c>
      <c r="L540" s="58" t="s">
        <v>274</v>
      </c>
      <c r="M540" s="18">
        <f>[1]!f_prt_stocktonav(B540,"2017/03/31")</f>
        <v>87.851531982421875</v>
      </c>
      <c r="N540" s="20" t="str">
        <f>[1]!f_info_fundmanager(B540)</f>
        <v>周海栋</v>
      </c>
      <c r="O540" s="21">
        <v>1.8821917808219177</v>
      </c>
      <c r="P540" s="34" t="s">
        <v>2240</v>
      </c>
      <c r="Q540" s="34" t="s">
        <v>2241</v>
      </c>
      <c r="R540" s="34" t="s">
        <v>387</v>
      </c>
      <c r="S540" s="34">
        <v>20120906</v>
      </c>
      <c r="T540" s="45">
        <v>1.0232511712000001</v>
      </c>
      <c r="U540" s="46">
        <v>1.0926593313999999</v>
      </c>
      <c r="V540" s="34" t="s">
        <v>201</v>
      </c>
      <c r="W540" s="34" t="s">
        <v>44</v>
      </c>
      <c r="X540" s="17" t="s">
        <v>45</v>
      </c>
      <c r="Y540" s="17" t="s">
        <v>274</v>
      </c>
      <c r="Z540" s="34"/>
      <c r="AA540" s="34"/>
      <c r="AB540" s="22">
        <v>0.86877021789550779</v>
      </c>
      <c r="AC540" s="23" t="s">
        <v>2046</v>
      </c>
      <c r="AD540" s="24">
        <v>1.6520547945205479</v>
      </c>
      <c r="AE540" s="25">
        <v>-2.2022399268636916E-2</v>
      </c>
      <c r="AF540" s="26">
        <v>0</v>
      </c>
      <c r="AG540" s="26">
        <v>0</v>
      </c>
      <c r="AH540" s="27">
        <v>7.5331154296758199E-2</v>
      </c>
      <c r="AI540" s="27">
        <v>7.5331154296758199E-2</v>
      </c>
      <c r="AJ540" s="27">
        <v>7.5331154296758199E-2</v>
      </c>
      <c r="AK540" s="28" t="s">
        <v>1048</v>
      </c>
      <c r="AL540" s="29" t="s">
        <v>48</v>
      </c>
      <c r="AM540" s="29" t="s">
        <v>48</v>
      </c>
      <c r="AN540" s="29" t="s">
        <v>48</v>
      </c>
      <c r="AO540" s="47" t="s">
        <v>310</v>
      </c>
      <c r="AP540" s="28">
        <v>0</v>
      </c>
      <c r="AQ540" s="26">
        <v>1.4999999999999999E-2</v>
      </c>
      <c r="AR540" s="26">
        <v>0</v>
      </c>
    </row>
    <row r="541" spans="1:44" x14ac:dyDescent="0.15">
      <c r="A541">
        <v>282</v>
      </c>
      <c r="B541" s="11">
        <v>610007</v>
      </c>
      <c r="C541" s="32"/>
      <c r="D541" s="32">
        <v>-2.87202005894408E-3</v>
      </c>
      <c r="E541" s="32">
        <v>85</v>
      </c>
      <c r="F541" s="32">
        <v>6.80272583920737E-2</v>
      </c>
      <c r="G541" s="11"/>
      <c r="H541" s="11"/>
      <c r="I541" s="11"/>
      <c r="J541" s="18" t="s">
        <v>44</v>
      </c>
      <c r="K541" s="18" t="s">
        <v>45</v>
      </c>
      <c r="L541" s="58" t="s">
        <v>274</v>
      </c>
      <c r="M541" s="18">
        <f>[1]!f_prt_stocktonav(B541,"2017/03/31")</f>
        <v>89.772438049316406</v>
      </c>
      <c r="N541" s="20" t="str">
        <f>[1]!f_info_fundmanager(B541)</f>
        <v>冯士祯,张培培</v>
      </c>
      <c r="O541" s="21">
        <v>1.6164383561643836</v>
      </c>
      <c r="P541" s="34" t="s">
        <v>2242</v>
      </c>
      <c r="Q541" s="34" t="s">
        <v>2243</v>
      </c>
      <c r="R541" s="34" t="s">
        <v>189</v>
      </c>
      <c r="S541" s="34">
        <v>20120904</v>
      </c>
      <c r="T541" s="45">
        <v>0.90634731459999995</v>
      </c>
      <c r="U541" s="46">
        <v>1.079630227</v>
      </c>
      <c r="V541" s="34" t="s">
        <v>201</v>
      </c>
      <c r="W541" s="34" t="s">
        <v>44</v>
      </c>
      <c r="X541" s="34" t="s">
        <v>45</v>
      </c>
      <c r="Y541" s="34" t="s">
        <v>274</v>
      </c>
      <c r="Z541" s="34"/>
      <c r="AA541" s="34"/>
      <c r="AB541" s="22">
        <v>0.88542366027832031</v>
      </c>
      <c r="AC541" s="23" t="s">
        <v>2244</v>
      </c>
      <c r="AD541" s="24">
        <v>1.3863013698630138</v>
      </c>
      <c r="AE541" s="25">
        <v>0.13806552938769112</v>
      </c>
      <c r="AF541" s="26">
        <v>0.13918548335301728</v>
      </c>
      <c r="AG541" s="26">
        <v>0</v>
      </c>
      <c r="AH541" s="27">
        <v>0.51410010475758428</v>
      </c>
      <c r="AI541" s="27">
        <v>0.48487320560821096</v>
      </c>
      <c r="AJ541" s="27">
        <v>0.51410010475758428</v>
      </c>
      <c r="AK541" s="28" t="s">
        <v>2245</v>
      </c>
      <c r="AL541" s="29">
        <v>1</v>
      </c>
      <c r="AM541" s="29">
        <v>3</v>
      </c>
      <c r="AN541" s="29" t="s">
        <v>48</v>
      </c>
      <c r="AO541" s="47" t="s">
        <v>1002</v>
      </c>
      <c r="AP541" s="28">
        <v>0</v>
      </c>
      <c r="AQ541" s="26">
        <v>1.4999999999999999E-2</v>
      </c>
      <c r="AR541" s="26">
        <v>0</v>
      </c>
    </row>
    <row r="542" spans="1:44" x14ac:dyDescent="0.15">
      <c r="A542">
        <v>312</v>
      </c>
      <c r="B542" s="11">
        <v>50026</v>
      </c>
      <c r="C542" s="32"/>
      <c r="D542" s="32">
        <v>-3.05026205945181E-3</v>
      </c>
      <c r="E542" s="32">
        <v>181</v>
      </c>
      <c r="F542" s="32">
        <v>1.4384033647397701E-2</v>
      </c>
      <c r="G542" s="11"/>
      <c r="H542" s="11"/>
      <c r="I542" s="11"/>
      <c r="J542" s="18" t="s">
        <v>44</v>
      </c>
      <c r="K542" s="18" t="s">
        <v>86</v>
      </c>
      <c r="L542" s="58" t="s">
        <v>274</v>
      </c>
      <c r="M542" s="18">
        <f>[1]!f_prt_stocktonav(B542,"2017/03/31")</f>
        <v>89.271682739257813</v>
      </c>
      <c r="N542" s="20" t="str">
        <f>[1]!f_info_fundmanager(B542)</f>
        <v>苏永超</v>
      </c>
      <c r="O542" s="21">
        <v>3.473972602739726</v>
      </c>
      <c r="P542" s="34" t="s">
        <v>2246</v>
      </c>
      <c r="Q542" s="34" t="s">
        <v>2247</v>
      </c>
      <c r="R542" s="34" t="s">
        <v>413</v>
      </c>
      <c r="S542" s="34">
        <v>20120828</v>
      </c>
      <c r="T542" s="45">
        <v>7.5815950234000002</v>
      </c>
      <c r="U542" s="46">
        <v>8.5219521449000002</v>
      </c>
      <c r="V542" s="34" t="s">
        <v>231</v>
      </c>
      <c r="W542" s="34" t="s">
        <v>44</v>
      </c>
      <c r="X542" s="34" t="s">
        <v>86</v>
      </c>
      <c r="Y542" s="34" t="s">
        <v>274</v>
      </c>
      <c r="Z542" s="34" t="s">
        <v>1725</v>
      </c>
      <c r="AA542" s="34"/>
      <c r="AB542" s="22">
        <v>0.88303588867187499</v>
      </c>
      <c r="AC542" s="23" t="s">
        <v>2248</v>
      </c>
      <c r="AD542" s="24">
        <v>3.2438356164383562</v>
      </c>
      <c r="AE542" s="25">
        <v>0.11928508351004365</v>
      </c>
      <c r="AF542" s="26">
        <v>7.3887318413429881E-2</v>
      </c>
      <c r="AG542" s="26">
        <v>0</v>
      </c>
      <c r="AH542" s="27">
        <v>0.48579707068096123</v>
      </c>
      <c r="AI542" s="27">
        <v>0.33392159436157826</v>
      </c>
      <c r="AJ542" s="27">
        <v>0.48579707068096123</v>
      </c>
      <c r="AK542" s="33" t="s">
        <v>2249</v>
      </c>
      <c r="AL542" s="29">
        <v>2</v>
      </c>
      <c r="AM542" s="29">
        <v>2</v>
      </c>
      <c r="AN542" s="29" t="s">
        <v>48</v>
      </c>
      <c r="AO542" s="47" t="s">
        <v>417</v>
      </c>
      <c r="AP542" s="28">
        <v>0</v>
      </c>
      <c r="AQ542" s="26">
        <v>1.4999999999999999E-2</v>
      </c>
      <c r="AR542" s="26">
        <v>0</v>
      </c>
    </row>
    <row r="543" spans="1:44" x14ac:dyDescent="0.15">
      <c r="A543">
        <v>175</v>
      </c>
      <c r="B543" s="11">
        <v>90020</v>
      </c>
      <c r="C543" s="32"/>
      <c r="D543" s="32">
        <v>-6.7461799437370301E-3</v>
      </c>
      <c r="E543" s="32">
        <v>144</v>
      </c>
      <c r="F543" s="32">
        <v>4.8289480761461699E-5</v>
      </c>
      <c r="G543" s="11"/>
      <c r="H543" s="11"/>
      <c r="I543" s="11"/>
      <c r="J543" s="18" t="s">
        <v>44</v>
      </c>
      <c r="K543" s="18" t="s">
        <v>45</v>
      </c>
      <c r="L543" s="58" t="s">
        <v>274</v>
      </c>
      <c r="M543" s="18">
        <f>[1]!f_prt_stocktonav(B543,"2017/03/31")</f>
        <v>92.251174926757813</v>
      </c>
      <c r="N543" s="20" t="str">
        <f>[1]!f_info_fundmanager(B543)</f>
        <v>杨挺</v>
      </c>
      <c r="O543" s="21">
        <v>2.7643835616438355</v>
      </c>
      <c r="P543" s="34" t="s">
        <v>2250</v>
      </c>
      <c r="Q543" s="34" t="s">
        <v>2251</v>
      </c>
      <c r="R543" s="34" t="s">
        <v>486</v>
      </c>
      <c r="S543" s="34">
        <v>20120828</v>
      </c>
      <c r="T543" s="45">
        <v>0.31793957239999998</v>
      </c>
      <c r="U543" s="46">
        <v>0.37943722019999998</v>
      </c>
      <c r="V543" s="34" t="s">
        <v>201</v>
      </c>
      <c r="W543" s="34" t="s">
        <v>44</v>
      </c>
      <c r="X543" s="34" t="s">
        <v>45</v>
      </c>
      <c r="Y543" s="34" t="s">
        <v>274</v>
      </c>
      <c r="Z543" s="34"/>
      <c r="AA543" s="34"/>
      <c r="AB543" s="22">
        <v>0.81941184997558592</v>
      </c>
      <c r="AC543" s="23" t="s">
        <v>1043</v>
      </c>
      <c r="AD543" s="24">
        <v>2.5342465753424657</v>
      </c>
      <c r="AE543" s="25">
        <v>-4.7964562735556715E-2</v>
      </c>
      <c r="AF543" s="26">
        <v>0</v>
      </c>
      <c r="AG543" s="26">
        <v>0</v>
      </c>
      <c r="AH543" s="27">
        <v>1.5923139325406739E-2</v>
      </c>
      <c r="AI543" s="27">
        <v>1.5923139325406739E-2</v>
      </c>
      <c r="AJ543" s="27">
        <v>1.5923139325406739E-2</v>
      </c>
      <c r="AK543" s="28" t="s">
        <v>2252</v>
      </c>
      <c r="AL543" s="29" t="s">
        <v>48</v>
      </c>
      <c r="AM543" s="29" t="s">
        <v>48</v>
      </c>
      <c r="AN543" s="29" t="s">
        <v>48</v>
      </c>
      <c r="AO543" s="47" t="s">
        <v>367</v>
      </c>
      <c r="AP543" s="28">
        <v>0</v>
      </c>
      <c r="AQ543" s="26">
        <v>1.4999999999999999E-2</v>
      </c>
      <c r="AR543" s="26">
        <v>0</v>
      </c>
    </row>
    <row r="544" spans="1:44" x14ac:dyDescent="0.15">
      <c r="A544">
        <v>608</v>
      </c>
      <c r="B544" s="11">
        <v>240022</v>
      </c>
      <c r="C544" s="32"/>
      <c r="D544" s="32">
        <v>-4.3150442821272101E-3</v>
      </c>
      <c r="E544" s="32">
        <v>240</v>
      </c>
      <c r="F544" s="32">
        <v>1.7000223268529799E-4</v>
      </c>
      <c r="G544" s="11"/>
      <c r="H544" s="11"/>
      <c r="I544" s="11"/>
      <c r="J544" s="18" t="s">
        <v>44</v>
      </c>
      <c r="K544" s="18" t="s">
        <v>87</v>
      </c>
      <c r="L544" s="58" t="s">
        <v>65</v>
      </c>
      <c r="M544" s="18">
        <f>[1]!f_prt_stocktonav(B544,"2017/03/31")</f>
        <v>82.7166748046875</v>
      </c>
      <c r="N544" s="20" t="str">
        <f>[1]!f_info_fundmanager(B544)</f>
        <v>蔡目荣</v>
      </c>
      <c r="O544" s="21">
        <v>4.6109589041095891</v>
      </c>
      <c r="P544" s="34" t="s">
        <v>2253</v>
      </c>
      <c r="Q544" s="34" t="s">
        <v>2254</v>
      </c>
      <c r="R544" s="34" t="s">
        <v>737</v>
      </c>
      <c r="S544" s="34">
        <v>20120821</v>
      </c>
      <c r="T544" s="45">
        <v>3.9668527392000001</v>
      </c>
      <c r="U544" s="46">
        <v>2.7566839822000002</v>
      </c>
      <c r="V544" s="34" t="s">
        <v>201</v>
      </c>
      <c r="W544" s="34" t="s">
        <v>44</v>
      </c>
      <c r="X544" s="34" t="s">
        <v>45</v>
      </c>
      <c r="Y544" s="34" t="s">
        <v>65</v>
      </c>
      <c r="Z544" s="34"/>
      <c r="AA544" s="34"/>
      <c r="AB544" s="22">
        <v>0.81173568725585943</v>
      </c>
      <c r="AC544" s="23" t="s">
        <v>2255</v>
      </c>
      <c r="AD544" s="24">
        <v>4.3808219178082188</v>
      </c>
      <c r="AE544" s="25">
        <v>5.1652052267971538E-2</v>
      </c>
      <c r="AF544" s="26">
        <v>0.17914754198177074</v>
      </c>
      <c r="AG544" s="26">
        <v>0</v>
      </c>
      <c r="AH544" s="27">
        <v>0.26812959498226052</v>
      </c>
      <c r="AI544" s="27">
        <v>0.70747161904887856</v>
      </c>
      <c r="AJ544" s="27">
        <v>0.26812959498226052</v>
      </c>
      <c r="AK544" s="28" t="s">
        <v>2256</v>
      </c>
      <c r="AL544" s="29">
        <v>1</v>
      </c>
      <c r="AM544" s="29">
        <v>2</v>
      </c>
      <c r="AN544" s="29" t="s">
        <v>48</v>
      </c>
      <c r="AO544" s="47" t="s">
        <v>739</v>
      </c>
      <c r="AP544" s="28">
        <v>0</v>
      </c>
      <c r="AQ544" s="26">
        <v>1.4999999999999999E-2</v>
      </c>
      <c r="AR544" s="26">
        <v>0</v>
      </c>
    </row>
    <row r="545" spans="1:44" x14ac:dyDescent="0.15">
      <c r="A545">
        <v>288</v>
      </c>
      <c r="B545" s="11">
        <v>40035</v>
      </c>
      <c r="C545" s="32"/>
      <c r="D545" s="32">
        <v>3.5816660184106498E-4</v>
      </c>
      <c r="E545" s="32">
        <v>93</v>
      </c>
      <c r="F545" s="32">
        <v>0.76188679669080595</v>
      </c>
      <c r="G545" s="11"/>
      <c r="H545" s="11"/>
      <c r="I545" s="11"/>
      <c r="J545" s="18" t="s">
        <v>44</v>
      </c>
      <c r="K545" s="18" t="s">
        <v>45</v>
      </c>
      <c r="L545" s="58" t="s">
        <v>274</v>
      </c>
      <c r="M545" s="18">
        <f>[1]!f_prt_stocktonav(B545,"2017/03/31")</f>
        <v>89.619880676269531</v>
      </c>
      <c r="N545" s="20" t="str">
        <f>[1]!f_info_fundmanager(B545)</f>
        <v>崔莹</v>
      </c>
      <c r="O545" s="21">
        <v>1.7863013698630137</v>
      </c>
      <c r="P545" s="34" t="s">
        <v>2257</v>
      </c>
      <c r="Q545" s="34" t="s">
        <v>2258</v>
      </c>
      <c r="R545" s="34" t="s">
        <v>63</v>
      </c>
      <c r="S545" s="34">
        <v>20120816</v>
      </c>
      <c r="T545" s="45">
        <v>33.670145047600002</v>
      </c>
      <c r="U545" s="46">
        <v>34.608331318399998</v>
      </c>
      <c r="V545" s="34" t="s">
        <v>201</v>
      </c>
      <c r="W545" s="34" t="s">
        <v>44</v>
      </c>
      <c r="X545" s="34" t="s">
        <v>45</v>
      </c>
      <c r="Y545" s="34" t="s">
        <v>274</v>
      </c>
      <c r="Z545" s="34"/>
      <c r="AA545" s="34"/>
      <c r="AB545" s="22">
        <v>0.85401878356933592</v>
      </c>
      <c r="AC545" s="23" t="s">
        <v>2259</v>
      </c>
      <c r="AD545" s="24">
        <v>1.5561643835616439</v>
      </c>
      <c r="AE545" s="25">
        <v>0.35285363547089643</v>
      </c>
      <c r="AF545" s="26">
        <v>0.40452289424244214</v>
      </c>
      <c r="AG545" s="26">
        <v>0</v>
      </c>
      <c r="AH545" s="27">
        <v>1.153248022260579</v>
      </c>
      <c r="AI545" s="27">
        <v>1.1523689853258572</v>
      </c>
      <c r="AJ545" s="27">
        <v>1.153248022260579</v>
      </c>
      <c r="AK545" s="28" t="s">
        <v>110</v>
      </c>
      <c r="AL545" s="29">
        <v>5</v>
      </c>
      <c r="AM545" s="29">
        <v>5</v>
      </c>
      <c r="AN545" s="29" t="s">
        <v>48</v>
      </c>
      <c r="AO545" s="47" t="s">
        <v>2260</v>
      </c>
      <c r="AP545" s="28">
        <v>0</v>
      </c>
      <c r="AQ545" s="26">
        <v>1.4999999999999999E-2</v>
      </c>
      <c r="AR545" s="26">
        <v>0</v>
      </c>
    </row>
    <row r="546" spans="1:44" x14ac:dyDescent="0.15">
      <c r="A546">
        <v>730</v>
      </c>
      <c r="B546" s="11">
        <v>560006</v>
      </c>
      <c r="C546" s="32"/>
      <c r="D546" s="32">
        <v>-5.6317348291888005E-4</v>
      </c>
      <c r="E546" s="32">
        <v>39</v>
      </c>
      <c r="F546" s="32">
        <v>0.73769937463496604</v>
      </c>
      <c r="G546" s="11"/>
      <c r="H546" s="11"/>
      <c r="I546" s="11"/>
      <c r="J546" s="18" t="s">
        <v>44</v>
      </c>
      <c r="K546" s="18" t="s">
        <v>45</v>
      </c>
      <c r="L546" s="58" t="s">
        <v>65</v>
      </c>
      <c r="M546" s="18">
        <f>[1]!f_prt_stocktonav(B546,"2017/03/31")</f>
        <v>79.005149841308594</v>
      </c>
      <c r="N546" s="20" t="str">
        <f>[1]!f_info_fundmanager(B546)</f>
        <v>吕伟</v>
      </c>
      <c r="O546" s="21">
        <v>0.73972602739726023</v>
      </c>
      <c r="P546" s="34" t="s">
        <v>2261</v>
      </c>
      <c r="Q546" s="34" t="s">
        <v>2262</v>
      </c>
      <c r="R546" s="34" t="s">
        <v>2263</v>
      </c>
      <c r="S546" s="34">
        <v>20120816</v>
      </c>
      <c r="T546" s="45">
        <v>0.41226315829999999</v>
      </c>
      <c r="U546" s="46">
        <v>0.44722831559999998</v>
      </c>
      <c r="V546" s="34" t="s">
        <v>231</v>
      </c>
      <c r="W546" s="34" t="s">
        <v>44</v>
      </c>
      <c r="X546" s="34" t="s">
        <v>45</v>
      </c>
      <c r="Y546" s="34" t="s">
        <v>65</v>
      </c>
      <c r="Z546" s="34"/>
      <c r="AA546" s="34"/>
      <c r="AB546" s="22">
        <v>0.76227577209472652</v>
      </c>
      <c r="AC546" s="23" t="s">
        <v>2264</v>
      </c>
      <c r="AD546" s="24">
        <v>0.50958904109589043</v>
      </c>
      <c r="AE546" s="25">
        <v>6.5241307482294175E-2</v>
      </c>
      <c r="AF546" s="26">
        <v>1.6717635239593465E-2</v>
      </c>
      <c r="AG546" s="26">
        <v>0</v>
      </c>
      <c r="AH546" s="27">
        <v>0.31553774692382308</v>
      </c>
      <c r="AI546" s="27">
        <v>0.15888980492125462</v>
      </c>
      <c r="AJ546" s="27">
        <v>0.31553774692382308</v>
      </c>
      <c r="AK546" s="28" t="s">
        <v>2265</v>
      </c>
      <c r="AL546" s="29">
        <v>1</v>
      </c>
      <c r="AM546" s="29" t="s">
        <v>48</v>
      </c>
      <c r="AN546" s="29" t="s">
        <v>48</v>
      </c>
      <c r="AO546" s="47" t="s">
        <v>715</v>
      </c>
      <c r="AP546" s="28">
        <v>0</v>
      </c>
      <c r="AQ546" s="26">
        <v>1.4999999999999999E-2</v>
      </c>
      <c r="AR546" s="26">
        <v>0</v>
      </c>
    </row>
    <row r="547" spans="1:44" x14ac:dyDescent="0.15">
      <c r="A547">
        <v>505</v>
      </c>
      <c r="B547" s="11">
        <v>530019</v>
      </c>
      <c r="C547" s="32"/>
      <c r="D547" s="32">
        <v>-1.39120518779064E-3</v>
      </c>
      <c r="E547" s="32">
        <v>241</v>
      </c>
      <c r="F547" s="32">
        <v>0.178825840350987</v>
      </c>
      <c r="G547" s="11"/>
      <c r="H547" s="11"/>
      <c r="I547" s="11"/>
      <c r="J547" s="18" t="s">
        <v>44</v>
      </c>
      <c r="K547" s="18" t="s">
        <v>45</v>
      </c>
      <c r="L547" s="58" t="s">
        <v>65</v>
      </c>
      <c r="M547" s="18">
        <f>[1]!f_prt_stocktonav(B547,"2017/03/31")</f>
        <v>85.185531616210937</v>
      </c>
      <c r="N547" s="20" t="str">
        <f>[1]!f_info_fundmanager(B547)</f>
        <v>许杰</v>
      </c>
      <c r="O547" s="21">
        <v>4.6301369863013697</v>
      </c>
      <c r="P547" s="34" t="s">
        <v>2266</v>
      </c>
      <c r="Q547" s="34" t="s">
        <v>2267</v>
      </c>
      <c r="R547" s="34" t="s">
        <v>307</v>
      </c>
      <c r="S547" s="34">
        <v>20120814</v>
      </c>
      <c r="T547" s="45">
        <v>0.33646999570000002</v>
      </c>
      <c r="U547" s="46">
        <v>0.37498578729999998</v>
      </c>
      <c r="V547" s="34" t="s">
        <v>201</v>
      </c>
      <c r="W547" s="34" t="s">
        <v>44</v>
      </c>
      <c r="X547" s="34" t="s">
        <v>45</v>
      </c>
      <c r="Y547" s="34" t="s">
        <v>274</v>
      </c>
      <c r="Z547" s="34"/>
      <c r="AA547" s="34"/>
      <c r="AB547" s="22">
        <v>0.80127334594726563</v>
      </c>
      <c r="AC547" s="23" t="s">
        <v>1241</v>
      </c>
      <c r="AD547" s="24">
        <v>4.4000000000000004</v>
      </c>
      <c r="AE547" s="25">
        <v>0.16486347351230493</v>
      </c>
      <c r="AF547" s="26">
        <v>0.17366756564384134</v>
      </c>
      <c r="AG547" s="26">
        <v>0</v>
      </c>
      <c r="AH547" s="27">
        <v>0.67007797222702281</v>
      </c>
      <c r="AI547" s="27">
        <v>0.65114888660222148</v>
      </c>
      <c r="AJ547" s="27">
        <v>0.67007797222702281</v>
      </c>
      <c r="AK547" s="28" t="s">
        <v>2074</v>
      </c>
      <c r="AL547" s="29">
        <v>3</v>
      </c>
      <c r="AM547" s="29">
        <v>3</v>
      </c>
      <c r="AN547" s="29" t="s">
        <v>48</v>
      </c>
      <c r="AO547" s="47" t="s">
        <v>209</v>
      </c>
      <c r="AP547" s="28">
        <v>0</v>
      </c>
      <c r="AQ547" s="26">
        <v>1.4999999999999999E-2</v>
      </c>
      <c r="AR547" s="26">
        <v>0</v>
      </c>
    </row>
    <row r="548" spans="1:44" x14ac:dyDescent="0.15">
      <c r="A548">
        <v>765</v>
      </c>
      <c r="B548" s="11">
        <v>519712</v>
      </c>
      <c r="C548" s="32"/>
      <c r="D548" s="32">
        <v>2.0681742407972102E-3</v>
      </c>
      <c r="E548" s="32">
        <v>81</v>
      </c>
      <c r="F548" s="32">
        <v>0.13408796447839499</v>
      </c>
      <c r="G548" s="11"/>
      <c r="H548" s="11"/>
      <c r="I548" s="11"/>
      <c r="J548" s="18" t="s">
        <v>44</v>
      </c>
      <c r="K548" s="18" t="s">
        <v>64</v>
      </c>
      <c r="L548" s="58" t="s">
        <v>274</v>
      </c>
      <c r="M548" s="18">
        <f>[1]!f_prt_stocktonav(B548,"2017/03/31")</f>
        <v>77.715049743652344</v>
      </c>
      <c r="N548" s="20" t="str">
        <f>[1]!f_info_fundmanager(B548)</f>
        <v>何帅</v>
      </c>
      <c r="O548" s="21">
        <v>1.5397260273972602</v>
      </c>
      <c r="P548" s="34" t="s">
        <v>2268</v>
      </c>
      <c r="Q548" s="34" t="s">
        <v>2269</v>
      </c>
      <c r="R548" s="34" t="s">
        <v>138</v>
      </c>
      <c r="S548" s="34">
        <v>20120803</v>
      </c>
      <c r="T548" s="45">
        <v>10.6876840942</v>
      </c>
      <c r="U548" s="46">
        <v>1.4994871295000001</v>
      </c>
      <c r="V548" s="34" t="s">
        <v>231</v>
      </c>
      <c r="W548" s="34" t="s">
        <v>44</v>
      </c>
      <c r="X548" s="34" t="s">
        <v>45</v>
      </c>
      <c r="Y548" s="34" t="s">
        <v>274</v>
      </c>
      <c r="Z548" s="34"/>
      <c r="AA548" s="34"/>
      <c r="AB548" s="22">
        <v>0.78199485778808597</v>
      </c>
      <c r="AC548" s="23" t="s">
        <v>2270</v>
      </c>
      <c r="AD548" s="24">
        <v>1.3095890410958904</v>
      </c>
      <c r="AE548" s="25">
        <v>0.20870588223526898</v>
      </c>
      <c r="AF548" s="26">
        <v>0.31532373438117656</v>
      </c>
      <c r="AG548" s="26">
        <v>0</v>
      </c>
      <c r="AH548" s="27">
        <v>0.80952273384113083</v>
      </c>
      <c r="AI548" s="27">
        <v>1.0422078182247425</v>
      </c>
      <c r="AJ548" s="27">
        <v>0.80952273384113083</v>
      </c>
      <c r="AK548" s="28" t="s">
        <v>2271</v>
      </c>
      <c r="AL548" s="29">
        <v>3</v>
      </c>
      <c r="AM548" s="29">
        <v>5</v>
      </c>
      <c r="AN548" s="29" t="s">
        <v>48</v>
      </c>
      <c r="AO548" s="47" t="s">
        <v>2272</v>
      </c>
      <c r="AP548" s="28" t="s">
        <v>608</v>
      </c>
      <c r="AQ548" s="26">
        <v>1.4999999999999999E-2</v>
      </c>
      <c r="AR548" s="26">
        <v>0</v>
      </c>
    </row>
    <row r="549" spans="1:44" x14ac:dyDescent="0.15">
      <c r="A549">
        <v>502</v>
      </c>
      <c r="B549" s="11">
        <v>620008</v>
      </c>
      <c r="C549" s="32"/>
      <c r="D549" s="32">
        <v>-2.39567093821909E-3</v>
      </c>
      <c r="E549" s="32">
        <v>76</v>
      </c>
      <c r="F549" s="32">
        <v>0.26508384353766601</v>
      </c>
      <c r="G549" s="11"/>
      <c r="H549" s="11"/>
      <c r="I549" s="11"/>
      <c r="J549" s="18" t="s">
        <v>44</v>
      </c>
      <c r="K549" s="18" t="s">
        <v>87</v>
      </c>
      <c r="L549" s="58" t="s">
        <v>65</v>
      </c>
      <c r="M549" s="18">
        <f>[1]!f_prt_stocktonav(B549,"2017/03/31")</f>
        <v>85.223785400390625</v>
      </c>
      <c r="N549" s="20" t="str">
        <f>[1]!f_info_fundmanager(B549)</f>
        <v>闵杭</v>
      </c>
      <c r="O549" s="21">
        <v>1.4575342465753425</v>
      </c>
      <c r="P549" s="34" t="s">
        <v>2273</v>
      </c>
      <c r="Q549" s="34" t="s">
        <v>2274</v>
      </c>
      <c r="R549" s="34" t="s">
        <v>2275</v>
      </c>
      <c r="S549" s="34">
        <v>20120731</v>
      </c>
      <c r="T549" s="45">
        <v>0.22787837010000001</v>
      </c>
      <c r="U549" s="46">
        <v>0.26586688019999999</v>
      </c>
      <c r="V549" s="34" t="s">
        <v>201</v>
      </c>
      <c r="W549" s="34" t="s">
        <v>44</v>
      </c>
      <c r="X549" s="34" t="s">
        <v>87</v>
      </c>
      <c r="Y549" s="34" t="s">
        <v>274</v>
      </c>
      <c r="Z549" s="34" t="s">
        <v>2276</v>
      </c>
      <c r="AA549" s="34"/>
      <c r="AB549" s="22">
        <v>0.85923179626464841</v>
      </c>
      <c r="AC549" s="23" t="s">
        <v>2277</v>
      </c>
      <c r="AD549" s="24">
        <v>1.2273972602739727</v>
      </c>
      <c r="AE549" s="25">
        <v>1.5837424057038252E-2</v>
      </c>
      <c r="AF549" s="26">
        <v>-2.0005389940710772E-2</v>
      </c>
      <c r="AG549" s="26">
        <v>0</v>
      </c>
      <c r="AH549" s="27">
        <v>0.15960127103977431</v>
      </c>
      <c r="AI549" s="27">
        <v>8.1462258477472391E-2</v>
      </c>
      <c r="AJ549" s="27">
        <v>0.15960127103977431</v>
      </c>
      <c r="AK549" s="33" t="s">
        <v>110</v>
      </c>
      <c r="AL549" s="29">
        <v>1</v>
      </c>
      <c r="AM549" s="29">
        <v>3</v>
      </c>
      <c r="AN549" s="29" t="s">
        <v>48</v>
      </c>
      <c r="AO549" s="47" t="s">
        <v>2130</v>
      </c>
      <c r="AP549" s="28">
        <v>0</v>
      </c>
      <c r="AQ549" s="26">
        <v>1.4999999999999999E-2</v>
      </c>
      <c r="AR549" s="26">
        <v>0</v>
      </c>
    </row>
    <row r="550" spans="1:44" x14ac:dyDescent="0.15">
      <c r="A550">
        <v>662</v>
      </c>
      <c r="B550" s="11">
        <v>160916</v>
      </c>
      <c r="C550" s="32"/>
      <c r="D550" s="32">
        <v>1.5426794643642701E-3</v>
      </c>
      <c r="E550" s="32">
        <v>97</v>
      </c>
      <c r="F550" s="32">
        <v>0.29478800101958302</v>
      </c>
      <c r="G550" s="11"/>
      <c r="H550" s="11"/>
      <c r="I550" s="11"/>
      <c r="J550" s="18" t="s">
        <v>44</v>
      </c>
      <c r="K550" s="18" t="s">
        <v>45</v>
      </c>
      <c r="L550" s="58" t="s">
        <v>65</v>
      </c>
      <c r="M550" s="18">
        <f>[1]!f_prt_stocktonav(B550,"2017/03/31")</f>
        <v>81.127700805664063</v>
      </c>
      <c r="N550" s="20" t="str">
        <f>[1]!f_info_fundmanager(B550)</f>
        <v>戴军</v>
      </c>
      <c r="O550" s="21">
        <v>1.8630136986301369</v>
      </c>
      <c r="P550" s="34" t="s">
        <v>2278</v>
      </c>
      <c r="Q550" s="34" t="s">
        <v>2279</v>
      </c>
      <c r="R550" s="34" t="s">
        <v>486</v>
      </c>
      <c r="S550" s="34">
        <v>20120727</v>
      </c>
      <c r="T550" s="45">
        <v>6.3741696244000003</v>
      </c>
      <c r="U550" s="46">
        <v>7.3352441605000003</v>
      </c>
      <c r="V550" s="34" t="s">
        <v>231</v>
      </c>
      <c r="W550" s="34" t="s">
        <v>44</v>
      </c>
      <c r="X550" s="34" t="s">
        <v>45</v>
      </c>
      <c r="Y550" s="34" t="s">
        <v>274</v>
      </c>
      <c r="Z550" s="34"/>
      <c r="AA550" s="34"/>
      <c r="AB550" s="22">
        <v>0.70312538146972658</v>
      </c>
      <c r="AC550" s="23" t="s">
        <v>2280</v>
      </c>
      <c r="AD550" s="24">
        <v>1.6328767123287671</v>
      </c>
      <c r="AE550" s="25">
        <v>0.18791308675740681</v>
      </c>
      <c r="AF550" s="26">
        <v>0.25257934415781214</v>
      </c>
      <c r="AG550" s="26">
        <v>0</v>
      </c>
      <c r="AH550" s="27">
        <v>0.77577337828205917</v>
      </c>
      <c r="AI550" s="27">
        <v>0.93130853827863869</v>
      </c>
      <c r="AJ550" s="27">
        <v>0.77577337828205917</v>
      </c>
      <c r="AK550" s="28" t="s">
        <v>208</v>
      </c>
      <c r="AL550" s="29">
        <v>4</v>
      </c>
      <c r="AM550" s="29">
        <v>4</v>
      </c>
      <c r="AN550" s="29" t="s">
        <v>48</v>
      </c>
      <c r="AO550" s="47" t="s">
        <v>2281</v>
      </c>
      <c r="AP550" s="28">
        <v>0</v>
      </c>
      <c r="AQ550" s="26">
        <v>1.2500000000000001E-2</v>
      </c>
      <c r="AR550" s="26">
        <v>0</v>
      </c>
    </row>
    <row r="551" spans="1:44" x14ac:dyDescent="0.15">
      <c r="A551">
        <v>93</v>
      </c>
      <c r="B551" s="11">
        <v>161616</v>
      </c>
      <c r="C551" s="32"/>
      <c r="D551" s="32">
        <v>-1.7276045496048399E-3</v>
      </c>
      <c r="E551" s="32">
        <v>31</v>
      </c>
      <c r="F551" s="32">
        <v>0.29754616042507198</v>
      </c>
      <c r="G551" s="11"/>
      <c r="H551" s="11"/>
      <c r="I551" s="11"/>
      <c r="J551" s="18" t="s">
        <v>44</v>
      </c>
      <c r="K551" s="19" t="s">
        <v>45</v>
      </c>
      <c r="L551" s="58" t="s">
        <v>274</v>
      </c>
      <c r="M551" s="18">
        <f>[1]!f_prt_stocktonav(B551,"2017/03/31")</f>
        <v>93.729736328125</v>
      </c>
      <c r="N551" s="20" t="str">
        <f>[1]!f_info_fundmanager(B551)</f>
        <v>万民远</v>
      </c>
      <c r="O551" s="21">
        <v>0.59452054794520548</v>
      </c>
      <c r="P551" s="32" t="s">
        <v>2282</v>
      </c>
      <c r="Q551" s="13" t="s">
        <v>2283</v>
      </c>
      <c r="R551" s="13" t="s">
        <v>230</v>
      </c>
      <c r="S551" s="13">
        <v>20120726</v>
      </c>
      <c r="T551" s="14">
        <v>12.8507520843</v>
      </c>
      <c r="U551" s="15" t="s">
        <v>39</v>
      </c>
      <c r="V551" s="16" t="s">
        <v>40</v>
      </c>
      <c r="W551" s="17" t="s">
        <v>44</v>
      </c>
      <c r="X551" s="17" t="s">
        <v>86</v>
      </c>
      <c r="Y551" s="17" t="s">
        <v>65</v>
      </c>
      <c r="Z551" s="13"/>
      <c r="AA551" s="13"/>
      <c r="AB551" s="22">
        <v>0.86658790588378909</v>
      </c>
      <c r="AC551" s="23" t="s">
        <v>1665</v>
      </c>
      <c r="AD551" s="24">
        <v>0.36438356164383562</v>
      </c>
      <c r="AE551" s="25">
        <v>0.11695987001162234</v>
      </c>
      <c r="AF551" s="26">
        <v>3.0539336241961923E-2</v>
      </c>
      <c r="AG551" s="26">
        <v>0</v>
      </c>
      <c r="AH551" s="27">
        <v>0.48184395562688026</v>
      </c>
      <c r="AI551" s="27">
        <v>0.19790585141143144</v>
      </c>
      <c r="AJ551" s="27">
        <v>0.48184395562688026</v>
      </c>
      <c r="AK551" s="33" t="s">
        <v>2284</v>
      </c>
      <c r="AL551" s="29">
        <v>2</v>
      </c>
      <c r="AM551" s="29">
        <v>3</v>
      </c>
      <c r="AN551" s="29" t="s">
        <v>48</v>
      </c>
      <c r="AO551" s="23" t="s">
        <v>2285</v>
      </c>
      <c r="AP551" s="30">
        <v>0</v>
      </c>
      <c r="AQ551" s="31">
        <v>1.4999999999999999E-2</v>
      </c>
      <c r="AR551" s="31">
        <v>0</v>
      </c>
    </row>
    <row r="552" spans="1:44" x14ac:dyDescent="0.15">
      <c r="A552">
        <v>653</v>
      </c>
      <c r="B552" s="11">
        <v>163822</v>
      </c>
      <c r="C552" s="32"/>
      <c r="D552" s="32">
        <v>-2.2498046197291601E-3</v>
      </c>
      <c r="E552" s="32">
        <v>244</v>
      </c>
      <c r="F552" s="32">
        <v>0.13772633374948301</v>
      </c>
      <c r="G552" s="11"/>
      <c r="H552" s="11"/>
      <c r="I552" s="11"/>
      <c r="J552" s="18" t="s">
        <v>44</v>
      </c>
      <c r="K552" s="18" t="s">
        <v>87</v>
      </c>
      <c r="L552" s="58" t="s">
        <v>65</v>
      </c>
      <c r="M552" s="18">
        <f>[1]!f_prt_stocktonav(B552,"2017/03/31")</f>
        <v>81.327384948730469</v>
      </c>
      <c r="N552" s="20" t="str">
        <f>[1]!f_info_fundmanager(B552)</f>
        <v>史彬</v>
      </c>
      <c r="O552" s="21">
        <v>4.6849315068493151</v>
      </c>
      <c r="P552" s="34" t="s">
        <v>2286</v>
      </c>
      <c r="Q552" s="34" t="s">
        <v>2287</v>
      </c>
      <c r="R552" s="34" t="s">
        <v>71</v>
      </c>
      <c r="S552" s="34">
        <v>20120725</v>
      </c>
      <c r="T552" s="45">
        <v>3.4246212895000001</v>
      </c>
      <c r="U552" s="46">
        <v>3.6124295243</v>
      </c>
      <c r="V552" s="34" t="s">
        <v>201</v>
      </c>
      <c r="W552" s="34" t="s">
        <v>44</v>
      </c>
      <c r="X552" s="34" t="s">
        <v>45</v>
      </c>
      <c r="Y552" s="34" t="s">
        <v>65</v>
      </c>
      <c r="Z552" s="34"/>
      <c r="AA552" s="34"/>
      <c r="AB552" s="22">
        <v>0.86821395874023433</v>
      </c>
      <c r="AC552" s="23" t="s">
        <v>1550</v>
      </c>
      <c r="AD552" s="24">
        <v>4.4547945205479449</v>
      </c>
      <c r="AE552" s="25">
        <v>0.15451930660534918</v>
      </c>
      <c r="AF552" s="26">
        <v>0.16765878881047769</v>
      </c>
      <c r="AG552" s="26">
        <v>0</v>
      </c>
      <c r="AH552" s="27">
        <v>0.54870701268728228</v>
      </c>
      <c r="AI552" s="27">
        <v>0.55423652549150404</v>
      </c>
      <c r="AJ552" s="27">
        <v>0.54870701268728228</v>
      </c>
      <c r="AK552" s="28" t="s">
        <v>1459</v>
      </c>
      <c r="AL552" s="29">
        <v>2</v>
      </c>
      <c r="AM552" s="29">
        <v>3</v>
      </c>
      <c r="AN552" s="29" t="s">
        <v>48</v>
      </c>
      <c r="AO552" s="47" t="s">
        <v>845</v>
      </c>
      <c r="AP552" s="28">
        <v>0</v>
      </c>
      <c r="AQ552" s="26">
        <v>1.4999999999999999E-2</v>
      </c>
      <c r="AR552" s="26">
        <v>0</v>
      </c>
    </row>
    <row r="553" spans="1:44" x14ac:dyDescent="0.15">
      <c r="A553">
        <v>113</v>
      </c>
      <c r="B553" s="11">
        <v>100060</v>
      </c>
      <c r="C553" s="32"/>
      <c r="D553" s="32">
        <v>2.31861720484985E-3</v>
      </c>
      <c r="E553" s="32">
        <v>71</v>
      </c>
      <c r="F553" s="32">
        <v>0.42312027674632102</v>
      </c>
      <c r="G553" s="11"/>
      <c r="H553" s="11"/>
      <c r="I553" s="11"/>
      <c r="J553" s="18" t="s">
        <v>44</v>
      </c>
      <c r="K553" s="18" t="s">
        <v>45</v>
      </c>
      <c r="L553" s="58" t="s">
        <v>274</v>
      </c>
      <c r="M553" s="18">
        <f>[1]!f_prt_stocktonav(B553,"2017/03/31")</f>
        <v>93.366455078125</v>
      </c>
      <c r="N553" s="20" t="str">
        <f>[1]!f_info_fundmanager(B553)</f>
        <v>李元博</v>
      </c>
      <c r="O553" s="21">
        <v>1.3534246575342466</v>
      </c>
      <c r="P553" s="34" t="s">
        <v>2288</v>
      </c>
      <c r="Q553" s="34" t="s">
        <v>2289</v>
      </c>
      <c r="R553" s="34" t="s">
        <v>396</v>
      </c>
      <c r="S553" s="34">
        <v>20120627</v>
      </c>
      <c r="T553" s="45">
        <v>4.8335862451000002</v>
      </c>
      <c r="U553" s="46">
        <v>5.7631181234</v>
      </c>
      <c r="V553" s="34" t="s">
        <v>201</v>
      </c>
      <c r="W553" s="34" t="s">
        <v>44</v>
      </c>
      <c r="X553" s="34" t="s">
        <v>45</v>
      </c>
      <c r="Y553" s="34" t="s">
        <v>274</v>
      </c>
      <c r="Z553" s="34"/>
      <c r="AA553" s="34"/>
      <c r="AB553" s="22">
        <v>0.9388132476806641</v>
      </c>
      <c r="AC553" s="23" t="s">
        <v>397</v>
      </c>
      <c r="AD553" s="24">
        <v>1.1232876712328768</v>
      </c>
      <c r="AE553" s="25">
        <v>0.15908048875699787</v>
      </c>
      <c r="AF553" s="26">
        <v>0.119395510081024</v>
      </c>
      <c r="AG553" s="26">
        <v>0</v>
      </c>
      <c r="AH553" s="27">
        <v>0.58025545868052819</v>
      </c>
      <c r="AI553" s="27">
        <v>0.44681507098911893</v>
      </c>
      <c r="AJ553" s="27">
        <v>0.58025545868052819</v>
      </c>
      <c r="AK553" s="28" t="s">
        <v>489</v>
      </c>
      <c r="AL553" s="29">
        <v>4</v>
      </c>
      <c r="AM553" s="29">
        <v>5</v>
      </c>
      <c r="AN553" s="29" t="s">
        <v>48</v>
      </c>
      <c r="AO553" s="47" t="s">
        <v>1854</v>
      </c>
      <c r="AP553" s="28" t="s">
        <v>608</v>
      </c>
      <c r="AQ553" s="26">
        <v>1.4999999999999999E-2</v>
      </c>
      <c r="AR553" s="26">
        <v>0</v>
      </c>
    </row>
    <row r="554" spans="1:44" x14ac:dyDescent="0.15">
      <c r="A554">
        <v>507</v>
      </c>
      <c r="B554" s="11">
        <v>70032</v>
      </c>
      <c r="C554" s="32"/>
      <c r="D554" s="32">
        <v>3.6903267779927799E-3</v>
      </c>
      <c r="E554" s="32">
        <v>25</v>
      </c>
      <c r="F554" s="32">
        <v>0.17146693641477101</v>
      </c>
      <c r="G554" s="11"/>
      <c r="H554" s="11"/>
      <c r="I554" s="11"/>
      <c r="J554" s="18" t="s">
        <v>44</v>
      </c>
      <c r="K554" s="18" t="s">
        <v>87</v>
      </c>
      <c r="L554" s="58" t="s">
        <v>65</v>
      </c>
      <c r="M554" s="18">
        <f>[1]!f_prt_stocktonav(B554,"2017/03/31")</f>
        <v>85.161567687988281</v>
      </c>
      <c r="N554" s="20" t="str">
        <f>[1]!f_info_fundmanager(B554)</f>
        <v>季文华</v>
      </c>
      <c r="O554" s="21">
        <v>0.47123287671232877</v>
      </c>
      <c r="P554" s="34" t="s">
        <v>2290</v>
      </c>
      <c r="Q554" s="34" t="s">
        <v>2291</v>
      </c>
      <c r="R554" s="34" t="s">
        <v>92</v>
      </c>
      <c r="S554" s="34">
        <v>20120626</v>
      </c>
      <c r="T554" s="45">
        <v>5.1221814471</v>
      </c>
      <c r="U554" s="46">
        <v>6.6711769761999999</v>
      </c>
      <c r="V554" s="34" t="s">
        <v>231</v>
      </c>
      <c r="W554" s="34" t="s">
        <v>41</v>
      </c>
      <c r="X554" s="17" t="s">
        <v>42</v>
      </c>
      <c r="Y554" s="17" t="s">
        <v>181</v>
      </c>
      <c r="Z554" s="34"/>
      <c r="AA554" s="34"/>
      <c r="AB554" s="22">
        <v>0.64301116943359371</v>
      </c>
      <c r="AC554" s="23" t="s">
        <v>1774</v>
      </c>
      <c r="AD554" s="24">
        <v>0.24109589041095891</v>
      </c>
      <c r="AE554" s="25">
        <v>0.15352002666101572</v>
      </c>
      <c r="AF554" s="26">
        <v>0.23805665052996061</v>
      </c>
      <c r="AG554" s="26">
        <v>0</v>
      </c>
      <c r="AH554" s="27">
        <v>0.67930219559248706</v>
      </c>
      <c r="AI554" s="27">
        <v>0.9527609720670388</v>
      </c>
      <c r="AJ554" s="27">
        <v>0.67930219559248706</v>
      </c>
      <c r="AK554" s="28" t="s">
        <v>2292</v>
      </c>
      <c r="AL554" s="29">
        <v>5</v>
      </c>
      <c r="AM554" s="29">
        <v>4</v>
      </c>
      <c r="AN554" s="29" t="s">
        <v>48</v>
      </c>
      <c r="AO554" s="47" t="s">
        <v>249</v>
      </c>
      <c r="AP554" s="28" t="s">
        <v>2293</v>
      </c>
      <c r="AQ554" s="26">
        <v>1.4999999999999999E-2</v>
      </c>
      <c r="AR554" s="26">
        <v>0</v>
      </c>
    </row>
    <row r="555" spans="1:44" x14ac:dyDescent="0.15">
      <c r="A555">
        <v>264</v>
      </c>
      <c r="B555" s="11">
        <v>180031</v>
      </c>
      <c r="C555" s="32"/>
      <c r="D555" s="32">
        <v>1.86536052739293E-3</v>
      </c>
      <c r="E555" s="32">
        <v>91</v>
      </c>
      <c r="F555" s="32">
        <v>0.184249660898095</v>
      </c>
      <c r="G555" s="11"/>
      <c r="H555" s="11"/>
      <c r="I555" s="11"/>
      <c r="J555" s="18" t="s">
        <v>44</v>
      </c>
      <c r="K555" s="18" t="s">
        <v>45</v>
      </c>
      <c r="L555" s="58" t="s">
        <v>274</v>
      </c>
      <c r="M555" s="18">
        <f>[1]!f_prt_stocktonav(B555,"2017/03/31")</f>
        <v>90.151214599609375</v>
      </c>
      <c r="N555" s="20" t="str">
        <f>[1]!f_info_fundmanager(B555)</f>
        <v>李晓星</v>
      </c>
      <c r="O555" s="21">
        <v>1.7342465753424658</v>
      </c>
      <c r="P555" s="34" t="s">
        <v>2294</v>
      </c>
      <c r="Q555" s="34" t="s">
        <v>2295</v>
      </c>
      <c r="R555" s="34" t="s">
        <v>57</v>
      </c>
      <c r="S555" s="34">
        <v>20120620</v>
      </c>
      <c r="T555" s="45">
        <v>23.325489314799999</v>
      </c>
      <c r="U555" s="46">
        <v>18.566687545200001</v>
      </c>
      <c r="V555" s="34" t="s">
        <v>201</v>
      </c>
      <c r="W555" s="34" t="s">
        <v>44</v>
      </c>
      <c r="X555" s="34" t="s">
        <v>45</v>
      </c>
      <c r="Y555" s="34" t="s">
        <v>274</v>
      </c>
      <c r="Z555" s="34"/>
      <c r="AA555" s="34"/>
      <c r="AB555" s="22">
        <v>0.93547477722167971</v>
      </c>
      <c r="AC555" s="23" t="s">
        <v>59</v>
      </c>
      <c r="AD555" s="24">
        <v>1.5041095890410958</v>
      </c>
      <c r="AE555" s="25">
        <v>0.306281113103265</v>
      </c>
      <c r="AF555" s="26">
        <v>0.35367372562457872</v>
      </c>
      <c r="AG555" s="26">
        <v>0</v>
      </c>
      <c r="AH555" s="27">
        <v>1.0656674081631987</v>
      </c>
      <c r="AI555" s="27">
        <v>1.0491246790563846</v>
      </c>
      <c r="AJ555" s="27">
        <v>1.0656674081631987</v>
      </c>
      <c r="AK555" s="28" t="s">
        <v>2296</v>
      </c>
      <c r="AL555" s="29">
        <v>5</v>
      </c>
      <c r="AM555" s="29">
        <v>5</v>
      </c>
      <c r="AN555" s="29" t="s">
        <v>48</v>
      </c>
      <c r="AO555" s="47" t="s">
        <v>2297</v>
      </c>
      <c r="AP555" s="28">
        <v>0</v>
      </c>
      <c r="AQ555" s="26">
        <v>1.4999999999999999E-2</v>
      </c>
      <c r="AR555" s="26">
        <v>0</v>
      </c>
    </row>
    <row r="556" spans="1:44" x14ac:dyDescent="0.15">
      <c r="A556">
        <v>789</v>
      </c>
      <c r="B556" s="11">
        <v>519710</v>
      </c>
      <c r="C556" s="32"/>
      <c r="D556" s="32">
        <v>3.4765276970657598E-3</v>
      </c>
      <c r="E556" s="32">
        <v>73</v>
      </c>
      <c r="F556" s="32">
        <v>8.7828266546871106E-2</v>
      </c>
      <c r="G556" s="11"/>
      <c r="H556" s="11"/>
      <c r="I556" s="11"/>
      <c r="J556" s="18" t="s">
        <v>44</v>
      </c>
      <c r="K556" s="18" t="s">
        <v>45</v>
      </c>
      <c r="L556" s="58" t="s">
        <v>65</v>
      </c>
      <c r="M556" s="18">
        <f>[1]!f_prt_stocktonav(B556,"2017/03/31")</f>
        <v>77.140426635742188</v>
      </c>
      <c r="N556" s="20" t="str">
        <f>[1]!f_info_fundmanager(B556)</f>
        <v>韩威俊,王少成</v>
      </c>
      <c r="O556" s="21">
        <v>1.3972602739726028</v>
      </c>
      <c r="P556" s="34" t="s">
        <v>2298</v>
      </c>
      <c r="Q556" s="34" t="s">
        <v>2299</v>
      </c>
      <c r="R556" s="34" t="s">
        <v>138</v>
      </c>
      <c r="S556" s="34">
        <v>20120620</v>
      </c>
      <c r="T556" s="45">
        <v>3.0843429445999999</v>
      </c>
      <c r="U556" s="46">
        <v>2.6329263338</v>
      </c>
      <c r="V556" s="34" t="s">
        <v>231</v>
      </c>
      <c r="W556" s="34" t="s">
        <v>44</v>
      </c>
      <c r="X556" s="17" t="s">
        <v>45</v>
      </c>
      <c r="Y556" s="17" t="s">
        <v>354</v>
      </c>
      <c r="Z556" s="34"/>
      <c r="AA556" s="34"/>
      <c r="AB556" s="22">
        <v>0.79542816162109375</v>
      </c>
      <c r="AC556" s="23" t="s">
        <v>2300</v>
      </c>
      <c r="AD556" s="24">
        <v>1.167123287671233</v>
      </c>
      <c r="AE556" s="25">
        <v>-2.9371982555040366E-2</v>
      </c>
      <c r="AF556" s="26">
        <v>0</v>
      </c>
      <c r="AG556" s="26">
        <v>0</v>
      </c>
      <c r="AH556" s="27">
        <v>0.28919937630883019</v>
      </c>
      <c r="AI556" s="27">
        <v>0.28919937630883019</v>
      </c>
      <c r="AJ556" s="27">
        <v>0.28919937630883019</v>
      </c>
      <c r="AK556" s="28" t="s">
        <v>140</v>
      </c>
      <c r="AL556" s="29" t="s">
        <v>48</v>
      </c>
      <c r="AM556" s="29" t="s">
        <v>48</v>
      </c>
      <c r="AN556" s="29" t="s">
        <v>48</v>
      </c>
      <c r="AO556" s="47" t="s">
        <v>2301</v>
      </c>
      <c r="AP556" s="28">
        <v>0</v>
      </c>
      <c r="AQ556" s="26">
        <v>1.4999999999999999E-2</v>
      </c>
      <c r="AR556" s="26">
        <v>0</v>
      </c>
    </row>
    <row r="557" spans="1:44" x14ac:dyDescent="0.15">
      <c r="A557">
        <v>708</v>
      </c>
      <c r="B557" s="11">
        <v>750001</v>
      </c>
      <c r="C557" s="32"/>
      <c r="D557" s="32">
        <v>-1.37632802915777E-3</v>
      </c>
      <c r="E557" s="32">
        <v>70</v>
      </c>
      <c r="F557" s="32">
        <v>0.24586753009770701</v>
      </c>
      <c r="G557" s="11"/>
      <c r="H557" s="11"/>
      <c r="I557" s="11"/>
      <c r="J557" s="18" t="s">
        <v>44</v>
      </c>
      <c r="K557" s="18" t="s">
        <v>45</v>
      </c>
      <c r="L557" s="58" t="s">
        <v>65</v>
      </c>
      <c r="M557" s="18">
        <f>[1]!f_prt_stocktonav(B557,"2017/03/31")</f>
        <v>79.797019958496094</v>
      </c>
      <c r="N557" s="20" t="str">
        <f>[1]!f_info_fundmanager(B557)</f>
        <v>占冠良</v>
      </c>
      <c r="O557" s="21">
        <v>1.3315068493150686</v>
      </c>
      <c r="P557" s="34" t="s">
        <v>2302</v>
      </c>
      <c r="Q557" s="34" t="s">
        <v>2303</v>
      </c>
      <c r="R557" s="34" t="s">
        <v>975</v>
      </c>
      <c r="S557" s="34">
        <v>20120620</v>
      </c>
      <c r="T557" s="45">
        <v>1.1127243957999999</v>
      </c>
      <c r="U557" s="46">
        <v>0.56481307800000002</v>
      </c>
      <c r="V557" s="34" t="s">
        <v>231</v>
      </c>
      <c r="W557" s="34" t="s">
        <v>44</v>
      </c>
      <c r="X557" s="34" t="s">
        <v>45</v>
      </c>
      <c r="Y557" s="34" t="s">
        <v>274</v>
      </c>
      <c r="Z557" s="34"/>
      <c r="AA557" s="34"/>
      <c r="AB557" s="22">
        <v>0.77330230712890624</v>
      </c>
      <c r="AC557" s="23" t="s">
        <v>2304</v>
      </c>
      <c r="AD557" s="24">
        <v>1.1013698630136985</v>
      </c>
      <c r="AE557" s="25">
        <v>0.11388242446045972</v>
      </c>
      <c r="AF557" s="26">
        <v>0.13051366784875773</v>
      </c>
      <c r="AG557" s="26">
        <v>0</v>
      </c>
      <c r="AH557" s="27">
        <v>0.5509446104689999</v>
      </c>
      <c r="AI557" s="27">
        <v>0.587953435759484</v>
      </c>
      <c r="AJ557" s="27">
        <v>0.5509446104689999</v>
      </c>
      <c r="AK557" s="28" t="s">
        <v>852</v>
      </c>
      <c r="AL557" s="29">
        <v>3</v>
      </c>
      <c r="AM557" s="29">
        <v>3</v>
      </c>
      <c r="AN557" s="29" t="s">
        <v>48</v>
      </c>
      <c r="AO557" s="47" t="s">
        <v>209</v>
      </c>
      <c r="AP557" s="28">
        <v>0</v>
      </c>
      <c r="AQ557" s="26">
        <v>1.4999999999999999E-2</v>
      </c>
      <c r="AR557" s="26">
        <v>0</v>
      </c>
    </row>
    <row r="558" spans="1:44" x14ac:dyDescent="0.15">
      <c r="A558">
        <v>26</v>
      </c>
      <c r="B558" s="11">
        <v>590008</v>
      </c>
      <c r="C558" s="32"/>
      <c r="D558" s="32">
        <v>1.61534150046436E-3</v>
      </c>
      <c r="E558" s="32">
        <v>223</v>
      </c>
      <c r="F558" s="32">
        <v>0.26242740409126603</v>
      </c>
      <c r="G558" s="11"/>
      <c r="H558" s="11"/>
      <c r="I558" s="11"/>
      <c r="J558" s="18" t="s">
        <v>44</v>
      </c>
      <c r="K558" s="18" t="s">
        <v>87</v>
      </c>
      <c r="L558" s="58" t="s">
        <v>274</v>
      </c>
      <c r="M558" s="18">
        <f>[1]!f_prt_stocktonav(B558,"2017/03/31")</f>
        <v>94.675392150878906</v>
      </c>
      <c r="N558" s="20" t="str">
        <f>[1]!f_info_fundmanager(B558)</f>
        <v>任泽松</v>
      </c>
      <c r="O558" s="21">
        <v>4.2767123287671236</v>
      </c>
      <c r="P558" s="34" t="s">
        <v>2305</v>
      </c>
      <c r="Q558" s="34" t="s">
        <v>2306</v>
      </c>
      <c r="R558" s="34" t="s">
        <v>85</v>
      </c>
      <c r="S558" s="34">
        <v>20120612</v>
      </c>
      <c r="T558" s="45">
        <v>59.125651522699997</v>
      </c>
      <c r="U558" s="46">
        <v>82.113871691100002</v>
      </c>
      <c r="V558" s="34" t="s">
        <v>201</v>
      </c>
      <c r="W558" s="34" t="s">
        <v>44</v>
      </c>
      <c r="X558" s="34" t="s">
        <v>45</v>
      </c>
      <c r="Y558" s="34" t="s">
        <v>274</v>
      </c>
      <c r="Z558" s="34"/>
      <c r="AA558" s="34"/>
      <c r="AB558" s="22">
        <v>0.92422271728515626</v>
      </c>
      <c r="AC558" s="23" t="s">
        <v>775</v>
      </c>
      <c r="AD558" s="24">
        <v>4.0465753424657533</v>
      </c>
      <c r="AE558" s="25">
        <v>0.38990768913108331</v>
      </c>
      <c r="AF558" s="26">
        <v>0.33510668840327457</v>
      </c>
      <c r="AG558" s="26">
        <v>0</v>
      </c>
      <c r="AH558" s="27">
        <v>1.1146412823698111</v>
      </c>
      <c r="AI558" s="27">
        <v>0.8995571846334105</v>
      </c>
      <c r="AJ558" s="27">
        <v>1.1146412823698111</v>
      </c>
      <c r="AK558" s="28" t="s">
        <v>2307</v>
      </c>
      <c r="AL558" s="29">
        <v>5</v>
      </c>
      <c r="AM558" s="29">
        <v>5</v>
      </c>
      <c r="AN558" s="29" t="s">
        <v>48</v>
      </c>
      <c r="AO558" s="47" t="s">
        <v>367</v>
      </c>
      <c r="AP558" s="28">
        <v>0</v>
      </c>
      <c r="AQ558" s="26">
        <v>1.4999999999999999E-2</v>
      </c>
      <c r="AR558" s="26">
        <v>0</v>
      </c>
    </row>
    <row r="559" spans="1:44" x14ac:dyDescent="0.15">
      <c r="A559">
        <v>848</v>
      </c>
      <c r="B559" s="11">
        <v>270041</v>
      </c>
      <c r="C559" s="32"/>
      <c r="D559" s="32">
        <v>2.51211950596964E-3</v>
      </c>
      <c r="E559" s="32">
        <v>58</v>
      </c>
      <c r="F559" s="32">
        <v>0.112635926493759</v>
      </c>
      <c r="G559" s="11"/>
      <c r="H559" s="11"/>
      <c r="I559" s="11"/>
      <c r="J559" s="18" t="s">
        <v>44</v>
      </c>
      <c r="K559" s="18" t="s">
        <v>87</v>
      </c>
      <c r="L559" s="58" t="s">
        <v>354</v>
      </c>
      <c r="M559" s="18">
        <f>[1]!f_prt_stocktonav(B559,"2017/03/31")</f>
        <v>74.527992248535156</v>
      </c>
      <c r="N559" s="20" t="str">
        <f>[1]!f_info_fundmanager(B559)</f>
        <v>李琛</v>
      </c>
      <c r="O559" s="21">
        <v>1.1013698630136985</v>
      </c>
      <c r="P559" s="34" t="s">
        <v>2308</v>
      </c>
      <c r="Q559" s="34" t="s">
        <v>2309</v>
      </c>
      <c r="R559" s="34" t="s">
        <v>132</v>
      </c>
      <c r="S559" s="34">
        <v>20120612</v>
      </c>
      <c r="T559" s="45">
        <v>1.5111285489999999</v>
      </c>
      <c r="U559" s="46">
        <v>1.6645482887</v>
      </c>
      <c r="V559" s="34" t="s">
        <v>231</v>
      </c>
      <c r="W559" s="34" t="s">
        <v>41</v>
      </c>
      <c r="X559" s="34" t="s">
        <v>42</v>
      </c>
      <c r="Y559" s="34" t="s">
        <v>181</v>
      </c>
      <c r="Z559" s="34"/>
      <c r="AA559" s="34"/>
      <c r="AB559" s="22">
        <v>0.66389877319335933</v>
      </c>
      <c r="AC559" s="23" t="s">
        <v>2310</v>
      </c>
      <c r="AD559" s="24">
        <v>0.87123287671232874</v>
      </c>
      <c r="AE559" s="25">
        <v>0.16637319877977608</v>
      </c>
      <c r="AF559" s="26">
        <v>0.17923473275829813</v>
      </c>
      <c r="AG559" s="26">
        <v>0</v>
      </c>
      <c r="AH559" s="27">
        <v>0.79439273200462002</v>
      </c>
      <c r="AI559" s="27">
        <v>0.77268332574013732</v>
      </c>
      <c r="AJ559" s="27">
        <v>0.79439273200462002</v>
      </c>
      <c r="AK559" s="28" t="s">
        <v>1281</v>
      </c>
      <c r="AL559" s="29">
        <v>5</v>
      </c>
      <c r="AM559" s="29">
        <v>3</v>
      </c>
      <c r="AN559" s="29" t="s">
        <v>48</v>
      </c>
      <c r="AO559" s="47" t="s">
        <v>287</v>
      </c>
      <c r="AP559" s="28">
        <v>0</v>
      </c>
      <c r="AQ559" s="26">
        <v>1.4999999999999999E-2</v>
      </c>
      <c r="AR559" s="26">
        <v>0</v>
      </c>
    </row>
    <row r="560" spans="1:44" x14ac:dyDescent="0.15">
      <c r="A560">
        <v>27</v>
      </c>
      <c r="B560" s="11">
        <v>630011</v>
      </c>
      <c r="C560" s="32"/>
      <c r="D560" s="32">
        <v>-2.6958068482054501E-3</v>
      </c>
      <c r="E560" s="32">
        <v>252</v>
      </c>
      <c r="F560" s="32">
        <v>4.5530158392433497E-2</v>
      </c>
      <c r="G560" s="11"/>
      <c r="H560" s="11"/>
      <c r="I560" s="11"/>
      <c r="J560" s="18" t="s">
        <v>44</v>
      </c>
      <c r="K560" s="18" t="s">
        <v>87</v>
      </c>
      <c r="L560" s="58" t="s">
        <v>274</v>
      </c>
      <c r="M560" s="18">
        <f>[1]!f_prt_stocktonav(B560,"2017/03/31")</f>
        <v>94.66534423828125</v>
      </c>
      <c r="N560" s="20" t="str">
        <f>[1]!f_info_fundmanager(B560)</f>
        <v>梁永强</v>
      </c>
      <c r="O560" s="21">
        <v>4.8356164383561646</v>
      </c>
      <c r="P560" s="34" t="s">
        <v>2311</v>
      </c>
      <c r="Q560" s="34" t="s">
        <v>2312</v>
      </c>
      <c r="R560" s="34" t="s">
        <v>387</v>
      </c>
      <c r="S560" s="34">
        <v>20120531</v>
      </c>
      <c r="T560" s="45">
        <v>25.1825541969</v>
      </c>
      <c r="U560" s="46">
        <v>23.484690782200001</v>
      </c>
      <c r="V560" s="34" t="s">
        <v>201</v>
      </c>
      <c r="W560" s="34" t="s">
        <v>44</v>
      </c>
      <c r="X560" s="34" t="s">
        <v>45</v>
      </c>
      <c r="Y560" s="34" t="s">
        <v>274</v>
      </c>
      <c r="Z560" s="34"/>
      <c r="AA560" s="34"/>
      <c r="AB560" s="22">
        <v>0.94762496948242192</v>
      </c>
      <c r="AC560" s="23" t="s">
        <v>1749</v>
      </c>
      <c r="AD560" s="24">
        <v>4.6054794520547944</v>
      </c>
      <c r="AE560" s="25">
        <v>0.23229932398778311</v>
      </c>
      <c r="AF560" s="26">
        <v>0.17831866106589048</v>
      </c>
      <c r="AG560" s="26">
        <v>0</v>
      </c>
      <c r="AH560" s="27">
        <v>0.74163697635336445</v>
      </c>
      <c r="AI560" s="27">
        <v>0.57135442025139671</v>
      </c>
      <c r="AJ560" s="27">
        <v>0.74163697635336445</v>
      </c>
      <c r="AK560" s="28" t="s">
        <v>1750</v>
      </c>
      <c r="AL560" s="29">
        <v>5</v>
      </c>
      <c r="AM560" s="29">
        <v>3</v>
      </c>
      <c r="AN560" s="29" t="s">
        <v>48</v>
      </c>
      <c r="AO560" s="47" t="s">
        <v>2047</v>
      </c>
      <c r="AP560" s="28">
        <v>0</v>
      </c>
      <c r="AQ560" s="26">
        <v>1.4999999999999999E-2</v>
      </c>
      <c r="AR560" s="26">
        <v>0</v>
      </c>
    </row>
    <row r="561" spans="1:44" x14ac:dyDescent="0.15">
      <c r="A561">
        <v>749</v>
      </c>
      <c r="B561" s="11">
        <v>700003</v>
      </c>
      <c r="C561" s="32"/>
      <c r="D561" s="32">
        <v>-3.70516502058179E-3</v>
      </c>
      <c r="E561" s="32">
        <v>37</v>
      </c>
      <c r="F561" s="32">
        <v>0.116480018507016</v>
      </c>
      <c r="G561" s="11"/>
      <c r="H561" s="11"/>
      <c r="I561" s="11"/>
      <c r="J561" s="18" t="s">
        <v>44</v>
      </c>
      <c r="K561" s="18" t="s">
        <v>45</v>
      </c>
      <c r="L561" s="58" t="s">
        <v>65</v>
      </c>
      <c r="M561" s="18">
        <f>[1]!f_prt_stocktonav(B561,"2017/03/31")</f>
        <v>78.312843322753906</v>
      </c>
      <c r="N561" s="20" t="str">
        <f>[1]!f_info_fundmanager(B561)</f>
        <v>神爱前</v>
      </c>
      <c r="O561" s="21">
        <v>0.69863013698630139</v>
      </c>
      <c r="P561" s="34" t="s">
        <v>2313</v>
      </c>
      <c r="Q561" s="34" t="s">
        <v>2314</v>
      </c>
      <c r="R561" s="34" t="s">
        <v>344</v>
      </c>
      <c r="S561" s="34">
        <v>20120529</v>
      </c>
      <c r="T561" s="45">
        <v>1.3781531010000001</v>
      </c>
      <c r="U561" s="46">
        <v>1.5701899282</v>
      </c>
      <c r="V561" s="34" t="s">
        <v>231</v>
      </c>
      <c r="W561" s="34" t="s">
        <v>44</v>
      </c>
      <c r="X561" s="34" t="s">
        <v>45</v>
      </c>
      <c r="Y561" s="34" t="s">
        <v>274</v>
      </c>
      <c r="Z561" s="34"/>
      <c r="AA561" s="34"/>
      <c r="AB561" s="22">
        <v>0.72635398864746092</v>
      </c>
      <c r="AC561" s="23" t="s">
        <v>2315</v>
      </c>
      <c r="AD561" s="24">
        <v>1.4273972602739726</v>
      </c>
      <c r="AE561" s="25">
        <v>0.13710430859188882</v>
      </c>
      <c r="AF561" s="26">
        <v>0.1703163781122847</v>
      </c>
      <c r="AG561" s="26">
        <v>0</v>
      </c>
      <c r="AH561" s="27">
        <v>0.5430146280149396</v>
      </c>
      <c r="AI561" s="27">
        <v>0.59523145692246149</v>
      </c>
      <c r="AJ561" s="27">
        <v>0.5430146280149396</v>
      </c>
      <c r="AK561" s="28" t="s">
        <v>226</v>
      </c>
      <c r="AL561" s="29">
        <v>3</v>
      </c>
      <c r="AM561" s="29">
        <v>5</v>
      </c>
      <c r="AN561" s="29" t="s">
        <v>48</v>
      </c>
      <c r="AO561" s="47" t="s">
        <v>334</v>
      </c>
      <c r="AP561" s="28">
        <v>0</v>
      </c>
      <c r="AQ561" s="26">
        <v>1.4999999999999999E-2</v>
      </c>
      <c r="AR561" s="26">
        <v>0</v>
      </c>
    </row>
    <row r="562" spans="1:44" x14ac:dyDescent="0.15">
      <c r="A562">
        <v>57</v>
      </c>
      <c r="B562" s="11">
        <v>229002</v>
      </c>
      <c r="C562" s="32"/>
      <c r="D562" s="32">
        <v>-1.5801099808102901E-3</v>
      </c>
      <c r="E562" s="32">
        <v>169</v>
      </c>
      <c r="F562" s="32">
        <v>8.5179299868588604E-2</v>
      </c>
      <c r="G562" s="11"/>
      <c r="H562" s="11"/>
      <c r="I562" s="11"/>
      <c r="J562" s="18" t="s">
        <v>44</v>
      </c>
      <c r="K562" s="18" t="s">
        <v>45</v>
      </c>
      <c r="L562" s="58" t="s">
        <v>274</v>
      </c>
      <c r="M562" s="18">
        <f>[1]!f_prt_stocktonav(B562,"2017/03/31")</f>
        <v>94.236557006835938</v>
      </c>
      <c r="N562" s="20" t="str">
        <f>[1]!f_info_fundmanager(B562)</f>
        <v>刘欣</v>
      </c>
      <c r="O562" s="21">
        <v>3.2410958904109588</v>
      </c>
      <c r="P562" s="34" t="s">
        <v>2316</v>
      </c>
      <c r="Q562" s="34" t="s">
        <v>2317</v>
      </c>
      <c r="R562" s="34" t="s">
        <v>263</v>
      </c>
      <c r="S562" s="34">
        <v>20120523</v>
      </c>
      <c r="T562" s="45">
        <v>18.7633871783</v>
      </c>
      <c r="U562" s="46">
        <v>5.0243699190999997</v>
      </c>
      <c r="V562" s="34" t="s">
        <v>231</v>
      </c>
      <c r="W562" s="34" t="s">
        <v>44</v>
      </c>
      <c r="X562" s="34" t="s">
        <v>45</v>
      </c>
      <c r="Y562" s="34" t="s">
        <v>274</v>
      </c>
      <c r="Z562" s="34"/>
      <c r="AA562" s="34"/>
      <c r="AB562" s="22">
        <v>0.91287567138671877</v>
      </c>
      <c r="AC562" s="23" t="s">
        <v>622</v>
      </c>
      <c r="AD562" s="24">
        <v>3.010958904109589</v>
      </c>
      <c r="AE562" s="25">
        <v>0.23259764010301295</v>
      </c>
      <c r="AF562" s="26">
        <v>0.32001501130972021</v>
      </c>
      <c r="AG562" s="26">
        <v>0</v>
      </c>
      <c r="AH562" s="27">
        <v>0.81714313891306645</v>
      </c>
      <c r="AI562" s="27">
        <v>0.96890215114235345</v>
      </c>
      <c r="AJ562" s="27">
        <v>0.81714313891306645</v>
      </c>
      <c r="AK562" s="28" t="s">
        <v>1750</v>
      </c>
      <c r="AL562" s="29">
        <v>4</v>
      </c>
      <c r="AM562" s="29">
        <v>2</v>
      </c>
      <c r="AN562" s="29" t="s">
        <v>48</v>
      </c>
      <c r="AO562" s="47" t="s">
        <v>2318</v>
      </c>
      <c r="AP562" s="28">
        <v>0</v>
      </c>
      <c r="AQ562" s="26">
        <v>1.4999999999999999E-2</v>
      </c>
      <c r="AR562" s="26">
        <v>0</v>
      </c>
    </row>
    <row r="563" spans="1:44" x14ac:dyDescent="0.15">
      <c r="A563">
        <v>14</v>
      </c>
      <c r="B563" s="11">
        <v>210009</v>
      </c>
      <c r="C563" s="32"/>
      <c r="D563" s="32">
        <v>-7.8479733597541807E-3</v>
      </c>
      <c r="E563" s="32">
        <v>131</v>
      </c>
      <c r="F563" s="32">
        <v>4.9761636503607796E-4</v>
      </c>
      <c r="G563" s="11"/>
      <c r="H563" s="11"/>
      <c r="I563" s="11"/>
      <c r="J563" s="18" t="s">
        <v>44</v>
      </c>
      <c r="K563" s="18" t="s">
        <v>45</v>
      </c>
      <c r="L563" s="58" t="s">
        <v>274</v>
      </c>
      <c r="M563" s="18">
        <f>[1]!f_prt_stocktonav(B563,"2017/03/31")</f>
        <v>94.798957824707031</v>
      </c>
      <c r="N563" s="20" t="str">
        <f>[1]!f_info_fundmanager(B563)</f>
        <v>冼鸿鹏</v>
      </c>
      <c r="O563" s="21">
        <v>2.5013698630136987</v>
      </c>
      <c r="P563" s="34" t="s">
        <v>2319</v>
      </c>
      <c r="Q563" s="34" t="s">
        <v>2320</v>
      </c>
      <c r="R563" s="34" t="s">
        <v>273</v>
      </c>
      <c r="S563" s="34">
        <v>20120523</v>
      </c>
      <c r="T563" s="45">
        <v>22.767926730700001</v>
      </c>
      <c r="U563" s="46">
        <v>20.1331473358</v>
      </c>
      <c r="V563" s="34" t="s">
        <v>231</v>
      </c>
      <c r="W563" s="34" t="s">
        <v>44</v>
      </c>
      <c r="X563" s="34" t="s">
        <v>45</v>
      </c>
      <c r="Y563" s="34" t="s">
        <v>274</v>
      </c>
      <c r="Z563" s="34"/>
      <c r="AA563" s="34"/>
      <c r="AB563" s="22">
        <v>0.93081809997558596</v>
      </c>
      <c r="AC563" s="23" t="s">
        <v>2321</v>
      </c>
      <c r="AD563" s="24">
        <v>2.2712328767123289</v>
      </c>
      <c r="AE563" s="25">
        <v>8.876546477689494E-2</v>
      </c>
      <c r="AF563" s="26">
        <v>0.10064241629820891</v>
      </c>
      <c r="AG563" s="26">
        <v>0</v>
      </c>
      <c r="AH563" s="27">
        <v>0.37996055461800471</v>
      </c>
      <c r="AI563" s="27">
        <v>0.40431828993825464</v>
      </c>
      <c r="AJ563" s="27">
        <v>0.37996055461800471</v>
      </c>
      <c r="AK563" s="28" t="s">
        <v>1868</v>
      </c>
      <c r="AL563" s="29">
        <v>1</v>
      </c>
      <c r="AM563" s="29">
        <v>2</v>
      </c>
      <c r="AN563" s="29" t="s">
        <v>48</v>
      </c>
      <c r="AO563" s="47" t="s">
        <v>227</v>
      </c>
      <c r="AP563" s="28">
        <v>0</v>
      </c>
      <c r="AQ563" s="26">
        <v>1.4999999999999999E-2</v>
      </c>
      <c r="AR563" s="26">
        <v>0</v>
      </c>
    </row>
    <row r="564" spans="1:44" x14ac:dyDescent="0.15">
      <c r="A564">
        <v>2</v>
      </c>
      <c r="B564" s="11">
        <v>450011</v>
      </c>
      <c r="C564" s="32"/>
      <c r="D564" s="32">
        <v>-3.2954512063514199E-3</v>
      </c>
      <c r="E564" s="32">
        <v>253</v>
      </c>
      <c r="F564" s="32">
        <v>1.4093176615424601E-2</v>
      </c>
      <c r="G564" s="11"/>
      <c r="H564" s="11"/>
      <c r="I564" s="11"/>
      <c r="J564" s="18" t="s">
        <v>44</v>
      </c>
      <c r="K564" s="18" t="s">
        <v>45</v>
      </c>
      <c r="L564" s="58" t="s">
        <v>65</v>
      </c>
      <c r="M564" s="18">
        <f>[1]!f_prt_stocktonav(B564,"2017/03/31")</f>
        <v>95.329002380371094</v>
      </c>
      <c r="N564" s="20" t="str">
        <f>[1]!f_info_fundmanager(B564)</f>
        <v>徐荔蓉</v>
      </c>
      <c r="O564" s="21">
        <v>4.86027397260274</v>
      </c>
      <c r="P564" s="34" t="s">
        <v>2322</v>
      </c>
      <c r="Q564" s="34" t="s">
        <v>2323</v>
      </c>
      <c r="R564" s="34" t="s">
        <v>742</v>
      </c>
      <c r="S564" s="34">
        <v>20120522</v>
      </c>
      <c r="T564" s="45">
        <v>0.60876437689999996</v>
      </c>
      <c r="U564" s="46">
        <v>0.67841204479999995</v>
      </c>
      <c r="V564" s="34" t="s">
        <v>201</v>
      </c>
      <c r="W564" s="34" t="s">
        <v>44</v>
      </c>
      <c r="X564" s="34" t="s">
        <v>45</v>
      </c>
      <c r="Y564" s="34" t="s">
        <v>65</v>
      </c>
      <c r="Z564" s="34"/>
      <c r="AA564" s="34"/>
      <c r="AB564" s="22">
        <v>0.94316772460937504</v>
      </c>
      <c r="AC564" s="23" t="s">
        <v>2324</v>
      </c>
      <c r="AD564" s="24">
        <v>4.6301369863013697</v>
      </c>
      <c r="AE564" s="25">
        <v>5.0975380023187133E-2</v>
      </c>
      <c r="AF564" s="26">
        <v>4.2290695197117367E-2</v>
      </c>
      <c r="AG564" s="26">
        <v>0</v>
      </c>
      <c r="AH564" s="27">
        <v>0.28270166563068977</v>
      </c>
      <c r="AI564" s="27">
        <v>0.29620890753394424</v>
      </c>
      <c r="AJ564" s="27">
        <v>0.28270166563068977</v>
      </c>
      <c r="AK564" s="28" t="s">
        <v>2325</v>
      </c>
      <c r="AL564" s="29">
        <v>1</v>
      </c>
      <c r="AM564" s="29">
        <v>3</v>
      </c>
      <c r="AN564" s="29" t="s">
        <v>48</v>
      </c>
      <c r="AO564" s="47" t="s">
        <v>249</v>
      </c>
      <c r="AP564" s="28">
        <v>0</v>
      </c>
      <c r="AQ564" s="26">
        <v>1.4999999999999999E-2</v>
      </c>
      <c r="AR564" s="26">
        <v>0</v>
      </c>
    </row>
    <row r="565" spans="1:44" x14ac:dyDescent="0.15">
      <c r="A565">
        <v>596</v>
      </c>
      <c r="B565" s="11">
        <v>481017</v>
      </c>
      <c r="C565" s="32"/>
      <c r="D565" s="32">
        <v>-1.0363133626457399E-3</v>
      </c>
      <c r="E565" s="32">
        <v>257</v>
      </c>
      <c r="F565" s="32">
        <v>0.168206571088097</v>
      </c>
      <c r="G565" s="11"/>
      <c r="H565" s="11"/>
      <c r="I565" s="11"/>
      <c r="J565" s="18" t="s">
        <v>44</v>
      </c>
      <c r="K565" s="18" t="s">
        <v>64</v>
      </c>
      <c r="L565" s="58" t="s">
        <v>65</v>
      </c>
      <c r="M565" s="18">
        <f>[1]!f_prt_stocktonav(B565,"2017/03/31")</f>
        <v>82.939430236816406</v>
      </c>
      <c r="N565" s="20" t="str">
        <f>[1]!f_info_fundmanager(B565)</f>
        <v>游凛峰</v>
      </c>
      <c r="O565" s="21">
        <v>4.9315068493150687</v>
      </c>
      <c r="P565" s="34" t="s">
        <v>2326</v>
      </c>
      <c r="Q565" s="34" t="s">
        <v>2327</v>
      </c>
      <c r="R565" s="34" t="s">
        <v>523</v>
      </c>
      <c r="S565" s="34">
        <v>20120426</v>
      </c>
      <c r="T565" s="45">
        <v>1.3917842360999999</v>
      </c>
      <c r="U565" s="46">
        <v>1.3369758598999999</v>
      </c>
      <c r="V565" s="34" t="s">
        <v>201</v>
      </c>
      <c r="W565" s="34" t="s">
        <v>44</v>
      </c>
      <c r="X565" s="34" t="s">
        <v>45</v>
      </c>
      <c r="Y565" s="34" t="s">
        <v>65</v>
      </c>
      <c r="Z565" s="34"/>
      <c r="AA565" s="34"/>
      <c r="AB565" s="22">
        <v>0.90525489807128912</v>
      </c>
      <c r="AC565" s="23" t="s">
        <v>2328</v>
      </c>
      <c r="AD565" s="24">
        <v>4.7013698630136984</v>
      </c>
      <c r="AE565" s="25">
        <v>0.14968809516542825</v>
      </c>
      <c r="AF565" s="26">
        <v>0.2273883072438263</v>
      </c>
      <c r="AG565" s="26">
        <v>0</v>
      </c>
      <c r="AH565" s="27">
        <v>0.59134523764561286</v>
      </c>
      <c r="AI565" s="27">
        <v>0.76647495134565613</v>
      </c>
      <c r="AJ565" s="27">
        <v>0.59134523764561286</v>
      </c>
      <c r="AK565" s="28" t="s">
        <v>2329</v>
      </c>
      <c r="AL565" s="29">
        <v>3</v>
      </c>
      <c r="AM565" s="29">
        <v>3</v>
      </c>
      <c r="AN565" s="29" t="s">
        <v>48</v>
      </c>
      <c r="AO565" s="47" t="s">
        <v>255</v>
      </c>
      <c r="AP565" s="28">
        <v>0</v>
      </c>
      <c r="AQ565" s="26">
        <v>1.4999999999999999E-2</v>
      </c>
      <c r="AR565" s="26">
        <v>0</v>
      </c>
    </row>
    <row r="566" spans="1:44" x14ac:dyDescent="0.15">
      <c r="A566">
        <v>464</v>
      </c>
      <c r="B566" s="11">
        <v>660012</v>
      </c>
      <c r="C566" s="32"/>
      <c r="D566" s="32">
        <v>6.0403963893698301E-5</v>
      </c>
      <c r="E566" s="32">
        <v>257</v>
      </c>
      <c r="F566" s="32">
        <v>0.95856994058397604</v>
      </c>
      <c r="G566" s="11"/>
      <c r="H566" s="11"/>
      <c r="I566" s="11"/>
      <c r="J566" s="18" t="s">
        <v>44</v>
      </c>
      <c r="K566" s="19" t="s">
        <v>87</v>
      </c>
      <c r="L566" s="58" t="s">
        <v>274</v>
      </c>
      <c r="M566" s="18">
        <f>[1]!f_prt_stocktonav(B566,"2017/03/31")</f>
        <v>85.976936340332031</v>
      </c>
      <c r="N566" s="20" t="str">
        <f>[1]!f_info_fundmanager(B566)</f>
        <v>付娟,徐文卉</v>
      </c>
      <c r="O566" s="21">
        <v>4.9369863013698634</v>
      </c>
      <c r="P566" s="32" t="s">
        <v>2330</v>
      </c>
      <c r="Q566" s="13" t="s">
        <v>2331</v>
      </c>
      <c r="R566" s="13" t="s">
        <v>424</v>
      </c>
      <c r="S566" s="13">
        <v>20120424</v>
      </c>
      <c r="T566" s="14">
        <v>12.511935719</v>
      </c>
      <c r="U566" s="15" t="s">
        <v>39</v>
      </c>
      <c r="V566" s="16" t="s">
        <v>40</v>
      </c>
      <c r="W566" s="17" t="s">
        <v>44</v>
      </c>
      <c r="X566" s="17" t="s">
        <v>87</v>
      </c>
      <c r="Y566" s="17" t="s">
        <v>274</v>
      </c>
      <c r="Z566" s="13"/>
      <c r="AA566" s="13"/>
      <c r="AB566" s="22">
        <v>0.80630226135253902</v>
      </c>
      <c r="AC566" s="23" t="s">
        <v>2332</v>
      </c>
      <c r="AD566" s="24">
        <v>4.7068493150684931</v>
      </c>
      <c r="AE566" s="25">
        <v>0.21741805737987985</v>
      </c>
      <c r="AF566" s="26">
        <v>0.1510674789466282</v>
      </c>
      <c r="AG566" s="26">
        <v>0</v>
      </c>
      <c r="AH566" s="27">
        <v>0.77320956381385431</v>
      </c>
      <c r="AI566" s="27">
        <v>0.52284534013551498</v>
      </c>
      <c r="AJ566" s="27">
        <v>0.77320956381385431</v>
      </c>
      <c r="AK566" s="33" t="s">
        <v>2119</v>
      </c>
      <c r="AL566" s="29">
        <v>5</v>
      </c>
      <c r="AM566" s="29">
        <v>4</v>
      </c>
      <c r="AN566" s="29" t="s">
        <v>48</v>
      </c>
      <c r="AO566" s="23" t="s">
        <v>2333</v>
      </c>
      <c r="AP566" s="30">
        <v>0</v>
      </c>
      <c r="AQ566" s="31">
        <v>1.4999999999999999E-2</v>
      </c>
      <c r="AR566" s="31">
        <v>0</v>
      </c>
    </row>
    <row r="567" spans="1:44" x14ac:dyDescent="0.15">
      <c r="A567">
        <v>929</v>
      </c>
      <c r="B567" s="11">
        <v>200015</v>
      </c>
      <c r="C567" s="32"/>
      <c r="D567" s="32">
        <v>4.0662113438228202E-3</v>
      </c>
      <c r="E567" s="32">
        <v>91</v>
      </c>
      <c r="F567" s="32">
        <v>5.0353721962022799E-2</v>
      </c>
      <c r="G567" s="11"/>
      <c r="H567" s="11"/>
      <c r="I567" s="11"/>
      <c r="J567" s="18" t="s">
        <v>44</v>
      </c>
      <c r="K567" s="18" t="s">
        <v>45</v>
      </c>
      <c r="L567" s="58" t="s">
        <v>65</v>
      </c>
      <c r="M567" s="18">
        <f>[1]!f_prt_stocktonav(B567,"2017/03/31")</f>
        <v>71.211372375488281</v>
      </c>
      <c r="N567" s="20" t="str">
        <f>[1]!f_info_fundmanager(B567)</f>
        <v>郑帮强</v>
      </c>
      <c r="O567" s="21">
        <v>1.7315068493150685</v>
      </c>
      <c r="P567" s="34" t="s">
        <v>2334</v>
      </c>
      <c r="Q567" s="34" t="s">
        <v>2335</v>
      </c>
      <c r="R567" s="34" t="s">
        <v>1172</v>
      </c>
      <c r="S567" s="34">
        <v>20120420</v>
      </c>
      <c r="T567" s="45">
        <v>1.2575372028</v>
      </c>
      <c r="U567" s="46">
        <v>2.3856882851000001</v>
      </c>
      <c r="V567" s="34" t="s">
        <v>231</v>
      </c>
      <c r="W567" s="34" t="s">
        <v>44</v>
      </c>
      <c r="X567" s="34" t="s">
        <v>45</v>
      </c>
      <c r="Y567" s="34" t="s">
        <v>274</v>
      </c>
      <c r="Z567" s="34"/>
      <c r="AA567" s="34"/>
      <c r="AB567" s="22">
        <v>0.83014366149902341</v>
      </c>
      <c r="AC567" s="23" t="s">
        <v>2336</v>
      </c>
      <c r="AD567" s="24">
        <v>1.5013698630136987</v>
      </c>
      <c r="AE567" s="25">
        <v>0.12857644383111166</v>
      </c>
      <c r="AF567" s="26">
        <v>0.15340705795036302</v>
      </c>
      <c r="AG567" s="26">
        <v>0</v>
      </c>
      <c r="AH567" s="27">
        <v>0.50399069897553872</v>
      </c>
      <c r="AI567" s="27">
        <v>0.52988401733263624</v>
      </c>
      <c r="AJ567" s="27">
        <v>0.50399069897553872</v>
      </c>
      <c r="AK567" s="28" t="s">
        <v>694</v>
      </c>
      <c r="AL567" s="29">
        <v>1</v>
      </c>
      <c r="AM567" s="29">
        <v>3</v>
      </c>
      <c r="AN567" s="29" t="s">
        <v>48</v>
      </c>
      <c r="AO567" s="47" t="s">
        <v>2337</v>
      </c>
      <c r="AP567" s="28">
        <v>0</v>
      </c>
      <c r="AQ567" s="26">
        <v>1.4999999999999999E-2</v>
      </c>
      <c r="AR567" s="26">
        <v>0</v>
      </c>
    </row>
    <row r="568" spans="1:44" x14ac:dyDescent="0.15">
      <c r="A568">
        <v>494</v>
      </c>
      <c r="B568" s="11">
        <v>206012</v>
      </c>
      <c r="C568" s="32"/>
      <c r="D568" s="32">
        <v>-7.6709574686358194E-5</v>
      </c>
      <c r="E568" s="32">
        <v>92</v>
      </c>
      <c r="F568" s="32">
        <v>0.94546321878988004</v>
      </c>
      <c r="G568" s="11"/>
      <c r="H568" s="11"/>
      <c r="I568" s="11"/>
      <c r="J568" s="18" t="s">
        <v>44</v>
      </c>
      <c r="K568" s="18" t="s">
        <v>45</v>
      </c>
      <c r="L568" s="58" t="s">
        <v>274</v>
      </c>
      <c r="M568" s="18">
        <f>[1]!f_prt_stocktonav(B568,"2017/03/31")</f>
        <v>85.4632568359375</v>
      </c>
      <c r="N568" s="20" t="str">
        <f>[1]!f_info_fundmanager(B568)</f>
        <v>胡东健</v>
      </c>
      <c r="O568" s="21">
        <v>1.7643835616438357</v>
      </c>
      <c r="P568" s="34" t="s">
        <v>2338</v>
      </c>
      <c r="Q568" s="34" t="s">
        <v>2339</v>
      </c>
      <c r="R568" s="34" t="s">
        <v>705</v>
      </c>
      <c r="S568" s="34">
        <v>20120416</v>
      </c>
      <c r="T568" s="45">
        <v>0.62361749730000005</v>
      </c>
      <c r="U568" s="46">
        <v>0.70372933739999999</v>
      </c>
      <c r="V568" s="34" t="s">
        <v>231</v>
      </c>
      <c r="W568" s="34" t="s">
        <v>44</v>
      </c>
      <c r="X568" s="34" t="s">
        <v>45</v>
      </c>
      <c r="Y568" s="34" t="s">
        <v>274</v>
      </c>
      <c r="Z568" s="34"/>
      <c r="AA568" s="34"/>
      <c r="AB568" s="22">
        <v>0.90497116088867191</v>
      </c>
      <c r="AC568" s="23" t="s">
        <v>2340</v>
      </c>
      <c r="AD568" s="24">
        <v>1.5342465753424657</v>
      </c>
      <c r="AE568" s="25">
        <v>6.4710867317468113E-2</v>
      </c>
      <c r="AF568" s="26">
        <v>0.12024700668828704</v>
      </c>
      <c r="AG568" s="26">
        <v>0</v>
      </c>
      <c r="AH568" s="27">
        <v>0.3173849894420212</v>
      </c>
      <c r="AI568" s="27">
        <v>0.48890181087015044</v>
      </c>
      <c r="AJ568" s="27">
        <v>0.3173849894420212</v>
      </c>
      <c r="AK568" s="28" t="s">
        <v>1787</v>
      </c>
      <c r="AL568" s="29">
        <v>2</v>
      </c>
      <c r="AM568" s="29">
        <v>2</v>
      </c>
      <c r="AN568" s="29" t="s">
        <v>48</v>
      </c>
      <c r="AO568" s="47" t="s">
        <v>2341</v>
      </c>
      <c r="AP568" s="28">
        <v>0</v>
      </c>
      <c r="AQ568" s="26">
        <v>1.4999999999999999E-2</v>
      </c>
      <c r="AR568" s="26">
        <v>0</v>
      </c>
    </row>
    <row r="569" spans="1:44" x14ac:dyDescent="0.15">
      <c r="A569">
        <v>554</v>
      </c>
      <c r="B569" s="11">
        <v>163412</v>
      </c>
      <c r="C569" s="32"/>
      <c r="D569" s="32">
        <v>2.2151549753666499E-3</v>
      </c>
      <c r="E569" s="32">
        <v>121</v>
      </c>
      <c r="F569" s="32">
        <v>9.2677657008547701E-2</v>
      </c>
      <c r="G569" s="11"/>
      <c r="H569" s="11"/>
      <c r="I569" s="11"/>
      <c r="J569" s="18" t="s">
        <v>44</v>
      </c>
      <c r="K569" s="18" t="s">
        <v>45</v>
      </c>
      <c r="L569" s="58" t="s">
        <v>274</v>
      </c>
      <c r="M569" s="18">
        <f>[1]!f_prt_stocktonav(B569,"2017/03/31")</f>
        <v>83.936752319335938</v>
      </c>
      <c r="N569" s="20" t="str">
        <f>[1]!f_info_fundmanager(B569)</f>
        <v>谢治宇</v>
      </c>
      <c r="O569" s="21">
        <v>2.3123287671232875</v>
      </c>
      <c r="P569" s="34" t="s">
        <v>2342</v>
      </c>
      <c r="Q569" s="34" t="s">
        <v>2343</v>
      </c>
      <c r="R569" s="34" t="s">
        <v>2217</v>
      </c>
      <c r="S569" s="34">
        <v>20120405</v>
      </c>
      <c r="T569" s="45">
        <v>55.735460877800001</v>
      </c>
      <c r="U569" s="46">
        <v>59.9074588792</v>
      </c>
      <c r="V569" s="34" t="s">
        <v>231</v>
      </c>
      <c r="W569" s="34" t="s">
        <v>44</v>
      </c>
      <c r="X569" s="34" t="s">
        <v>45</v>
      </c>
      <c r="Y569" s="34" t="s">
        <v>274</v>
      </c>
      <c r="Z569" s="34"/>
      <c r="AA569" s="34"/>
      <c r="AB569" s="22">
        <v>0.85416206359863278</v>
      </c>
      <c r="AC569" s="23" t="s">
        <v>2344</v>
      </c>
      <c r="AD569" s="24">
        <v>2.0821917808219177</v>
      </c>
      <c r="AE569" s="25">
        <v>0.30859319529621221</v>
      </c>
      <c r="AF569" s="26">
        <v>0.3688480189234562</v>
      </c>
      <c r="AG569" s="26">
        <v>0</v>
      </c>
      <c r="AH569" s="27">
        <v>1.0507048010266242</v>
      </c>
      <c r="AI569" s="27">
        <v>1.1322895420219465</v>
      </c>
      <c r="AJ569" s="27">
        <v>1.0507048010266242</v>
      </c>
      <c r="AK569" s="28" t="s">
        <v>2219</v>
      </c>
      <c r="AL569" s="29">
        <v>5</v>
      </c>
      <c r="AM569" s="29">
        <v>3</v>
      </c>
      <c r="AN569" s="29" t="s">
        <v>48</v>
      </c>
      <c r="AO569" s="47" t="s">
        <v>2220</v>
      </c>
      <c r="AP569" s="28" t="s">
        <v>2221</v>
      </c>
      <c r="AQ569" s="26">
        <v>1.4999999999999999E-2</v>
      </c>
      <c r="AR569" s="26">
        <v>0</v>
      </c>
    </row>
    <row r="570" spans="1:44" x14ac:dyDescent="0.15">
      <c r="A570">
        <v>901</v>
      </c>
      <c r="B570" s="11">
        <v>166011</v>
      </c>
      <c r="C570" s="32"/>
      <c r="D570" s="32">
        <v>-1.38622794351882E-3</v>
      </c>
      <c r="E570" s="32">
        <v>209</v>
      </c>
      <c r="F570" s="32">
        <v>0.21892324664683899</v>
      </c>
      <c r="G570" s="11"/>
      <c r="H570" s="11"/>
      <c r="I570" s="11"/>
      <c r="J570" s="18" t="s">
        <v>44</v>
      </c>
      <c r="K570" s="18" t="s">
        <v>45</v>
      </c>
      <c r="L570" s="58" t="s">
        <v>65</v>
      </c>
      <c r="M570" s="18">
        <f>[1]!f_prt_stocktonav(B570,"2017/03/31")</f>
        <v>72.530242919921875</v>
      </c>
      <c r="N570" s="20" t="str">
        <f>[1]!f_info_fundmanager(B570)</f>
        <v>魏博</v>
      </c>
      <c r="O570" s="21">
        <v>4.0082191780821921</v>
      </c>
      <c r="P570" s="34" t="s">
        <v>2345</v>
      </c>
      <c r="Q570" s="34" t="s">
        <v>2346</v>
      </c>
      <c r="R570" s="34" t="s">
        <v>200</v>
      </c>
      <c r="S570" s="34">
        <v>20120329</v>
      </c>
      <c r="T570" s="45">
        <v>35.193579719299997</v>
      </c>
      <c r="U570" s="46">
        <v>41.229328263900001</v>
      </c>
      <c r="V570" s="34" t="s">
        <v>231</v>
      </c>
      <c r="W570" s="34" t="s">
        <v>44</v>
      </c>
      <c r="X570" s="34" t="s">
        <v>45</v>
      </c>
      <c r="Y570" s="34" t="s">
        <v>65</v>
      </c>
      <c r="Z570" s="34"/>
      <c r="AA570" s="34"/>
      <c r="AB570" s="22">
        <v>0.77876907348632818</v>
      </c>
      <c r="AC570" s="23" t="s">
        <v>2347</v>
      </c>
      <c r="AD570" s="24">
        <v>3.7780821917808218</v>
      </c>
      <c r="AE570" s="25">
        <v>0.25903775994086509</v>
      </c>
      <c r="AF570" s="26">
        <v>0.28629361972228384</v>
      </c>
      <c r="AG570" s="26">
        <v>0</v>
      </c>
      <c r="AH570" s="27">
        <v>0.9156658902877115</v>
      </c>
      <c r="AI570" s="27">
        <v>0.89769576056936773</v>
      </c>
      <c r="AJ570" s="27">
        <v>0.9156658902877115</v>
      </c>
      <c r="AK570" s="28" t="s">
        <v>1868</v>
      </c>
      <c r="AL570" s="29">
        <v>5</v>
      </c>
      <c r="AM570" s="29">
        <v>2</v>
      </c>
      <c r="AN570" s="29" t="s">
        <v>48</v>
      </c>
      <c r="AO570" s="47" t="s">
        <v>2348</v>
      </c>
      <c r="AP570" s="28">
        <v>0</v>
      </c>
      <c r="AQ570" s="26">
        <v>1.4999999999999999E-2</v>
      </c>
      <c r="AR570" s="26">
        <v>0</v>
      </c>
    </row>
    <row r="571" spans="1:44" x14ac:dyDescent="0.15">
      <c r="A571">
        <v>448</v>
      </c>
      <c r="B571" s="11">
        <v>570008</v>
      </c>
      <c r="C571" s="32"/>
      <c r="D571" s="32">
        <v>1.92660780854968E-3</v>
      </c>
      <c r="E571" s="32">
        <v>93</v>
      </c>
      <c r="F571" s="32">
        <v>0.30099792985539298</v>
      </c>
      <c r="G571" s="11"/>
      <c r="H571" s="11"/>
      <c r="I571" s="11"/>
      <c r="J571" s="18" t="s">
        <v>44</v>
      </c>
      <c r="K571" s="18" t="s">
        <v>45</v>
      </c>
      <c r="L571" s="58" t="s">
        <v>65</v>
      </c>
      <c r="M571" s="18">
        <f>[1]!f_prt_stocktonav(B571,"2017/03/31")</f>
        <v>86.363906860351563</v>
      </c>
      <c r="N571" s="20" t="str">
        <f>[1]!f_info_fundmanager(B571)</f>
        <v>罗世锋</v>
      </c>
      <c r="O571" s="21">
        <v>1.7808219178082192</v>
      </c>
      <c r="P571" s="34" t="s">
        <v>2349</v>
      </c>
      <c r="Q571" s="34" t="s">
        <v>2350</v>
      </c>
      <c r="R571" s="34" t="s">
        <v>2351</v>
      </c>
      <c r="S571" s="34">
        <v>20120321</v>
      </c>
      <c r="T571" s="45">
        <v>0.79120906520000001</v>
      </c>
      <c r="U571" s="46">
        <v>2.6157873091999999</v>
      </c>
      <c r="V571" s="34" t="s">
        <v>231</v>
      </c>
      <c r="W571" s="34" t="s">
        <v>44</v>
      </c>
      <c r="X571" s="34" t="s">
        <v>45</v>
      </c>
      <c r="Y571" s="34" t="s">
        <v>65</v>
      </c>
      <c r="Z571" s="34"/>
      <c r="AA571" s="34"/>
      <c r="AB571" s="22">
        <v>0.91635612487792972</v>
      </c>
      <c r="AC571" s="23" t="s">
        <v>2352</v>
      </c>
      <c r="AD571" s="24">
        <v>1.5506849315068494</v>
      </c>
      <c r="AE571" s="25">
        <v>0.17254552326021244</v>
      </c>
      <c r="AF571" s="26">
        <v>0.26711419480145726</v>
      </c>
      <c r="AG571" s="26">
        <v>0</v>
      </c>
      <c r="AH571" s="27">
        <v>0.62587791430479267</v>
      </c>
      <c r="AI571" s="27">
        <v>0.79431538266677959</v>
      </c>
      <c r="AJ571" s="27">
        <v>0.62587791430479267</v>
      </c>
      <c r="AK571" s="28" t="s">
        <v>2353</v>
      </c>
      <c r="AL571" s="29">
        <v>4</v>
      </c>
      <c r="AM571" s="29">
        <v>4</v>
      </c>
      <c r="AN571" s="29" t="s">
        <v>48</v>
      </c>
      <c r="AO571" s="47" t="s">
        <v>367</v>
      </c>
      <c r="AP571" s="28">
        <v>0</v>
      </c>
      <c r="AQ571" s="26">
        <v>1.4999999999999999E-2</v>
      </c>
      <c r="AR571" s="26">
        <v>0</v>
      </c>
    </row>
    <row r="572" spans="1:44" x14ac:dyDescent="0.15">
      <c r="A572">
        <v>256</v>
      </c>
      <c r="B572" s="11">
        <v>90018</v>
      </c>
      <c r="C572" s="32"/>
      <c r="D572" s="32">
        <v>-8.7666192427572002E-5</v>
      </c>
      <c r="E572" s="32">
        <v>97</v>
      </c>
      <c r="F572" s="32">
        <v>0.95085236389640704</v>
      </c>
      <c r="G572" s="11"/>
      <c r="H572" s="11"/>
      <c r="I572" s="11"/>
      <c r="J572" s="18" t="s">
        <v>44</v>
      </c>
      <c r="K572" s="18" t="s">
        <v>45</v>
      </c>
      <c r="L572" s="58" t="s">
        <v>337</v>
      </c>
      <c r="M572" s="18">
        <f>[1]!f_prt_stocktonav(B572,"2017/03/31")</f>
        <v>90.461174011230469</v>
      </c>
      <c r="N572" s="20" t="str">
        <f>[1]!f_info_fundmanager(B572)</f>
        <v>周德昕</v>
      </c>
      <c r="O572" s="21">
        <v>1.8575342465753424</v>
      </c>
      <c r="P572" s="34" t="s">
        <v>2354</v>
      </c>
      <c r="Q572" s="34" t="s">
        <v>2355</v>
      </c>
      <c r="R572" s="34" t="s">
        <v>486</v>
      </c>
      <c r="S572" s="34">
        <v>20120320</v>
      </c>
      <c r="T572" s="45">
        <v>1.2166412574000001</v>
      </c>
      <c r="U572" s="46">
        <v>1.2967436295999999</v>
      </c>
      <c r="V572" s="34" t="s">
        <v>201</v>
      </c>
      <c r="W572" s="34" t="s">
        <v>44</v>
      </c>
      <c r="X572" s="34" t="s">
        <v>45</v>
      </c>
      <c r="Y572" s="34" t="s">
        <v>337</v>
      </c>
      <c r="Z572" s="34"/>
      <c r="AA572" s="34"/>
      <c r="AB572" s="22">
        <v>0.84147941589355468</v>
      </c>
      <c r="AC572" s="23" t="s">
        <v>2356</v>
      </c>
      <c r="AD572" s="24">
        <v>1.6273972602739726</v>
      </c>
      <c r="AE572" s="25">
        <v>0.19499009072717599</v>
      </c>
      <c r="AF572" s="26">
        <v>0.2031572043905929</v>
      </c>
      <c r="AG572" s="26">
        <v>0</v>
      </c>
      <c r="AH572" s="27">
        <v>0.74240202315206671</v>
      </c>
      <c r="AI572" s="27">
        <v>0.71520959392130834</v>
      </c>
      <c r="AJ572" s="27">
        <v>0.74240202315206671</v>
      </c>
      <c r="AK572" s="28" t="s">
        <v>2357</v>
      </c>
      <c r="AL572" s="29">
        <v>4</v>
      </c>
      <c r="AM572" s="29">
        <v>2</v>
      </c>
      <c r="AN572" s="29" t="s">
        <v>48</v>
      </c>
      <c r="AO572" s="47" t="s">
        <v>227</v>
      </c>
      <c r="AP572" s="28">
        <v>0</v>
      </c>
      <c r="AQ572" s="26">
        <v>1.4999999999999999E-2</v>
      </c>
      <c r="AR572" s="26">
        <v>0</v>
      </c>
    </row>
    <row r="573" spans="1:44" x14ac:dyDescent="0.15">
      <c r="A573">
        <v>910</v>
      </c>
      <c r="B573" s="11">
        <v>20026</v>
      </c>
      <c r="C573" s="32"/>
      <c r="D573" s="32">
        <v>2.8166834817622E-3</v>
      </c>
      <c r="E573" s="32">
        <v>95</v>
      </c>
      <c r="F573" s="32">
        <v>0.11467807920900799</v>
      </c>
      <c r="G573" s="11"/>
      <c r="H573" s="11"/>
      <c r="I573" s="11"/>
      <c r="J573" s="18" t="s">
        <v>44</v>
      </c>
      <c r="K573" s="18" t="s">
        <v>45</v>
      </c>
      <c r="L573" s="58" t="s">
        <v>65</v>
      </c>
      <c r="M573" s="18">
        <f>[1]!f_prt_stocktonav(B573,"2017/03/31")</f>
        <v>72.000961303710938</v>
      </c>
      <c r="N573" s="20" t="str">
        <f>[1]!f_info_fundmanager(B573)</f>
        <v>申坤</v>
      </c>
      <c r="O573" s="21">
        <v>1.8246575342465754</v>
      </c>
      <c r="P573" s="34" t="s">
        <v>2358</v>
      </c>
      <c r="Q573" s="34" t="s">
        <v>2359</v>
      </c>
      <c r="R573" s="34" t="s">
        <v>663</v>
      </c>
      <c r="S573" s="34">
        <v>20120320</v>
      </c>
      <c r="T573" s="45">
        <v>4.0126704150999997</v>
      </c>
      <c r="U573" s="46">
        <v>4.6277049853000003</v>
      </c>
      <c r="V573" s="34" t="s">
        <v>231</v>
      </c>
      <c r="W573" s="34" t="s">
        <v>44</v>
      </c>
      <c r="X573" s="34" t="s">
        <v>45</v>
      </c>
      <c r="Y573" s="34" t="s">
        <v>274</v>
      </c>
      <c r="Z573" s="34"/>
      <c r="AA573" s="34"/>
      <c r="AB573" s="22">
        <v>0.73491981506347659</v>
      </c>
      <c r="AC573" s="23" t="s">
        <v>1786</v>
      </c>
      <c r="AD573" s="24">
        <v>1.5945205479452054</v>
      </c>
      <c r="AE573" s="25">
        <v>0.22524379974672826</v>
      </c>
      <c r="AF573" s="26">
        <v>0.2936298024874695</v>
      </c>
      <c r="AG573" s="26">
        <v>0</v>
      </c>
      <c r="AH573" s="27">
        <v>0.82301511859277909</v>
      </c>
      <c r="AI573" s="27">
        <v>0.91556390422043288</v>
      </c>
      <c r="AJ573" s="27">
        <v>0.82301511859277909</v>
      </c>
      <c r="AK573" s="28" t="s">
        <v>208</v>
      </c>
      <c r="AL573" s="29">
        <v>5</v>
      </c>
      <c r="AM573" s="29">
        <v>2</v>
      </c>
      <c r="AN573" s="29" t="s">
        <v>48</v>
      </c>
      <c r="AO573" s="47" t="s">
        <v>101</v>
      </c>
      <c r="AP573" s="28">
        <v>0</v>
      </c>
      <c r="AQ573" s="26">
        <v>1.4999999999999999E-2</v>
      </c>
      <c r="AR573" s="26">
        <v>0</v>
      </c>
    </row>
    <row r="574" spans="1:44" x14ac:dyDescent="0.15">
      <c r="A574">
        <v>480</v>
      </c>
      <c r="B574" s="11">
        <v>160127</v>
      </c>
      <c r="C574" s="32"/>
      <c r="D574" s="32">
        <v>1.19519290466915E-3</v>
      </c>
      <c r="E574" s="32">
        <v>119</v>
      </c>
      <c r="F574" s="32">
        <v>0.325808340043867</v>
      </c>
      <c r="G574" s="11"/>
      <c r="H574" s="11"/>
      <c r="I574" s="11"/>
      <c r="J574" s="18" t="s">
        <v>44</v>
      </c>
      <c r="K574" s="18" t="s">
        <v>87</v>
      </c>
      <c r="L574" s="58" t="s">
        <v>274</v>
      </c>
      <c r="M574" s="18">
        <f>[1]!f_prt_stocktonav(B574,"2017/03/31")</f>
        <v>85.6929931640625</v>
      </c>
      <c r="N574" s="20" t="str">
        <f>[1]!f_info_fundmanager(B574)</f>
        <v>蒋秋洁,李佳亮</v>
      </c>
      <c r="O574" s="21">
        <v>2.2849315068493152</v>
      </c>
      <c r="P574" s="34" t="s">
        <v>2360</v>
      </c>
      <c r="Q574" s="34" t="s">
        <v>2361</v>
      </c>
      <c r="R574" s="34" t="s">
        <v>284</v>
      </c>
      <c r="S574" s="34">
        <v>20120313</v>
      </c>
      <c r="T574" s="45">
        <v>2.7355883504</v>
      </c>
      <c r="U574" s="46">
        <v>2.1274982944</v>
      </c>
      <c r="V574" s="34" t="s">
        <v>201</v>
      </c>
      <c r="W574" s="34" t="s">
        <v>44</v>
      </c>
      <c r="X574" s="34" t="s">
        <v>45</v>
      </c>
      <c r="Y574" s="34" t="s">
        <v>274</v>
      </c>
      <c r="Z574" s="34"/>
      <c r="AA574" s="34" t="s">
        <v>2362</v>
      </c>
      <c r="AB574" s="22">
        <v>0.83442855834960938</v>
      </c>
      <c r="AC574" s="23" t="s">
        <v>2363</v>
      </c>
      <c r="AD574" s="24">
        <v>2.0547945205479454</v>
      </c>
      <c r="AE574" s="25">
        <v>0.13685351364459897</v>
      </c>
      <c r="AF574" s="26">
        <v>0.18632442692481721</v>
      </c>
      <c r="AG574" s="26">
        <v>0</v>
      </c>
      <c r="AH574" s="27">
        <v>0.59079784052470585</v>
      </c>
      <c r="AI574" s="27">
        <v>0.71558860174609451</v>
      </c>
      <c r="AJ574" s="27">
        <v>0.59079784052470585</v>
      </c>
      <c r="AK574" s="28" t="s">
        <v>2364</v>
      </c>
      <c r="AL574" s="29">
        <v>3</v>
      </c>
      <c r="AM574" s="29">
        <v>3</v>
      </c>
      <c r="AN574" s="29" t="s">
        <v>48</v>
      </c>
      <c r="AO574" s="47" t="s">
        <v>287</v>
      </c>
      <c r="AP574" s="28">
        <v>0</v>
      </c>
      <c r="AQ574" s="26">
        <v>1.4999999999999999E-2</v>
      </c>
      <c r="AR574" s="26">
        <v>0</v>
      </c>
    </row>
    <row r="575" spans="1:44" x14ac:dyDescent="0.15">
      <c r="A575">
        <v>674</v>
      </c>
      <c r="B575" s="11">
        <v>233011</v>
      </c>
      <c r="C575" s="32"/>
      <c r="D575" s="32">
        <v>2.4185173948698701E-3</v>
      </c>
      <c r="E575" s="32">
        <v>10</v>
      </c>
      <c r="F575" s="32">
        <v>0.43476210028939999</v>
      </c>
      <c r="G575" s="11"/>
      <c r="H575" s="11"/>
      <c r="I575" s="11"/>
      <c r="J575" s="18" t="s">
        <v>44</v>
      </c>
      <c r="K575" s="18" t="s">
        <v>87</v>
      </c>
      <c r="L575" s="58" t="s">
        <v>817</v>
      </c>
      <c r="M575" s="18">
        <f>[1]!f_prt_stocktonav(B575,"2017/03/31")</f>
        <v>80.7578125</v>
      </c>
      <c r="N575" s="20" t="str">
        <f>[1]!f_info_fundmanager(B575)</f>
        <v>袁斌,缪东航</v>
      </c>
      <c r="O575" s="21">
        <v>0.18904109589041096</v>
      </c>
      <c r="P575" s="34" t="s">
        <v>2365</v>
      </c>
      <c r="Q575" s="34" t="s">
        <v>2366</v>
      </c>
      <c r="R575" s="34" t="s">
        <v>378</v>
      </c>
      <c r="S575" s="34">
        <v>20120313</v>
      </c>
      <c r="T575" s="45">
        <v>5.3460212214</v>
      </c>
      <c r="U575" s="46">
        <v>5.6563205303000004</v>
      </c>
      <c r="V575" s="34" t="s">
        <v>231</v>
      </c>
      <c r="W575" s="34" t="s">
        <v>44</v>
      </c>
      <c r="X575" s="34" t="s">
        <v>45</v>
      </c>
      <c r="Y575" s="34" t="s">
        <v>65</v>
      </c>
      <c r="Z575" s="34"/>
      <c r="AA575" s="34"/>
      <c r="AB575" s="22">
        <v>0.8663930511474609</v>
      </c>
      <c r="AC575" s="23" t="s">
        <v>2367</v>
      </c>
      <c r="AD575" s="24">
        <v>1.1287671232876713</v>
      </c>
      <c r="AE575" s="25">
        <v>0.18569291563898438</v>
      </c>
      <c r="AF575" s="26">
        <v>0.29807156992499073</v>
      </c>
      <c r="AG575" s="26">
        <v>0</v>
      </c>
      <c r="AH575" s="27">
        <v>0.66164128190129701</v>
      </c>
      <c r="AI575" s="27">
        <v>0.85118110826570259</v>
      </c>
      <c r="AJ575" s="27">
        <v>0.66164128190129701</v>
      </c>
      <c r="AK575" s="28" t="s">
        <v>2225</v>
      </c>
      <c r="AL575" s="29">
        <v>4</v>
      </c>
      <c r="AM575" s="29">
        <v>3</v>
      </c>
      <c r="AN575" s="29" t="s">
        <v>48</v>
      </c>
      <c r="AO575" s="47" t="s">
        <v>2368</v>
      </c>
      <c r="AP575" s="28">
        <v>0</v>
      </c>
      <c r="AQ575" s="26">
        <v>1.4999999999999999E-2</v>
      </c>
      <c r="AR575" s="26">
        <v>0</v>
      </c>
    </row>
    <row r="576" spans="1:44" x14ac:dyDescent="0.15">
      <c r="A576">
        <v>263</v>
      </c>
      <c r="B576" s="11">
        <v>470098</v>
      </c>
      <c r="C576" s="32"/>
      <c r="D576" s="32">
        <v>-2.0045670202482901E-3</v>
      </c>
      <c r="E576" s="32">
        <v>264</v>
      </c>
      <c r="F576" s="32">
        <v>4.3038560386844497E-2</v>
      </c>
      <c r="G576" s="11"/>
      <c r="H576" s="11"/>
      <c r="I576" s="11"/>
      <c r="J576" s="18" t="s">
        <v>44</v>
      </c>
      <c r="K576" s="18" t="s">
        <v>45</v>
      </c>
      <c r="L576" s="58" t="s">
        <v>274</v>
      </c>
      <c r="M576" s="18">
        <f>[1]!f_prt_stocktonav(B576,"2017/03/31")</f>
        <v>90.159027099609375</v>
      </c>
      <c r="N576" s="20" t="str">
        <f>[1]!f_info_fundmanager(B576)</f>
        <v>顾耀强</v>
      </c>
      <c r="O576" s="21">
        <v>5.0630136986301366</v>
      </c>
      <c r="P576" s="34" t="s">
        <v>2369</v>
      </c>
      <c r="Q576" s="34" t="s">
        <v>2370</v>
      </c>
      <c r="R576" s="34" t="s">
        <v>331</v>
      </c>
      <c r="S576" s="34">
        <v>20120309</v>
      </c>
      <c r="T576" s="45">
        <v>11.193095120900001</v>
      </c>
      <c r="U576" s="46">
        <v>11.3488241822</v>
      </c>
      <c r="V576" s="34" t="s">
        <v>231</v>
      </c>
      <c r="W576" s="34" t="s">
        <v>44</v>
      </c>
      <c r="X576" s="34" t="s">
        <v>45</v>
      </c>
      <c r="Y576" s="34" t="s">
        <v>274</v>
      </c>
      <c r="Z576" s="34"/>
      <c r="AA576" s="34"/>
      <c r="AB576" s="22">
        <v>0.92253074645996092</v>
      </c>
      <c r="AC576" s="23" t="s">
        <v>2371</v>
      </c>
      <c r="AD576" s="24">
        <v>4.8328767123287673</v>
      </c>
      <c r="AE576" s="25">
        <v>0.20447308124716934</v>
      </c>
      <c r="AF576" s="26">
        <v>0.274863303731814</v>
      </c>
      <c r="AG576" s="26">
        <v>0</v>
      </c>
      <c r="AH576" s="27">
        <v>0.74209849347884149</v>
      </c>
      <c r="AI576" s="27">
        <v>0.84708912918244583</v>
      </c>
      <c r="AJ576" s="27">
        <v>0.74209849347884149</v>
      </c>
      <c r="AK576" s="28" t="s">
        <v>276</v>
      </c>
      <c r="AL576" s="29">
        <v>4</v>
      </c>
      <c r="AM576" s="29">
        <v>3</v>
      </c>
      <c r="AN576" s="29" t="s">
        <v>48</v>
      </c>
      <c r="AO576" s="47" t="s">
        <v>334</v>
      </c>
      <c r="AP576" s="28">
        <v>0</v>
      </c>
      <c r="AQ576" s="26">
        <v>1.4999999999999999E-2</v>
      </c>
      <c r="AR576" s="26">
        <v>0</v>
      </c>
    </row>
    <row r="577" spans="1:44" x14ac:dyDescent="0.15">
      <c r="A577">
        <v>31</v>
      </c>
      <c r="B577" s="11">
        <v>740001</v>
      </c>
      <c r="C577" s="32"/>
      <c r="D577" s="32">
        <v>1.27702044384682E-3</v>
      </c>
      <c r="E577" s="32">
        <v>97</v>
      </c>
      <c r="F577" s="32">
        <v>0.46335357081371098</v>
      </c>
      <c r="G577" s="11"/>
      <c r="H577" s="11"/>
      <c r="I577" s="11"/>
      <c r="J577" s="18" t="s">
        <v>44</v>
      </c>
      <c r="K577" s="18" t="s">
        <v>45</v>
      </c>
      <c r="L577" s="58" t="s">
        <v>65</v>
      </c>
      <c r="M577" s="18">
        <f>[1]!f_prt_stocktonav(B577,"2017/03/31")</f>
        <v>94.605812072753906</v>
      </c>
      <c r="N577" s="20" t="str">
        <f>[1]!f_info_fundmanager(B577)</f>
        <v>栾绍菲</v>
      </c>
      <c r="O577" s="21">
        <v>1.8520547945205479</v>
      </c>
      <c r="P577" s="34" t="s">
        <v>2372</v>
      </c>
      <c r="Q577" s="34" t="s">
        <v>2373</v>
      </c>
      <c r="R577" s="34" t="s">
        <v>1306</v>
      </c>
      <c r="S577" s="34">
        <v>20120309</v>
      </c>
      <c r="T577" s="45">
        <v>1.3820867594999999</v>
      </c>
      <c r="U577" s="46">
        <v>1.6980368541999999</v>
      </c>
      <c r="V577" s="34" t="s">
        <v>231</v>
      </c>
      <c r="W577" s="34" t="s">
        <v>44</v>
      </c>
      <c r="X577" s="34" t="s">
        <v>45</v>
      </c>
      <c r="Y577" s="34" t="s">
        <v>65</v>
      </c>
      <c r="Z577" s="34"/>
      <c r="AA577" s="34"/>
      <c r="AB577" s="22">
        <v>0.94206901550292965</v>
      </c>
      <c r="AC577" s="23" t="s">
        <v>2374</v>
      </c>
      <c r="AD577" s="24">
        <v>1.6219178082191781</v>
      </c>
      <c r="AE577" s="25">
        <v>0.17053983448024781</v>
      </c>
      <c r="AF577" s="26">
        <v>0.18857352215890799</v>
      </c>
      <c r="AG577" s="26">
        <v>0</v>
      </c>
      <c r="AH577" s="27">
        <v>0.66703424790780574</v>
      </c>
      <c r="AI577" s="27">
        <v>0.6636907786426538</v>
      </c>
      <c r="AJ577" s="27">
        <v>0.66703424790780574</v>
      </c>
      <c r="AK577" s="28" t="s">
        <v>276</v>
      </c>
      <c r="AL577" s="29">
        <v>5</v>
      </c>
      <c r="AM577" s="29">
        <v>2</v>
      </c>
      <c r="AN577" s="29" t="s">
        <v>48</v>
      </c>
      <c r="AO577" s="47" t="s">
        <v>209</v>
      </c>
      <c r="AP577" s="28">
        <v>0</v>
      </c>
      <c r="AQ577" s="26">
        <v>1.4999999999999999E-2</v>
      </c>
      <c r="AR577" s="26">
        <v>0</v>
      </c>
    </row>
    <row r="578" spans="1:44" x14ac:dyDescent="0.15">
      <c r="A578">
        <v>752</v>
      </c>
      <c r="B578" s="11">
        <v>166801</v>
      </c>
      <c r="C578" s="32"/>
      <c r="D578" s="32">
        <v>6.7749730281366205E-4</v>
      </c>
      <c r="E578" s="32">
        <v>105</v>
      </c>
      <c r="F578" s="32">
        <v>0.56482527512987502</v>
      </c>
      <c r="G578" s="11"/>
      <c r="H578" s="11"/>
      <c r="I578" s="11"/>
      <c r="J578" s="18" t="s">
        <v>44</v>
      </c>
      <c r="K578" s="18" t="s">
        <v>45</v>
      </c>
      <c r="L578" s="58" t="s">
        <v>274</v>
      </c>
      <c r="M578" s="18">
        <f>[1]!f_prt_stocktonav(B578,"2017/03/31")</f>
        <v>78.232795715332031</v>
      </c>
      <c r="N578" s="20" t="str">
        <f>[1]!f_info_fundmanager(B578)</f>
        <v>倪权生</v>
      </c>
      <c r="O578" s="21">
        <v>2.0054794520547947</v>
      </c>
      <c r="P578" s="34" t="s">
        <v>2375</v>
      </c>
      <c r="Q578" s="34" t="s">
        <v>2376</v>
      </c>
      <c r="R578" s="34" t="s">
        <v>2377</v>
      </c>
      <c r="S578" s="34">
        <v>20120308</v>
      </c>
      <c r="T578" s="45">
        <v>15.6912406337</v>
      </c>
      <c r="U578" s="46">
        <v>5.1533978248999999</v>
      </c>
      <c r="V578" s="34" t="s">
        <v>231</v>
      </c>
      <c r="W578" s="34" t="s">
        <v>44</v>
      </c>
      <c r="X578" s="34" t="s">
        <v>45</v>
      </c>
      <c r="Y578" s="34" t="s">
        <v>274</v>
      </c>
      <c r="Z578" s="34"/>
      <c r="AA578" s="34"/>
      <c r="AB578" s="22">
        <v>0.72385643005371092</v>
      </c>
      <c r="AC578" s="23" t="s">
        <v>2378</v>
      </c>
      <c r="AD578" s="24">
        <v>1.7753424657534247</v>
      </c>
      <c r="AE578" s="25">
        <v>0.20957840515288417</v>
      </c>
      <c r="AF578" s="26">
        <v>0.28053879382152669</v>
      </c>
      <c r="AG578" s="26">
        <v>0</v>
      </c>
      <c r="AH578" s="27">
        <v>0.9713133095373383</v>
      </c>
      <c r="AI578" s="27">
        <v>1.1111281391215611</v>
      </c>
      <c r="AJ578" s="27">
        <v>0.9713133095373383</v>
      </c>
      <c r="AK578" s="28" t="s">
        <v>240</v>
      </c>
      <c r="AL578" s="29">
        <v>5</v>
      </c>
      <c r="AM578" s="29">
        <v>5</v>
      </c>
      <c r="AN578" s="29" t="s">
        <v>48</v>
      </c>
      <c r="AO578" s="47" t="s">
        <v>310</v>
      </c>
      <c r="AP578" s="28">
        <v>0</v>
      </c>
      <c r="AQ578" s="26">
        <v>1.4999999999999999E-2</v>
      </c>
      <c r="AR578" s="26">
        <v>0</v>
      </c>
    </row>
    <row r="579" spans="1:44" x14ac:dyDescent="0.15">
      <c r="A579">
        <v>563</v>
      </c>
      <c r="B579" s="11">
        <v>399011</v>
      </c>
      <c r="C579" s="32"/>
      <c r="D579" s="32">
        <v>5.7659163471122596E-4</v>
      </c>
      <c r="E579" s="32">
        <v>95</v>
      </c>
      <c r="F579" s="32">
        <v>0.73420666428205394</v>
      </c>
      <c r="G579" s="11"/>
      <c r="H579" s="11"/>
      <c r="I579" s="11"/>
      <c r="J579" s="18" t="s">
        <v>44</v>
      </c>
      <c r="K579" s="18" t="s">
        <v>86</v>
      </c>
      <c r="L579" s="58" t="s">
        <v>65</v>
      </c>
      <c r="M579" s="18">
        <f>[1]!f_prt_stocktonav(B579,"2017/03/31")</f>
        <v>83.806175231933594</v>
      </c>
      <c r="N579" s="20" t="str">
        <f>[1]!f_info_fundmanager(B579)</f>
        <v>郑磊</v>
      </c>
      <c r="O579" s="21">
        <v>1.810958904109589</v>
      </c>
      <c r="P579" s="39" t="s">
        <v>2379</v>
      </c>
      <c r="Q579" s="39" t="s">
        <v>2380</v>
      </c>
      <c r="R579" s="39" t="s">
        <v>505</v>
      </c>
      <c r="S579" s="39">
        <v>20120307</v>
      </c>
      <c r="T579" s="48">
        <v>0.59096554459999995</v>
      </c>
      <c r="U579" s="46">
        <v>0.69554453469999999</v>
      </c>
      <c r="V579" s="39" t="s">
        <v>201</v>
      </c>
      <c r="W579" s="39" t="s">
        <v>44</v>
      </c>
      <c r="X579" s="39" t="s">
        <v>86</v>
      </c>
      <c r="Y579" s="55" t="s">
        <v>274</v>
      </c>
      <c r="Z579" s="34" t="s">
        <v>2381</v>
      </c>
      <c r="AA579" s="34"/>
      <c r="AB579" s="22">
        <v>0.880396728515625</v>
      </c>
      <c r="AC579" s="23" t="s">
        <v>1683</v>
      </c>
      <c r="AD579" s="24">
        <v>1.5808219178082192</v>
      </c>
      <c r="AE579" s="25">
        <v>0.11259737656674208</v>
      </c>
      <c r="AF579" s="26">
        <v>0.18561533184220202</v>
      </c>
      <c r="AG579" s="26">
        <v>0</v>
      </c>
      <c r="AH579" s="27">
        <v>0.49753707378358963</v>
      </c>
      <c r="AI579" s="27">
        <v>0.71301267013771452</v>
      </c>
      <c r="AJ579" s="27">
        <v>0.49753707378358963</v>
      </c>
      <c r="AK579" s="40" t="s">
        <v>2382</v>
      </c>
      <c r="AL579" s="41" t="s">
        <v>48</v>
      </c>
      <c r="AM579" s="41">
        <v>3</v>
      </c>
      <c r="AN579" s="41" t="s">
        <v>48</v>
      </c>
      <c r="AO579" s="50" t="s">
        <v>2383</v>
      </c>
      <c r="AP579" s="51">
        <v>0</v>
      </c>
      <c r="AQ579" s="52">
        <v>1.4999999999999999E-2</v>
      </c>
      <c r="AR579" s="52">
        <v>0</v>
      </c>
    </row>
    <row r="580" spans="1:44" x14ac:dyDescent="0.15">
      <c r="A580">
        <v>690</v>
      </c>
      <c r="B580" s="11">
        <v>240020</v>
      </c>
      <c r="C580" s="32"/>
      <c r="D580" s="32">
        <v>2.2888414112744002E-3</v>
      </c>
      <c r="E580" s="32">
        <v>30</v>
      </c>
      <c r="F580" s="32">
        <v>0.31714338680972698</v>
      </c>
      <c r="G580" s="11"/>
      <c r="H580" s="11"/>
      <c r="I580" s="11"/>
      <c r="J580" s="18" t="s">
        <v>44</v>
      </c>
      <c r="K580" s="18" t="s">
        <v>86</v>
      </c>
      <c r="L580" s="58" t="s">
        <v>817</v>
      </c>
      <c r="M580" s="18">
        <f>[1]!f_prt_stocktonav(B580,"2017/03/31")</f>
        <v>80.358551025390625</v>
      </c>
      <c r="N580" s="20" t="str">
        <f>[1]!f_info_fundmanager(B580)</f>
        <v>光磊</v>
      </c>
      <c r="O580" s="21">
        <v>0.56164383561643838</v>
      </c>
      <c r="P580" s="34" t="s">
        <v>2384</v>
      </c>
      <c r="Q580" s="34" t="s">
        <v>2385</v>
      </c>
      <c r="R580" s="34" t="s">
        <v>737</v>
      </c>
      <c r="S580" s="34">
        <v>20120228</v>
      </c>
      <c r="T580" s="45">
        <v>2.8342334406999998</v>
      </c>
      <c r="U580" s="46">
        <v>3.5130833688999998</v>
      </c>
      <c r="V580" s="34" t="s">
        <v>231</v>
      </c>
      <c r="W580" s="34" t="s">
        <v>44</v>
      </c>
      <c r="X580" s="34" t="s">
        <v>45</v>
      </c>
      <c r="Y580" s="34" t="s">
        <v>65</v>
      </c>
      <c r="Z580" s="34"/>
      <c r="AA580" s="34"/>
      <c r="AB580" s="22">
        <v>0.76643104553222652</v>
      </c>
      <c r="AC580" s="23" t="s">
        <v>2386</v>
      </c>
      <c r="AD580" s="24">
        <v>0.33150684931506852</v>
      </c>
      <c r="AE580" s="25">
        <v>0.12954635791786218</v>
      </c>
      <c r="AF580" s="26">
        <v>6.4775130357475508E-2</v>
      </c>
      <c r="AG580" s="26">
        <v>0</v>
      </c>
      <c r="AH580" s="27">
        <v>0.53893815877650741</v>
      </c>
      <c r="AI580" s="27">
        <v>0.29869438190517017</v>
      </c>
      <c r="AJ580" s="27">
        <v>0.53893815877650741</v>
      </c>
      <c r="AK580" s="28" t="s">
        <v>2387</v>
      </c>
      <c r="AL580" s="29">
        <v>3</v>
      </c>
      <c r="AM580" s="29">
        <v>3</v>
      </c>
      <c r="AN580" s="29" t="s">
        <v>48</v>
      </c>
      <c r="AO580" s="47" t="s">
        <v>739</v>
      </c>
      <c r="AP580" s="28">
        <v>0</v>
      </c>
      <c r="AQ580" s="26">
        <v>1.4999999999999999E-2</v>
      </c>
      <c r="AR580" s="26">
        <v>0</v>
      </c>
    </row>
    <row r="581" spans="1:44" x14ac:dyDescent="0.15">
      <c r="A581">
        <v>102</v>
      </c>
      <c r="B581" s="11">
        <v>360016</v>
      </c>
      <c r="C581" s="32"/>
      <c r="D581" s="32">
        <v>-1.1147296526067699E-3</v>
      </c>
      <c r="E581" s="32">
        <v>163</v>
      </c>
      <c r="F581" s="32">
        <v>0.34995976073186902</v>
      </c>
      <c r="G581" s="11"/>
      <c r="H581" s="11"/>
      <c r="I581" s="11"/>
      <c r="J581" s="18" t="s">
        <v>44</v>
      </c>
      <c r="K581" s="18" t="s">
        <v>45</v>
      </c>
      <c r="L581" s="58" t="s">
        <v>274</v>
      </c>
      <c r="M581" s="18">
        <f>[1]!f_prt_stocktonav(B581,"2017/03/31")</f>
        <v>93.573188781738281</v>
      </c>
      <c r="N581" s="20" t="str">
        <f>[1]!f_info_fundmanager(B581)</f>
        <v>黄兴亮</v>
      </c>
      <c r="O581" s="21">
        <v>3.1342465753424658</v>
      </c>
      <c r="P581" s="34" t="s">
        <v>2388</v>
      </c>
      <c r="Q581" s="34" t="s">
        <v>2389</v>
      </c>
      <c r="R581" s="34" t="s">
        <v>634</v>
      </c>
      <c r="S581" s="34">
        <v>20120215</v>
      </c>
      <c r="T581" s="45">
        <v>0.60289028789999999</v>
      </c>
      <c r="U581" s="46">
        <v>0.62052382750000001</v>
      </c>
      <c r="V581" s="34" t="s">
        <v>231</v>
      </c>
      <c r="W581" s="34" t="s">
        <v>44</v>
      </c>
      <c r="X581" s="34" t="s">
        <v>45</v>
      </c>
      <c r="Y581" s="34" t="s">
        <v>274</v>
      </c>
      <c r="Z581" s="34"/>
      <c r="AA581" s="34"/>
      <c r="AB581" s="22">
        <v>0.94669403076171876</v>
      </c>
      <c r="AC581" s="23" t="s">
        <v>1092</v>
      </c>
      <c r="AD581" s="24">
        <v>2.904109589041096</v>
      </c>
      <c r="AE581" s="25">
        <v>0.14513094910851265</v>
      </c>
      <c r="AF581" s="26">
        <v>0.20881407115572048</v>
      </c>
      <c r="AG581" s="26">
        <v>0</v>
      </c>
      <c r="AH581" s="27">
        <v>0.58947521685119786</v>
      </c>
      <c r="AI581" s="27">
        <v>0.72482106572588911</v>
      </c>
      <c r="AJ581" s="27">
        <v>0.58947521685119786</v>
      </c>
      <c r="AK581" s="28" t="s">
        <v>1868</v>
      </c>
      <c r="AL581" s="29">
        <v>2</v>
      </c>
      <c r="AM581" s="29">
        <v>3</v>
      </c>
      <c r="AN581" s="29" t="s">
        <v>48</v>
      </c>
      <c r="AO581" s="47" t="s">
        <v>2390</v>
      </c>
      <c r="AP581" s="28">
        <v>0</v>
      </c>
      <c r="AQ581" s="26">
        <v>1.4999999999999999E-2</v>
      </c>
      <c r="AR581" s="26">
        <v>0</v>
      </c>
    </row>
    <row r="582" spans="1:44" x14ac:dyDescent="0.15">
      <c r="A582">
        <v>128</v>
      </c>
      <c r="B582" s="11">
        <v>377150</v>
      </c>
      <c r="C582" s="32"/>
      <c r="D582" s="32">
        <v>-1.7126328837826E-3</v>
      </c>
      <c r="E582" s="32">
        <v>113</v>
      </c>
      <c r="F582" s="32">
        <v>0.26913799275073003</v>
      </c>
      <c r="G582" s="11"/>
      <c r="H582" s="11"/>
      <c r="I582" s="11"/>
      <c r="J582" s="18" t="s">
        <v>44</v>
      </c>
      <c r="K582" s="19" t="s">
        <v>45</v>
      </c>
      <c r="L582" s="58" t="s">
        <v>274</v>
      </c>
      <c r="M582" s="18">
        <f>[1]!f_prt_stocktonav(B582,"2017/03/31")</f>
        <v>93.099678039550781</v>
      </c>
      <c r="N582" s="20" t="str">
        <f>[1]!f_info_fundmanager(B582)</f>
        <v>张飞</v>
      </c>
      <c r="O582" s="21">
        <v>2.1671232876712327</v>
      </c>
      <c r="P582" s="12" t="s">
        <v>2391</v>
      </c>
      <c r="Q582" s="13" t="s">
        <v>2392</v>
      </c>
      <c r="R582" s="13" t="s">
        <v>511</v>
      </c>
      <c r="S582" s="13">
        <v>20120201</v>
      </c>
      <c r="T582" s="14">
        <v>1.5109237096000001</v>
      </c>
      <c r="U582" s="15" t="s">
        <v>39</v>
      </c>
      <c r="V582" s="16" t="s">
        <v>40</v>
      </c>
      <c r="W582" s="17" t="s">
        <v>44</v>
      </c>
      <c r="X582" s="17" t="s">
        <v>45</v>
      </c>
      <c r="Y582" s="17" t="s">
        <v>274</v>
      </c>
      <c r="Z582" s="13"/>
      <c r="AA582" s="13"/>
      <c r="AB582" s="22">
        <v>0.91021926879882809</v>
      </c>
      <c r="AC582" s="23" t="s">
        <v>893</v>
      </c>
      <c r="AD582" s="24">
        <v>1.9369863013698629</v>
      </c>
      <c r="AE582" s="25">
        <v>0.14915919432008984</v>
      </c>
      <c r="AF582" s="26">
        <v>0.15871885517454776</v>
      </c>
      <c r="AG582" s="26">
        <v>0</v>
      </c>
      <c r="AH582" s="27">
        <v>0.57191160625840354</v>
      </c>
      <c r="AI582" s="27">
        <v>0.55982620758401913</v>
      </c>
      <c r="AJ582" s="27">
        <v>0.57191160625840354</v>
      </c>
      <c r="AK582" s="28" t="s">
        <v>1009</v>
      </c>
      <c r="AL582" s="29">
        <v>3</v>
      </c>
      <c r="AM582" s="29">
        <v>3</v>
      </c>
      <c r="AN582" s="29" t="s">
        <v>48</v>
      </c>
      <c r="AO582" s="23" t="s">
        <v>2393</v>
      </c>
      <c r="AP582" s="30">
        <v>0</v>
      </c>
      <c r="AQ582" s="31">
        <v>1.4999999999999999E-2</v>
      </c>
      <c r="AR582" s="31">
        <v>0</v>
      </c>
    </row>
    <row r="583" spans="1:44" x14ac:dyDescent="0.15">
      <c r="A583">
        <v>779</v>
      </c>
      <c r="B583" s="11">
        <v>400015</v>
      </c>
      <c r="C583" s="32"/>
      <c r="D583" s="32">
        <v>-5.2091695917819598E-3</v>
      </c>
      <c r="E583" s="32">
        <v>100</v>
      </c>
      <c r="F583" s="32">
        <v>1.06511532236837E-3</v>
      </c>
      <c r="G583" s="11"/>
      <c r="H583" s="11"/>
      <c r="I583" s="11"/>
      <c r="J583" s="18" t="s">
        <v>44</v>
      </c>
      <c r="K583" s="18" t="s">
        <v>45</v>
      </c>
      <c r="L583" s="58" t="s">
        <v>65</v>
      </c>
      <c r="M583" s="18">
        <f>[1]!f_prt_stocktonav(B583,"2017/03/31")</f>
        <v>77.281623840332031</v>
      </c>
      <c r="N583" s="20" t="str">
        <f>[1]!f_info_fundmanager(B583)</f>
        <v>薛子徵</v>
      </c>
      <c r="O583" s="21">
        <v>1.9205479452054794</v>
      </c>
      <c r="P583" s="34" t="s">
        <v>2394</v>
      </c>
      <c r="Q583" s="34" t="s">
        <v>2395</v>
      </c>
      <c r="R583" s="34" t="s">
        <v>252</v>
      </c>
      <c r="S583" s="34">
        <v>20111228</v>
      </c>
      <c r="T583" s="45">
        <v>0.23473108819999999</v>
      </c>
      <c r="U583" s="46">
        <v>0.23840171299999999</v>
      </c>
      <c r="V583" s="34" t="s">
        <v>201</v>
      </c>
      <c r="W583" s="34" t="s">
        <v>41</v>
      </c>
      <c r="X583" s="17" t="s">
        <v>42</v>
      </c>
      <c r="Y583" s="17" t="s">
        <v>181</v>
      </c>
      <c r="Z583" s="34"/>
      <c r="AA583" s="34"/>
      <c r="AB583" s="22">
        <v>0.64884277343749996</v>
      </c>
      <c r="AC583" s="23" t="s">
        <v>542</v>
      </c>
      <c r="AD583" s="24">
        <v>1.6904109589041096</v>
      </c>
      <c r="AE583" s="25">
        <v>0.14060398772575189</v>
      </c>
      <c r="AF583" s="26">
        <v>0.11425276464667246</v>
      </c>
      <c r="AG583" s="26">
        <v>0.14102897407607418</v>
      </c>
      <c r="AH583" s="27">
        <v>0.61787347347545218</v>
      </c>
      <c r="AI583" s="27">
        <v>0.49053879791441257</v>
      </c>
      <c r="AJ583" s="27">
        <v>0.61787347347545218</v>
      </c>
      <c r="AK583" s="28" t="s">
        <v>2396</v>
      </c>
      <c r="AL583" s="29">
        <v>3</v>
      </c>
      <c r="AM583" s="29">
        <v>3</v>
      </c>
      <c r="AN583" s="29" t="s">
        <v>48</v>
      </c>
      <c r="AO583" s="47" t="s">
        <v>427</v>
      </c>
      <c r="AP583" s="28">
        <v>0</v>
      </c>
      <c r="AQ583" s="26">
        <v>1.4999999999999999E-2</v>
      </c>
      <c r="AR583" s="26">
        <v>0</v>
      </c>
    </row>
    <row r="584" spans="1:44" x14ac:dyDescent="0.15">
      <c r="A584">
        <v>492</v>
      </c>
      <c r="B584" s="11">
        <v>730001</v>
      </c>
      <c r="C584" s="32"/>
      <c r="D584" s="32">
        <v>-1.2164616033644199E-3</v>
      </c>
      <c r="E584" s="32">
        <v>168</v>
      </c>
      <c r="F584" s="32">
        <v>0.31673074252945699</v>
      </c>
      <c r="G584" s="11"/>
      <c r="H584" s="11"/>
      <c r="I584" s="11"/>
      <c r="J584" s="18" t="s">
        <v>44</v>
      </c>
      <c r="K584" s="18" t="s">
        <v>45</v>
      </c>
      <c r="L584" s="58" t="s">
        <v>65</v>
      </c>
      <c r="M584" s="18">
        <f>[1]!f_prt_stocktonav(B584,"2017/03/31")</f>
        <v>85.4833984375</v>
      </c>
      <c r="N584" s="20" t="str">
        <f>[1]!f_info_fundmanager(B584)</f>
        <v>沈毅,巩显峰</v>
      </c>
      <c r="O584" s="21">
        <v>3.2246575342465755</v>
      </c>
      <c r="P584" s="34" t="s">
        <v>2397</v>
      </c>
      <c r="Q584" s="34" t="s">
        <v>2398</v>
      </c>
      <c r="R584" s="34" t="s">
        <v>2399</v>
      </c>
      <c r="S584" s="34">
        <v>20111226</v>
      </c>
      <c r="T584" s="45">
        <v>0.42720057280000001</v>
      </c>
      <c r="U584" s="46">
        <v>0.47149500049999998</v>
      </c>
      <c r="V584" s="34" t="s">
        <v>231</v>
      </c>
      <c r="W584" s="34" t="s">
        <v>44</v>
      </c>
      <c r="X584" s="34" t="s">
        <v>45</v>
      </c>
      <c r="Y584" s="34" t="s">
        <v>274</v>
      </c>
      <c r="Z584" s="34"/>
      <c r="AA584" s="34"/>
      <c r="AB584" s="22">
        <v>0.8823956298828125</v>
      </c>
      <c r="AC584" s="23" t="s">
        <v>2400</v>
      </c>
      <c r="AD584" s="24">
        <v>2.9945205479452053</v>
      </c>
      <c r="AE584" s="25">
        <v>0.12518386885462407</v>
      </c>
      <c r="AF584" s="26">
        <v>0.17445350059219542</v>
      </c>
      <c r="AG584" s="26">
        <v>0.12599105646130071</v>
      </c>
      <c r="AH584" s="27">
        <v>0.51089685979743316</v>
      </c>
      <c r="AI584" s="27">
        <v>0.60355956991432891</v>
      </c>
      <c r="AJ584" s="27">
        <v>0.51207591142964337</v>
      </c>
      <c r="AK584" s="28" t="s">
        <v>276</v>
      </c>
      <c r="AL584" s="29">
        <v>4</v>
      </c>
      <c r="AM584" s="29">
        <v>4</v>
      </c>
      <c r="AN584" s="29" t="s">
        <v>48</v>
      </c>
      <c r="AO584" s="47" t="s">
        <v>101</v>
      </c>
      <c r="AP584" s="28">
        <v>0</v>
      </c>
      <c r="AQ584" s="26">
        <v>1.4999999999999999E-2</v>
      </c>
      <c r="AR584" s="26">
        <v>0</v>
      </c>
    </row>
    <row r="585" spans="1:44" x14ac:dyDescent="0.15">
      <c r="A585">
        <v>216</v>
      </c>
      <c r="B585" s="11">
        <v>260116</v>
      </c>
      <c r="C585" s="32"/>
      <c r="D585" s="32">
        <v>9.42773057161548E-4</v>
      </c>
      <c r="E585" s="32">
        <v>275</v>
      </c>
      <c r="F585" s="32">
        <v>0.30261971862016201</v>
      </c>
      <c r="G585" s="11"/>
      <c r="H585" s="11"/>
      <c r="I585" s="11"/>
      <c r="J585" s="18" t="s">
        <v>44</v>
      </c>
      <c r="K585" s="18" t="s">
        <v>45</v>
      </c>
      <c r="L585" s="58" t="s">
        <v>65</v>
      </c>
      <c r="M585" s="18">
        <f>[1]!f_prt_stocktonav(B585,"2017/03/31")</f>
        <v>91.48992919921875</v>
      </c>
      <c r="N585" s="20" t="str">
        <f>[1]!f_info_fundmanager(B585)</f>
        <v>余广</v>
      </c>
      <c r="O585" s="21">
        <v>5.2821917808219174</v>
      </c>
      <c r="P585" s="34" t="s">
        <v>2401</v>
      </c>
      <c r="Q585" s="34" t="s">
        <v>2402</v>
      </c>
      <c r="R585" s="34" t="s">
        <v>353</v>
      </c>
      <c r="S585" s="34">
        <v>20111220</v>
      </c>
      <c r="T585" s="45">
        <v>16.585838007900001</v>
      </c>
      <c r="U585" s="46">
        <v>22.101374744600001</v>
      </c>
      <c r="V585" s="34" t="s">
        <v>231</v>
      </c>
      <c r="W585" s="34" t="s">
        <v>44</v>
      </c>
      <c r="X585" s="34" t="s">
        <v>45</v>
      </c>
      <c r="Y585" s="34" t="s">
        <v>65</v>
      </c>
      <c r="Z585" s="34"/>
      <c r="AA585" s="34"/>
      <c r="AB585" s="22">
        <v>0.92109107971191406</v>
      </c>
      <c r="AC585" s="23" t="s">
        <v>2403</v>
      </c>
      <c r="AD585" s="24">
        <v>5.0520547945205481</v>
      </c>
      <c r="AE585" s="25">
        <v>0.1969237649397455</v>
      </c>
      <c r="AF585" s="26">
        <v>0.15692762079073841</v>
      </c>
      <c r="AG585" s="26">
        <v>0.19833581865472616</v>
      </c>
      <c r="AH585" s="27">
        <v>0.76951491524109294</v>
      </c>
      <c r="AI585" s="27">
        <v>0.60269945033903272</v>
      </c>
      <c r="AJ585" s="27">
        <v>0.77044530231321096</v>
      </c>
      <c r="AK585" s="28" t="s">
        <v>957</v>
      </c>
      <c r="AL585" s="29">
        <v>3</v>
      </c>
      <c r="AM585" s="29">
        <v>2</v>
      </c>
      <c r="AN585" s="29" t="s">
        <v>48</v>
      </c>
      <c r="AO585" s="47" t="s">
        <v>2404</v>
      </c>
      <c r="AP585" s="28">
        <v>0</v>
      </c>
      <c r="AQ585" s="26">
        <v>1.4999999999999999E-2</v>
      </c>
      <c r="AR585" s="26">
        <v>0</v>
      </c>
    </row>
    <row r="586" spans="1:44" x14ac:dyDescent="0.15">
      <c r="A586">
        <v>800</v>
      </c>
      <c r="B586" s="11">
        <v>40025</v>
      </c>
      <c r="C586" s="32"/>
      <c r="D586" s="32">
        <v>4.2039856083781098E-4</v>
      </c>
      <c r="E586" s="32">
        <v>105</v>
      </c>
      <c r="F586" s="32">
        <v>0.84201189187714898</v>
      </c>
      <c r="G586" s="11"/>
      <c r="H586" s="11"/>
      <c r="I586" s="11"/>
      <c r="J586" s="18" t="s">
        <v>44</v>
      </c>
      <c r="K586" s="18" t="s">
        <v>45</v>
      </c>
      <c r="L586" s="58" t="s">
        <v>274</v>
      </c>
      <c r="M586" s="18">
        <f>[1]!f_prt_stocktonav(B586,"2017/03/31")</f>
        <v>76.692092895507813</v>
      </c>
      <c r="N586" s="20" t="str">
        <f>[1]!f_info_fundmanager(B586)</f>
        <v>谢振东</v>
      </c>
      <c r="O586" s="21">
        <v>2.0191780821917806</v>
      </c>
      <c r="P586" s="34" t="s">
        <v>2405</v>
      </c>
      <c r="Q586" s="34" t="s">
        <v>2406</v>
      </c>
      <c r="R586" s="34" t="s">
        <v>63</v>
      </c>
      <c r="S586" s="34">
        <v>20111220</v>
      </c>
      <c r="T586" s="45">
        <v>8.9761411657999997</v>
      </c>
      <c r="U586" s="46">
        <v>7.4116772873999999</v>
      </c>
      <c r="V586" s="34" t="s">
        <v>231</v>
      </c>
      <c r="W586" s="34" t="s">
        <v>44</v>
      </c>
      <c r="X586" s="34" t="s">
        <v>45</v>
      </c>
      <c r="Y586" s="34" t="s">
        <v>274</v>
      </c>
      <c r="Z586" s="34"/>
      <c r="AA586" s="34"/>
      <c r="AB586" s="22">
        <v>0.86268363952636717</v>
      </c>
      <c r="AC586" s="23" t="s">
        <v>1890</v>
      </c>
      <c r="AD586" s="24">
        <v>1.789041095890411</v>
      </c>
      <c r="AE586" s="25">
        <v>0.26594719904131581</v>
      </c>
      <c r="AF586" s="26">
        <v>0.31617957052074086</v>
      </c>
      <c r="AG586" s="26">
        <v>0.26823941438138377</v>
      </c>
      <c r="AH586" s="27">
        <v>0.99110798085190666</v>
      </c>
      <c r="AI586" s="27">
        <v>0.98433149863030678</v>
      </c>
      <c r="AJ586" s="27">
        <v>0.99326053403164483</v>
      </c>
      <c r="AK586" s="28" t="s">
        <v>1393</v>
      </c>
      <c r="AL586" s="29">
        <v>5</v>
      </c>
      <c r="AM586" s="29">
        <v>4</v>
      </c>
      <c r="AN586" s="29" t="s">
        <v>48</v>
      </c>
      <c r="AO586" s="47" t="s">
        <v>2260</v>
      </c>
      <c r="AP586" s="28">
        <v>0</v>
      </c>
      <c r="AQ586" s="26">
        <v>1.4999999999999999E-2</v>
      </c>
      <c r="AR586" s="26">
        <v>0</v>
      </c>
    </row>
    <row r="587" spans="1:44" x14ac:dyDescent="0.15">
      <c r="A587">
        <v>107</v>
      </c>
      <c r="B587" s="11">
        <v>70027</v>
      </c>
      <c r="C587" s="32"/>
      <c r="D587" s="32">
        <v>-2.3355789477992701E-3</v>
      </c>
      <c r="E587" s="32">
        <v>153</v>
      </c>
      <c r="F587" s="32">
        <v>1.8976093003826602E-2</v>
      </c>
      <c r="G587" s="11"/>
      <c r="H587" s="11"/>
      <c r="I587" s="11"/>
      <c r="J587" s="18" t="s">
        <v>44</v>
      </c>
      <c r="K587" s="18" t="s">
        <v>45</v>
      </c>
      <c r="L587" s="58" t="s">
        <v>65</v>
      </c>
      <c r="M587" s="18">
        <f>[1]!f_prt_stocktonav(B587,"2017/03/31")</f>
        <v>93.542030334472656</v>
      </c>
      <c r="N587" s="20" t="str">
        <f>[1]!f_info_fundmanager(B587)</f>
        <v>郭东谋</v>
      </c>
      <c r="O587" s="21">
        <v>2.9232876712328766</v>
      </c>
      <c r="P587" s="34" t="s">
        <v>2407</v>
      </c>
      <c r="Q587" s="34" t="s">
        <v>2408</v>
      </c>
      <c r="R587" s="34" t="s">
        <v>92</v>
      </c>
      <c r="S587" s="34">
        <v>20111208</v>
      </c>
      <c r="T587" s="45">
        <v>24.995883403299999</v>
      </c>
      <c r="U587" s="46">
        <v>25.6997965057</v>
      </c>
      <c r="V587" s="34" t="s">
        <v>201</v>
      </c>
      <c r="W587" s="34" t="s">
        <v>44</v>
      </c>
      <c r="X587" s="34" t="s">
        <v>45</v>
      </c>
      <c r="Y587" s="34" t="s">
        <v>65</v>
      </c>
      <c r="Z587" s="34"/>
      <c r="AA587" s="34"/>
      <c r="AB587" s="22">
        <v>0.9408134460449219</v>
      </c>
      <c r="AC587" s="23" t="s">
        <v>1610</v>
      </c>
      <c r="AD587" s="24">
        <v>2.6931506849315068</v>
      </c>
      <c r="AE587" s="25">
        <v>0.15697601429230112</v>
      </c>
      <c r="AF587" s="26">
        <v>0.19080155795925394</v>
      </c>
      <c r="AG587" s="26">
        <v>0.15961390156391908</v>
      </c>
      <c r="AH587" s="27">
        <v>0.65593609164853428</v>
      </c>
      <c r="AI587" s="27">
        <v>0.70963626849023742</v>
      </c>
      <c r="AJ587" s="27">
        <v>0.66121872667317372</v>
      </c>
      <c r="AK587" s="28" t="s">
        <v>2409</v>
      </c>
      <c r="AL587" s="29">
        <v>3</v>
      </c>
      <c r="AM587" s="29">
        <v>3</v>
      </c>
      <c r="AN587" s="29" t="s">
        <v>48</v>
      </c>
      <c r="AO587" s="47" t="s">
        <v>249</v>
      </c>
      <c r="AP587" s="28" t="s">
        <v>2293</v>
      </c>
      <c r="AQ587" s="26">
        <v>1.4999999999999999E-2</v>
      </c>
      <c r="AR587" s="26">
        <v>0</v>
      </c>
    </row>
    <row r="588" spans="1:44" x14ac:dyDescent="0.15">
      <c r="A588">
        <v>805</v>
      </c>
      <c r="B588" s="11">
        <v>720001</v>
      </c>
      <c r="C588" s="32"/>
      <c r="D588" s="32">
        <v>1.24201637001639E-3</v>
      </c>
      <c r="E588" s="32">
        <v>123</v>
      </c>
      <c r="F588" s="32">
        <v>0.60907073189593897</v>
      </c>
      <c r="G588" s="11"/>
      <c r="H588" s="11"/>
      <c r="I588" s="11"/>
      <c r="J588" s="18" t="s">
        <v>44</v>
      </c>
      <c r="K588" s="18" t="s">
        <v>45</v>
      </c>
      <c r="L588" s="58" t="s">
        <v>65</v>
      </c>
      <c r="M588" s="18">
        <f>[1]!f_prt_stocktonav(B588,"2017/03/31")</f>
        <v>76.446479797363281</v>
      </c>
      <c r="N588" s="20" t="str">
        <f>[1]!f_info_fundmanager(B588)</f>
        <v>金梓才</v>
      </c>
      <c r="O588" s="21">
        <v>2.3643835616438356</v>
      </c>
      <c r="P588" s="34" t="s">
        <v>2410</v>
      </c>
      <c r="Q588" s="34" t="s">
        <v>2411</v>
      </c>
      <c r="R588" s="34" t="s">
        <v>238</v>
      </c>
      <c r="S588" s="34">
        <v>20111201</v>
      </c>
      <c r="T588" s="45">
        <v>7.1739501394999996</v>
      </c>
      <c r="U588" s="46">
        <v>7.9664130918999998</v>
      </c>
      <c r="V588" s="34" t="s">
        <v>231</v>
      </c>
      <c r="W588" s="34" t="s">
        <v>44</v>
      </c>
      <c r="X588" s="34" t="s">
        <v>45</v>
      </c>
      <c r="Y588" s="34" t="s">
        <v>65</v>
      </c>
      <c r="Z588" s="34"/>
      <c r="AA588" s="34"/>
      <c r="AB588" s="22">
        <v>0.71144729614257818</v>
      </c>
      <c r="AC588" s="23" t="s">
        <v>1077</v>
      </c>
      <c r="AD588" s="24">
        <v>2.1342465753424658</v>
      </c>
      <c r="AE588" s="25">
        <v>0.15154458618283129</v>
      </c>
      <c r="AF588" s="26">
        <v>0.22239215040407667</v>
      </c>
      <c r="AG588" s="26">
        <v>0.15448647197287935</v>
      </c>
      <c r="AH588" s="27">
        <v>0.60920601028430554</v>
      </c>
      <c r="AI588" s="27">
        <v>0.74852216520360793</v>
      </c>
      <c r="AJ588" s="27">
        <v>0.61473272827867576</v>
      </c>
      <c r="AK588" s="28" t="s">
        <v>323</v>
      </c>
      <c r="AL588" s="29">
        <v>2</v>
      </c>
      <c r="AM588" s="29">
        <v>5</v>
      </c>
      <c r="AN588" s="29" t="s">
        <v>48</v>
      </c>
      <c r="AO588" s="47" t="s">
        <v>334</v>
      </c>
      <c r="AP588" s="28">
        <v>0</v>
      </c>
      <c r="AQ588" s="26">
        <v>1.4999999999999999E-2</v>
      </c>
      <c r="AR588" s="26">
        <v>0</v>
      </c>
    </row>
    <row r="589" spans="1:44" x14ac:dyDescent="0.15">
      <c r="A589">
        <v>745</v>
      </c>
      <c r="B589" s="11">
        <v>163818</v>
      </c>
      <c r="C589" s="32"/>
      <c r="D589" s="32">
        <v>-4.4003449899763696E-3</v>
      </c>
      <c r="E589" s="32">
        <v>106</v>
      </c>
      <c r="F589" s="32">
        <v>1.9177880677481302E-2</v>
      </c>
      <c r="G589" s="11"/>
      <c r="H589" s="11"/>
      <c r="I589" s="11"/>
      <c r="J589" s="18" t="s">
        <v>44</v>
      </c>
      <c r="K589" s="18" t="s">
        <v>45</v>
      </c>
      <c r="L589" s="58" t="s">
        <v>274</v>
      </c>
      <c r="M589" s="18">
        <f>[1]!f_prt_stocktonav(B589,"2017/03/31")</f>
        <v>78.475540161132813</v>
      </c>
      <c r="N589" s="20" t="str">
        <f>[1]!f_info_fundmanager(B589)</f>
        <v>王伟</v>
      </c>
      <c r="O589" s="21">
        <v>2.0246575342465754</v>
      </c>
      <c r="P589" s="34" t="s">
        <v>2412</v>
      </c>
      <c r="Q589" s="34" t="s">
        <v>2413</v>
      </c>
      <c r="R589" s="34" t="s">
        <v>71</v>
      </c>
      <c r="S589" s="34">
        <v>20111123</v>
      </c>
      <c r="T589" s="45">
        <v>0.41598093930000002</v>
      </c>
      <c r="U589" s="46">
        <v>0.442034914</v>
      </c>
      <c r="V589" s="34" t="s">
        <v>231</v>
      </c>
      <c r="W589" s="34" t="s">
        <v>41</v>
      </c>
      <c r="X589" s="17" t="s">
        <v>42</v>
      </c>
      <c r="Y589" s="17" t="s">
        <v>181</v>
      </c>
      <c r="Z589" s="34"/>
      <c r="AA589" s="34"/>
      <c r="AB589" s="22">
        <v>0.69993553161621092</v>
      </c>
      <c r="AC589" s="23" t="s">
        <v>1129</v>
      </c>
      <c r="AD589" s="24">
        <v>1.7945205479452055</v>
      </c>
      <c r="AE589" s="25">
        <v>6.336233851828954E-2</v>
      </c>
      <c r="AF589" s="26">
        <v>9.1765172460938307E-2</v>
      </c>
      <c r="AG589" s="26">
        <v>6.4405586632303891E-2</v>
      </c>
      <c r="AH589" s="27">
        <v>0.31032907506030499</v>
      </c>
      <c r="AI589" s="27">
        <v>0.38148565524479749</v>
      </c>
      <c r="AJ589" s="27">
        <v>0.3128857420148462</v>
      </c>
      <c r="AK589" s="28" t="s">
        <v>2414</v>
      </c>
      <c r="AL589" s="29">
        <v>1</v>
      </c>
      <c r="AM589" s="29">
        <v>2</v>
      </c>
      <c r="AN589" s="29" t="s">
        <v>48</v>
      </c>
      <c r="AO589" s="47" t="s">
        <v>845</v>
      </c>
      <c r="AP589" s="28">
        <v>0</v>
      </c>
      <c r="AQ589" s="26">
        <v>1.4999999999999999E-2</v>
      </c>
      <c r="AR589" s="26">
        <v>0</v>
      </c>
    </row>
    <row r="590" spans="1:44" x14ac:dyDescent="0.15">
      <c r="A590">
        <v>384</v>
      </c>
      <c r="B590" s="11">
        <v>519033</v>
      </c>
      <c r="C590" s="32"/>
      <c r="D590" s="32">
        <v>-1.4397353536835899E-3</v>
      </c>
      <c r="E590" s="32">
        <v>61</v>
      </c>
      <c r="F590" s="32">
        <v>0.296133793551144</v>
      </c>
      <c r="G590" s="11"/>
      <c r="H590" s="11"/>
      <c r="I590" s="11"/>
      <c r="J590" s="18" t="s">
        <v>44</v>
      </c>
      <c r="K590" s="18" t="s">
        <v>45</v>
      </c>
      <c r="L590" s="58" t="s">
        <v>274</v>
      </c>
      <c r="M590" s="18">
        <f>[1]!f_prt_stocktonav(B590,"2017/03/31")</f>
        <v>87.814483642578125</v>
      </c>
      <c r="N590" s="20" t="str">
        <f>[1]!f_info_fundmanager(B590)</f>
        <v>施敏佳</v>
      </c>
      <c r="O590" s="21">
        <v>1.1589041095890411</v>
      </c>
      <c r="P590" s="34" t="s">
        <v>2415</v>
      </c>
      <c r="Q590" s="34" t="s">
        <v>2416</v>
      </c>
      <c r="R590" s="34" t="s">
        <v>496</v>
      </c>
      <c r="S590" s="34">
        <v>20111116</v>
      </c>
      <c r="T590" s="45">
        <v>2.6224375935999999</v>
      </c>
      <c r="U590" s="46">
        <v>3.0993037713999998</v>
      </c>
      <c r="V590" s="34" t="s">
        <v>231</v>
      </c>
      <c r="W590" s="34" t="s">
        <v>44</v>
      </c>
      <c r="X590" s="34" t="s">
        <v>45</v>
      </c>
      <c r="Y590" s="34" t="s">
        <v>274</v>
      </c>
      <c r="Z590" s="34"/>
      <c r="AA590" s="34"/>
      <c r="AB590" s="22">
        <v>0.83024391174316403</v>
      </c>
      <c r="AC590" s="23" t="s">
        <v>2417</v>
      </c>
      <c r="AD590" s="24">
        <v>0.92876712328767119</v>
      </c>
      <c r="AE590" s="25">
        <v>0.10593947110938352</v>
      </c>
      <c r="AF590" s="26">
        <v>6.7544979479333689E-2</v>
      </c>
      <c r="AG590" s="26">
        <v>0.10842932901229997</v>
      </c>
      <c r="AH590" s="27">
        <v>0.44812146700058808</v>
      </c>
      <c r="AI590" s="27">
        <v>0.28502093885746538</v>
      </c>
      <c r="AJ590" s="27">
        <v>0.45304298515524494</v>
      </c>
      <c r="AK590" s="28" t="s">
        <v>2037</v>
      </c>
      <c r="AL590" s="29">
        <v>3</v>
      </c>
      <c r="AM590" s="29">
        <v>3</v>
      </c>
      <c r="AN590" s="29" t="s">
        <v>48</v>
      </c>
      <c r="AO590" s="47" t="s">
        <v>310</v>
      </c>
      <c r="AP590" s="28">
        <v>0</v>
      </c>
      <c r="AQ590" s="26">
        <v>1.4999999999999999E-2</v>
      </c>
      <c r="AR590" s="26">
        <v>0</v>
      </c>
    </row>
    <row r="591" spans="1:44" x14ac:dyDescent="0.15">
      <c r="A591">
        <v>519</v>
      </c>
      <c r="B591" s="11">
        <v>398061</v>
      </c>
      <c r="C591" s="32"/>
      <c r="D591" s="32">
        <v>-3.9758974583938402E-3</v>
      </c>
      <c r="E591" s="32">
        <v>102</v>
      </c>
      <c r="F591" s="32">
        <v>0.12613482897368999</v>
      </c>
      <c r="G591" s="11"/>
      <c r="H591" s="11"/>
      <c r="I591" s="11"/>
      <c r="J591" s="18" t="s">
        <v>44</v>
      </c>
      <c r="K591" s="18" t="s">
        <v>87</v>
      </c>
      <c r="L591" s="58" t="s">
        <v>65</v>
      </c>
      <c r="M591" s="18">
        <f>[1]!f_prt_stocktonav(B591,"2017/03/31")</f>
        <v>84.915573120117187</v>
      </c>
      <c r="N591" s="20" t="str">
        <f>[1]!f_info_fundmanager(B591)</f>
        <v>姚晨曦</v>
      </c>
      <c r="O591" s="21">
        <v>1.9561643835616438</v>
      </c>
      <c r="P591" s="34" t="s">
        <v>2418</v>
      </c>
      <c r="Q591" s="34" t="s">
        <v>2419</v>
      </c>
      <c r="R591" s="34" t="s">
        <v>505</v>
      </c>
      <c r="S591" s="34">
        <v>20111109</v>
      </c>
      <c r="T591" s="45">
        <v>4.0955901688000003</v>
      </c>
      <c r="U591" s="46">
        <v>5.0541626645999997</v>
      </c>
      <c r="V591" s="34" t="s">
        <v>231</v>
      </c>
      <c r="W591" s="34" t="s">
        <v>44</v>
      </c>
      <c r="X591" s="34" t="s">
        <v>87</v>
      </c>
      <c r="Y591" s="34" t="s">
        <v>274</v>
      </c>
      <c r="Z591" s="34" t="s">
        <v>338</v>
      </c>
      <c r="AA591" s="34"/>
      <c r="AB591" s="22">
        <v>0.83413909912109374</v>
      </c>
      <c r="AC591" s="23" t="s">
        <v>2420</v>
      </c>
      <c r="AD591" s="24">
        <v>1.726027397260274</v>
      </c>
      <c r="AE591" s="25">
        <v>0.18862173884142622</v>
      </c>
      <c r="AF591" s="26">
        <v>0.21068844938427067</v>
      </c>
      <c r="AG591" s="26">
        <v>0.19530614067087981</v>
      </c>
      <c r="AH591" s="27">
        <v>0.65396760813876442</v>
      </c>
      <c r="AI591" s="27">
        <v>0.64317509137826923</v>
      </c>
      <c r="AJ591" s="27">
        <v>0.66517957411428918</v>
      </c>
      <c r="AK591" s="33" t="s">
        <v>2421</v>
      </c>
      <c r="AL591" s="29">
        <v>3</v>
      </c>
      <c r="AM591" s="29">
        <v>4</v>
      </c>
      <c r="AN591" s="29" t="s">
        <v>48</v>
      </c>
      <c r="AO591" s="47" t="s">
        <v>2422</v>
      </c>
      <c r="AP591" s="28">
        <v>0</v>
      </c>
      <c r="AQ591" s="26">
        <v>1.4999999999999999E-2</v>
      </c>
      <c r="AR591" s="26">
        <v>0</v>
      </c>
    </row>
    <row r="592" spans="1:44" x14ac:dyDescent="0.15">
      <c r="A592">
        <v>325</v>
      </c>
      <c r="B592" s="11">
        <v>90016</v>
      </c>
      <c r="C592" s="32"/>
      <c r="D592" s="32">
        <v>2.07536554523824E-3</v>
      </c>
      <c r="E592" s="32">
        <v>11</v>
      </c>
      <c r="F592" s="32">
        <v>0.50399426086271304</v>
      </c>
      <c r="G592" s="11"/>
      <c r="H592" s="11"/>
      <c r="I592" s="11"/>
      <c r="J592" s="18" t="s">
        <v>44</v>
      </c>
      <c r="K592" s="18" t="s">
        <v>87</v>
      </c>
      <c r="L592" s="58" t="s">
        <v>65</v>
      </c>
      <c r="M592" s="18">
        <f>[1]!f_prt_stocktonav(B592,"2017/03/31")</f>
        <v>88.952835083007812</v>
      </c>
      <c r="N592" s="20" t="str">
        <f>[1]!f_info_fundmanager(B592)</f>
        <v>侯春燕</v>
      </c>
      <c r="O592" s="21">
        <v>0.19726027397260273</v>
      </c>
      <c r="P592" s="34" t="s">
        <v>2423</v>
      </c>
      <c r="Q592" s="34" t="s">
        <v>2424</v>
      </c>
      <c r="R592" s="34" t="s">
        <v>486</v>
      </c>
      <c r="S592" s="34">
        <v>20111108</v>
      </c>
      <c r="T592" s="45">
        <v>0.4076592543</v>
      </c>
      <c r="U592" s="46">
        <v>0.47409011379999999</v>
      </c>
      <c r="V592" s="34" t="s">
        <v>201</v>
      </c>
      <c r="W592" s="34" t="s">
        <v>44</v>
      </c>
      <c r="X592" s="34" t="s">
        <v>87</v>
      </c>
      <c r="Y592" s="34" t="s">
        <v>274</v>
      </c>
      <c r="Z592" s="34" t="s">
        <v>338</v>
      </c>
      <c r="AA592" s="34"/>
      <c r="AB592" s="22">
        <v>0.93813011169433591</v>
      </c>
      <c r="AC592" s="23" t="s">
        <v>488</v>
      </c>
      <c r="AD592" s="24">
        <v>1.5397260273972602</v>
      </c>
      <c r="AE592" s="25">
        <v>1.1495201308346914E-2</v>
      </c>
      <c r="AF592" s="26">
        <v>-1.0347268494406037E-2</v>
      </c>
      <c r="AG592" s="26">
        <v>1.2458217828493989E-2</v>
      </c>
      <c r="AH592" s="27">
        <v>0.13702049761851168</v>
      </c>
      <c r="AI592" s="27">
        <v>0.12317607087864578</v>
      </c>
      <c r="AJ592" s="27">
        <v>0.14228221848404124</v>
      </c>
      <c r="AK592" s="33" t="s">
        <v>2425</v>
      </c>
      <c r="AL592" s="29" t="s">
        <v>48</v>
      </c>
      <c r="AM592" s="29">
        <v>3</v>
      </c>
      <c r="AN592" s="29" t="s">
        <v>48</v>
      </c>
      <c r="AO592" s="47" t="s">
        <v>643</v>
      </c>
      <c r="AP592" s="28">
        <v>0</v>
      </c>
      <c r="AQ592" s="26">
        <v>1.4999999999999999E-2</v>
      </c>
      <c r="AR592" s="26">
        <v>0</v>
      </c>
    </row>
    <row r="593" spans="1:44" x14ac:dyDescent="0.15">
      <c r="A593">
        <v>497</v>
      </c>
      <c r="B593" s="11">
        <v>481015</v>
      </c>
      <c r="C593" s="32"/>
      <c r="D593" s="32">
        <v>-2.2778192671936899E-3</v>
      </c>
      <c r="E593" s="32">
        <v>279</v>
      </c>
      <c r="F593" s="32">
        <v>4.4970117328808699E-2</v>
      </c>
      <c r="G593" s="11"/>
      <c r="H593" s="11"/>
      <c r="I593" s="11"/>
      <c r="J593" s="18" t="s">
        <v>44</v>
      </c>
      <c r="K593" s="18" t="s">
        <v>87</v>
      </c>
      <c r="L593" s="58" t="s">
        <v>274</v>
      </c>
      <c r="M593" s="18">
        <f>[1]!f_prt_stocktonav(B593,"2017/03/31")</f>
        <v>85.376792907714844</v>
      </c>
      <c r="N593" s="20" t="str">
        <f>[1]!f_info_fundmanager(B593)</f>
        <v>黄安乐</v>
      </c>
      <c r="O593" s="21">
        <v>5.3561643835616435</v>
      </c>
      <c r="P593" s="34" t="s">
        <v>2426</v>
      </c>
      <c r="Q593" s="34" t="s">
        <v>2427</v>
      </c>
      <c r="R593" s="34" t="s">
        <v>523</v>
      </c>
      <c r="S593" s="34">
        <v>20111024</v>
      </c>
      <c r="T593" s="45">
        <v>14.792722486500001</v>
      </c>
      <c r="U593" s="46">
        <v>18.0489970402</v>
      </c>
      <c r="V593" s="34" t="s">
        <v>231</v>
      </c>
      <c r="W593" s="34" t="s">
        <v>44</v>
      </c>
      <c r="X593" s="34" t="s">
        <v>45</v>
      </c>
      <c r="Y593" s="34" t="s">
        <v>274</v>
      </c>
      <c r="Z593" s="34"/>
      <c r="AA593" s="34"/>
      <c r="AB593" s="22">
        <v>0.90610855102539067</v>
      </c>
      <c r="AC593" s="23" t="s">
        <v>693</v>
      </c>
      <c r="AD593" s="24">
        <v>5.1260273972602741</v>
      </c>
      <c r="AE593" s="25">
        <v>0.13002746695408196</v>
      </c>
      <c r="AF593" s="26">
        <v>0.14079808427343754</v>
      </c>
      <c r="AG593" s="26">
        <v>0.14117817420743872</v>
      </c>
      <c r="AH593" s="27">
        <v>0.48968869432352702</v>
      </c>
      <c r="AI593" s="27">
        <v>0.49584231788024768</v>
      </c>
      <c r="AJ593" s="27">
        <v>0.51937185182486922</v>
      </c>
      <c r="AK593" s="28" t="s">
        <v>167</v>
      </c>
      <c r="AL593" s="29">
        <v>4</v>
      </c>
      <c r="AM593" s="29">
        <v>3</v>
      </c>
      <c r="AN593" s="29" t="s">
        <v>48</v>
      </c>
      <c r="AO593" s="47" t="s">
        <v>255</v>
      </c>
      <c r="AP593" s="28">
        <v>0</v>
      </c>
      <c r="AQ593" s="26">
        <v>1.4999999999999999E-2</v>
      </c>
      <c r="AR593" s="26">
        <v>0</v>
      </c>
    </row>
    <row r="594" spans="1:44" x14ac:dyDescent="0.15">
      <c r="A594">
        <v>549</v>
      </c>
      <c r="B594" s="11">
        <v>519979</v>
      </c>
      <c r="C594" s="32"/>
      <c r="D594" s="32">
        <v>6.5919239395266201E-3</v>
      </c>
      <c r="E594" s="32">
        <v>25</v>
      </c>
      <c r="F594" s="32">
        <v>4.66696873316024E-2</v>
      </c>
      <c r="G594" s="11"/>
      <c r="H594" s="11"/>
      <c r="I594" s="11"/>
      <c r="J594" s="18" t="s">
        <v>44</v>
      </c>
      <c r="K594" s="18" t="s">
        <v>45</v>
      </c>
      <c r="L594" s="58" t="s">
        <v>65</v>
      </c>
      <c r="M594" s="18">
        <f>[1]!f_prt_stocktonav(B594,"2017/03/31")</f>
        <v>84.063262939453125</v>
      </c>
      <c r="N594" s="20" t="str">
        <f>[1]!f_info_fundmanager(B594)</f>
        <v>叶松</v>
      </c>
      <c r="O594" s="21">
        <v>0.46301369863013697</v>
      </c>
      <c r="P594" s="34" t="s">
        <v>2428</v>
      </c>
      <c r="Q594" s="34" t="s">
        <v>2429</v>
      </c>
      <c r="R594" s="34" t="s">
        <v>206</v>
      </c>
      <c r="S594" s="34">
        <v>20111020</v>
      </c>
      <c r="T594" s="45">
        <v>6.0880811056999997</v>
      </c>
      <c r="U594" s="46">
        <v>8.4019077147000001</v>
      </c>
      <c r="V594" s="34" t="s">
        <v>231</v>
      </c>
      <c r="W594" s="34" t="s">
        <v>44</v>
      </c>
      <c r="X594" s="34" t="s">
        <v>45</v>
      </c>
      <c r="Y594" s="34" t="s">
        <v>65</v>
      </c>
      <c r="Z594" s="34"/>
      <c r="AA594" s="34"/>
      <c r="AB594" s="22">
        <v>0.74409393310546879</v>
      </c>
      <c r="AC594" s="23" t="s">
        <v>207</v>
      </c>
      <c r="AD594" s="24">
        <v>0.23287671232876711</v>
      </c>
      <c r="AE594" s="25">
        <v>0.13899206406150522</v>
      </c>
      <c r="AF594" s="26">
        <v>0.14378819049509772</v>
      </c>
      <c r="AG594" s="26">
        <v>0.18237584160233222</v>
      </c>
      <c r="AH594" s="27">
        <v>0.52666155561704353</v>
      </c>
      <c r="AI594" s="27">
        <v>0.50012609473812786</v>
      </c>
      <c r="AJ594" s="27">
        <v>0.63922606683766636</v>
      </c>
      <c r="AK594" s="28" t="s">
        <v>208</v>
      </c>
      <c r="AL594" s="29">
        <v>4</v>
      </c>
      <c r="AM594" s="29">
        <v>4</v>
      </c>
      <c r="AN594" s="29" t="s">
        <v>48</v>
      </c>
      <c r="AO594" s="47" t="s">
        <v>209</v>
      </c>
      <c r="AP594" s="28" t="s">
        <v>608</v>
      </c>
      <c r="AQ594" s="26">
        <v>1.4999999999999999E-2</v>
      </c>
      <c r="AR594" s="26">
        <v>0</v>
      </c>
    </row>
    <row r="595" spans="1:44" x14ac:dyDescent="0.15">
      <c r="A595">
        <v>167</v>
      </c>
      <c r="B595" s="11">
        <v>580008</v>
      </c>
      <c r="C595" s="32"/>
      <c r="D595" s="32">
        <v>-4.5728640104584096E-3</v>
      </c>
      <c r="E595" s="32">
        <v>171</v>
      </c>
      <c r="F595" s="32">
        <v>1.37711808578597E-3</v>
      </c>
      <c r="G595" s="11"/>
      <c r="H595" s="11"/>
      <c r="I595" s="11"/>
      <c r="J595" s="18" t="s">
        <v>44</v>
      </c>
      <c r="K595" s="18" t="s">
        <v>87</v>
      </c>
      <c r="L595" s="58" t="s">
        <v>274</v>
      </c>
      <c r="M595" s="18">
        <f>[1]!f_prt_stocktonav(B595,"2017/03/31")</f>
        <v>92.429458618164062</v>
      </c>
      <c r="N595" s="20" t="str">
        <f>[1]!f_info_fundmanager(B595)</f>
        <v>戴斌</v>
      </c>
      <c r="O595" s="21">
        <v>3.2712328767123289</v>
      </c>
      <c r="P595" s="34" t="s">
        <v>2430</v>
      </c>
      <c r="Q595" s="34" t="s">
        <v>2431</v>
      </c>
      <c r="R595" s="34" t="s">
        <v>1057</v>
      </c>
      <c r="S595" s="34">
        <v>20110928</v>
      </c>
      <c r="T595" s="45">
        <v>0.95162980409999998</v>
      </c>
      <c r="U595" s="46">
        <v>1.058860194</v>
      </c>
      <c r="V595" s="34" t="s">
        <v>231</v>
      </c>
      <c r="W595" s="34" t="s">
        <v>44</v>
      </c>
      <c r="X595" s="34" t="s">
        <v>45</v>
      </c>
      <c r="Y595" s="34" t="s">
        <v>274</v>
      </c>
      <c r="Z595" s="34"/>
      <c r="AA595" s="34"/>
      <c r="AB595" s="22">
        <v>0.88942039489746094</v>
      </c>
      <c r="AC595" s="23" t="s">
        <v>1058</v>
      </c>
      <c r="AD595" s="24">
        <v>3.0410958904109591</v>
      </c>
      <c r="AE595" s="25">
        <v>0.10577464140859739</v>
      </c>
      <c r="AF595" s="26">
        <v>0.11741810193538192</v>
      </c>
      <c r="AG595" s="26">
        <v>0.12387378555733841</v>
      </c>
      <c r="AH595" s="27">
        <v>0.43069731321522664</v>
      </c>
      <c r="AI595" s="27">
        <v>0.43050422380195619</v>
      </c>
      <c r="AJ595" s="27">
        <v>0.47651194001439756</v>
      </c>
      <c r="AK595" s="28" t="s">
        <v>2432</v>
      </c>
      <c r="AL595" s="29">
        <v>3</v>
      </c>
      <c r="AM595" s="29">
        <v>3</v>
      </c>
      <c r="AN595" s="29" t="s">
        <v>48</v>
      </c>
      <c r="AO595" s="47" t="s">
        <v>310</v>
      </c>
      <c r="AP595" s="28">
        <v>0</v>
      </c>
      <c r="AQ595" s="26">
        <v>1.4999999999999999E-2</v>
      </c>
      <c r="AR595" s="26">
        <v>0</v>
      </c>
    </row>
    <row r="596" spans="1:44" x14ac:dyDescent="0.15">
      <c r="A596">
        <v>449</v>
      </c>
      <c r="B596" s="11">
        <v>161818</v>
      </c>
      <c r="C596" s="32"/>
      <c r="D596" s="32">
        <v>-5.7170242386901E-3</v>
      </c>
      <c r="E596" s="32">
        <v>168</v>
      </c>
      <c r="F596" s="32">
        <v>5.2060569052787103E-5</v>
      </c>
      <c r="G596" s="11"/>
      <c r="H596" s="11"/>
      <c r="I596" s="11"/>
      <c r="J596" s="18" t="s">
        <v>44</v>
      </c>
      <c r="K596" s="18" t="s">
        <v>87</v>
      </c>
      <c r="L596" s="58" t="s">
        <v>274</v>
      </c>
      <c r="M596" s="18">
        <f>[1]!f_prt_stocktonav(B596,"2017/03/31")</f>
        <v>86.355690002441406</v>
      </c>
      <c r="N596" s="20" t="str">
        <f>[1]!f_info_fundmanager(B596)</f>
        <v>周思聪</v>
      </c>
      <c r="O596" s="21">
        <v>3.2136986301369861</v>
      </c>
      <c r="P596" s="34" t="s">
        <v>2433</v>
      </c>
      <c r="Q596" s="34" t="s">
        <v>2434</v>
      </c>
      <c r="R596" s="34" t="s">
        <v>57</v>
      </c>
      <c r="S596" s="34">
        <v>20110928</v>
      </c>
      <c r="T596" s="45">
        <v>2.4067123906000001</v>
      </c>
      <c r="U596" s="46">
        <v>2.8203433284999999</v>
      </c>
      <c r="V596" s="34" t="s">
        <v>231</v>
      </c>
      <c r="W596" s="34" t="s">
        <v>44</v>
      </c>
      <c r="X596" s="34" t="s">
        <v>87</v>
      </c>
      <c r="Y596" s="34" t="s">
        <v>274</v>
      </c>
      <c r="Z596" s="34" t="s">
        <v>338</v>
      </c>
      <c r="AA596" s="34" t="s">
        <v>2362</v>
      </c>
      <c r="AB596" s="22">
        <v>0.79797782897949221</v>
      </c>
      <c r="AC596" s="23" t="s">
        <v>128</v>
      </c>
      <c r="AD596" s="24">
        <v>2.9835616438356163</v>
      </c>
      <c r="AE596" s="25">
        <v>2.4892162108417715E-2</v>
      </c>
      <c r="AF596" s="26">
        <v>-6.1397205929336618E-3</v>
      </c>
      <c r="AG596" s="26">
        <v>4.4171552018790194E-2</v>
      </c>
      <c r="AH596" s="27">
        <v>0.1799178044430336</v>
      </c>
      <c r="AI596" s="27">
        <v>9.4962055351154345E-2</v>
      </c>
      <c r="AJ596" s="27">
        <v>0.24628151547604996</v>
      </c>
      <c r="AK596" s="33" t="s">
        <v>2435</v>
      </c>
      <c r="AL596" s="29">
        <v>1</v>
      </c>
      <c r="AM596" s="29">
        <v>1</v>
      </c>
      <c r="AN596" s="29" t="s">
        <v>48</v>
      </c>
      <c r="AO596" s="47" t="s">
        <v>2297</v>
      </c>
      <c r="AP596" s="28">
        <v>0</v>
      </c>
      <c r="AQ596" s="26">
        <v>0.02</v>
      </c>
      <c r="AR596" s="26">
        <v>0</v>
      </c>
    </row>
    <row r="597" spans="1:44" x14ac:dyDescent="0.15">
      <c r="A597">
        <v>45</v>
      </c>
      <c r="B597" s="11">
        <v>710001</v>
      </c>
      <c r="C597" s="32"/>
      <c r="D597" s="32">
        <v>8.4967234412343102E-4</v>
      </c>
      <c r="E597" s="32">
        <v>64</v>
      </c>
      <c r="F597" s="32">
        <v>0.54154700503864495</v>
      </c>
      <c r="G597" s="11"/>
      <c r="H597" s="11"/>
      <c r="I597" s="11"/>
      <c r="J597" s="18" t="s">
        <v>44</v>
      </c>
      <c r="K597" s="18" t="s">
        <v>45</v>
      </c>
      <c r="L597" s="58" t="s">
        <v>817</v>
      </c>
      <c r="M597" s="18">
        <f>[1]!f_prt_stocktonav(B597,"2017/03/31")</f>
        <v>94.363052368164062</v>
      </c>
      <c r="N597" s="20" t="str">
        <f>[1]!f_info_fundmanager(B597)</f>
        <v>吴战峰</v>
      </c>
      <c r="O597" s="21">
        <v>1.2246575342465753</v>
      </c>
      <c r="P597" s="34" t="s">
        <v>2436</v>
      </c>
      <c r="Q597" s="34" t="s">
        <v>2437</v>
      </c>
      <c r="R597" s="34" t="s">
        <v>98</v>
      </c>
      <c r="S597" s="34">
        <v>20110921</v>
      </c>
      <c r="T597" s="45">
        <v>15.5251224596</v>
      </c>
      <c r="U597" s="46">
        <v>17.122443486400002</v>
      </c>
      <c r="V597" s="34" t="s">
        <v>231</v>
      </c>
      <c r="W597" s="34" t="s">
        <v>44</v>
      </c>
      <c r="X597" s="34" t="s">
        <v>45</v>
      </c>
      <c r="Y597" s="34" t="s">
        <v>65</v>
      </c>
      <c r="Z597" s="34"/>
      <c r="AA597" s="34"/>
      <c r="AB597" s="22">
        <v>0.90923088073730474</v>
      </c>
      <c r="AC597" s="23" t="s">
        <v>2438</v>
      </c>
      <c r="AD597" s="24">
        <v>0.9945205479452055</v>
      </c>
      <c r="AE597" s="25">
        <v>0.10988908399009034</v>
      </c>
      <c r="AF597" s="26">
        <v>0.19811397860941793</v>
      </c>
      <c r="AG597" s="26">
        <v>0.12709189322722425</v>
      </c>
      <c r="AH597" s="27">
        <v>0.43115104231137003</v>
      </c>
      <c r="AI597" s="27">
        <v>0.58285180627430466</v>
      </c>
      <c r="AJ597" s="27">
        <v>0.46973865011646448</v>
      </c>
      <c r="AK597" s="28" t="s">
        <v>1750</v>
      </c>
      <c r="AL597" s="29">
        <v>2</v>
      </c>
      <c r="AM597" s="29">
        <v>2</v>
      </c>
      <c r="AN597" s="29" t="s">
        <v>48</v>
      </c>
      <c r="AO597" s="47" t="s">
        <v>310</v>
      </c>
      <c r="AP597" s="28">
        <v>0</v>
      </c>
      <c r="AQ597" s="26">
        <v>1.4999999999999999E-2</v>
      </c>
      <c r="AR597" s="26">
        <v>0</v>
      </c>
    </row>
    <row r="598" spans="1:44" x14ac:dyDescent="0.15">
      <c r="A598">
        <v>205</v>
      </c>
      <c r="B598" s="11">
        <v>270028</v>
      </c>
      <c r="C598" s="32"/>
      <c r="D598" s="32">
        <v>-6.5558490025249599E-4</v>
      </c>
      <c r="E598" s="32">
        <v>288</v>
      </c>
      <c r="F598" s="32">
        <v>0.57086663789065994</v>
      </c>
      <c r="G598" s="11"/>
      <c r="H598" s="11"/>
      <c r="I598" s="11"/>
      <c r="J598" s="18" t="s">
        <v>44</v>
      </c>
      <c r="K598" s="18" t="s">
        <v>87</v>
      </c>
      <c r="L598" s="58" t="s">
        <v>65</v>
      </c>
      <c r="M598" s="18">
        <f>[1]!f_prt_stocktonav(B598,"2017/03/31")</f>
        <v>91.707466125488281</v>
      </c>
      <c r="N598" s="20" t="str">
        <f>[1]!f_info_fundmanager(B598)</f>
        <v>李巍</v>
      </c>
      <c r="O598" s="21">
        <v>5.5315068493150683</v>
      </c>
      <c r="P598" s="34" t="s">
        <v>2439</v>
      </c>
      <c r="Q598" s="34" t="s">
        <v>2440</v>
      </c>
      <c r="R598" s="34" t="s">
        <v>132</v>
      </c>
      <c r="S598" s="34">
        <v>20110920</v>
      </c>
      <c r="T598" s="45">
        <v>8.1305188584000003</v>
      </c>
      <c r="U598" s="46">
        <v>9.1156540630999991</v>
      </c>
      <c r="V598" s="34" t="s">
        <v>231</v>
      </c>
      <c r="W598" s="34" t="s">
        <v>44</v>
      </c>
      <c r="X598" s="34" t="s">
        <v>45</v>
      </c>
      <c r="Y598" s="34" t="s">
        <v>65</v>
      </c>
      <c r="Z598" s="34"/>
      <c r="AA598" s="34"/>
      <c r="AB598" s="22">
        <v>0.90920028686523435</v>
      </c>
      <c r="AC598" s="23" t="s">
        <v>1829</v>
      </c>
      <c r="AD598" s="24">
        <v>5.3013698630136989</v>
      </c>
      <c r="AE598" s="25">
        <v>0.1709878397597675</v>
      </c>
      <c r="AF598" s="26">
        <v>0.21898526092374701</v>
      </c>
      <c r="AG598" s="26">
        <v>0.18889129749940836</v>
      </c>
      <c r="AH598" s="27">
        <v>0.62673586284043659</v>
      </c>
      <c r="AI598" s="27">
        <v>0.66301599722622095</v>
      </c>
      <c r="AJ598" s="27">
        <v>0.6655840728478577</v>
      </c>
      <c r="AK598" s="28" t="s">
        <v>2441</v>
      </c>
      <c r="AL598" s="29">
        <v>4</v>
      </c>
      <c r="AM598" s="29">
        <v>3</v>
      </c>
      <c r="AN598" s="29" t="s">
        <v>48</v>
      </c>
      <c r="AO598" s="47" t="s">
        <v>287</v>
      </c>
      <c r="AP598" s="28">
        <v>0</v>
      </c>
      <c r="AQ598" s="26">
        <v>1.4999999999999999E-2</v>
      </c>
      <c r="AR598" s="26">
        <v>0</v>
      </c>
    </row>
    <row r="599" spans="1:44" x14ac:dyDescent="0.15">
      <c r="A599">
        <v>291</v>
      </c>
      <c r="B599" s="11">
        <v>700001</v>
      </c>
      <c r="C599" s="32"/>
      <c r="D599" s="32">
        <v>-3.7966599013649202E-3</v>
      </c>
      <c r="E599" s="32">
        <v>33</v>
      </c>
      <c r="F599" s="32">
        <v>0.15188668350267401</v>
      </c>
      <c r="G599" s="11"/>
      <c r="H599" s="11"/>
      <c r="I599" s="11"/>
      <c r="J599" s="18" t="s">
        <v>44</v>
      </c>
      <c r="K599" s="18" t="s">
        <v>45</v>
      </c>
      <c r="L599" s="58" t="s">
        <v>65</v>
      </c>
      <c r="M599" s="18">
        <f>[1]!f_prt_stocktonav(B599,"2017/03/31")</f>
        <v>89.594245910644531</v>
      </c>
      <c r="N599" s="20" t="str">
        <f>[1]!f_info_fundmanager(B599)</f>
        <v>傅浩</v>
      </c>
      <c r="O599" s="21">
        <v>0.62191780821917808</v>
      </c>
      <c r="P599" s="34" t="s">
        <v>2442</v>
      </c>
      <c r="Q599" s="34" t="s">
        <v>2443</v>
      </c>
      <c r="R599" s="34" t="s">
        <v>344</v>
      </c>
      <c r="S599" s="34">
        <v>20110920</v>
      </c>
      <c r="T599" s="45">
        <v>3.3250799984000001</v>
      </c>
      <c r="U599" s="46">
        <v>3.9123804619000002</v>
      </c>
      <c r="V599" s="34" t="s">
        <v>231</v>
      </c>
      <c r="W599" s="34" t="s">
        <v>44</v>
      </c>
      <c r="X599" s="34" t="s">
        <v>45</v>
      </c>
      <c r="Y599" s="34" t="s">
        <v>65</v>
      </c>
      <c r="Z599" s="34"/>
      <c r="AA599" s="34"/>
      <c r="AB599" s="22">
        <v>0.76390525817871091</v>
      </c>
      <c r="AC599" s="23" t="s">
        <v>2444</v>
      </c>
      <c r="AD599" s="24">
        <v>0.39178082191780822</v>
      </c>
      <c r="AE599" s="25">
        <v>7.3224881452163215E-2</v>
      </c>
      <c r="AF599" s="26">
        <v>4.4943084107275766E-2</v>
      </c>
      <c r="AG599" s="26">
        <v>9.9813258363983692E-2</v>
      </c>
      <c r="AH599" s="27">
        <v>0.3466860337933102</v>
      </c>
      <c r="AI599" s="27">
        <v>0.26718604612813074</v>
      </c>
      <c r="AJ599" s="27">
        <v>0.42859299908444987</v>
      </c>
      <c r="AK599" s="28" t="s">
        <v>2445</v>
      </c>
      <c r="AL599" s="29">
        <v>2</v>
      </c>
      <c r="AM599" s="29">
        <v>3</v>
      </c>
      <c r="AN599" s="29" t="s">
        <v>48</v>
      </c>
      <c r="AO599" s="47" t="s">
        <v>334</v>
      </c>
      <c r="AP599" s="28">
        <v>0</v>
      </c>
      <c r="AQ599" s="26">
        <v>1.4999999999999999E-2</v>
      </c>
      <c r="AR599" s="26">
        <v>0</v>
      </c>
    </row>
    <row r="600" spans="1:44" x14ac:dyDescent="0.15">
      <c r="A600">
        <v>223</v>
      </c>
      <c r="B600" s="11">
        <v>660010</v>
      </c>
      <c r="C600" s="32"/>
      <c r="D600" s="32">
        <v>3.9363048867144101E-3</v>
      </c>
      <c r="E600" s="32">
        <v>70</v>
      </c>
      <c r="F600" s="32">
        <v>4.7654561403953098E-2</v>
      </c>
      <c r="G600" s="11"/>
      <c r="H600" s="11"/>
      <c r="I600" s="11"/>
      <c r="J600" s="18" t="s">
        <v>44</v>
      </c>
      <c r="K600" s="18" t="s">
        <v>45</v>
      </c>
      <c r="L600" s="58" t="s">
        <v>274</v>
      </c>
      <c r="M600" s="18">
        <f>[1]!f_prt_stocktonav(B600,"2017/03/31")</f>
        <v>91.361358642578125</v>
      </c>
      <c r="N600" s="20" t="str">
        <f>[1]!f_info_fundmanager(B600)</f>
        <v>张峰</v>
      </c>
      <c r="O600" s="21">
        <v>1.3287671232876712</v>
      </c>
      <c r="P600" s="34" t="s">
        <v>2446</v>
      </c>
      <c r="Q600" s="34" t="s">
        <v>2447</v>
      </c>
      <c r="R600" s="34" t="s">
        <v>424</v>
      </c>
      <c r="S600" s="34">
        <v>20110906</v>
      </c>
      <c r="T600" s="45">
        <v>1.3251506146000001</v>
      </c>
      <c r="U600" s="46">
        <v>1.3119119811</v>
      </c>
      <c r="V600" s="34" t="s">
        <v>201</v>
      </c>
      <c r="W600" s="34" t="s">
        <v>44</v>
      </c>
      <c r="X600" s="34" t="s">
        <v>45</v>
      </c>
      <c r="Y600" s="34" t="s">
        <v>274</v>
      </c>
      <c r="Z600" s="34"/>
      <c r="AA600" s="34"/>
      <c r="AB600" s="22">
        <v>0.83675857543945309</v>
      </c>
      <c r="AC600" s="23" t="s">
        <v>425</v>
      </c>
      <c r="AD600" s="24">
        <v>1.0986301369863014</v>
      </c>
      <c r="AE600" s="25">
        <v>-3.0761393838635298E-2</v>
      </c>
      <c r="AF600" s="26">
        <v>-3.7070253323597591E-2</v>
      </c>
      <c r="AG600" s="26">
        <v>-1.8571506836554619E-2</v>
      </c>
      <c r="AH600" s="27">
        <v>-4.4556212416640255E-2</v>
      </c>
      <c r="AI600" s="27">
        <v>8.7763424118583386E-3</v>
      </c>
      <c r="AJ600" s="27">
        <v>1.0967285391924342E-2</v>
      </c>
      <c r="AK600" s="28" t="s">
        <v>2119</v>
      </c>
      <c r="AL600" s="29">
        <v>1</v>
      </c>
      <c r="AM600" s="29">
        <v>1</v>
      </c>
      <c r="AN600" s="29" t="s">
        <v>48</v>
      </c>
      <c r="AO600" s="47" t="s">
        <v>702</v>
      </c>
      <c r="AP600" s="28">
        <v>0</v>
      </c>
      <c r="AQ600" s="26">
        <v>1.4999999999999999E-2</v>
      </c>
      <c r="AR600" s="26">
        <v>0</v>
      </c>
    </row>
    <row r="601" spans="1:44" x14ac:dyDescent="0.15">
      <c r="A601">
        <v>586</v>
      </c>
      <c r="B601" s="11">
        <v>210008</v>
      </c>
      <c r="C601" s="32"/>
      <c r="D601" s="32">
        <v>-2.85841507505534E-3</v>
      </c>
      <c r="E601" s="32">
        <v>131</v>
      </c>
      <c r="F601" s="32">
        <v>0.11183704647005301</v>
      </c>
      <c r="G601" s="11"/>
      <c r="H601" s="11"/>
      <c r="I601" s="11"/>
      <c r="J601" s="18" t="s">
        <v>44</v>
      </c>
      <c r="K601" s="18" t="s">
        <v>45</v>
      </c>
      <c r="L601" s="58" t="s">
        <v>274</v>
      </c>
      <c r="M601" s="18">
        <f>[1]!f_prt_stocktonav(B601,"2017/03/31")</f>
        <v>83.146560668945313</v>
      </c>
      <c r="N601" s="20" t="str">
        <f>[1]!f_info_fundmanager(B601)</f>
        <v>方超</v>
      </c>
      <c r="O601" s="21">
        <v>2.5013698630136987</v>
      </c>
      <c r="P601" s="34" t="s">
        <v>2448</v>
      </c>
      <c r="Q601" s="34" t="s">
        <v>2449</v>
      </c>
      <c r="R601" s="34" t="s">
        <v>273</v>
      </c>
      <c r="S601" s="34">
        <v>20110901</v>
      </c>
      <c r="T601" s="45">
        <v>0.88452719790000001</v>
      </c>
      <c r="U601" s="46">
        <v>1.3488652559000001</v>
      </c>
      <c r="V601" s="34" t="s">
        <v>231</v>
      </c>
      <c r="W601" s="34" t="s">
        <v>44</v>
      </c>
      <c r="X601" s="34" t="s">
        <v>45</v>
      </c>
      <c r="Y601" s="34" t="s">
        <v>274</v>
      </c>
      <c r="Z601" s="34"/>
      <c r="AA601" s="34"/>
      <c r="AB601" s="22">
        <v>0.78485603332519527</v>
      </c>
      <c r="AC601" s="23" t="s">
        <v>1350</v>
      </c>
      <c r="AD601" s="24">
        <v>2.2712328767123289</v>
      </c>
      <c r="AE601" s="25">
        <v>8.4575852386902017E-2</v>
      </c>
      <c r="AF601" s="26">
        <v>0.15755945099875279</v>
      </c>
      <c r="AG601" s="26">
        <v>0.10068765455822358</v>
      </c>
      <c r="AH601" s="27">
        <v>0.37344032987187964</v>
      </c>
      <c r="AI601" s="27">
        <v>0.5451974591226777</v>
      </c>
      <c r="AJ601" s="27">
        <v>0.41854283265524334</v>
      </c>
      <c r="AK601" s="28" t="s">
        <v>2450</v>
      </c>
      <c r="AL601" s="29">
        <v>3</v>
      </c>
      <c r="AM601" s="29">
        <v>3</v>
      </c>
      <c r="AN601" s="29" t="s">
        <v>48</v>
      </c>
      <c r="AO601" s="47" t="s">
        <v>666</v>
      </c>
      <c r="AP601" s="28">
        <v>0</v>
      </c>
      <c r="AQ601" s="26">
        <v>1.4999999999999999E-2</v>
      </c>
      <c r="AR601" s="26">
        <v>0</v>
      </c>
    </row>
    <row r="602" spans="1:44" x14ac:dyDescent="0.15">
      <c r="A602">
        <v>351</v>
      </c>
      <c r="B602" s="11">
        <v>20023</v>
      </c>
      <c r="C602" s="32"/>
      <c r="D602" s="32">
        <v>3.46865880959376E-3</v>
      </c>
      <c r="E602" s="32">
        <v>49</v>
      </c>
      <c r="F602" s="32">
        <v>4.7849941504139099E-2</v>
      </c>
      <c r="G602" s="11"/>
      <c r="H602" s="11"/>
      <c r="I602" s="11"/>
      <c r="J602" s="18" t="s">
        <v>44</v>
      </c>
      <c r="K602" s="18" t="s">
        <v>45</v>
      </c>
      <c r="L602" s="58" t="s">
        <v>65</v>
      </c>
      <c r="M602" s="18">
        <f>[1]!f_prt_stocktonav(B602,"2017/03/31")</f>
        <v>88.538841247558594</v>
      </c>
      <c r="N602" s="20" t="str">
        <f>[1]!f_info_fundmanager(B602)</f>
        <v>邱晓华</v>
      </c>
      <c r="O602" s="21">
        <v>0.92876712328767119</v>
      </c>
      <c r="P602" s="34" t="s">
        <v>2451</v>
      </c>
      <c r="Q602" s="34" t="s">
        <v>2452</v>
      </c>
      <c r="R602" s="34" t="s">
        <v>663</v>
      </c>
      <c r="S602" s="34">
        <v>20110817</v>
      </c>
      <c r="T602" s="45">
        <v>0.88629179089999999</v>
      </c>
      <c r="U602" s="46">
        <v>1.0079697114999999</v>
      </c>
      <c r="V602" s="34" t="s">
        <v>201</v>
      </c>
      <c r="W602" s="34" t="s">
        <v>44</v>
      </c>
      <c r="X602" s="34" t="s">
        <v>45</v>
      </c>
      <c r="Y602" s="34" t="s">
        <v>65</v>
      </c>
      <c r="Z602" s="34"/>
      <c r="AA602" s="34"/>
      <c r="AB602" s="22">
        <v>0.74476913452148441</v>
      </c>
      <c r="AC602" s="23" t="s">
        <v>2092</v>
      </c>
      <c r="AD602" s="24">
        <v>0.69863013698630139</v>
      </c>
      <c r="AE602" s="25">
        <v>0.14302568904568447</v>
      </c>
      <c r="AF602" s="26">
        <v>0.12007278345445262</v>
      </c>
      <c r="AG602" s="26">
        <v>0.16201847896338339</v>
      </c>
      <c r="AH602" s="27">
        <v>0.5834532086958405</v>
      </c>
      <c r="AI602" s="27">
        <v>0.48675804158053837</v>
      </c>
      <c r="AJ602" s="27">
        <v>0.6332198297173619</v>
      </c>
      <c r="AK602" s="28" t="s">
        <v>208</v>
      </c>
      <c r="AL602" s="29">
        <v>2</v>
      </c>
      <c r="AM602" s="29">
        <v>2</v>
      </c>
      <c r="AN602" s="29" t="s">
        <v>48</v>
      </c>
      <c r="AO602" s="47" t="s">
        <v>101</v>
      </c>
      <c r="AP602" s="28">
        <v>0</v>
      </c>
      <c r="AQ602" s="26">
        <v>1.4999999999999999E-2</v>
      </c>
      <c r="AR602" s="26">
        <v>0</v>
      </c>
    </row>
    <row r="603" spans="1:44" x14ac:dyDescent="0.15">
      <c r="A603">
        <v>197</v>
      </c>
      <c r="B603" s="11">
        <v>110025</v>
      </c>
      <c r="C603" s="32"/>
      <c r="D603" s="32">
        <v>-4.6009341392398402E-3</v>
      </c>
      <c r="E603" s="32">
        <v>205</v>
      </c>
      <c r="F603" s="32">
        <v>1.50442331038466E-3</v>
      </c>
      <c r="G603" s="11"/>
      <c r="H603" s="11"/>
      <c r="I603" s="11"/>
      <c r="J603" s="18" t="s">
        <v>44</v>
      </c>
      <c r="K603" s="18" t="s">
        <v>87</v>
      </c>
      <c r="L603" s="58" t="s">
        <v>65</v>
      </c>
      <c r="M603" s="18">
        <f>[1]!f_prt_stocktonav(B603,"2017/03/31")</f>
        <v>91.877540588378906</v>
      </c>
      <c r="N603" s="20" t="str">
        <f>[1]!f_info_fundmanager(B603)</f>
        <v>王超</v>
      </c>
      <c r="O603" s="21">
        <v>3.9287671232876713</v>
      </c>
      <c r="P603" s="39" t="s">
        <v>2453</v>
      </c>
      <c r="Q603" s="39" t="s">
        <v>2454</v>
      </c>
      <c r="R603" s="39" t="s">
        <v>218</v>
      </c>
      <c r="S603" s="39">
        <v>20110816</v>
      </c>
      <c r="T603" s="48">
        <v>14.071080268399999</v>
      </c>
      <c r="U603" s="46">
        <v>8.9552675355000009</v>
      </c>
      <c r="V603" s="39" t="s">
        <v>231</v>
      </c>
      <c r="W603" s="39" t="s">
        <v>44</v>
      </c>
      <c r="X603" s="39" t="s">
        <v>87</v>
      </c>
      <c r="Y603" s="49" t="s">
        <v>65</v>
      </c>
      <c r="Z603" s="34" t="s">
        <v>2455</v>
      </c>
      <c r="AA603" s="34"/>
      <c r="AB603" s="22">
        <v>0.94363784790039063</v>
      </c>
      <c r="AC603" s="23" t="s">
        <v>1988</v>
      </c>
      <c r="AD603" s="24">
        <v>3.6986301369863015</v>
      </c>
      <c r="AE603" s="25">
        <v>-7.7461453230743826E-3</v>
      </c>
      <c r="AF603" s="26">
        <v>0.13841799013058442</v>
      </c>
      <c r="AG603" s="26">
        <v>8.7770310799246687E-3</v>
      </c>
      <c r="AH603" s="27">
        <v>2.7648055967304224E-2</v>
      </c>
      <c r="AI603" s="27">
        <v>0.57475534294294428</v>
      </c>
      <c r="AJ603" s="27">
        <v>0.10041890277986749</v>
      </c>
      <c r="AK603" s="40" t="s">
        <v>2456</v>
      </c>
      <c r="AL603" s="41">
        <v>1</v>
      </c>
      <c r="AM603" s="41">
        <v>1</v>
      </c>
      <c r="AN603" s="41" t="s">
        <v>48</v>
      </c>
      <c r="AO603" s="50" t="s">
        <v>2457</v>
      </c>
      <c r="AP603" s="51">
        <v>0</v>
      </c>
      <c r="AQ603" s="52">
        <v>1.4999999999999999E-2</v>
      </c>
      <c r="AR603" s="52">
        <v>0</v>
      </c>
    </row>
    <row r="604" spans="1:44" x14ac:dyDescent="0.15">
      <c r="A604">
        <v>194</v>
      </c>
      <c r="B604" s="11">
        <v>100056</v>
      </c>
      <c r="C604" s="32"/>
      <c r="D604" s="32">
        <v>4.9793710592847601E-3</v>
      </c>
      <c r="E604" s="32">
        <v>140</v>
      </c>
      <c r="F604" s="32">
        <v>7.2868015332033007E-2</v>
      </c>
      <c r="G604" s="11"/>
      <c r="H604" s="11"/>
      <c r="I604" s="11"/>
      <c r="J604" s="18" t="s">
        <v>44</v>
      </c>
      <c r="K604" s="18" t="s">
        <v>45</v>
      </c>
      <c r="L604" s="58" t="s">
        <v>65</v>
      </c>
      <c r="M604" s="18">
        <f>[1]!f_prt_stocktonav(B604,"2017/03/31")</f>
        <v>91.935508728027344</v>
      </c>
      <c r="N604" s="20" t="str">
        <f>[1]!f_info_fundmanager(B604)</f>
        <v>魏伟</v>
      </c>
      <c r="O604" s="21">
        <v>2.6739726027397261</v>
      </c>
      <c r="P604" s="34" t="s">
        <v>2458</v>
      </c>
      <c r="Q604" s="34" t="s">
        <v>2459</v>
      </c>
      <c r="R604" s="34" t="s">
        <v>396</v>
      </c>
      <c r="S604" s="34">
        <v>20110810</v>
      </c>
      <c r="T604" s="45">
        <v>60.979612561000003</v>
      </c>
      <c r="U604" s="46">
        <v>70.684330948500005</v>
      </c>
      <c r="V604" s="34" t="s">
        <v>231</v>
      </c>
      <c r="W604" s="34" t="s">
        <v>44</v>
      </c>
      <c r="X604" s="34" t="s">
        <v>45</v>
      </c>
      <c r="Y604" s="34" t="s">
        <v>65</v>
      </c>
      <c r="Z604" s="34"/>
      <c r="AA604" s="34"/>
      <c r="AB604" s="22">
        <v>0.94548217773437504</v>
      </c>
      <c r="AC604" s="23" t="s">
        <v>1532</v>
      </c>
      <c r="AD604" s="24">
        <v>2.4438356164383563</v>
      </c>
      <c r="AE604" s="25">
        <v>0.15564531196197384</v>
      </c>
      <c r="AF604" s="26">
        <v>0.2340956893052526</v>
      </c>
      <c r="AG604" s="26">
        <v>0.20128949162597465</v>
      </c>
      <c r="AH604" s="27">
        <v>0.63178606705457185</v>
      </c>
      <c r="AI604" s="27">
        <v>0.8063926982261107</v>
      </c>
      <c r="AJ604" s="27">
        <v>0.76557655694431836</v>
      </c>
      <c r="AK604" s="28" t="s">
        <v>167</v>
      </c>
      <c r="AL604" s="29">
        <v>5</v>
      </c>
      <c r="AM604" s="29">
        <v>5</v>
      </c>
      <c r="AN604" s="29" t="s">
        <v>48</v>
      </c>
      <c r="AO604" s="47" t="s">
        <v>2095</v>
      </c>
      <c r="AP604" s="28" t="s">
        <v>608</v>
      </c>
      <c r="AQ604" s="26">
        <v>1.4999999999999999E-2</v>
      </c>
      <c r="AR604" s="26">
        <v>0</v>
      </c>
    </row>
    <row r="605" spans="1:44" x14ac:dyDescent="0.15">
      <c r="A605">
        <v>475</v>
      </c>
      <c r="B605" s="11">
        <v>320016</v>
      </c>
      <c r="C605" s="32"/>
      <c r="D605" s="32">
        <v>-1.46051962184026E-3</v>
      </c>
      <c r="E605" s="32">
        <v>90</v>
      </c>
      <c r="F605" s="32">
        <v>0.14503111503482699</v>
      </c>
      <c r="G605" s="11"/>
      <c r="H605" s="11"/>
      <c r="I605" s="11"/>
      <c r="J605" s="18" t="s">
        <v>44</v>
      </c>
      <c r="K605" s="18" t="s">
        <v>64</v>
      </c>
      <c r="L605" s="58" t="s">
        <v>274</v>
      </c>
      <c r="M605" s="18">
        <f>[1]!f_prt_stocktonav(B605,"2017/03/31")</f>
        <v>85.762130737304688</v>
      </c>
      <c r="N605" s="20" t="str">
        <f>[1]!f_info_fundmanager(B605)</f>
        <v>李玉良</v>
      </c>
      <c r="O605" s="21">
        <v>1.715068493150685</v>
      </c>
      <c r="P605" s="34" t="s">
        <v>2460</v>
      </c>
      <c r="Q605" s="34" t="s">
        <v>2461</v>
      </c>
      <c r="R605" s="34" t="s">
        <v>955</v>
      </c>
      <c r="S605" s="34">
        <v>20110809</v>
      </c>
      <c r="T605" s="45">
        <v>0.61440585700000006</v>
      </c>
      <c r="U605" s="46">
        <v>0.59450414510000005</v>
      </c>
      <c r="V605" s="34" t="s">
        <v>231</v>
      </c>
      <c r="W605" s="34" t="s">
        <v>44</v>
      </c>
      <c r="X605" s="34" t="s">
        <v>45</v>
      </c>
      <c r="Y605" s="34" t="s">
        <v>274</v>
      </c>
      <c r="Z605" s="34"/>
      <c r="AA605" s="34"/>
      <c r="AB605" s="22">
        <v>0.81333847045898433</v>
      </c>
      <c r="AC605" s="23" t="s">
        <v>2462</v>
      </c>
      <c r="AD605" s="24">
        <v>1.484931506849315</v>
      </c>
      <c r="AE605" s="25">
        <v>9.8837699407320331E-2</v>
      </c>
      <c r="AF605" s="26">
        <v>0.20501078801480066</v>
      </c>
      <c r="AG605" s="26">
        <v>0.15745512214609536</v>
      </c>
      <c r="AH605" s="27">
        <v>0.43445871571550282</v>
      </c>
      <c r="AI605" s="27">
        <v>0.72289243773269218</v>
      </c>
      <c r="AJ605" s="27">
        <v>0.62698589746054734</v>
      </c>
      <c r="AK605" s="28" t="s">
        <v>2463</v>
      </c>
      <c r="AL605" s="29">
        <v>4</v>
      </c>
      <c r="AM605" s="29">
        <v>3</v>
      </c>
      <c r="AN605" s="29" t="s">
        <v>48</v>
      </c>
      <c r="AO605" s="47" t="s">
        <v>583</v>
      </c>
      <c r="AP605" s="28">
        <v>0</v>
      </c>
      <c r="AQ605" s="26">
        <v>1.4999999999999999E-2</v>
      </c>
      <c r="AR605" s="26">
        <v>0</v>
      </c>
    </row>
    <row r="606" spans="1:44" x14ac:dyDescent="0.15">
      <c r="A606">
        <v>484</v>
      </c>
      <c r="B606" s="11">
        <v>350008</v>
      </c>
      <c r="C606" s="32"/>
      <c r="D606" s="32">
        <v>-2.44851051693078E-3</v>
      </c>
      <c r="E606" s="32">
        <v>105</v>
      </c>
      <c r="F606" s="32">
        <v>0.152522718110947</v>
      </c>
      <c r="G606" s="11"/>
      <c r="H606" s="11"/>
      <c r="I606" s="11"/>
      <c r="J606" s="18" t="s">
        <v>44</v>
      </c>
      <c r="K606" s="18" t="s">
        <v>87</v>
      </c>
      <c r="L606" s="58" t="s">
        <v>65</v>
      </c>
      <c r="M606" s="18">
        <f>[1]!f_prt_stocktonav(B606,"2017/03/31")</f>
        <v>85.635475158691406</v>
      </c>
      <c r="N606" s="20" t="str">
        <f>[1]!f_info_fundmanager(B606)</f>
        <v>尹维国</v>
      </c>
      <c r="O606" s="21">
        <v>2.0136986301369864</v>
      </c>
      <c r="P606" s="34" t="s">
        <v>2464</v>
      </c>
      <c r="Q606" s="34" t="s">
        <v>2465</v>
      </c>
      <c r="R606" s="34" t="s">
        <v>2466</v>
      </c>
      <c r="S606" s="34">
        <v>20110804</v>
      </c>
      <c r="T606" s="45">
        <v>0.22617752899999999</v>
      </c>
      <c r="U606" s="46">
        <v>0.25334387549999998</v>
      </c>
      <c r="V606" s="34" t="s">
        <v>201</v>
      </c>
      <c r="W606" s="34" t="s">
        <v>44</v>
      </c>
      <c r="X606" s="34" t="s">
        <v>45</v>
      </c>
      <c r="Y606" s="34" t="s">
        <v>65</v>
      </c>
      <c r="Z606" s="34"/>
      <c r="AA606" s="34"/>
      <c r="AB606" s="22">
        <v>0.82213081359863283</v>
      </c>
      <c r="AC606" s="23" t="s">
        <v>2467</v>
      </c>
      <c r="AD606" s="24">
        <v>1.7835616438356163</v>
      </c>
      <c r="AE606" s="25">
        <v>6.5489820917041808E-2</v>
      </c>
      <c r="AF606" s="26">
        <v>3.249984303121467E-2</v>
      </c>
      <c r="AG606" s="26">
        <v>8.9858097758098263E-2</v>
      </c>
      <c r="AH606" s="27">
        <v>0.31802693310928881</v>
      </c>
      <c r="AI606" s="27">
        <v>0.20221303958188089</v>
      </c>
      <c r="AJ606" s="27">
        <v>0.39782758871601392</v>
      </c>
      <c r="AK606" s="28" t="s">
        <v>2468</v>
      </c>
      <c r="AL606" s="29">
        <v>3</v>
      </c>
      <c r="AM606" s="29">
        <v>2</v>
      </c>
      <c r="AN606" s="29" t="s">
        <v>48</v>
      </c>
      <c r="AO606" s="47" t="s">
        <v>1909</v>
      </c>
      <c r="AP606" s="28">
        <v>0</v>
      </c>
      <c r="AQ606" s="26">
        <v>1.4999999999999999E-2</v>
      </c>
      <c r="AR606" s="26">
        <v>0</v>
      </c>
    </row>
    <row r="607" spans="1:44" x14ac:dyDescent="0.15">
      <c r="A607">
        <v>902</v>
      </c>
      <c r="B607" s="11">
        <v>450010</v>
      </c>
      <c r="C607" s="32"/>
      <c r="D607" s="32">
        <v>-3.0325122159934399E-3</v>
      </c>
      <c r="E607" s="32">
        <v>191</v>
      </c>
      <c r="F607" s="32">
        <v>2.2289152523219898E-3</v>
      </c>
      <c r="G607" s="11"/>
      <c r="H607" s="11"/>
      <c r="I607" s="11"/>
      <c r="J607" s="18" t="s">
        <v>44</v>
      </c>
      <c r="K607" s="18" t="s">
        <v>45</v>
      </c>
      <c r="L607" s="58" t="s">
        <v>274</v>
      </c>
      <c r="M607" s="18">
        <f>[1]!f_prt_stocktonav(B607,"2017/03/31")</f>
        <v>72.501693725585937</v>
      </c>
      <c r="N607" s="20" t="str">
        <f>[1]!f_info_fundmanager(B607)</f>
        <v>王晓宁</v>
      </c>
      <c r="O607" s="21">
        <v>3.6712328767123288</v>
      </c>
      <c r="P607" s="34" t="s">
        <v>2469</v>
      </c>
      <c r="Q607" s="34" t="s">
        <v>2470</v>
      </c>
      <c r="R607" s="34" t="s">
        <v>742</v>
      </c>
      <c r="S607" s="34">
        <v>20110802</v>
      </c>
      <c r="T607" s="45">
        <v>0.59065044560000002</v>
      </c>
      <c r="U607" s="46">
        <v>0.61239360819999999</v>
      </c>
      <c r="V607" s="34" t="s">
        <v>231</v>
      </c>
      <c r="W607" s="34" t="s">
        <v>44</v>
      </c>
      <c r="X607" s="34" t="s">
        <v>45</v>
      </c>
      <c r="Y607" s="34" t="s">
        <v>65</v>
      </c>
      <c r="Z607" s="34"/>
      <c r="AA607" s="34"/>
      <c r="AB607" s="22">
        <v>0.75124244689941411</v>
      </c>
      <c r="AC607" s="23" t="s">
        <v>1764</v>
      </c>
      <c r="AD607" s="24">
        <v>3.441095890410959</v>
      </c>
      <c r="AE607" s="25">
        <v>4.339416574378463E-2</v>
      </c>
      <c r="AF607" s="26">
        <v>0.12088933533589706</v>
      </c>
      <c r="AG607" s="26">
        <v>7.8957941019206723E-2</v>
      </c>
      <c r="AH607" s="27">
        <v>0.24243897108294707</v>
      </c>
      <c r="AI607" s="27">
        <v>0.48035555351656362</v>
      </c>
      <c r="AJ607" s="27">
        <v>0.36643148821091759</v>
      </c>
      <c r="AK607" s="28" t="s">
        <v>2471</v>
      </c>
      <c r="AL607" s="29">
        <v>2</v>
      </c>
      <c r="AM607" s="29">
        <v>4</v>
      </c>
      <c r="AN607" s="29" t="s">
        <v>48</v>
      </c>
      <c r="AO607" s="47" t="s">
        <v>2472</v>
      </c>
      <c r="AP607" s="28">
        <v>0</v>
      </c>
      <c r="AQ607" s="26">
        <v>1.4999999999999999E-2</v>
      </c>
      <c r="AR607" s="26">
        <v>0</v>
      </c>
    </row>
    <row r="608" spans="1:44" x14ac:dyDescent="0.15">
      <c r="A608">
        <v>849</v>
      </c>
      <c r="B608" s="11">
        <v>165512</v>
      </c>
      <c r="C608" s="32"/>
      <c r="D608" s="32">
        <v>1.1600292545469299E-3</v>
      </c>
      <c r="E608" s="32">
        <v>72</v>
      </c>
      <c r="F608" s="32">
        <v>0.35990618985716399</v>
      </c>
      <c r="G608" s="11"/>
      <c r="H608" s="11"/>
      <c r="I608" s="11"/>
      <c r="J608" s="18" t="s">
        <v>44</v>
      </c>
      <c r="K608" s="18" t="s">
        <v>45</v>
      </c>
      <c r="L608" s="58" t="s">
        <v>274</v>
      </c>
      <c r="M608" s="18">
        <f>[1]!f_prt_stocktonav(B608,"2017/03/31")</f>
        <v>74.401229858398438</v>
      </c>
      <c r="N608" s="20" t="str">
        <f>[1]!f_info_fundmanager(B608)</f>
        <v>吴昊</v>
      </c>
      <c r="O608" s="21">
        <v>1.3671232876712329</v>
      </c>
      <c r="P608" s="34" t="s">
        <v>2473</v>
      </c>
      <c r="Q608" s="34" t="s">
        <v>2474</v>
      </c>
      <c r="R608" s="34" t="s">
        <v>456</v>
      </c>
      <c r="S608" s="34">
        <v>20110801</v>
      </c>
      <c r="T608" s="45">
        <v>0.28435869530000002</v>
      </c>
      <c r="U608" s="46">
        <v>0.30288980510000002</v>
      </c>
      <c r="V608" s="34" t="s">
        <v>231</v>
      </c>
      <c r="W608" s="34" t="s">
        <v>44</v>
      </c>
      <c r="X608" s="34" t="s">
        <v>45</v>
      </c>
      <c r="Y608" s="34" t="s">
        <v>274</v>
      </c>
      <c r="Z608" s="34"/>
      <c r="AA608" s="34"/>
      <c r="AB608" s="22">
        <v>0.76790580749511717</v>
      </c>
      <c r="AC608" s="23" t="s">
        <v>2475</v>
      </c>
      <c r="AD608" s="24">
        <v>2.3123287671232875</v>
      </c>
      <c r="AE608" s="25">
        <v>0.15253561108858738</v>
      </c>
      <c r="AF608" s="26">
        <v>0.18109188744862093</v>
      </c>
      <c r="AG608" s="26">
        <v>0.19618136730371272</v>
      </c>
      <c r="AH608" s="27">
        <v>0.62021558236684604</v>
      </c>
      <c r="AI608" s="27">
        <v>0.65441189444462078</v>
      </c>
      <c r="AJ608" s="27">
        <v>0.74778926365383103</v>
      </c>
      <c r="AK608" s="28" t="s">
        <v>380</v>
      </c>
      <c r="AL608" s="29">
        <v>5</v>
      </c>
      <c r="AM608" s="29">
        <v>3</v>
      </c>
      <c r="AN608" s="29" t="s">
        <v>48</v>
      </c>
      <c r="AO608" s="47" t="s">
        <v>310</v>
      </c>
      <c r="AP608" s="28">
        <v>0</v>
      </c>
      <c r="AQ608" s="26">
        <v>1.4999999999999999E-2</v>
      </c>
      <c r="AR608" s="26">
        <v>0</v>
      </c>
    </row>
    <row r="609" spans="1:44" x14ac:dyDescent="0.15">
      <c r="A609">
        <v>645</v>
      </c>
      <c r="B609" s="11">
        <v>519678</v>
      </c>
      <c r="C609" s="32"/>
      <c r="D609" s="32">
        <v>-1.85756445782879E-3</v>
      </c>
      <c r="E609" s="32">
        <v>223</v>
      </c>
      <c r="F609" s="32">
        <v>0.210942713773659</v>
      </c>
      <c r="G609" s="11"/>
      <c r="H609" s="11"/>
      <c r="I609" s="11"/>
      <c r="J609" s="18" t="s">
        <v>44</v>
      </c>
      <c r="K609" s="18" t="s">
        <v>45</v>
      </c>
      <c r="L609" s="58" t="s">
        <v>65</v>
      </c>
      <c r="M609" s="18">
        <f>[1]!f_prt_stocktonav(B609,"2017/03/31")</f>
        <v>81.571807861328125</v>
      </c>
      <c r="N609" s="20" t="str">
        <f>[1]!f_info_fundmanager(B609)</f>
        <v>卢轶乔</v>
      </c>
      <c r="O609" s="21">
        <v>4.2767123287671236</v>
      </c>
      <c r="P609" s="34" t="s">
        <v>2476</v>
      </c>
      <c r="Q609" s="34" t="s">
        <v>2477</v>
      </c>
      <c r="R609" s="34" t="s">
        <v>807</v>
      </c>
      <c r="S609" s="34">
        <v>20110729</v>
      </c>
      <c r="T609" s="45">
        <v>0.63735124229999995</v>
      </c>
      <c r="U609" s="46">
        <v>0.71391659519999995</v>
      </c>
      <c r="V609" s="34" t="s">
        <v>231</v>
      </c>
      <c r="W609" s="34" t="s">
        <v>44</v>
      </c>
      <c r="X609" s="34" t="s">
        <v>45</v>
      </c>
      <c r="Y609" s="34" t="s">
        <v>65</v>
      </c>
      <c r="Z609" s="34"/>
      <c r="AA609" s="34"/>
      <c r="AB609" s="22">
        <v>0.75217964172363283</v>
      </c>
      <c r="AC609" s="23" t="s">
        <v>2478</v>
      </c>
      <c r="AD609" s="24">
        <v>4.0465753424657533</v>
      </c>
      <c r="AE609" s="25">
        <v>6.4449494797749862E-2</v>
      </c>
      <c r="AF609" s="26">
        <v>6.7855773741429593E-2</v>
      </c>
      <c r="AG609" s="26">
        <v>8.750955485599278E-2</v>
      </c>
      <c r="AH609" s="27">
        <v>0.31175498739169327</v>
      </c>
      <c r="AI609" s="27">
        <v>0.31310799256506944</v>
      </c>
      <c r="AJ609" s="27">
        <v>0.38517140226645535</v>
      </c>
      <c r="AK609" s="28" t="s">
        <v>1750</v>
      </c>
      <c r="AL609" s="29">
        <v>2</v>
      </c>
      <c r="AM609" s="29">
        <v>3</v>
      </c>
      <c r="AN609" s="29" t="s">
        <v>48</v>
      </c>
      <c r="AO609" s="47" t="s">
        <v>101</v>
      </c>
      <c r="AP609" s="28">
        <v>0</v>
      </c>
      <c r="AQ609" s="26">
        <v>1.4999999999999999E-2</v>
      </c>
      <c r="AR609" s="26">
        <v>0</v>
      </c>
    </row>
    <row r="610" spans="1:44" x14ac:dyDescent="0.15">
      <c r="A610">
        <v>109</v>
      </c>
      <c r="B610" s="11">
        <v>540010</v>
      </c>
      <c r="C610" s="32"/>
      <c r="D610" s="32">
        <v>1.4073002551350099E-3</v>
      </c>
      <c r="E610" s="32">
        <v>88</v>
      </c>
      <c r="F610" s="32">
        <v>0.30802501266267401</v>
      </c>
      <c r="G610" s="11"/>
      <c r="H610" s="11"/>
      <c r="I610" s="11"/>
      <c r="J610" s="18" t="s">
        <v>44</v>
      </c>
      <c r="K610" s="18" t="s">
        <v>45</v>
      </c>
      <c r="L610" s="58" t="s">
        <v>65</v>
      </c>
      <c r="M610" s="18">
        <f>[1]!f_prt_stocktonav(B610,"2017/03/31")</f>
        <v>93.472038269042969</v>
      </c>
      <c r="N610" s="20" t="str">
        <f>[1]!f_info_fundmanager(B610)</f>
        <v>陈平</v>
      </c>
      <c r="O610" s="21">
        <v>1.6849315068493151</v>
      </c>
      <c r="P610" s="34" t="s">
        <v>2479</v>
      </c>
      <c r="Q610" s="34" t="s">
        <v>2480</v>
      </c>
      <c r="R610" s="34" t="s">
        <v>149</v>
      </c>
      <c r="S610" s="34">
        <v>20110727</v>
      </c>
      <c r="T610" s="45">
        <v>5.1446760823000002</v>
      </c>
      <c r="U610" s="46">
        <v>7.4634156235000004</v>
      </c>
      <c r="V610" s="34" t="s">
        <v>231</v>
      </c>
      <c r="W610" s="34" t="s">
        <v>44</v>
      </c>
      <c r="X610" s="34" t="s">
        <v>45</v>
      </c>
      <c r="Y610" s="34" t="s">
        <v>274</v>
      </c>
      <c r="Z610" s="34"/>
      <c r="AA610" s="34"/>
      <c r="AB610" s="22">
        <v>0.94808532714843752</v>
      </c>
      <c r="AC610" s="23" t="s">
        <v>1573</v>
      </c>
      <c r="AD610" s="24">
        <v>1.4547945205479451</v>
      </c>
      <c r="AE610" s="25">
        <v>0.13107357759034133</v>
      </c>
      <c r="AF610" s="26">
        <v>0.1251056154269965</v>
      </c>
      <c r="AG610" s="26">
        <v>0.17357607415204554</v>
      </c>
      <c r="AH610" s="27">
        <v>0.49490228236897327</v>
      </c>
      <c r="AI610" s="27">
        <v>0.4568717684194144</v>
      </c>
      <c r="AJ610" s="27">
        <v>0.59655568678971482</v>
      </c>
      <c r="AK610" s="28" t="s">
        <v>2481</v>
      </c>
      <c r="AL610" s="29">
        <v>5</v>
      </c>
      <c r="AM610" s="29">
        <v>2</v>
      </c>
      <c r="AN610" s="29" t="s">
        <v>48</v>
      </c>
      <c r="AO610" s="47" t="s">
        <v>410</v>
      </c>
      <c r="AP610" s="28">
        <v>0</v>
      </c>
      <c r="AQ610" s="26">
        <v>1.4999999999999999E-2</v>
      </c>
      <c r="AR610" s="26">
        <v>0</v>
      </c>
    </row>
    <row r="611" spans="1:44" x14ac:dyDescent="0.15">
      <c r="A611">
        <v>240</v>
      </c>
      <c r="B611" s="11">
        <v>377240</v>
      </c>
      <c r="C611" s="32"/>
      <c r="D611" s="32">
        <v>1.2221225281091701E-3</v>
      </c>
      <c r="E611" s="32">
        <v>298</v>
      </c>
      <c r="F611" s="32">
        <v>0.29530564998475001</v>
      </c>
      <c r="G611" s="11"/>
      <c r="H611" s="11"/>
      <c r="I611" s="11"/>
      <c r="J611" s="18" t="s">
        <v>44</v>
      </c>
      <c r="K611" s="19" t="s">
        <v>45</v>
      </c>
      <c r="L611" s="58" t="s">
        <v>65</v>
      </c>
      <c r="M611" s="18">
        <f>[1]!f_prt_stocktonav(B611,"2017/03/31")</f>
        <v>90.819648742675781</v>
      </c>
      <c r="N611" s="20" t="str">
        <f>[1]!f_info_fundmanager(B611)</f>
        <v>杜猛</v>
      </c>
      <c r="O611" s="21">
        <v>5.720547945205479</v>
      </c>
      <c r="P611" s="32" t="s">
        <v>2482</v>
      </c>
      <c r="Q611" s="13" t="s">
        <v>2483</v>
      </c>
      <c r="R611" s="13" t="s">
        <v>511</v>
      </c>
      <c r="S611" s="13">
        <v>20110713</v>
      </c>
      <c r="T611" s="14">
        <v>11.522519323099999</v>
      </c>
      <c r="U611" s="15" t="s">
        <v>39</v>
      </c>
      <c r="V611" s="16" t="s">
        <v>40</v>
      </c>
      <c r="W611" s="17" t="s">
        <v>44</v>
      </c>
      <c r="X611" s="17" t="s">
        <v>45</v>
      </c>
      <c r="Y611" s="17" t="s">
        <v>65</v>
      </c>
      <c r="Z611" s="13"/>
      <c r="AA611" s="13"/>
      <c r="AB611" s="22">
        <v>0.92179016113281254</v>
      </c>
      <c r="AC611" s="23" t="s">
        <v>2484</v>
      </c>
      <c r="AD611" s="24">
        <v>5.4904109589041097</v>
      </c>
      <c r="AE611" s="25">
        <v>0.1423739121547698</v>
      </c>
      <c r="AF611" s="26">
        <v>7.8171710108800863E-2</v>
      </c>
      <c r="AG611" s="26">
        <v>0.18692513276959866</v>
      </c>
      <c r="AH611" s="27">
        <v>0.55851414621215567</v>
      </c>
      <c r="AI611" s="27">
        <v>0.31901934754229044</v>
      </c>
      <c r="AJ611" s="27">
        <v>0.67653024901130321</v>
      </c>
      <c r="AK611" s="28" t="s">
        <v>1459</v>
      </c>
      <c r="AL611" s="29">
        <v>2</v>
      </c>
      <c r="AM611" s="29">
        <v>3</v>
      </c>
      <c r="AN611" s="29" t="s">
        <v>48</v>
      </c>
      <c r="AO611" s="23" t="s">
        <v>2485</v>
      </c>
      <c r="AP611" s="30">
        <v>0</v>
      </c>
      <c r="AQ611" s="31">
        <v>1.4999999999999999E-2</v>
      </c>
      <c r="AR611" s="31">
        <v>0</v>
      </c>
    </row>
    <row r="612" spans="1:44" x14ac:dyDescent="0.15">
      <c r="A612">
        <v>138</v>
      </c>
      <c r="B612" s="11">
        <v>519099</v>
      </c>
      <c r="C612" s="32"/>
      <c r="D612" s="32">
        <v>-3.3114149928074399E-3</v>
      </c>
      <c r="E612" s="32">
        <v>94</v>
      </c>
      <c r="F612" s="32">
        <v>2.9480917969936599E-2</v>
      </c>
      <c r="G612" s="11"/>
      <c r="H612" s="11"/>
      <c r="I612" s="11"/>
      <c r="J612" s="18" t="s">
        <v>44</v>
      </c>
      <c r="K612" s="18" t="s">
        <v>87</v>
      </c>
      <c r="L612" s="58" t="s">
        <v>274</v>
      </c>
      <c r="M612" s="18">
        <f>[1]!f_prt_stocktonav(B612,"2017/03/31")</f>
        <v>92.927284240722656</v>
      </c>
      <c r="N612" s="20" t="str">
        <f>[1]!f_info_fundmanager(B612)</f>
        <v>李会忠</v>
      </c>
      <c r="O612" s="21">
        <v>1.8054794520547945</v>
      </c>
      <c r="P612" s="34" t="s">
        <v>2486</v>
      </c>
      <c r="Q612" s="34" t="s">
        <v>2487</v>
      </c>
      <c r="R612" s="34" t="s">
        <v>569</v>
      </c>
      <c r="S612" s="34">
        <v>20110713</v>
      </c>
      <c r="T612" s="45">
        <v>0.3603860753</v>
      </c>
      <c r="U612" s="46">
        <v>1.1796498987999999</v>
      </c>
      <c r="V612" s="34" t="s">
        <v>201</v>
      </c>
      <c r="W612" s="34" t="s">
        <v>44</v>
      </c>
      <c r="X612" s="34" t="s">
        <v>45</v>
      </c>
      <c r="Y612" s="34" t="s">
        <v>274</v>
      </c>
      <c r="Z612" s="34"/>
      <c r="AA612" s="34"/>
      <c r="AB612" s="22">
        <v>0.9374730682373047</v>
      </c>
      <c r="AC612" s="23" t="s">
        <v>571</v>
      </c>
      <c r="AD612" s="24">
        <v>1.5753424657534247</v>
      </c>
      <c r="AE612" s="25">
        <v>0.10878267573827639</v>
      </c>
      <c r="AF612" s="26">
        <v>0.16969537667894799</v>
      </c>
      <c r="AG612" s="26">
        <v>0.16766437482537058</v>
      </c>
      <c r="AH612" s="27">
        <v>0.45892749449879672</v>
      </c>
      <c r="AI612" s="27">
        <v>0.58942242596699335</v>
      </c>
      <c r="AJ612" s="27">
        <v>0.63498329359624794</v>
      </c>
      <c r="AK612" s="28" t="s">
        <v>1459</v>
      </c>
      <c r="AL612" s="29">
        <v>3</v>
      </c>
      <c r="AM612" s="29">
        <v>4</v>
      </c>
      <c r="AN612" s="29" t="s">
        <v>48</v>
      </c>
      <c r="AO612" s="47" t="s">
        <v>310</v>
      </c>
      <c r="AP612" s="28">
        <v>0</v>
      </c>
      <c r="AQ612" s="26">
        <v>1.4999999999999999E-2</v>
      </c>
      <c r="AR612" s="26">
        <v>0</v>
      </c>
    </row>
    <row r="613" spans="1:44" x14ac:dyDescent="0.15">
      <c r="A613">
        <v>731</v>
      </c>
      <c r="B613" s="11">
        <v>519704</v>
      </c>
      <c r="C613" s="32"/>
      <c r="D613" s="32">
        <v>-2.1116238037606499E-4</v>
      </c>
      <c r="E613" s="32">
        <v>114</v>
      </c>
      <c r="F613" s="32">
        <v>0.86604908398736402</v>
      </c>
      <c r="G613" s="11"/>
      <c r="H613" s="11"/>
      <c r="I613" s="11"/>
      <c r="J613" s="18" t="s">
        <v>44</v>
      </c>
      <c r="K613" s="18" t="s">
        <v>45</v>
      </c>
      <c r="L613" s="58" t="s">
        <v>274</v>
      </c>
      <c r="M613" s="18">
        <f>[1]!f_prt_stocktonav(B613,"2017/03/31")</f>
        <v>78.994483947753906</v>
      </c>
      <c r="N613" s="20" t="str">
        <f>[1]!f_info_fundmanager(B613)</f>
        <v>任相栋</v>
      </c>
      <c r="O613" s="21">
        <v>2.1917808219178081</v>
      </c>
      <c r="P613" s="34" t="s">
        <v>2488</v>
      </c>
      <c r="Q613" s="34" t="s">
        <v>2489</v>
      </c>
      <c r="R613" s="34" t="s">
        <v>138</v>
      </c>
      <c r="S613" s="34">
        <v>20110622</v>
      </c>
      <c r="T613" s="45">
        <v>26.3095988924</v>
      </c>
      <c r="U613" s="46">
        <v>15.8717842639</v>
      </c>
      <c r="V613" s="34" t="s">
        <v>201</v>
      </c>
      <c r="W613" s="34" t="s">
        <v>44</v>
      </c>
      <c r="X613" s="34" t="s">
        <v>45</v>
      </c>
      <c r="Y613" s="34" t="s">
        <v>274</v>
      </c>
      <c r="Z613" s="34"/>
      <c r="AA613" s="34"/>
      <c r="AB613" s="22">
        <v>0.77617874145507815</v>
      </c>
      <c r="AC613" s="23" t="s">
        <v>186</v>
      </c>
      <c r="AD613" s="24">
        <v>1.9616438356164383</v>
      </c>
      <c r="AE613" s="25">
        <v>0.19718480563086671</v>
      </c>
      <c r="AF613" s="26">
        <v>0.32916228127684599</v>
      </c>
      <c r="AG613" s="26">
        <v>0.26494432516999078</v>
      </c>
      <c r="AH613" s="27">
        <v>0.77667656127322748</v>
      </c>
      <c r="AI613" s="27">
        <v>1.0133829697691206</v>
      </c>
      <c r="AJ613" s="27">
        <v>0.96330447299440858</v>
      </c>
      <c r="AK613" s="28" t="s">
        <v>2490</v>
      </c>
      <c r="AL613" s="29">
        <v>5</v>
      </c>
      <c r="AM613" s="29">
        <v>5</v>
      </c>
      <c r="AN613" s="29" t="s">
        <v>48</v>
      </c>
      <c r="AO613" s="47" t="s">
        <v>2272</v>
      </c>
      <c r="AP613" s="28" t="s">
        <v>608</v>
      </c>
      <c r="AQ613" s="26">
        <v>1.4999999999999999E-2</v>
      </c>
      <c r="AR613" s="26">
        <v>0</v>
      </c>
    </row>
    <row r="614" spans="1:44" x14ac:dyDescent="0.15">
      <c r="A614">
        <v>553</v>
      </c>
      <c r="B614" s="11">
        <v>163110</v>
      </c>
      <c r="C614" s="32"/>
      <c r="D614" s="32">
        <v>3.4477795971377997E-5</v>
      </c>
      <c r="E614" s="32">
        <v>97</v>
      </c>
      <c r="F614" s="32">
        <v>0.96946178563464502</v>
      </c>
      <c r="G614" s="11"/>
      <c r="H614" s="11"/>
      <c r="I614" s="11"/>
      <c r="J614" s="18" t="s">
        <v>44</v>
      </c>
      <c r="K614" s="18" t="s">
        <v>64</v>
      </c>
      <c r="L614" s="58" t="s">
        <v>337</v>
      </c>
      <c r="M614" s="18">
        <f>[1]!f_prt_stocktonav(B614,"2017/03/31")</f>
        <v>83.956367492675781</v>
      </c>
      <c r="N614" s="20" t="str">
        <f>[1]!f_info_fundmanager(B614)</f>
        <v>金昉毅</v>
      </c>
      <c r="O614" s="21">
        <v>1.8630136986301369</v>
      </c>
      <c r="P614" s="34" t="s">
        <v>2491</v>
      </c>
      <c r="Q614" s="34" t="s">
        <v>2492</v>
      </c>
      <c r="R614" s="34" t="s">
        <v>2493</v>
      </c>
      <c r="S614" s="34">
        <v>20110616</v>
      </c>
      <c r="T614" s="45">
        <v>26.460365932599998</v>
      </c>
      <c r="U614" s="46">
        <v>20.802371239599999</v>
      </c>
      <c r="V614" s="34" t="s">
        <v>201</v>
      </c>
      <c r="W614" s="34" t="s">
        <v>44</v>
      </c>
      <c r="X614" s="34" t="s">
        <v>64</v>
      </c>
      <c r="Y614" s="34" t="s">
        <v>337</v>
      </c>
      <c r="Z614" s="34"/>
      <c r="AA614" s="34"/>
      <c r="AB614" s="22">
        <v>0.82433738708496096</v>
      </c>
      <c r="AC614" s="23" t="s">
        <v>2494</v>
      </c>
      <c r="AD614" s="24">
        <v>1.6328767123287671</v>
      </c>
      <c r="AE614" s="25">
        <v>0.19402939810171779</v>
      </c>
      <c r="AF614" s="26">
        <v>0.36249049258269439</v>
      </c>
      <c r="AG614" s="26">
        <v>0.27928413798194662</v>
      </c>
      <c r="AH614" s="27">
        <v>0.77090179515221491</v>
      </c>
      <c r="AI614" s="27">
        <v>1.1678994435359711</v>
      </c>
      <c r="AJ614" s="27">
        <v>1.0279463099666266</v>
      </c>
      <c r="AK614" s="28" t="s">
        <v>2495</v>
      </c>
      <c r="AL614" s="29">
        <v>5</v>
      </c>
      <c r="AM614" s="29">
        <v>3</v>
      </c>
      <c r="AN614" s="29" t="s">
        <v>48</v>
      </c>
      <c r="AO614" s="47" t="s">
        <v>2496</v>
      </c>
      <c r="AP614" s="28">
        <v>0</v>
      </c>
      <c r="AQ614" s="26">
        <v>1.4999999999999999E-2</v>
      </c>
      <c r="AR614" s="26">
        <v>0</v>
      </c>
    </row>
    <row r="615" spans="1:44" x14ac:dyDescent="0.15">
      <c r="A615">
        <v>323</v>
      </c>
      <c r="B615" s="11">
        <v>206009</v>
      </c>
      <c r="C615" s="32"/>
      <c r="D615" s="32">
        <v>5.00769542188908E-4</v>
      </c>
      <c r="E615" s="32">
        <v>298</v>
      </c>
      <c r="F615" s="32">
        <v>0.48992431172060202</v>
      </c>
      <c r="G615" s="11"/>
      <c r="H615" s="11"/>
      <c r="I615" s="11"/>
      <c r="J615" s="18" t="s">
        <v>44</v>
      </c>
      <c r="K615" s="18" t="s">
        <v>87</v>
      </c>
      <c r="L615" s="58" t="s">
        <v>274</v>
      </c>
      <c r="M615" s="18">
        <f>[1]!f_prt_stocktonav(B615,"2017/03/31")</f>
        <v>88.972640991210938</v>
      </c>
      <c r="N615" s="20" t="str">
        <f>[1]!f_info_fundmanager(B615)</f>
        <v>梁浩</v>
      </c>
      <c r="O615" s="21">
        <v>5.7178082191780826</v>
      </c>
      <c r="P615" s="34" t="s">
        <v>2497</v>
      </c>
      <c r="Q615" s="34" t="s">
        <v>2498</v>
      </c>
      <c r="R615" s="34" t="s">
        <v>705</v>
      </c>
      <c r="S615" s="34">
        <v>20110615</v>
      </c>
      <c r="T615" s="45">
        <v>10.7135205508</v>
      </c>
      <c r="U615" s="46">
        <v>10.899868961799999</v>
      </c>
      <c r="V615" s="34" t="s">
        <v>201</v>
      </c>
      <c r="W615" s="34" t="s">
        <v>44</v>
      </c>
      <c r="X615" s="34" t="s">
        <v>45</v>
      </c>
      <c r="Y615" s="34" t="s">
        <v>274</v>
      </c>
      <c r="Z615" s="34"/>
      <c r="AA615" s="34"/>
      <c r="AB615" s="22">
        <v>0.74340675354003904</v>
      </c>
      <c r="AC615" s="23" t="s">
        <v>2499</v>
      </c>
      <c r="AD615" s="24">
        <v>5.4876712328767123</v>
      </c>
      <c r="AE615" s="25">
        <v>0.15414753977714235</v>
      </c>
      <c r="AF615" s="26">
        <v>0.21599981768730239</v>
      </c>
      <c r="AG615" s="26">
        <v>0.18444968786340987</v>
      </c>
      <c r="AH615" s="27">
        <v>0.69127726205961426</v>
      </c>
      <c r="AI615" s="27">
        <v>0.8075062743250716</v>
      </c>
      <c r="AJ615" s="27">
        <v>0.78145241926659337</v>
      </c>
      <c r="AK615" s="28" t="s">
        <v>2500</v>
      </c>
      <c r="AL615" s="29">
        <v>5</v>
      </c>
      <c r="AM615" s="29">
        <v>4</v>
      </c>
      <c r="AN615" s="29" t="s">
        <v>48</v>
      </c>
      <c r="AO615" s="47" t="s">
        <v>2501</v>
      </c>
      <c r="AP615" s="28">
        <v>0</v>
      </c>
      <c r="AQ615" s="26">
        <v>1.4999999999999999E-2</v>
      </c>
      <c r="AR615" s="26">
        <v>0</v>
      </c>
    </row>
    <row r="616" spans="1:44" x14ac:dyDescent="0.15">
      <c r="A616">
        <v>589</v>
      </c>
      <c r="B616" s="11">
        <v>90015</v>
      </c>
      <c r="C616" s="32"/>
      <c r="D616" s="32">
        <v>-1.6319232340915801E-4</v>
      </c>
      <c r="E616" s="32">
        <v>238</v>
      </c>
      <c r="F616" s="32">
        <v>0.87210821748019096</v>
      </c>
      <c r="G616" s="11"/>
      <c r="H616" s="11"/>
      <c r="I616" s="11"/>
      <c r="J616" s="18" t="s">
        <v>44</v>
      </c>
      <c r="K616" s="18" t="s">
        <v>45</v>
      </c>
      <c r="L616" s="58" t="s">
        <v>274</v>
      </c>
      <c r="M616" s="18">
        <f>[1]!f_prt_stocktonav(B616,"2017/03/31")</f>
        <v>83.063194274902344</v>
      </c>
      <c r="N616" s="20" t="str">
        <f>[1]!f_info_fundmanager(B616)</f>
        <v>李本刚,李博</v>
      </c>
      <c r="O616" s="21">
        <v>4.5726027397260278</v>
      </c>
      <c r="P616" s="34" t="s">
        <v>2502</v>
      </c>
      <c r="Q616" s="34" t="s">
        <v>2503</v>
      </c>
      <c r="R616" s="34" t="s">
        <v>486</v>
      </c>
      <c r="S616" s="34">
        <v>20110614</v>
      </c>
      <c r="T616" s="45">
        <v>6.0215489455000002</v>
      </c>
      <c r="U616" s="46">
        <v>6.2731229715000003</v>
      </c>
      <c r="V616" s="34" t="s">
        <v>201</v>
      </c>
      <c r="W616" s="34" t="s">
        <v>44</v>
      </c>
      <c r="X616" s="34" t="s">
        <v>45</v>
      </c>
      <c r="Y616" s="34" t="s">
        <v>274</v>
      </c>
      <c r="Z616" s="34"/>
      <c r="AA616" s="34"/>
      <c r="AB616" s="22">
        <v>0.85264930725097654</v>
      </c>
      <c r="AC616" s="23" t="s">
        <v>2504</v>
      </c>
      <c r="AD616" s="24">
        <v>4.3424657534246576</v>
      </c>
      <c r="AE616" s="25">
        <v>0.15518873790764065</v>
      </c>
      <c r="AF616" s="26">
        <v>0.25636140268038665</v>
      </c>
      <c r="AG616" s="26">
        <v>0.21932902467038098</v>
      </c>
      <c r="AH616" s="27">
        <v>0.6042995230183652</v>
      </c>
      <c r="AI616" s="27">
        <v>0.79316446006208807</v>
      </c>
      <c r="AJ616" s="27">
        <v>0.77914270222427429</v>
      </c>
      <c r="AK616" s="28" t="s">
        <v>2357</v>
      </c>
      <c r="AL616" s="29">
        <v>5</v>
      </c>
      <c r="AM616" s="29">
        <v>4</v>
      </c>
      <c r="AN616" s="29" t="s">
        <v>48</v>
      </c>
      <c r="AO616" s="47" t="s">
        <v>1002</v>
      </c>
      <c r="AP616" s="28">
        <v>0</v>
      </c>
      <c r="AQ616" s="26">
        <v>1.4999999999999999E-2</v>
      </c>
      <c r="AR616" s="26">
        <v>0</v>
      </c>
    </row>
    <row r="617" spans="1:44" x14ac:dyDescent="0.15">
      <c r="A617">
        <v>513</v>
      </c>
      <c r="B617" s="11">
        <v>610006</v>
      </c>
      <c r="C617" s="32"/>
      <c r="D617" s="32">
        <v>-2.6334513766543199E-3</v>
      </c>
      <c r="E617" s="32">
        <v>111</v>
      </c>
      <c r="F617" s="32">
        <v>7.4334134908209101E-2</v>
      </c>
      <c r="G617" s="11"/>
      <c r="H617" s="11"/>
      <c r="I617" s="11"/>
      <c r="J617" s="18" t="s">
        <v>44</v>
      </c>
      <c r="K617" s="18" t="s">
        <v>45</v>
      </c>
      <c r="L617" s="58" t="s">
        <v>274</v>
      </c>
      <c r="M617" s="18">
        <f>[1]!f_prt_stocktonav(B617,"2017/03/31")</f>
        <v>84.99224853515625</v>
      </c>
      <c r="N617" s="20" t="str">
        <f>[1]!f_info_fundmanager(B617)</f>
        <v>曾国富</v>
      </c>
      <c r="O617" s="21">
        <v>2.1260273972602741</v>
      </c>
      <c r="P617" s="34" t="s">
        <v>2505</v>
      </c>
      <c r="Q617" s="34" t="s">
        <v>2506</v>
      </c>
      <c r="R617" s="34" t="s">
        <v>189</v>
      </c>
      <c r="S617" s="34">
        <v>20110613</v>
      </c>
      <c r="T617" s="45">
        <v>2.5596247328000001</v>
      </c>
      <c r="U617" s="46">
        <v>2.5503138761000002</v>
      </c>
      <c r="V617" s="34" t="s">
        <v>231</v>
      </c>
      <c r="W617" s="34" t="s">
        <v>44</v>
      </c>
      <c r="X617" s="34" t="s">
        <v>45</v>
      </c>
      <c r="Y617" s="34" t="s">
        <v>274</v>
      </c>
      <c r="Z617" s="34"/>
      <c r="AA617" s="34"/>
      <c r="AB617" s="22">
        <v>0.89644233703613285</v>
      </c>
      <c r="AC617" s="23" t="s">
        <v>2507</v>
      </c>
      <c r="AD617" s="24">
        <v>1.8958904109589041</v>
      </c>
      <c r="AE617" s="25">
        <v>0.1281523366173476</v>
      </c>
      <c r="AF617" s="26">
        <v>0.26529946380984781</v>
      </c>
      <c r="AG617" s="26">
        <v>0.18716354221577514</v>
      </c>
      <c r="AH617" s="27">
        <v>0.5072438920311918</v>
      </c>
      <c r="AI617" s="27">
        <v>0.78235813017685873</v>
      </c>
      <c r="AJ617" s="27">
        <v>0.66439090800122114</v>
      </c>
      <c r="AK617" s="28" t="s">
        <v>110</v>
      </c>
      <c r="AL617" s="29">
        <v>4</v>
      </c>
      <c r="AM617" s="29">
        <v>5</v>
      </c>
      <c r="AN617" s="29" t="s">
        <v>48</v>
      </c>
      <c r="AO617" s="47" t="s">
        <v>1002</v>
      </c>
      <c r="AP617" s="28">
        <v>0</v>
      </c>
      <c r="AQ617" s="26">
        <v>1.4999999999999999E-2</v>
      </c>
      <c r="AR617" s="26">
        <v>0</v>
      </c>
    </row>
    <row r="618" spans="1:44" x14ac:dyDescent="0.15">
      <c r="A618">
        <v>43</v>
      </c>
      <c r="B618" s="11">
        <v>210007</v>
      </c>
      <c r="C618" s="32"/>
      <c r="D618" s="32">
        <v>-1.9228119258946001E-3</v>
      </c>
      <c r="E618" s="32">
        <v>85</v>
      </c>
      <c r="F618" s="32">
        <v>9.6064919366391402E-2</v>
      </c>
      <c r="G618" s="11"/>
      <c r="H618" s="11"/>
      <c r="I618" s="11"/>
      <c r="J618" s="18" t="s">
        <v>44</v>
      </c>
      <c r="K618" s="18" t="s">
        <v>45</v>
      </c>
      <c r="L618" s="58" t="s">
        <v>65</v>
      </c>
      <c r="M618" s="18">
        <f>[1]!f_prt_stocktonav(B618,"2017/03/31")</f>
        <v>94.375503540039063</v>
      </c>
      <c r="N618" s="20" t="str">
        <f>[1]!f_info_fundmanager(B618)</f>
        <v>王喆,吴德瑄</v>
      </c>
      <c r="O618" s="21">
        <v>1.6328767123287671</v>
      </c>
      <c r="P618" s="34" t="s">
        <v>2508</v>
      </c>
      <c r="Q618" s="34" t="s">
        <v>2509</v>
      </c>
      <c r="R618" s="34" t="s">
        <v>273</v>
      </c>
      <c r="S618" s="34">
        <v>20110601</v>
      </c>
      <c r="T618" s="45">
        <v>0.1993593313</v>
      </c>
      <c r="U618" s="46">
        <v>0.20857158179999999</v>
      </c>
      <c r="V618" s="34" t="s">
        <v>231</v>
      </c>
      <c r="W618" s="34" t="s">
        <v>41</v>
      </c>
      <c r="X618" s="34" t="s">
        <v>42</v>
      </c>
      <c r="Y618" s="34" t="s">
        <v>43</v>
      </c>
      <c r="Z618" s="34"/>
      <c r="AA618" s="34"/>
      <c r="AB618" s="22">
        <v>0.40225357055664063</v>
      </c>
      <c r="AC618" s="23" t="s">
        <v>2510</v>
      </c>
      <c r="AD618" s="24">
        <v>1.4027397260273973</v>
      </c>
      <c r="AE618" s="25">
        <v>9.1068250488662419E-2</v>
      </c>
      <c r="AF618" s="26">
        <v>0</v>
      </c>
      <c r="AG618" s="26">
        <v>0</v>
      </c>
      <c r="AH618" s="27">
        <v>0.83624630867698868</v>
      </c>
      <c r="AI618" s="27">
        <v>0.83624630867698868</v>
      </c>
      <c r="AJ618" s="27">
        <v>0.83624630867698868</v>
      </c>
      <c r="AK618" s="28" t="s">
        <v>720</v>
      </c>
      <c r="AL618" s="29" t="s">
        <v>48</v>
      </c>
      <c r="AM618" s="29" t="s">
        <v>48</v>
      </c>
      <c r="AN618" s="29" t="s">
        <v>48</v>
      </c>
      <c r="AO618" s="47" t="s">
        <v>2511</v>
      </c>
      <c r="AP618" s="28">
        <v>0</v>
      </c>
      <c r="AQ618" s="26">
        <v>1.4999999999999999E-2</v>
      </c>
      <c r="AR618" s="26">
        <v>0</v>
      </c>
    </row>
    <row r="619" spans="1:44" x14ac:dyDescent="0.15">
      <c r="A619">
        <v>605</v>
      </c>
      <c r="B619" s="11">
        <v>70022</v>
      </c>
      <c r="C619" s="32"/>
      <c r="D619" s="32">
        <v>1.5123844341858599E-4</v>
      </c>
      <c r="E619" s="32">
        <v>304</v>
      </c>
      <c r="F619" s="32">
        <v>0.89088636528501097</v>
      </c>
      <c r="G619" s="11"/>
      <c r="H619" s="11"/>
      <c r="I619" s="11"/>
      <c r="J619" s="18" t="s">
        <v>44</v>
      </c>
      <c r="K619" s="18" t="s">
        <v>45</v>
      </c>
      <c r="L619" s="58" t="s">
        <v>65</v>
      </c>
      <c r="M619" s="18">
        <f>[1]!f_prt_stocktonav(B619,"2017/03/31")</f>
        <v>82.822105407714844</v>
      </c>
      <c r="N619" s="20" t="str">
        <f>[1]!f_info_fundmanager(B619)</f>
        <v>邵秋涛</v>
      </c>
      <c r="O619" s="21">
        <v>5.838356164383562</v>
      </c>
      <c r="P619" s="34" t="s">
        <v>2512</v>
      </c>
      <c r="Q619" s="34" t="s">
        <v>2513</v>
      </c>
      <c r="R619" s="34" t="s">
        <v>92</v>
      </c>
      <c r="S619" s="34">
        <v>20110531</v>
      </c>
      <c r="T619" s="45">
        <v>27.054173458099999</v>
      </c>
      <c r="U619" s="46">
        <v>23.012778559800001</v>
      </c>
      <c r="V619" s="34" t="s">
        <v>231</v>
      </c>
      <c r="W619" s="34" t="s">
        <v>44</v>
      </c>
      <c r="X619" s="34" t="s">
        <v>45</v>
      </c>
      <c r="Y619" s="34" t="s">
        <v>65</v>
      </c>
      <c r="Z619" s="34"/>
      <c r="AA619" s="34"/>
      <c r="AB619" s="22">
        <v>0.80006935119628908</v>
      </c>
      <c r="AC619" s="23" t="s">
        <v>2514</v>
      </c>
      <c r="AD619" s="24">
        <v>5.6082191780821917</v>
      </c>
      <c r="AE619" s="25">
        <v>0.1517377116172054</v>
      </c>
      <c r="AF619" s="26">
        <v>0.22297886722130555</v>
      </c>
      <c r="AG619" s="26">
        <v>0.19619030740968024</v>
      </c>
      <c r="AH619" s="27">
        <v>0.59327647918996773</v>
      </c>
      <c r="AI619" s="27">
        <v>0.71089597935224402</v>
      </c>
      <c r="AJ619" s="27">
        <v>0.70601809292856998</v>
      </c>
      <c r="AK619" s="28" t="s">
        <v>2409</v>
      </c>
      <c r="AL619" s="29">
        <v>4</v>
      </c>
      <c r="AM619" s="29">
        <v>4</v>
      </c>
      <c r="AN619" s="29" t="s">
        <v>48</v>
      </c>
      <c r="AO619" s="47" t="s">
        <v>249</v>
      </c>
      <c r="AP619" s="28" t="s">
        <v>2293</v>
      </c>
      <c r="AQ619" s="26">
        <v>1.4999999999999999E-2</v>
      </c>
      <c r="AR619" s="26">
        <v>0</v>
      </c>
    </row>
    <row r="620" spans="1:44" x14ac:dyDescent="0.15">
      <c r="A620">
        <v>307</v>
      </c>
      <c r="B620" s="11">
        <v>630010</v>
      </c>
      <c r="C620" s="32"/>
      <c r="D620" s="32">
        <v>-1.1717679545053901E-3</v>
      </c>
      <c r="E620" s="32">
        <v>51</v>
      </c>
      <c r="F620" s="32">
        <v>0.25887159223752998</v>
      </c>
      <c r="G620" s="11"/>
      <c r="H620" s="11"/>
      <c r="I620" s="11"/>
      <c r="J620" s="18" t="s">
        <v>44</v>
      </c>
      <c r="K620" s="18" t="s">
        <v>45</v>
      </c>
      <c r="L620" s="58" t="s">
        <v>817</v>
      </c>
      <c r="M620" s="18">
        <f>[1]!f_prt_stocktonav(B620,"2017/03/31")</f>
        <v>89.313079833984375</v>
      </c>
      <c r="N620" s="20" t="str">
        <f>[1]!f_info_fundmanager(B620)</f>
        <v>刘萌萌,蔡建军</v>
      </c>
      <c r="O620" s="21">
        <v>0.9671232876712329</v>
      </c>
      <c r="P620" s="34" t="s">
        <v>2515</v>
      </c>
      <c r="Q620" s="34" t="s">
        <v>2516</v>
      </c>
      <c r="R620" s="34" t="s">
        <v>387</v>
      </c>
      <c r="S620" s="34">
        <v>20110531</v>
      </c>
      <c r="T620" s="45">
        <v>25.1589397694</v>
      </c>
      <c r="U620" s="46">
        <v>33.751201586599997</v>
      </c>
      <c r="V620" s="34" t="s">
        <v>231</v>
      </c>
      <c r="W620" s="34" t="s">
        <v>44</v>
      </c>
      <c r="X620" s="34" t="s">
        <v>45</v>
      </c>
      <c r="Y620" s="34" t="s">
        <v>274</v>
      </c>
      <c r="Z620" s="34"/>
      <c r="AA620" s="34"/>
      <c r="AB620" s="22">
        <v>0.74104682922363285</v>
      </c>
      <c r="AC620" s="23" t="s">
        <v>2517</v>
      </c>
      <c r="AD620" s="24">
        <v>5.6082191780821917</v>
      </c>
      <c r="AE620" s="25">
        <v>0.15811749472215864</v>
      </c>
      <c r="AF620" s="26">
        <v>0.24465938053610725</v>
      </c>
      <c r="AG620" s="26">
        <v>0.21687271121756146</v>
      </c>
      <c r="AH620" s="27">
        <v>0.63074899369100079</v>
      </c>
      <c r="AI620" s="27">
        <v>0.7724997628744088</v>
      </c>
      <c r="AJ620" s="27">
        <v>0.79402164832549005</v>
      </c>
      <c r="AK620" s="28" t="s">
        <v>1750</v>
      </c>
      <c r="AL620" s="29">
        <v>5</v>
      </c>
      <c r="AM620" s="29">
        <v>5</v>
      </c>
      <c r="AN620" s="29" t="s">
        <v>48</v>
      </c>
      <c r="AO620" s="47" t="s">
        <v>2047</v>
      </c>
      <c r="AP620" s="28">
        <v>0</v>
      </c>
      <c r="AQ620" s="26">
        <v>1.4999999999999999E-2</v>
      </c>
      <c r="AR620" s="26">
        <v>0</v>
      </c>
    </row>
    <row r="621" spans="1:44" x14ac:dyDescent="0.15">
      <c r="A621">
        <v>110</v>
      </c>
      <c r="B621" s="11">
        <v>257070</v>
      </c>
      <c r="C621" s="32"/>
      <c r="D621" s="32">
        <v>-2.3513850640856102E-3</v>
      </c>
      <c r="E621" s="32">
        <v>163</v>
      </c>
      <c r="F621" s="32">
        <v>0.20693699249026301</v>
      </c>
      <c r="G621" s="11"/>
      <c r="H621" s="11"/>
      <c r="I621" s="11"/>
      <c r="J621" s="18" t="s">
        <v>44</v>
      </c>
      <c r="K621" s="18" t="s">
        <v>45</v>
      </c>
      <c r="L621" s="58" t="s">
        <v>274</v>
      </c>
      <c r="M621" s="18">
        <f>[1]!f_prt_stocktonav(B621,"2017/03/31")</f>
        <v>93.426902770996094</v>
      </c>
      <c r="N621" s="20" t="str">
        <f>[1]!f_info_fundmanager(B621)</f>
        <v>潘明</v>
      </c>
      <c r="O621" s="21">
        <v>3.1232876712328768</v>
      </c>
      <c r="P621" s="34" t="s">
        <v>2518</v>
      </c>
      <c r="Q621" s="34" t="s">
        <v>2519</v>
      </c>
      <c r="R621" s="34" t="s">
        <v>724</v>
      </c>
      <c r="S621" s="34">
        <v>20110523</v>
      </c>
      <c r="T621" s="45">
        <v>9.2790366381999991</v>
      </c>
      <c r="U621" s="46">
        <v>13.1790045252</v>
      </c>
      <c r="V621" s="34" t="s">
        <v>231</v>
      </c>
      <c r="W621" s="34" t="s">
        <v>44</v>
      </c>
      <c r="X621" s="34" t="s">
        <v>45</v>
      </c>
      <c r="Y621" s="34" t="s">
        <v>274</v>
      </c>
      <c r="Z621" s="34"/>
      <c r="AA621" s="34"/>
      <c r="AB621" s="22">
        <v>0.94214790344238286</v>
      </c>
      <c r="AC621" s="23" t="s">
        <v>725</v>
      </c>
      <c r="AD621" s="24">
        <v>2.893150684931507</v>
      </c>
      <c r="AE621" s="25">
        <v>0.11975381057612179</v>
      </c>
      <c r="AF621" s="26">
        <v>0.12647741466513129</v>
      </c>
      <c r="AG621" s="26">
        <v>0.17134276874146478</v>
      </c>
      <c r="AH621" s="27">
        <v>0.45697889830231414</v>
      </c>
      <c r="AI621" s="27">
        <v>0.45590871425208007</v>
      </c>
      <c r="AJ621" s="27">
        <v>0.57284994862975835</v>
      </c>
      <c r="AK621" s="28" t="s">
        <v>726</v>
      </c>
      <c r="AL621" s="29">
        <v>3</v>
      </c>
      <c r="AM621" s="29">
        <v>2</v>
      </c>
      <c r="AN621" s="29" t="s">
        <v>48</v>
      </c>
      <c r="AO621" s="47" t="s">
        <v>2520</v>
      </c>
      <c r="AP621" s="28">
        <v>0</v>
      </c>
      <c r="AQ621" s="26">
        <v>1.4999999999999999E-2</v>
      </c>
      <c r="AR621" s="26">
        <v>0</v>
      </c>
    </row>
    <row r="622" spans="1:44" x14ac:dyDescent="0.15">
      <c r="A622">
        <v>234</v>
      </c>
      <c r="B622" s="11">
        <v>688888</v>
      </c>
      <c r="C622" s="32"/>
      <c r="D622" s="32">
        <v>6.9002984257012802E-4</v>
      </c>
      <c r="E622" s="32">
        <v>99</v>
      </c>
      <c r="F622" s="32">
        <v>0.58345122794818605</v>
      </c>
      <c r="G622" s="11"/>
      <c r="H622" s="11"/>
      <c r="I622" s="11"/>
      <c r="J622" s="18" t="s">
        <v>44</v>
      </c>
      <c r="K622" s="18" t="s">
        <v>45</v>
      </c>
      <c r="L622" s="58" t="s">
        <v>274</v>
      </c>
      <c r="M622" s="18">
        <f>[1]!f_prt_stocktonav(B622,"2017/03/31")</f>
        <v>90.990280151367188</v>
      </c>
      <c r="N622" s="20" t="str">
        <f>[1]!f_info_fundmanager(B622)</f>
        <v>倪权生,唐桦</v>
      </c>
      <c r="O622" s="21">
        <v>1.8904109589041096</v>
      </c>
      <c r="P622" s="34" t="s">
        <v>2521</v>
      </c>
      <c r="Q622" s="34" t="s">
        <v>2522</v>
      </c>
      <c r="R622" s="34" t="s">
        <v>2377</v>
      </c>
      <c r="S622" s="34">
        <v>20110517</v>
      </c>
      <c r="T622" s="45">
        <v>6.0060998571999997</v>
      </c>
      <c r="U622" s="46">
        <v>7.9840529378999996</v>
      </c>
      <c r="V622" s="34" t="s">
        <v>231</v>
      </c>
      <c r="W622" s="34" t="s">
        <v>44</v>
      </c>
      <c r="X622" s="34" t="s">
        <v>45</v>
      </c>
      <c r="Y622" s="34" t="s">
        <v>274</v>
      </c>
      <c r="Z622" s="34"/>
      <c r="AA622" s="34"/>
      <c r="AB622" s="22">
        <v>0.93004943847656252</v>
      </c>
      <c r="AC622" s="23" t="s">
        <v>2523</v>
      </c>
      <c r="AD622" s="24">
        <v>1.6602739726027398</v>
      </c>
      <c r="AE622" s="25">
        <v>8.581007462667456E-2</v>
      </c>
      <c r="AF622" s="26">
        <v>0.21476191675314626</v>
      </c>
      <c r="AG622" s="26">
        <v>0.1366601153016167</v>
      </c>
      <c r="AH622" s="27">
        <v>0.4258163997694559</v>
      </c>
      <c r="AI622" s="27">
        <v>0.86864168712629486</v>
      </c>
      <c r="AJ622" s="27">
        <v>0.62093602464299991</v>
      </c>
      <c r="AK622" s="28" t="s">
        <v>1750</v>
      </c>
      <c r="AL622" s="29">
        <v>4</v>
      </c>
      <c r="AM622" s="29">
        <v>4</v>
      </c>
      <c r="AN622" s="29" t="s">
        <v>48</v>
      </c>
      <c r="AO622" s="47" t="s">
        <v>310</v>
      </c>
      <c r="AP622" s="28">
        <v>0</v>
      </c>
      <c r="AQ622" s="26">
        <v>1.4999999999999999E-2</v>
      </c>
      <c r="AR622" s="26">
        <v>0</v>
      </c>
    </row>
    <row r="623" spans="1:44" x14ac:dyDescent="0.15">
      <c r="A623">
        <v>427</v>
      </c>
      <c r="B623" s="11">
        <v>233009</v>
      </c>
      <c r="C623" s="32"/>
      <c r="D623" s="32">
        <v>-1.04436502004334E-3</v>
      </c>
      <c r="E623" s="32">
        <v>92</v>
      </c>
      <c r="F623" s="32">
        <v>0.13870041316079099</v>
      </c>
      <c r="G623" s="11"/>
      <c r="H623" s="11"/>
      <c r="I623" s="11"/>
      <c r="J623" s="18" t="s">
        <v>44</v>
      </c>
      <c r="K623" s="18" t="s">
        <v>64</v>
      </c>
      <c r="L623" s="58" t="s">
        <v>274</v>
      </c>
      <c r="M623" s="18">
        <f>[1]!f_prt_stocktonav(B623,"2017/03/31")</f>
        <v>86.719573974609375</v>
      </c>
      <c r="N623" s="20" t="str">
        <f>[1]!f_info_fundmanager(B623)</f>
        <v>杨雨龙</v>
      </c>
      <c r="O623" s="21">
        <v>1.7643835616438357</v>
      </c>
      <c r="P623" s="34" t="s">
        <v>2524</v>
      </c>
      <c r="Q623" s="34" t="s">
        <v>2525</v>
      </c>
      <c r="R623" s="34" t="s">
        <v>378</v>
      </c>
      <c r="S623" s="34">
        <v>20110517</v>
      </c>
      <c r="T623" s="45">
        <v>49.071015205400002</v>
      </c>
      <c r="U623" s="46">
        <v>40.695225827999998</v>
      </c>
      <c r="V623" s="34" t="s">
        <v>231</v>
      </c>
      <c r="W623" s="34" t="s">
        <v>44</v>
      </c>
      <c r="X623" s="34" t="s">
        <v>45</v>
      </c>
      <c r="Y623" s="34" t="s">
        <v>274</v>
      </c>
      <c r="Z623" s="34"/>
      <c r="AA623" s="34"/>
      <c r="AB623" s="22">
        <v>0.90318901062011714</v>
      </c>
      <c r="AC623" s="23" t="s">
        <v>1205</v>
      </c>
      <c r="AD623" s="24">
        <v>1.5342465753424657</v>
      </c>
      <c r="AE623" s="25">
        <v>0.20555834112382154</v>
      </c>
      <c r="AF623" s="26">
        <v>0.37566280347275871</v>
      </c>
      <c r="AG623" s="26">
        <v>0.28756053526224767</v>
      </c>
      <c r="AH623" s="27">
        <v>0.75446986762778456</v>
      </c>
      <c r="AI623" s="27">
        <v>1.0492305578032222</v>
      </c>
      <c r="AJ623" s="27">
        <v>0.96586521492286959</v>
      </c>
      <c r="AK623" s="28" t="s">
        <v>2526</v>
      </c>
      <c r="AL623" s="29">
        <v>5</v>
      </c>
      <c r="AM623" s="29">
        <v>4</v>
      </c>
      <c r="AN623" s="29" t="s">
        <v>48</v>
      </c>
      <c r="AO623" s="47" t="s">
        <v>2368</v>
      </c>
      <c r="AP623" s="28">
        <v>0</v>
      </c>
      <c r="AQ623" s="26">
        <v>1.4999999999999999E-2</v>
      </c>
      <c r="AR623" s="26">
        <v>0</v>
      </c>
    </row>
    <row r="624" spans="1:44" x14ac:dyDescent="0.15">
      <c r="A624">
        <v>878</v>
      </c>
      <c r="B624" s="11">
        <v>590006</v>
      </c>
      <c r="C624" s="32"/>
      <c r="D624" s="32">
        <v>-4.9039756382807402E-4</v>
      </c>
      <c r="E624" s="32">
        <v>223</v>
      </c>
      <c r="F624" s="32">
        <v>0.62168177704038796</v>
      </c>
      <c r="G624" s="11"/>
      <c r="H624" s="11"/>
      <c r="I624" s="11"/>
      <c r="J624" s="18" t="s">
        <v>44</v>
      </c>
      <c r="K624" s="18" t="s">
        <v>45</v>
      </c>
      <c r="L624" s="58" t="s">
        <v>274</v>
      </c>
      <c r="M624" s="18">
        <f>[1]!f_prt_stocktonav(B624,"2017/03/31")</f>
        <v>73.61700439453125</v>
      </c>
      <c r="N624" s="20" t="str">
        <f>[1]!f_info_fundmanager(B624)</f>
        <v>许进财,杨欢</v>
      </c>
      <c r="O624" s="21">
        <v>4.2767123287671236</v>
      </c>
      <c r="P624" s="34" t="s">
        <v>2527</v>
      </c>
      <c r="Q624" s="34" t="s">
        <v>2528</v>
      </c>
      <c r="R624" s="34" t="s">
        <v>85</v>
      </c>
      <c r="S624" s="34">
        <v>20110510</v>
      </c>
      <c r="T624" s="45">
        <v>6.9950446633999999</v>
      </c>
      <c r="U624" s="46">
        <v>8.8587207767000002</v>
      </c>
      <c r="V624" s="34" t="s">
        <v>40</v>
      </c>
      <c r="W624" s="34" t="s">
        <v>41</v>
      </c>
      <c r="X624" s="17" t="s">
        <v>42</v>
      </c>
      <c r="Y624" s="17" t="s">
        <v>181</v>
      </c>
      <c r="Z624" s="34"/>
      <c r="AA624" s="34"/>
      <c r="AB624" s="22">
        <v>0.69575187683105466</v>
      </c>
      <c r="AC624" s="23" t="s">
        <v>2529</v>
      </c>
      <c r="AD624" s="24">
        <v>4.0465753424657533</v>
      </c>
      <c r="AE624" s="25">
        <v>0.11784904521137873</v>
      </c>
      <c r="AF624" s="26">
        <v>0.24399858293457277</v>
      </c>
      <c r="AG624" s="26">
        <v>0.17869669233667618</v>
      </c>
      <c r="AH624" s="27">
        <v>0.49137675124237851</v>
      </c>
      <c r="AI624" s="27">
        <v>0.76802542996275591</v>
      </c>
      <c r="AJ624" s="27">
        <v>0.66583036193251788</v>
      </c>
      <c r="AK624" s="28" t="s">
        <v>2530</v>
      </c>
      <c r="AL624" s="29">
        <v>5</v>
      </c>
      <c r="AM624" s="29">
        <v>3</v>
      </c>
      <c r="AN624" s="29" t="s">
        <v>48</v>
      </c>
      <c r="AO624" s="47" t="s">
        <v>310</v>
      </c>
      <c r="AP624" s="28">
        <v>0</v>
      </c>
      <c r="AQ624" s="26">
        <v>1.4999999999999999E-2</v>
      </c>
      <c r="AR624" s="26">
        <v>0</v>
      </c>
    </row>
    <row r="625" spans="1:44" x14ac:dyDescent="0.15">
      <c r="A625">
        <v>402</v>
      </c>
      <c r="B625" s="11">
        <v>163409</v>
      </c>
      <c r="C625" s="32"/>
      <c r="D625" s="32">
        <v>-4.0052819427599798E-3</v>
      </c>
      <c r="E625" s="32">
        <v>121</v>
      </c>
      <c r="F625" s="32">
        <v>1.0391599916811E-2</v>
      </c>
      <c r="G625" s="11"/>
      <c r="H625" s="11"/>
      <c r="I625" s="11"/>
      <c r="J625" s="18" t="s">
        <v>44</v>
      </c>
      <c r="K625" s="18" t="s">
        <v>45</v>
      </c>
      <c r="L625" s="58" t="s">
        <v>274</v>
      </c>
      <c r="M625" s="18">
        <f>[1]!f_prt_stocktonav(B625,"2017/03/31")</f>
        <v>87.502792358398438</v>
      </c>
      <c r="N625" s="20" t="str">
        <f>[1]!f_info_fundmanager(B625)</f>
        <v>杨岳斌</v>
      </c>
      <c r="O625" s="21">
        <v>2.3123287671232875</v>
      </c>
      <c r="P625" s="34" t="s">
        <v>2531</v>
      </c>
      <c r="Q625" s="34" t="s">
        <v>2532</v>
      </c>
      <c r="R625" s="34" t="s">
        <v>2217</v>
      </c>
      <c r="S625" s="34">
        <v>20110506</v>
      </c>
      <c r="T625" s="45">
        <v>6.7724442591000003</v>
      </c>
      <c r="U625" s="46">
        <v>11.755067996399999</v>
      </c>
      <c r="V625" s="34" t="s">
        <v>231</v>
      </c>
      <c r="W625" s="34" t="s">
        <v>44</v>
      </c>
      <c r="X625" s="34" t="s">
        <v>45</v>
      </c>
      <c r="Y625" s="34" t="s">
        <v>274</v>
      </c>
      <c r="Z625" s="34"/>
      <c r="AA625" s="34"/>
      <c r="AB625" s="22">
        <v>0.90538719177246096</v>
      </c>
      <c r="AC625" s="23" t="s">
        <v>2533</v>
      </c>
      <c r="AD625" s="24">
        <v>2.0821917808219177</v>
      </c>
      <c r="AE625" s="25">
        <v>0.14900703972358897</v>
      </c>
      <c r="AF625" s="26">
        <v>0.18639002924093062</v>
      </c>
      <c r="AG625" s="26">
        <v>0.19502415904870851</v>
      </c>
      <c r="AH625" s="27">
        <v>0.62075876165517307</v>
      </c>
      <c r="AI625" s="27">
        <v>0.65937476529536676</v>
      </c>
      <c r="AJ625" s="27">
        <v>0.75262299843918601</v>
      </c>
      <c r="AK625" s="28" t="s">
        <v>2219</v>
      </c>
      <c r="AL625" s="29">
        <v>5</v>
      </c>
      <c r="AM625" s="29">
        <v>3</v>
      </c>
      <c r="AN625" s="29" t="s">
        <v>48</v>
      </c>
      <c r="AO625" s="47" t="s">
        <v>2220</v>
      </c>
      <c r="AP625" s="28" t="s">
        <v>2221</v>
      </c>
      <c r="AQ625" s="26">
        <v>1.4999999999999999E-2</v>
      </c>
      <c r="AR625" s="26">
        <v>0</v>
      </c>
    </row>
    <row r="626" spans="1:44" x14ac:dyDescent="0.15">
      <c r="A626">
        <v>122</v>
      </c>
      <c r="B626" s="11">
        <v>165310</v>
      </c>
      <c r="C626" s="32"/>
      <c r="D626" s="32">
        <v>7.7794972045851804E-4</v>
      </c>
      <c r="E626" s="32">
        <v>105</v>
      </c>
      <c r="F626" s="32">
        <v>0.31776470062786999</v>
      </c>
      <c r="G626" s="11"/>
      <c r="H626" s="11"/>
      <c r="I626" s="11"/>
      <c r="J626" s="18" t="s">
        <v>44</v>
      </c>
      <c r="K626" s="18" t="s">
        <v>87</v>
      </c>
      <c r="L626" s="58" t="s">
        <v>65</v>
      </c>
      <c r="M626" s="18">
        <f>[1]!f_prt_stocktonav(B626,"2017/03/31")</f>
        <v>93.201148986816406</v>
      </c>
      <c r="N626" s="20" t="str">
        <f>[1]!f_info_fundmanager(B626)</f>
        <v>梁洪昀</v>
      </c>
      <c r="O626" s="21">
        <v>2.0191780821917806</v>
      </c>
      <c r="P626" s="34" t="s">
        <v>2534</v>
      </c>
      <c r="Q626" s="34" t="s">
        <v>2535</v>
      </c>
      <c r="R626" s="34" t="s">
        <v>307</v>
      </c>
      <c r="S626" s="34">
        <v>20110506</v>
      </c>
      <c r="T626" s="45">
        <v>1.3670670342</v>
      </c>
      <c r="U626" s="46">
        <v>1.4394832098999999</v>
      </c>
      <c r="V626" s="34" t="s">
        <v>231</v>
      </c>
      <c r="W626" s="34" t="s">
        <v>44</v>
      </c>
      <c r="X626" s="34" t="s">
        <v>45</v>
      </c>
      <c r="Y626" s="34" t="s">
        <v>65</v>
      </c>
      <c r="Z626" s="34"/>
      <c r="AA626" s="34" t="s">
        <v>2362</v>
      </c>
      <c r="AB626" s="22">
        <v>0.93081863403320309</v>
      </c>
      <c r="AC626" s="23" t="s">
        <v>2536</v>
      </c>
      <c r="AD626" s="24">
        <v>1.789041095890411</v>
      </c>
      <c r="AE626" s="25">
        <v>7.1210073751272196E-2</v>
      </c>
      <c r="AF626" s="26">
        <v>0.11607599412189584</v>
      </c>
      <c r="AG626" s="26">
        <v>0.11805911503976298</v>
      </c>
      <c r="AH626" s="27">
        <v>0.35101186561378439</v>
      </c>
      <c r="AI626" s="27">
        <v>0.50305555740841823</v>
      </c>
      <c r="AJ626" s="27">
        <v>0.52730165917021132</v>
      </c>
      <c r="AK626" s="28" t="s">
        <v>2537</v>
      </c>
      <c r="AL626" s="29">
        <v>3</v>
      </c>
      <c r="AM626" s="29">
        <v>4</v>
      </c>
      <c r="AN626" s="29" t="s">
        <v>48</v>
      </c>
      <c r="AO626" s="47" t="s">
        <v>209</v>
      </c>
      <c r="AP626" s="28">
        <v>0</v>
      </c>
      <c r="AQ626" s="26">
        <v>1.4999999999999999E-2</v>
      </c>
      <c r="AR626" s="26">
        <v>0</v>
      </c>
    </row>
    <row r="627" spans="1:44" x14ac:dyDescent="0.15">
      <c r="A627">
        <v>671</v>
      </c>
      <c r="B627" s="11">
        <v>40020</v>
      </c>
      <c r="C627" s="32"/>
      <c r="D627" s="32">
        <v>1.10947926319221E-3</v>
      </c>
      <c r="E627" s="32">
        <v>82</v>
      </c>
      <c r="F627" s="32">
        <v>0.60686432963036696</v>
      </c>
      <c r="G627" s="11"/>
      <c r="H627" s="11"/>
      <c r="I627" s="11"/>
      <c r="J627" s="18" t="s">
        <v>44</v>
      </c>
      <c r="K627" s="18" t="s">
        <v>87</v>
      </c>
      <c r="L627" s="58" t="s">
        <v>274</v>
      </c>
      <c r="M627" s="18">
        <f>[1]!f_prt_stocktonav(B627,"2017/03/31")</f>
        <v>80.796478271484375</v>
      </c>
      <c r="N627" s="20" t="str">
        <f>[1]!f_info_fundmanager(B627)</f>
        <v>饶晓鹏</v>
      </c>
      <c r="O627" s="21">
        <v>1.5643835616438355</v>
      </c>
      <c r="P627" s="34" t="s">
        <v>2538</v>
      </c>
      <c r="Q627" s="34" t="s">
        <v>2539</v>
      </c>
      <c r="R627" s="34" t="s">
        <v>63</v>
      </c>
      <c r="S627" s="34">
        <v>20110422</v>
      </c>
      <c r="T627" s="45">
        <v>8.1512565443000007</v>
      </c>
      <c r="U627" s="46">
        <v>9.9320439776999994</v>
      </c>
      <c r="V627" s="34" t="s">
        <v>231</v>
      </c>
      <c r="W627" s="34" t="s">
        <v>44</v>
      </c>
      <c r="X627" s="34" t="s">
        <v>87</v>
      </c>
      <c r="Y627" s="34" t="s">
        <v>274</v>
      </c>
      <c r="Z627" s="34" t="s">
        <v>2540</v>
      </c>
      <c r="AA627" s="34"/>
      <c r="AB627" s="22">
        <v>0.92600578308105463</v>
      </c>
      <c r="AC627" s="23" t="s">
        <v>2141</v>
      </c>
      <c r="AD627" s="24">
        <v>1.3342465753424657</v>
      </c>
      <c r="AE627" s="25">
        <v>8.8711988644698328E-2</v>
      </c>
      <c r="AF627" s="26">
        <v>0.16378429023754351</v>
      </c>
      <c r="AG627" s="26">
        <v>0.14891200747716016</v>
      </c>
      <c r="AH627" s="27">
        <v>0.38545748307751154</v>
      </c>
      <c r="AI627" s="27">
        <v>0.54468161002754933</v>
      </c>
      <c r="AJ627" s="27">
        <v>0.5509443838169622</v>
      </c>
      <c r="AK627" s="33" t="s">
        <v>110</v>
      </c>
      <c r="AL627" s="29">
        <v>1</v>
      </c>
      <c r="AM627" s="29">
        <v>2</v>
      </c>
      <c r="AN627" s="29" t="s">
        <v>48</v>
      </c>
      <c r="AO627" s="47" t="s">
        <v>2260</v>
      </c>
      <c r="AP627" s="28">
        <v>0</v>
      </c>
      <c r="AQ627" s="26">
        <v>1.4999999999999999E-2</v>
      </c>
      <c r="AR627" s="26">
        <v>0</v>
      </c>
    </row>
    <row r="628" spans="1:44" x14ac:dyDescent="0.15">
      <c r="A628">
        <v>116</v>
      </c>
      <c r="B628" s="11">
        <v>160512</v>
      </c>
      <c r="C628" s="32"/>
      <c r="D628" s="32">
        <v>2.7527879007819799E-3</v>
      </c>
      <c r="E628" s="32">
        <v>53</v>
      </c>
      <c r="F628" s="32">
        <v>0.15344621500366301</v>
      </c>
      <c r="G628" s="11"/>
      <c r="H628" s="11"/>
      <c r="I628" s="11"/>
      <c r="J628" s="18" t="s">
        <v>44</v>
      </c>
      <c r="K628" s="18" t="s">
        <v>45</v>
      </c>
      <c r="L628" s="58" t="s">
        <v>274</v>
      </c>
      <c r="M628" s="18">
        <f>[1]!f_prt_stocktonav(B628,"2017/03/31")</f>
        <v>93.331535339355469</v>
      </c>
      <c r="N628" s="20" t="str">
        <f>[1]!f_info_fundmanager(B628)</f>
        <v>周志超</v>
      </c>
      <c r="O628" s="21">
        <v>1.0054794520547945</v>
      </c>
      <c r="P628" s="34" t="s">
        <v>2541</v>
      </c>
      <c r="Q628" s="34" t="s">
        <v>2542</v>
      </c>
      <c r="R628" s="34" t="s">
        <v>413</v>
      </c>
      <c r="S628" s="34">
        <v>20110422</v>
      </c>
      <c r="T628" s="45">
        <v>12.806902385300001</v>
      </c>
      <c r="U628" s="46">
        <v>8.6926594760999993</v>
      </c>
      <c r="V628" s="34" t="s">
        <v>231</v>
      </c>
      <c r="W628" s="34" t="s">
        <v>44</v>
      </c>
      <c r="X628" s="34" t="s">
        <v>45</v>
      </c>
      <c r="Y628" s="34" t="s">
        <v>337</v>
      </c>
      <c r="Z628" s="34"/>
      <c r="AA628" s="34"/>
      <c r="AB628" s="22">
        <v>0.9160649871826172</v>
      </c>
      <c r="AC628" s="23" t="s">
        <v>2543</v>
      </c>
      <c r="AD628" s="24">
        <v>1.0410958904109588</v>
      </c>
      <c r="AE628" s="25">
        <v>0.17642134690215272</v>
      </c>
      <c r="AF628" s="26">
        <v>0.30355877288461297</v>
      </c>
      <c r="AG628" s="26">
        <v>0.24086964419006818</v>
      </c>
      <c r="AH628" s="27">
        <v>0.66944621498315959</v>
      </c>
      <c r="AI628" s="27">
        <v>0.89034422562925619</v>
      </c>
      <c r="AJ628" s="27">
        <v>0.83421542421705153</v>
      </c>
      <c r="AK628" s="28" t="s">
        <v>276</v>
      </c>
      <c r="AL628" s="29">
        <v>4</v>
      </c>
      <c r="AM628" s="29">
        <v>4</v>
      </c>
      <c r="AN628" s="29" t="s">
        <v>48</v>
      </c>
      <c r="AO628" s="47" t="s">
        <v>1271</v>
      </c>
      <c r="AP628" s="28">
        <v>0</v>
      </c>
      <c r="AQ628" s="26">
        <v>1.4999999999999999E-2</v>
      </c>
      <c r="AR628" s="26">
        <v>0</v>
      </c>
    </row>
    <row r="629" spans="1:44" x14ac:dyDescent="0.15">
      <c r="A629">
        <v>757</v>
      </c>
      <c r="B629" s="11">
        <v>481013</v>
      </c>
      <c r="C629" s="32"/>
      <c r="D629" s="32">
        <v>8.9868805840642501E-4</v>
      </c>
      <c r="E629" s="32">
        <v>118</v>
      </c>
      <c r="F629" s="32">
        <v>0.43646858853911702</v>
      </c>
      <c r="G629" s="11"/>
      <c r="H629" s="11"/>
      <c r="I629" s="11"/>
      <c r="J629" s="18" t="s">
        <v>44</v>
      </c>
      <c r="K629" s="18" t="s">
        <v>45</v>
      </c>
      <c r="L629" s="58" t="s">
        <v>65</v>
      </c>
      <c r="M629" s="18">
        <f>[1]!f_prt_stocktonav(B629,"2017/03/31")</f>
        <v>78.072319030761719</v>
      </c>
      <c r="N629" s="20" t="str">
        <f>[1]!f_info_fundmanager(B629)</f>
        <v>王筱苓</v>
      </c>
      <c r="O629" s="21">
        <v>2.2520547945205478</v>
      </c>
      <c r="P629" s="39" t="s">
        <v>2544</v>
      </c>
      <c r="Q629" s="39" t="s">
        <v>2545</v>
      </c>
      <c r="R629" s="39" t="s">
        <v>523</v>
      </c>
      <c r="S629" s="39">
        <v>20110421</v>
      </c>
      <c r="T629" s="48">
        <v>3.4123955553999998</v>
      </c>
      <c r="U629" s="46">
        <v>3.5247141446999999</v>
      </c>
      <c r="V629" s="39" t="s">
        <v>231</v>
      </c>
      <c r="W629" s="39" t="s">
        <v>44</v>
      </c>
      <c r="X629" s="39" t="s">
        <v>87</v>
      </c>
      <c r="Y629" s="55" t="s">
        <v>65</v>
      </c>
      <c r="Z629" s="34" t="s">
        <v>2546</v>
      </c>
      <c r="AA629" s="34"/>
      <c r="AB629" s="22">
        <v>0.82689315795898433</v>
      </c>
      <c r="AC629" s="23" t="s">
        <v>987</v>
      </c>
      <c r="AD629" s="24">
        <v>2.021917808219178</v>
      </c>
      <c r="AE629" s="25">
        <v>7.4296879763636969E-2</v>
      </c>
      <c r="AF629" s="26">
        <v>0.15688470224446771</v>
      </c>
      <c r="AG629" s="26">
        <v>0.12263560156870579</v>
      </c>
      <c r="AH629" s="27">
        <v>0.38194598930736479</v>
      </c>
      <c r="AI629" s="27">
        <v>0.70010298891497547</v>
      </c>
      <c r="AJ629" s="27">
        <v>0.58997184491336629</v>
      </c>
      <c r="AK629" s="40" t="s">
        <v>1459</v>
      </c>
      <c r="AL629" s="41">
        <v>4</v>
      </c>
      <c r="AM629" s="41">
        <v>2</v>
      </c>
      <c r="AN629" s="41" t="s">
        <v>48</v>
      </c>
      <c r="AO629" s="50" t="s">
        <v>255</v>
      </c>
      <c r="AP629" s="51">
        <v>0</v>
      </c>
      <c r="AQ629" s="52">
        <v>1.4999999999999999E-2</v>
      </c>
      <c r="AR629" s="52">
        <v>0</v>
      </c>
    </row>
    <row r="630" spans="1:44" x14ac:dyDescent="0.15">
      <c r="A630">
        <v>870</v>
      </c>
      <c r="B630" s="11">
        <v>90013</v>
      </c>
      <c r="C630" s="32"/>
      <c r="D630" s="32">
        <v>4.5688464861395103E-4</v>
      </c>
      <c r="E630" s="32">
        <v>153</v>
      </c>
      <c r="F630" s="32">
        <v>0.70003512748834995</v>
      </c>
      <c r="G630" s="11"/>
      <c r="H630" s="11"/>
      <c r="I630" s="11"/>
      <c r="J630" s="18" t="s">
        <v>44</v>
      </c>
      <c r="K630" s="18" t="s">
        <v>45</v>
      </c>
      <c r="L630" s="58" t="s">
        <v>65</v>
      </c>
      <c r="M630" s="18">
        <f>[1]!f_prt_stocktonav(B630,"2017/03/31")</f>
        <v>73.803596496582031</v>
      </c>
      <c r="N630" s="20" t="str">
        <f>[1]!f_info_fundmanager(B630)</f>
        <v>徐彦</v>
      </c>
      <c r="O630" s="21">
        <v>2.9342465753424656</v>
      </c>
      <c r="P630" s="34" t="s">
        <v>2547</v>
      </c>
      <c r="Q630" s="34" t="s">
        <v>2548</v>
      </c>
      <c r="R630" s="34" t="s">
        <v>486</v>
      </c>
      <c r="S630" s="34">
        <v>20110420</v>
      </c>
      <c r="T630" s="45">
        <v>16.168057457700002</v>
      </c>
      <c r="U630" s="46">
        <v>0.90441104400000005</v>
      </c>
      <c r="V630" s="34" t="s">
        <v>231</v>
      </c>
      <c r="W630" s="34" t="s">
        <v>41</v>
      </c>
      <c r="X630" s="17" t="s">
        <v>42</v>
      </c>
      <c r="Y630" s="17" t="s">
        <v>43</v>
      </c>
      <c r="Z630" s="34"/>
      <c r="AA630" s="34"/>
      <c r="AB630" s="22">
        <v>5.2897329330444338E-2</v>
      </c>
      <c r="AC630" s="23" t="s">
        <v>2549</v>
      </c>
      <c r="AD630" s="24">
        <v>2.7041095890410958</v>
      </c>
      <c r="AE630" s="25">
        <v>0.27105690252261172</v>
      </c>
      <c r="AF630" s="26">
        <v>0</v>
      </c>
      <c r="AG630" s="26">
        <v>0</v>
      </c>
      <c r="AH630" s="27">
        <v>0.96807685900940033</v>
      </c>
      <c r="AI630" s="27">
        <v>0.96807685900940033</v>
      </c>
      <c r="AJ630" s="27">
        <v>0.96807685900940033</v>
      </c>
      <c r="AK630" s="28" t="s">
        <v>2550</v>
      </c>
      <c r="AL630" s="29" t="s">
        <v>48</v>
      </c>
      <c r="AM630" s="29" t="s">
        <v>48</v>
      </c>
      <c r="AN630" s="29" t="s">
        <v>48</v>
      </c>
      <c r="AO630" s="47" t="s">
        <v>310</v>
      </c>
      <c r="AP630" s="28">
        <v>0</v>
      </c>
      <c r="AQ630" s="26">
        <v>1.4999999999999999E-2</v>
      </c>
      <c r="AR630" s="26">
        <v>0</v>
      </c>
    </row>
    <row r="631" spans="1:44" x14ac:dyDescent="0.15">
      <c r="A631">
        <v>441</v>
      </c>
      <c r="B631" s="11">
        <v>410009</v>
      </c>
      <c r="C631" s="32"/>
      <c r="D631" s="32">
        <v>-3.8989410550257101E-3</v>
      </c>
      <c r="E631" s="32">
        <v>313</v>
      </c>
      <c r="F631" s="32">
        <v>2.23223649527383E-6</v>
      </c>
      <c r="G631" s="11"/>
      <c r="H631" s="11"/>
      <c r="I631" s="11"/>
      <c r="J631" s="18" t="s">
        <v>44</v>
      </c>
      <c r="K631" s="18" t="s">
        <v>45</v>
      </c>
      <c r="L631" s="58" t="s">
        <v>274</v>
      </c>
      <c r="M631" s="18">
        <f>[1]!f_prt_stocktonav(B631,"2017/03/31")</f>
        <v>86.460899353027344</v>
      </c>
      <c r="N631" s="20" t="str">
        <f>[1]!f_info_fundmanager(B631)</f>
        <v>孔庆卿,朱蓓</v>
      </c>
      <c r="O631" s="21">
        <v>6.0027397260273974</v>
      </c>
      <c r="P631" s="34" t="s">
        <v>2551</v>
      </c>
      <c r="Q631" s="34" t="s">
        <v>2552</v>
      </c>
      <c r="R631" s="34" t="s">
        <v>1000</v>
      </c>
      <c r="S631" s="34">
        <v>20110401</v>
      </c>
      <c r="T631" s="45">
        <v>0.83771801859999995</v>
      </c>
      <c r="U631" s="46">
        <v>0.66822922669999996</v>
      </c>
      <c r="V631" s="34" t="s">
        <v>231</v>
      </c>
      <c r="W631" s="34" t="s">
        <v>44</v>
      </c>
      <c r="X631" s="34" t="s">
        <v>45</v>
      </c>
      <c r="Y631" s="34" t="s">
        <v>274</v>
      </c>
      <c r="Z631" s="34"/>
      <c r="AA631" s="34"/>
      <c r="AB631" s="22">
        <v>0.82327438354492188</v>
      </c>
      <c r="AC631" s="23" t="s">
        <v>2553</v>
      </c>
      <c r="AD631" s="24">
        <v>5.7726027397260271</v>
      </c>
      <c r="AE631" s="25">
        <v>2.0473786119229453E-2</v>
      </c>
      <c r="AF631" s="26">
        <v>0.15693946262299896</v>
      </c>
      <c r="AG631" s="26">
        <v>8.5662639499701529E-2</v>
      </c>
      <c r="AH631" s="27">
        <v>0.17488089339427909</v>
      </c>
      <c r="AI631" s="27">
        <v>0.53771176102272322</v>
      </c>
      <c r="AJ631" s="27">
        <v>0.37336914936744314</v>
      </c>
      <c r="AK631" s="28" t="s">
        <v>1868</v>
      </c>
      <c r="AL631" s="29">
        <v>1</v>
      </c>
      <c r="AM631" s="29">
        <v>1</v>
      </c>
      <c r="AN631" s="29" t="s">
        <v>48</v>
      </c>
      <c r="AO631" s="47" t="s">
        <v>2554</v>
      </c>
      <c r="AP631" s="28">
        <v>0</v>
      </c>
      <c r="AQ631" s="26">
        <v>1.4999999999999999E-2</v>
      </c>
      <c r="AR631" s="26">
        <v>0</v>
      </c>
    </row>
    <row r="632" spans="1:44" x14ac:dyDescent="0.15">
      <c r="A632">
        <v>188</v>
      </c>
      <c r="B632" s="11">
        <v>470028</v>
      </c>
      <c r="C632" s="32"/>
      <c r="D632" s="32">
        <v>-7.8131913085244297E-4</v>
      </c>
      <c r="E632" s="32">
        <v>313</v>
      </c>
      <c r="F632" s="32">
        <v>0.51794360401359496</v>
      </c>
      <c r="G632" s="11"/>
      <c r="H632" s="11"/>
      <c r="I632" s="11"/>
      <c r="J632" s="18" t="s">
        <v>44</v>
      </c>
      <c r="K632" s="18" t="s">
        <v>45</v>
      </c>
      <c r="L632" s="58" t="s">
        <v>65</v>
      </c>
      <c r="M632" s="18">
        <f>[1]!f_prt_stocktonav(B632,"2017/03/31")</f>
        <v>92.014854431152344</v>
      </c>
      <c r="N632" s="20" t="str">
        <f>[1]!f_info_fundmanager(B632)</f>
        <v>欧阳沁春</v>
      </c>
      <c r="O632" s="21">
        <v>6.0109589041095894</v>
      </c>
      <c r="P632" s="34" t="s">
        <v>2555</v>
      </c>
      <c r="Q632" s="34" t="s">
        <v>2556</v>
      </c>
      <c r="R632" s="34" t="s">
        <v>331</v>
      </c>
      <c r="S632" s="34">
        <v>20110329</v>
      </c>
      <c r="T632" s="45">
        <v>29.760275055400001</v>
      </c>
      <c r="U632" s="46">
        <v>34.8313401674</v>
      </c>
      <c r="V632" s="34" t="s">
        <v>231</v>
      </c>
      <c r="W632" s="34" t="s">
        <v>44</v>
      </c>
      <c r="X632" s="34" t="s">
        <v>45</v>
      </c>
      <c r="Y632" s="34" t="s">
        <v>65</v>
      </c>
      <c r="Z632" s="34"/>
      <c r="AA632" s="34"/>
      <c r="AB632" s="22">
        <v>0.94387939453125003</v>
      </c>
      <c r="AC632" s="23" t="s">
        <v>1803</v>
      </c>
      <c r="AD632" s="24">
        <v>5.7808219178082192</v>
      </c>
      <c r="AE632" s="25">
        <v>7.8107395504091626E-2</v>
      </c>
      <c r="AF632" s="26">
        <v>0.15516480759089268</v>
      </c>
      <c r="AG632" s="26">
        <v>0.12824832097171757</v>
      </c>
      <c r="AH632" s="27">
        <v>0.35237338406802921</v>
      </c>
      <c r="AI632" s="27">
        <v>0.49944245678744736</v>
      </c>
      <c r="AJ632" s="27">
        <v>0.48157759899454294</v>
      </c>
      <c r="AK632" s="28" t="s">
        <v>276</v>
      </c>
      <c r="AL632" s="29">
        <v>2</v>
      </c>
      <c r="AM632" s="29">
        <v>1</v>
      </c>
      <c r="AN632" s="29" t="s">
        <v>48</v>
      </c>
      <c r="AO632" s="47" t="s">
        <v>334</v>
      </c>
      <c r="AP632" s="28">
        <v>0</v>
      </c>
      <c r="AQ632" s="26">
        <v>1.4999999999999999E-2</v>
      </c>
      <c r="AR632" s="26">
        <v>0</v>
      </c>
    </row>
    <row r="633" spans="1:44" x14ac:dyDescent="0.15">
      <c r="A633">
        <v>954</v>
      </c>
      <c r="B633" s="11">
        <v>260115</v>
      </c>
      <c r="C633" s="32"/>
      <c r="D633" s="32">
        <v>-8.3029754869759205E-4</v>
      </c>
      <c r="E633" s="32">
        <v>314</v>
      </c>
      <c r="F633" s="32">
        <v>0.30452249541822701</v>
      </c>
      <c r="G633" s="11"/>
      <c r="H633" s="11"/>
      <c r="I633" s="11"/>
      <c r="J633" s="18" t="s">
        <v>44</v>
      </c>
      <c r="K633" s="18" t="s">
        <v>45</v>
      </c>
      <c r="L633" s="58" t="s">
        <v>274</v>
      </c>
      <c r="M633" s="18">
        <f>[1]!f_prt_stocktonav(B633,"2017/03/31")</f>
        <v>70.244499206542969</v>
      </c>
      <c r="N633" s="20" t="str">
        <f>[1]!f_info_fundmanager(B633)</f>
        <v>杨鹏</v>
      </c>
      <c r="O633" s="21">
        <v>6.0301369863013701</v>
      </c>
      <c r="P633" s="34" t="s">
        <v>2557</v>
      </c>
      <c r="Q633" s="34" t="s">
        <v>2558</v>
      </c>
      <c r="R633" s="34" t="s">
        <v>353</v>
      </c>
      <c r="S633" s="34">
        <v>20110322</v>
      </c>
      <c r="T633" s="45">
        <v>2.27266843</v>
      </c>
      <c r="U633" s="46">
        <v>1.7005704933000001</v>
      </c>
      <c r="V633" s="34" t="s">
        <v>231</v>
      </c>
      <c r="W633" s="34" t="s">
        <v>44</v>
      </c>
      <c r="X633" s="34" t="s">
        <v>45</v>
      </c>
      <c r="Y633" s="34" t="s">
        <v>274</v>
      </c>
      <c r="Z633" s="34"/>
      <c r="AA633" s="34"/>
      <c r="AB633" s="22">
        <v>0.77340629577636721</v>
      </c>
      <c r="AC633" s="23" t="s">
        <v>2559</v>
      </c>
      <c r="AD633" s="24">
        <v>5.8</v>
      </c>
      <c r="AE633" s="25">
        <v>8.1606261237772801E-2</v>
      </c>
      <c r="AF633" s="26">
        <v>0.12089329391896353</v>
      </c>
      <c r="AG633" s="26">
        <v>0.14615752398588855</v>
      </c>
      <c r="AH633" s="27">
        <v>0.37436987106341735</v>
      </c>
      <c r="AI633" s="27">
        <v>0.46844409057226238</v>
      </c>
      <c r="AJ633" s="27">
        <v>0.58597973926382307</v>
      </c>
      <c r="AK633" s="28" t="s">
        <v>2560</v>
      </c>
      <c r="AL633" s="29">
        <v>3</v>
      </c>
      <c r="AM633" s="29">
        <v>3</v>
      </c>
      <c r="AN633" s="29" t="s">
        <v>48</v>
      </c>
      <c r="AO633" s="47" t="s">
        <v>209</v>
      </c>
      <c r="AP633" s="28">
        <v>0</v>
      </c>
      <c r="AQ633" s="26">
        <v>1.4999999999999999E-2</v>
      </c>
      <c r="AR633" s="26">
        <v>0</v>
      </c>
    </row>
    <row r="634" spans="1:44" x14ac:dyDescent="0.15">
      <c r="A634">
        <v>604</v>
      </c>
      <c r="B634" s="11">
        <v>166009</v>
      </c>
      <c r="C634" s="32"/>
      <c r="D634" s="32">
        <v>4.34533285565253E-4</v>
      </c>
      <c r="E634" s="32">
        <v>96</v>
      </c>
      <c r="F634" s="32">
        <v>0.70347079048166705</v>
      </c>
      <c r="G634" s="11"/>
      <c r="H634" s="11"/>
      <c r="I634" s="11"/>
      <c r="J634" s="18" t="s">
        <v>44</v>
      </c>
      <c r="K634" s="18" t="s">
        <v>45</v>
      </c>
      <c r="L634" s="58" t="s">
        <v>337</v>
      </c>
      <c r="M634" s="18">
        <f>[1]!f_prt_stocktonav(B634,"2017/03/31")</f>
        <v>82.8370361328125</v>
      </c>
      <c r="N634" s="20" t="str">
        <f>[1]!f_info_fundmanager(B634)</f>
        <v>袁争光,王健</v>
      </c>
      <c r="O634" s="21">
        <v>1.8410958904109589</v>
      </c>
      <c r="P634" s="34" t="s">
        <v>2561</v>
      </c>
      <c r="Q634" s="34" t="s">
        <v>2562</v>
      </c>
      <c r="R634" s="34" t="s">
        <v>200</v>
      </c>
      <c r="S634" s="34">
        <v>20110210</v>
      </c>
      <c r="T634" s="45">
        <v>25.0397625841</v>
      </c>
      <c r="U634" s="46">
        <v>20.1801846603</v>
      </c>
      <c r="V634" s="34" t="s">
        <v>231</v>
      </c>
      <c r="W634" s="34" t="s">
        <v>44</v>
      </c>
      <c r="X634" s="34" t="s">
        <v>45</v>
      </c>
      <c r="Y634" s="34" t="s">
        <v>65</v>
      </c>
      <c r="Z634" s="34"/>
      <c r="AA634" s="34"/>
      <c r="AB634" s="22">
        <v>0.90709831237792971</v>
      </c>
      <c r="AC634" s="23" t="s">
        <v>467</v>
      </c>
      <c r="AD634" s="24">
        <v>1.6109589041095891</v>
      </c>
      <c r="AE634" s="25">
        <v>0.16675143020091721</v>
      </c>
      <c r="AF634" s="26">
        <v>0.28905419326382664</v>
      </c>
      <c r="AG634" s="26">
        <v>0.24709467758308357</v>
      </c>
      <c r="AH634" s="27">
        <v>0.71020860495438232</v>
      </c>
      <c r="AI634" s="27">
        <v>0.9911438772575607</v>
      </c>
      <c r="AJ634" s="27">
        <v>0.97342232366475789</v>
      </c>
      <c r="AK634" s="28" t="s">
        <v>1868</v>
      </c>
      <c r="AL634" s="29">
        <v>5</v>
      </c>
      <c r="AM634" s="29">
        <v>2</v>
      </c>
      <c r="AN634" s="29" t="s">
        <v>48</v>
      </c>
      <c r="AO634" s="47" t="s">
        <v>2563</v>
      </c>
      <c r="AP634" s="28">
        <v>0</v>
      </c>
      <c r="AQ634" s="26">
        <v>1.4999999999999999E-2</v>
      </c>
      <c r="AR634" s="26">
        <v>0</v>
      </c>
    </row>
    <row r="635" spans="1:44" x14ac:dyDescent="0.15">
      <c r="A635">
        <v>104</v>
      </c>
      <c r="B635" s="11">
        <v>519097</v>
      </c>
      <c r="C635" s="32"/>
      <c r="D635" s="32">
        <v>-1.15767579357042E-3</v>
      </c>
      <c r="E635" s="32">
        <v>41</v>
      </c>
      <c r="F635" s="32">
        <v>0.43523090914982199</v>
      </c>
      <c r="G635" s="11"/>
      <c r="H635" s="11"/>
      <c r="I635" s="11"/>
      <c r="J635" s="18" t="s">
        <v>44</v>
      </c>
      <c r="K635" s="18" t="s">
        <v>45</v>
      </c>
      <c r="L635" s="58" t="s">
        <v>274</v>
      </c>
      <c r="M635" s="18">
        <f>[1]!f_prt_stocktonav(B635,"2017/03/31")</f>
        <v>93.569061279296875</v>
      </c>
      <c r="N635" s="20" t="str">
        <f>[1]!f_info_fundmanager(B635)</f>
        <v>付伟</v>
      </c>
      <c r="O635" s="21">
        <v>0.78630136986301369</v>
      </c>
      <c r="P635" s="34" t="s">
        <v>2564</v>
      </c>
      <c r="Q635" s="34" t="s">
        <v>2565</v>
      </c>
      <c r="R635" s="34" t="s">
        <v>569</v>
      </c>
      <c r="S635" s="34">
        <v>20110128</v>
      </c>
      <c r="T635" s="45">
        <v>1.7576094578999999</v>
      </c>
      <c r="U635" s="46">
        <v>3.6371486754000002</v>
      </c>
      <c r="V635" s="34" t="s">
        <v>231</v>
      </c>
      <c r="W635" s="34" t="s">
        <v>44</v>
      </c>
      <c r="X635" s="34" t="s">
        <v>45</v>
      </c>
      <c r="Y635" s="34" t="s">
        <v>274</v>
      </c>
      <c r="Z635" s="34"/>
      <c r="AA635" s="34"/>
      <c r="AB635" s="22">
        <v>0.86205291748046875</v>
      </c>
      <c r="AC635" s="23" t="s">
        <v>2566</v>
      </c>
      <c r="AD635" s="24">
        <v>0.55616438356164388</v>
      </c>
      <c r="AE635" s="25">
        <v>0.1469924922466368</v>
      </c>
      <c r="AF635" s="26">
        <v>0.29527565239108888</v>
      </c>
      <c r="AG635" s="26">
        <v>0.22581595624585618</v>
      </c>
      <c r="AH635" s="27">
        <v>0.6388912104802611</v>
      </c>
      <c r="AI635" s="27">
        <v>1.0114978876901848</v>
      </c>
      <c r="AJ635" s="27">
        <v>0.89400037534810373</v>
      </c>
      <c r="AK635" s="28" t="s">
        <v>2567</v>
      </c>
      <c r="AL635" s="29">
        <v>5</v>
      </c>
      <c r="AM635" s="29">
        <v>5</v>
      </c>
      <c r="AN635" s="29" t="s">
        <v>48</v>
      </c>
      <c r="AO635" s="47" t="s">
        <v>310</v>
      </c>
      <c r="AP635" s="28">
        <v>0</v>
      </c>
      <c r="AQ635" s="26">
        <v>1.4999999999999999E-2</v>
      </c>
      <c r="AR635" s="26">
        <v>0</v>
      </c>
    </row>
    <row r="636" spans="1:44" x14ac:dyDescent="0.15">
      <c r="A636">
        <v>504</v>
      </c>
      <c r="B636" s="11">
        <v>690005</v>
      </c>
      <c r="C636" s="32"/>
      <c r="D636" s="32">
        <v>2.8569667549476398E-3</v>
      </c>
      <c r="E636" s="32">
        <v>39</v>
      </c>
      <c r="F636" s="32">
        <v>7.9424760578426595E-2</v>
      </c>
      <c r="G636" s="11"/>
      <c r="H636" s="11"/>
      <c r="I636" s="11"/>
      <c r="J636" s="18" t="s">
        <v>44</v>
      </c>
      <c r="K636" s="18" t="s">
        <v>45</v>
      </c>
      <c r="L636" s="58" t="s">
        <v>65</v>
      </c>
      <c r="M636" s="18">
        <f>[1]!f_prt_stocktonav(B636,"2017/03/31")</f>
        <v>85.186515808105469</v>
      </c>
      <c r="N636" s="20" t="str">
        <f>[1]!f_info_fundmanager(B636)</f>
        <v>宋磊,柳世庆</v>
      </c>
      <c r="O636" s="21">
        <v>0.73972602739726023</v>
      </c>
      <c r="P636" s="34" t="s">
        <v>2568</v>
      </c>
      <c r="Q636" s="34" t="s">
        <v>2569</v>
      </c>
      <c r="R636" s="34" t="s">
        <v>1234</v>
      </c>
      <c r="S636" s="34">
        <v>20110128</v>
      </c>
      <c r="T636" s="45">
        <v>1.4770196053</v>
      </c>
      <c r="U636" s="46">
        <v>1.5195982754999999</v>
      </c>
      <c r="V636" s="34" t="s">
        <v>231</v>
      </c>
      <c r="W636" s="34" t="s">
        <v>44</v>
      </c>
      <c r="X636" s="34" t="s">
        <v>45</v>
      </c>
      <c r="Y636" s="34" t="s">
        <v>65</v>
      </c>
      <c r="Z636" s="34"/>
      <c r="AA636" s="34"/>
      <c r="AB636" s="22">
        <v>0.81438697814941408</v>
      </c>
      <c r="AC636" s="23" t="s">
        <v>2570</v>
      </c>
      <c r="AD636" s="24">
        <v>0.50958904109589043</v>
      </c>
      <c r="AE636" s="25">
        <v>5.3988322480412743E-2</v>
      </c>
      <c r="AF636" s="26">
        <v>0.18543828459598788</v>
      </c>
      <c r="AG636" s="26">
        <v>0.12921217697716081</v>
      </c>
      <c r="AH636" s="27">
        <v>0.27746120548910652</v>
      </c>
      <c r="AI636" s="27">
        <v>0.61207850394654939</v>
      </c>
      <c r="AJ636" s="27">
        <v>0.50407723910533264</v>
      </c>
      <c r="AK636" s="28" t="s">
        <v>1459</v>
      </c>
      <c r="AL636" s="29">
        <v>2</v>
      </c>
      <c r="AM636" s="29">
        <v>2</v>
      </c>
      <c r="AN636" s="29" t="s">
        <v>48</v>
      </c>
      <c r="AO636" s="47" t="s">
        <v>1909</v>
      </c>
      <c r="AP636" s="28">
        <v>0</v>
      </c>
      <c r="AQ636" s="26">
        <v>1.4999999999999999E-2</v>
      </c>
      <c r="AR636" s="26">
        <v>0</v>
      </c>
    </row>
    <row r="637" spans="1:44" x14ac:dyDescent="0.15">
      <c r="A637">
        <v>456</v>
      </c>
      <c r="B637" s="11">
        <v>110023</v>
      </c>
      <c r="C637" s="32"/>
      <c r="D637" s="32">
        <v>2.59394919913843E-3</v>
      </c>
      <c r="E637" s="32">
        <v>32</v>
      </c>
      <c r="F637" s="32">
        <v>0.27285021118835401</v>
      </c>
      <c r="G637" s="11"/>
      <c r="H637" s="11"/>
      <c r="I637" s="11"/>
      <c r="J637" s="18" t="s">
        <v>44</v>
      </c>
      <c r="K637" s="18" t="s">
        <v>45</v>
      </c>
      <c r="L637" s="58" t="s">
        <v>817</v>
      </c>
      <c r="M637" s="18">
        <f>[1]!f_prt_stocktonav(B637,"2017/03/31")</f>
        <v>86.167411804199219</v>
      </c>
      <c r="N637" s="20" t="str">
        <f>[1]!f_info_fundmanager(B637)</f>
        <v>杨桢霄</v>
      </c>
      <c r="O637" s="21">
        <v>0.61095890410958908</v>
      </c>
      <c r="P637" s="34" t="s">
        <v>2571</v>
      </c>
      <c r="Q637" s="34" t="s">
        <v>2572</v>
      </c>
      <c r="R637" s="34" t="s">
        <v>218</v>
      </c>
      <c r="S637" s="34">
        <v>20110128</v>
      </c>
      <c r="T637" s="45">
        <v>13.402526377299999</v>
      </c>
      <c r="U637" s="46">
        <v>14.7852457729</v>
      </c>
      <c r="V637" s="34" t="s">
        <v>231</v>
      </c>
      <c r="W637" s="34" t="s">
        <v>44</v>
      </c>
      <c r="X637" s="34" t="s">
        <v>86</v>
      </c>
      <c r="Y637" s="34" t="s">
        <v>274</v>
      </c>
      <c r="Z637" s="34" t="s">
        <v>1725</v>
      </c>
      <c r="AA637" s="34"/>
      <c r="AB637" s="22">
        <v>0.89964668273925785</v>
      </c>
      <c r="AC637" s="23" t="s">
        <v>2573</v>
      </c>
      <c r="AD637" s="24">
        <v>1.8958904109589041</v>
      </c>
      <c r="AE637" s="25">
        <v>4.1808967117045626E-2</v>
      </c>
      <c r="AF637" s="26">
        <v>-3.1177131417059467E-3</v>
      </c>
      <c r="AG637" s="26">
        <v>8.1184666402386974E-2</v>
      </c>
      <c r="AH637" s="27">
        <v>0.23348110581448361</v>
      </c>
      <c r="AI637" s="27">
        <v>7.2727971454151677E-2</v>
      </c>
      <c r="AJ637" s="27">
        <v>0.36955838814903202</v>
      </c>
      <c r="AK637" s="33" t="s">
        <v>2574</v>
      </c>
      <c r="AL637" s="29">
        <v>1</v>
      </c>
      <c r="AM637" s="29">
        <v>3</v>
      </c>
      <c r="AN637" s="29" t="s">
        <v>48</v>
      </c>
      <c r="AO637" s="47" t="s">
        <v>2457</v>
      </c>
      <c r="AP637" s="28">
        <v>0</v>
      </c>
      <c r="AQ637" s="26">
        <v>1.4999999999999999E-2</v>
      </c>
      <c r="AR637" s="26">
        <v>0</v>
      </c>
    </row>
    <row r="638" spans="1:44" x14ac:dyDescent="0.15">
      <c r="A638">
        <v>938</v>
      </c>
      <c r="B638" s="11">
        <v>200012</v>
      </c>
      <c r="C638" s="32"/>
      <c r="D638" s="32">
        <v>1.72207386574175E-3</v>
      </c>
      <c r="E638" s="32">
        <v>95</v>
      </c>
      <c r="F638" s="32">
        <v>0.32460154367191202</v>
      </c>
      <c r="G638" s="11"/>
      <c r="H638" s="11"/>
      <c r="I638" s="11"/>
      <c r="J638" s="18" t="s">
        <v>44</v>
      </c>
      <c r="K638" s="18" t="s">
        <v>45</v>
      </c>
      <c r="L638" s="58" t="s">
        <v>274</v>
      </c>
      <c r="M638" s="18">
        <f>[1]!f_prt_stocktonav(B638,"2017/03/31")</f>
        <v>70.769874572753906</v>
      </c>
      <c r="N638" s="20" t="str">
        <f>[1]!f_info_fundmanager(B638)</f>
        <v>何以广</v>
      </c>
      <c r="O638" s="21">
        <v>1.8246575342465754</v>
      </c>
      <c r="P638" s="34" t="s">
        <v>2575</v>
      </c>
      <c r="Q638" s="34" t="s">
        <v>2576</v>
      </c>
      <c r="R638" s="34" t="s">
        <v>1172</v>
      </c>
      <c r="S638" s="34">
        <v>20110127</v>
      </c>
      <c r="T638" s="45">
        <v>0.92026568389999996</v>
      </c>
      <c r="U638" s="46">
        <v>0.86109312010000005</v>
      </c>
      <c r="V638" s="34" t="s">
        <v>231</v>
      </c>
      <c r="W638" s="34" t="s">
        <v>44</v>
      </c>
      <c r="X638" s="34" t="s">
        <v>45</v>
      </c>
      <c r="Y638" s="34" t="s">
        <v>274</v>
      </c>
      <c r="Z638" s="34"/>
      <c r="AA638" s="34"/>
      <c r="AB638" s="22">
        <v>0.76197372436523436</v>
      </c>
      <c r="AC638" s="23" t="s">
        <v>2577</v>
      </c>
      <c r="AD638" s="24">
        <v>1.5945205479452054</v>
      </c>
      <c r="AE638" s="25">
        <v>2.6069566344431028E-2</v>
      </c>
      <c r="AF638" s="26">
        <v>9.3493167514384634E-2</v>
      </c>
      <c r="AG638" s="26">
        <v>8.0239736601251277E-2</v>
      </c>
      <c r="AH638" s="27">
        <v>0.18323865063923597</v>
      </c>
      <c r="AI638" s="27">
        <v>0.38419488503820309</v>
      </c>
      <c r="AJ638" s="27">
        <v>0.36144952783082057</v>
      </c>
      <c r="AK638" s="28" t="s">
        <v>2578</v>
      </c>
      <c r="AL638" s="29">
        <v>1</v>
      </c>
      <c r="AM638" s="29">
        <v>1</v>
      </c>
      <c r="AN638" s="29" t="s">
        <v>48</v>
      </c>
      <c r="AO638" s="47" t="s">
        <v>2337</v>
      </c>
      <c r="AP638" s="28">
        <v>0</v>
      </c>
      <c r="AQ638" s="26">
        <v>1.4999999999999999E-2</v>
      </c>
      <c r="AR638" s="26">
        <v>0</v>
      </c>
    </row>
    <row r="639" spans="1:44" x14ac:dyDescent="0.15">
      <c r="A639">
        <v>17</v>
      </c>
      <c r="B639" s="11">
        <v>162214</v>
      </c>
      <c r="C639" s="32"/>
      <c r="D639" s="32">
        <v>2.0647670507831901E-3</v>
      </c>
      <c r="E639" s="32">
        <v>14</v>
      </c>
      <c r="F639" s="32">
        <v>0.27564532237429601</v>
      </c>
      <c r="G639" s="11"/>
      <c r="H639" s="11"/>
      <c r="I639" s="11"/>
      <c r="J639" s="18" t="s">
        <v>44</v>
      </c>
      <c r="K639" s="18" t="s">
        <v>45</v>
      </c>
      <c r="L639" s="58" t="s">
        <v>65</v>
      </c>
      <c r="M639" s="18">
        <f>[1]!f_prt_stocktonav(B639,"2017/03/31")</f>
        <v>94.784126281738281</v>
      </c>
      <c r="N639" s="20" t="str">
        <f>[1]!f_info_fundmanager(B639)</f>
        <v>庄腾飞</v>
      </c>
      <c r="O639" s="21">
        <v>0.26849315068493151</v>
      </c>
      <c r="P639" s="34" t="s">
        <v>2579</v>
      </c>
      <c r="Q639" s="34" t="s">
        <v>2580</v>
      </c>
      <c r="R639" s="34" t="s">
        <v>263</v>
      </c>
      <c r="S639" s="34">
        <v>20110126</v>
      </c>
      <c r="T639" s="45">
        <v>1.4541342532999999</v>
      </c>
      <c r="U639" s="46">
        <v>2.1885725221999999</v>
      </c>
      <c r="V639" s="34" t="s">
        <v>231</v>
      </c>
      <c r="W639" s="34" t="s">
        <v>44</v>
      </c>
      <c r="X639" s="34" t="s">
        <v>45</v>
      </c>
      <c r="Y639" s="34" t="s">
        <v>274</v>
      </c>
      <c r="Z639" s="34"/>
      <c r="AA639" s="34"/>
      <c r="AB639" s="22">
        <v>0.85308662414550784</v>
      </c>
      <c r="AC639" s="23" t="s">
        <v>2581</v>
      </c>
      <c r="AD639" s="24">
        <v>1.726027397260274</v>
      </c>
      <c r="AE639" s="25">
        <v>-4.2024365879935521E-2</v>
      </c>
      <c r="AF639" s="26">
        <v>-6.9838260158718968E-2</v>
      </c>
      <c r="AG639" s="26">
        <v>-6.8257139672240896E-3</v>
      </c>
      <c r="AH639" s="27">
        <v>-2.3251720158939355E-2</v>
      </c>
      <c r="AI639" s="27">
        <v>-3.0472642240156323E-2</v>
      </c>
      <c r="AJ639" s="27">
        <v>0.10706659760566856</v>
      </c>
      <c r="AK639" s="28" t="s">
        <v>2567</v>
      </c>
      <c r="AL639" s="29">
        <v>1</v>
      </c>
      <c r="AM639" s="29">
        <v>1</v>
      </c>
      <c r="AN639" s="29" t="s">
        <v>48</v>
      </c>
      <c r="AO639" s="47" t="s">
        <v>2582</v>
      </c>
      <c r="AP639" s="28">
        <v>0</v>
      </c>
      <c r="AQ639" s="26">
        <v>1.4999999999999999E-2</v>
      </c>
      <c r="AR639" s="26">
        <v>0</v>
      </c>
    </row>
    <row r="640" spans="1:44" x14ac:dyDescent="0.15">
      <c r="A640">
        <v>70</v>
      </c>
      <c r="B640" s="11">
        <v>519674</v>
      </c>
      <c r="C640" s="32"/>
      <c r="D640" s="32">
        <v>-1.02423842635957E-4</v>
      </c>
      <c r="E640" s="32">
        <v>61</v>
      </c>
      <c r="F640" s="32">
        <v>0.94613651526975495</v>
      </c>
      <c r="G640" s="11"/>
      <c r="H640" s="11"/>
      <c r="I640" s="11"/>
      <c r="J640" s="18" t="s">
        <v>44</v>
      </c>
      <c r="K640" s="18" t="s">
        <v>45</v>
      </c>
      <c r="L640" s="58" t="s">
        <v>65</v>
      </c>
      <c r="M640" s="18">
        <f>[1]!f_prt_stocktonav(B640,"2017/03/31")</f>
        <v>94.046035766601562</v>
      </c>
      <c r="N640" s="20" t="str">
        <f>[1]!f_info_fundmanager(B640)</f>
        <v>袁曦</v>
      </c>
      <c r="O640" s="21">
        <v>1.1589041095890411</v>
      </c>
      <c r="P640" s="34" t="s">
        <v>2583</v>
      </c>
      <c r="Q640" s="34" t="s">
        <v>2584</v>
      </c>
      <c r="R640" s="34" t="s">
        <v>807</v>
      </c>
      <c r="S640" s="34">
        <v>20101229</v>
      </c>
      <c r="T640" s="45">
        <v>2.2879604163999998</v>
      </c>
      <c r="U640" s="46">
        <v>3.3766045769000002</v>
      </c>
      <c r="V640" s="34" t="s">
        <v>231</v>
      </c>
      <c r="W640" s="34" t="s">
        <v>44</v>
      </c>
      <c r="X640" s="34" t="s">
        <v>45</v>
      </c>
      <c r="Y640" s="34" t="s">
        <v>274</v>
      </c>
      <c r="Z640" s="34"/>
      <c r="AA640" s="34"/>
      <c r="AB640" s="22">
        <v>0.91061622619628901</v>
      </c>
      <c r="AC640" s="23" t="s">
        <v>2585</v>
      </c>
      <c r="AD640" s="24">
        <v>0.92876712328767119</v>
      </c>
      <c r="AE640" s="25">
        <v>0.13331471714388088</v>
      </c>
      <c r="AF640" s="26">
        <v>0.16248333307854712</v>
      </c>
      <c r="AG640" s="26">
        <v>0.2097091032975813</v>
      </c>
      <c r="AH640" s="27">
        <v>0.55586125649764873</v>
      </c>
      <c r="AI640" s="27">
        <v>0.57617792753161468</v>
      </c>
      <c r="AJ640" s="27">
        <v>0.77349766161692524</v>
      </c>
      <c r="AK640" s="28" t="s">
        <v>2586</v>
      </c>
      <c r="AL640" s="29">
        <v>5</v>
      </c>
      <c r="AM640" s="29">
        <v>4</v>
      </c>
      <c r="AN640" s="29" t="s">
        <v>48</v>
      </c>
      <c r="AO640" s="47" t="s">
        <v>101</v>
      </c>
      <c r="AP640" s="28">
        <v>0</v>
      </c>
      <c r="AQ640" s="26">
        <v>1.4999999999999999E-2</v>
      </c>
      <c r="AR640" s="26">
        <v>0</v>
      </c>
    </row>
    <row r="641" spans="1:44" x14ac:dyDescent="0.15">
      <c r="A641">
        <v>60</v>
      </c>
      <c r="B641" s="11">
        <v>206007</v>
      </c>
      <c r="C641" s="32"/>
      <c r="D641" s="32">
        <v>9.1868922537295195E-4</v>
      </c>
      <c r="E641" s="32">
        <v>326</v>
      </c>
      <c r="F641" s="32">
        <v>0.38003516707045798</v>
      </c>
      <c r="G641" s="11"/>
      <c r="H641" s="11"/>
      <c r="I641" s="11"/>
      <c r="J641" s="18" t="s">
        <v>44</v>
      </c>
      <c r="K641" s="18" t="s">
        <v>45</v>
      </c>
      <c r="L641" s="58" t="s">
        <v>65</v>
      </c>
      <c r="M641" s="18">
        <f>[1]!f_prt_stocktonav(B641,"2017/03/31")</f>
        <v>94.199005126953125</v>
      </c>
      <c r="N641" s="20" t="str">
        <f>[1]!f_info_fundmanager(B641)</f>
        <v>王宗合</v>
      </c>
      <c r="O641" s="21">
        <v>6.2602739726027394</v>
      </c>
      <c r="P641" s="34" t="s">
        <v>2587</v>
      </c>
      <c r="Q641" s="34" t="s">
        <v>2588</v>
      </c>
      <c r="R641" s="34" t="s">
        <v>705</v>
      </c>
      <c r="S641" s="34">
        <v>20101228</v>
      </c>
      <c r="T641" s="45">
        <v>2.0064242324000001</v>
      </c>
      <c r="U641" s="46">
        <v>2.1914983317000001</v>
      </c>
      <c r="V641" s="34" t="s">
        <v>231</v>
      </c>
      <c r="W641" s="34" t="s">
        <v>41</v>
      </c>
      <c r="X641" s="17" t="s">
        <v>42</v>
      </c>
      <c r="Y641" s="17" t="s">
        <v>181</v>
      </c>
      <c r="Z641" s="34"/>
      <c r="AA641" s="34"/>
      <c r="AB641" s="22">
        <v>0.60578552246093753</v>
      </c>
      <c r="AC641" s="23" t="s">
        <v>1710</v>
      </c>
      <c r="AD641" s="24">
        <v>6.0301369863013701</v>
      </c>
      <c r="AE641" s="25">
        <v>7.4173055362989126E-2</v>
      </c>
      <c r="AF641" s="26">
        <v>0.15238277439453873</v>
      </c>
      <c r="AG641" s="26">
        <v>0.13184042115897299</v>
      </c>
      <c r="AH641" s="27">
        <v>0.34930181767231988</v>
      </c>
      <c r="AI641" s="27">
        <v>0.59611303627860035</v>
      </c>
      <c r="AJ641" s="27">
        <v>0.5500680823950298</v>
      </c>
      <c r="AK641" s="28" t="s">
        <v>380</v>
      </c>
      <c r="AL641" s="29">
        <v>2</v>
      </c>
      <c r="AM641" s="29">
        <v>5</v>
      </c>
      <c r="AN641" s="29" t="s">
        <v>48</v>
      </c>
      <c r="AO641" s="47" t="s">
        <v>2501</v>
      </c>
      <c r="AP641" s="28">
        <v>0</v>
      </c>
      <c r="AQ641" s="26">
        <v>1.4999999999999999E-2</v>
      </c>
      <c r="AR641" s="26">
        <v>0</v>
      </c>
    </row>
    <row r="642" spans="1:44" x14ac:dyDescent="0.15">
      <c r="A642">
        <v>334</v>
      </c>
      <c r="B642" s="11">
        <v>376510</v>
      </c>
      <c r="C642" s="32"/>
      <c r="D642" s="32">
        <v>-1.19980041600369E-3</v>
      </c>
      <c r="E642" s="32">
        <v>193</v>
      </c>
      <c r="F642" s="32">
        <v>0.31001700851011699</v>
      </c>
      <c r="G642" s="11"/>
      <c r="H642" s="11"/>
      <c r="I642" s="11"/>
      <c r="J642" s="18" t="s">
        <v>44</v>
      </c>
      <c r="K642" s="19" t="s">
        <v>45</v>
      </c>
      <c r="L642" s="58" t="s">
        <v>817</v>
      </c>
      <c r="M642" s="18">
        <f>[1]!f_prt_stocktonav(B642,"2017/03/31")</f>
        <v>88.758140563964844</v>
      </c>
      <c r="N642" s="20" t="str">
        <f>[1]!f_info_fundmanager(B642)</f>
        <v>征茂平</v>
      </c>
      <c r="O642" s="21">
        <v>3.6931506849315068</v>
      </c>
      <c r="P642" s="12" t="s">
        <v>2589</v>
      </c>
      <c r="Q642" s="13" t="s">
        <v>2590</v>
      </c>
      <c r="R642" s="13" t="s">
        <v>511</v>
      </c>
      <c r="S642" s="13">
        <v>20101220</v>
      </c>
      <c r="T642" s="14">
        <v>1.5975025352000001</v>
      </c>
      <c r="U642" s="15" t="s">
        <v>39</v>
      </c>
      <c r="V642" s="16" t="s">
        <v>40</v>
      </c>
      <c r="W642" s="17" t="s">
        <v>44</v>
      </c>
      <c r="X642" s="17" t="s">
        <v>45</v>
      </c>
      <c r="Y642" s="17" t="s">
        <v>817</v>
      </c>
      <c r="Z642" s="13"/>
      <c r="AA642" s="13"/>
      <c r="AB642" s="22">
        <v>0.91186157226562503</v>
      </c>
      <c r="AC642" s="23" t="s">
        <v>2591</v>
      </c>
      <c r="AD642" s="24">
        <v>3.463013698630137</v>
      </c>
      <c r="AE642" s="25">
        <v>4.3206469073289178E-2</v>
      </c>
      <c r="AF642" s="26">
        <v>7.4037655197938923E-2</v>
      </c>
      <c r="AG642" s="26">
        <v>0.11120517217466851</v>
      </c>
      <c r="AH642" s="27">
        <v>0.23709600601279801</v>
      </c>
      <c r="AI642" s="27">
        <v>0.31808863823583816</v>
      </c>
      <c r="AJ642" s="27">
        <v>0.48709478245520355</v>
      </c>
      <c r="AK642" s="28" t="s">
        <v>1009</v>
      </c>
      <c r="AL642" s="29">
        <v>2</v>
      </c>
      <c r="AM642" s="29">
        <v>4</v>
      </c>
      <c r="AN642" s="29" t="s">
        <v>48</v>
      </c>
      <c r="AO642" s="23" t="s">
        <v>2592</v>
      </c>
      <c r="AP642" s="30">
        <v>0</v>
      </c>
      <c r="AQ642" s="31">
        <v>1.4999999999999999E-2</v>
      </c>
      <c r="AR642" s="31">
        <v>0</v>
      </c>
    </row>
    <row r="643" spans="1:44" x14ac:dyDescent="0.15">
      <c r="A643">
        <v>574</v>
      </c>
      <c r="B643" s="11">
        <v>210005</v>
      </c>
      <c r="C643" s="32"/>
      <c r="D643" s="32">
        <v>-2.4679219879203901E-3</v>
      </c>
      <c r="E643" s="32">
        <v>189</v>
      </c>
      <c r="F643" s="32">
        <v>7.5874724033674706E-2</v>
      </c>
      <c r="G643" s="11"/>
      <c r="H643" s="11"/>
      <c r="I643" s="11"/>
      <c r="J643" s="18" t="s">
        <v>44</v>
      </c>
      <c r="K643" s="18" t="s">
        <v>87</v>
      </c>
      <c r="L643" s="58" t="s">
        <v>274</v>
      </c>
      <c r="M643" s="18">
        <f>[1]!f_prt_stocktonav(B643,"2017/03/31")</f>
        <v>83.466590881347656</v>
      </c>
      <c r="N643" s="20" t="str">
        <f>[1]!f_info_fundmanager(B643)</f>
        <v>陈立</v>
      </c>
      <c r="O643" s="21">
        <v>3.6273972602739728</v>
      </c>
      <c r="P643" s="34" t="s">
        <v>2593</v>
      </c>
      <c r="Q643" s="34" t="s">
        <v>2594</v>
      </c>
      <c r="R643" s="34" t="s">
        <v>273</v>
      </c>
      <c r="S643" s="34">
        <v>20101220</v>
      </c>
      <c r="T643" s="45">
        <v>3.1706068667</v>
      </c>
      <c r="U643" s="46">
        <v>3.6890111022999998</v>
      </c>
      <c r="V643" s="34" t="s">
        <v>231</v>
      </c>
      <c r="W643" s="34" t="s">
        <v>41</v>
      </c>
      <c r="X643" s="17" t="s">
        <v>42</v>
      </c>
      <c r="Y643" s="17" t="s">
        <v>181</v>
      </c>
      <c r="Z643" s="34"/>
      <c r="AA643" s="34"/>
      <c r="AB643" s="22">
        <v>0.64027854919433591</v>
      </c>
      <c r="AC643" s="23" t="s">
        <v>2595</v>
      </c>
      <c r="AD643" s="24">
        <v>3.3972602739726026</v>
      </c>
      <c r="AE643" s="25">
        <v>-9.961443527903846E-4</v>
      </c>
      <c r="AF643" s="26">
        <v>0.13490407978805363</v>
      </c>
      <c r="AG643" s="26">
        <v>8.9337052030882061E-2</v>
      </c>
      <c r="AH643" s="27">
        <v>9.0241637796168325E-2</v>
      </c>
      <c r="AI643" s="27">
        <v>0.49050456778155282</v>
      </c>
      <c r="AJ643" s="27">
        <v>0.3875733692431495</v>
      </c>
      <c r="AK643" s="28" t="s">
        <v>1868</v>
      </c>
      <c r="AL643" s="29">
        <v>3</v>
      </c>
      <c r="AM643" s="29">
        <v>5</v>
      </c>
      <c r="AN643" s="29" t="s">
        <v>48</v>
      </c>
      <c r="AO643" s="47" t="s">
        <v>666</v>
      </c>
      <c r="AP643" s="28">
        <v>0</v>
      </c>
      <c r="AQ643" s="26">
        <v>1.4999999999999999E-2</v>
      </c>
      <c r="AR643" s="26">
        <v>0</v>
      </c>
    </row>
    <row r="644" spans="1:44" x14ac:dyDescent="0.15">
      <c r="A644">
        <v>853</v>
      </c>
      <c r="B644" s="11">
        <v>290008</v>
      </c>
      <c r="C644" s="32"/>
      <c r="D644" s="32">
        <v>-1.0044100886231601E-3</v>
      </c>
      <c r="E644" s="32">
        <v>62</v>
      </c>
      <c r="F644" s="32">
        <v>0.46403774683717902</v>
      </c>
      <c r="G644" s="11"/>
      <c r="H644" s="11"/>
      <c r="I644" s="11"/>
      <c r="J644" s="18" t="s">
        <v>44</v>
      </c>
      <c r="K644" s="18" t="s">
        <v>87</v>
      </c>
      <c r="L644" s="58" t="s">
        <v>274</v>
      </c>
      <c r="M644" s="18">
        <f>[1]!f_prt_stocktonav(B644,"2017/03/31")</f>
        <v>74.299278259277344</v>
      </c>
      <c r="N644" s="20" t="str">
        <f>[1]!f_info_fundmanager(B644)</f>
        <v>钱鑫</v>
      </c>
      <c r="O644" s="21">
        <v>1.1753424657534246</v>
      </c>
      <c r="P644" s="34" t="s">
        <v>2596</v>
      </c>
      <c r="Q644" s="34" t="s">
        <v>2597</v>
      </c>
      <c r="R644" s="34" t="s">
        <v>889</v>
      </c>
      <c r="S644" s="34">
        <v>20101215</v>
      </c>
      <c r="T644" s="45">
        <v>0.67609813230000004</v>
      </c>
      <c r="U644" s="46">
        <v>0.67667586270000002</v>
      </c>
      <c r="V644" s="34" t="s">
        <v>231</v>
      </c>
      <c r="W644" s="34" t="s">
        <v>44</v>
      </c>
      <c r="X644" s="34" t="s">
        <v>87</v>
      </c>
      <c r="Y644" s="34" t="s">
        <v>65</v>
      </c>
      <c r="Z644" s="34" t="s">
        <v>2598</v>
      </c>
      <c r="AA644" s="34"/>
      <c r="AB644" s="22">
        <v>0.7688296508789062</v>
      </c>
      <c r="AC644" s="23" t="s">
        <v>2599</v>
      </c>
      <c r="AD644" s="24">
        <v>0.9452054794520548</v>
      </c>
      <c r="AE644" s="25">
        <v>7.1254656862935972E-2</v>
      </c>
      <c r="AF644" s="26">
        <v>0.15750936646211411</v>
      </c>
      <c r="AG644" s="26">
        <v>0.14372638167088714</v>
      </c>
      <c r="AH644" s="27">
        <v>0.33612630711492225</v>
      </c>
      <c r="AI644" s="27">
        <v>0.53114769749919089</v>
      </c>
      <c r="AJ644" s="27">
        <v>0.54907159445971676</v>
      </c>
      <c r="AK644" s="33" t="s">
        <v>2119</v>
      </c>
      <c r="AL644" s="29">
        <v>3</v>
      </c>
      <c r="AM644" s="29">
        <v>4</v>
      </c>
      <c r="AN644" s="29" t="s">
        <v>48</v>
      </c>
      <c r="AO644" s="47" t="s">
        <v>2600</v>
      </c>
      <c r="AP644" s="28">
        <v>0</v>
      </c>
      <c r="AQ644" s="26">
        <v>1.4999999999999999E-2</v>
      </c>
      <c r="AR644" s="26">
        <v>0</v>
      </c>
    </row>
    <row r="645" spans="1:44" x14ac:dyDescent="0.15">
      <c r="A645">
        <v>360</v>
      </c>
      <c r="B645" s="11">
        <v>540009</v>
      </c>
      <c r="C645" s="32"/>
      <c r="D645" s="32">
        <v>2.69146773334281E-3</v>
      </c>
      <c r="E645" s="32">
        <v>58</v>
      </c>
      <c r="F645" s="32">
        <v>6.0290977417097803E-2</v>
      </c>
      <c r="G645" s="11"/>
      <c r="H645" s="11"/>
      <c r="I645" s="11"/>
      <c r="J645" s="18" t="s">
        <v>44</v>
      </c>
      <c r="K645" s="18" t="s">
        <v>87</v>
      </c>
      <c r="L645" s="58" t="s">
        <v>354</v>
      </c>
      <c r="M645" s="18">
        <f>[1]!f_prt_stocktonav(B645,"2017/03/31")</f>
        <v>88.309577941894531</v>
      </c>
      <c r="N645" s="20" t="str">
        <f>[1]!f_info_fundmanager(B645)</f>
        <v>是星涛</v>
      </c>
      <c r="O645" s="21">
        <v>1.1095890410958904</v>
      </c>
      <c r="P645" s="34" t="s">
        <v>2601</v>
      </c>
      <c r="Q645" s="34" t="s">
        <v>2602</v>
      </c>
      <c r="R645" s="34" t="s">
        <v>149</v>
      </c>
      <c r="S645" s="34">
        <v>20101208</v>
      </c>
      <c r="T645" s="45">
        <v>1.4924553129</v>
      </c>
      <c r="U645" s="46">
        <v>1.5511744636</v>
      </c>
      <c r="V645" s="34" t="s">
        <v>231</v>
      </c>
      <c r="W645" s="34" t="s">
        <v>44</v>
      </c>
      <c r="X645" s="34" t="s">
        <v>45</v>
      </c>
      <c r="Y645" s="34" t="s">
        <v>65</v>
      </c>
      <c r="Z645" s="34"/>
      <c r="AA645" s="34"/>
      <c r="AB645" s="22">
        <v>0.91440544128417967</v>
      </c>
      <c r="AC645" s="23" t="s">
        <v>2603</v>
      </c>
      <c r="AD645" s="24">
        <v>0.8794520547945206</v>
      </c>
      <c r="AE645" s="25">
        <v>-7.6638351124915793E-3</v>
      </c>
      <c r="AF645" s="26">
        <v>1.0836651873482817E-2</v>
      </c>
      <c r="AG645" s="26">
        <v>3.1191313213516869E-2</v>
      </c>
      <c r="AH645" s="27">
        <v>2.5480967467447029E-2</v>
      </c>
      <c r="AI645" s="27">
        <v>0.14449637055396417</v>
      </c>
      <c r="AJ645" s="27">
        <v>0.19180678903770146</v>
      </c>
      <c r="AK645" s="28" t="s">
        <v>2604</v>
      </c>
      <c r="AL645" s="29">
        <v>1</v>
      </c>
      <c r="AM645" s="29">
        <v>2</v>
      </c>
      <c r="AN645" s="29" t="s">
        <v>48</v>
      </c>
      <c r="AO645" s="47" t="s">
        <v>410</v>
      </c>
      <c r="AP645" s="28">
        <v>0</v>
      </c>
      <c r="AQ645" s="26">
        <v>1.4999999999999999E-2</v>
      </c>
      <c r="AR645" s="26">
        <v>0</v>
      </c>
    </row>
    <row r="646" spans="1:44" x14ac:dyDescent="0.15">
      <c r="A646">
        <v>580</v>
      </c>
      <c r="B646" s="11">
        <v>70021</v>
      </c>
      <c r="C646" s="32"/>
      <c r="D646" s="32">
        <v>-3.1388118854757201E-3</v>
      </c>
      <c r="E646" s="32">
        <v>245</v>
      </c>
      <c r="F646" s="32">
        <v>5.7623304690854601E-3</v>
      </c>
      <c r="G646" s="11"/>
      <c r="H646" s="11"/>
      <c r="I646" s="11"/>
      <c r="J646" s="18" t="s">
        <v>44</v>
      </c>
      <c r="K646" s="18" t="s">
        <v>87</v>
      </c>
      <c r="L646" s="58" t="s">
        <v>65</v>
      </c>
      <c r="M646" s="18">
        <f>[1]!f_prt_stocktonav(B646,"2017/03/31")</f>
        <v>83.303352355957031</v>
      </c>
      <c r="N646" s="20" t="str">
        <f>[1]!f_info_fundmanager(B646)</f>
        <v>齐海滔</v>
      </c>
      <c r="O646" s="21">
        <v>4.7041095890410958</v>
      </c>
      <c r="P646" s="34" t="s">
        <v>2605</v>
      </c>
      <c r="Q646" s="34" t="s">
        <v>2606</v>
      </c>
      <c r="R646" s="34" t="s">
        <v>92</v>
      </c>
      <c r="S646" s="34">
        <v>20101207</v>
      </c>
      <c r="T646" s="45">
        <v>6.6509758101000003</v>
      </c>
      <c r="U646" s="46">
        <v>7.3290561279000004</v>
      </c>
      <c r="V646" s="34" t="s">
        <v>231</v>
      </c>
      <c r="W646" s="34" t="s">
        <v>44</v>
      </c>
      <c r="X646" s="34" t="s">
        <v>45</v>
      </c>
      <c r="Y646" s="34" t="s">
        <v>65</v>
      </c>
      <c r="Z646" s="34"/>
      <c r="AA646" s="34"/>
      <c r="AB646" s="22">
        <v>0.85222290039062498</v>
      </c>
      <c r="AC646" s="23" t="s">
        <v>1818</v>
      </c>
      <c r="AD646" s="24">
        <v>4.4739726027397264</v>
      </c>
      <c r="AE646" s="25">
        <v>6.3685545957650413E-2</v>
      </c>
      <c r="AF646" s="26">
        <v>0.13887376214902569</v>
      </c>
      <c r="AG646" s="26">
        <v>0.13543355094573428</v>
      </c>
      <c r="AH646" s="27">
        <v>0.31012787200209346</v>
      </c>
      <c r="AI646" s="27">
        <v>0.49160460255853722</v>
      </c>
      <c r="AJ646" s="27">
        <v>0.52309003716973512</v>
      </c>
      <c r="AK646" s="28" t="s">
        <v>2607</v>
      </c>
      <c r="AL646" s="29">
        <v>2</v>
      </c>
      <c r="AM646" s="29">
        <v>2</v>
      </c>
      <c r="AN646" s="29" t="s">
        <v>48</v>
      </c>
      <c r="AO646" s="47" t="s">
        <v>249</v>
      </c>
      <c r="AP646" s="28" t="s">
        <v>2293</v>
      </c>
      <c r="AQ646" s="26">
        <v>1.4999999999999999E-2</v>
      </c>
      <c r="AR646" s="26">
        <v>0</v>
      </c>
    </row>
    <row r="647" spans="1:44" x14ac:dyDescent="0.15">
      <c r="A647">
        <v>836</v>
      </c>
      <c r="B647" s="11">
        <v>240017</v>
      </c>
      <c r="C647" s="32"/>
      <c r="D647" s="32">
        <v>-2.34252553730116E-3</v>
      </c>
      <c r="E647" s="32">
        <v>103</v>
      </c>
      <c r="F647" s="32">
        <v>0.21419249528641199</v>
      </c>
      <c r="G647" s="11"/>
      <c r="H647" s="11"/>
      <c r="I647" s="11"/>
      <c r="J647" s="18" t="s">
        <v>44</v>
      </c>
      <c r="K647" s="18" t="s">
        <v>87</v>
      </c>
      <c r="L647" s="58" t="s">
        <v>274</v>
      </c>
      <c r="M647" s="18">
        <f>[1]!f_prt_stocktonav(B647,"2017/03/31")</f>
        <v>75.430152893066406</v>
      </c>
      <c r="N647" s="20" t="str">
        <f>[1]!f_info_fundmanager(B647)</f>
        <v>易镜明</v>
      </c>
      <c r="O647" s="21">
        <v>1.978082191780822</v>
      </c>
      <c r="P647" s="34" t="s">
        <v>2608</v>
      </c>
      <c r="Q647" s="34" t="s">
        <v>2609</v>
      </c>
      <c r="R647" s="34" t="s">
        <v>737</v>
      </c>
      <c r="S647" s="34">
        <v>20101207</v>
      </c>
      <c r="T647" s="45">
        <v>6.9942340106999996</v>
      </c>
      <c r="U647" s="46">
        <v>7.6444675906999997</v>
      </c>
      <c r="V647" s="34" t="s">
        <v>231</v>
      </c>
      <c r="W647" s="34" t="s">
        <v>44</v>
      </c>
      <c r="X647" s="34" t="s">
        <v>45</v>
      </c>
      <c r="Y647" s="34" t="s">
        <v>274</v>
      </c>
      <c r="Z647" s="34"/>
      <c r="AA647" s="34"/>
      <c r="AB647" s="22">
        <v>0.79597976684570315</v>
      </c>
      <c r="AC647" s="23" t="s">
        <v>2610</v>
      </c>
      <c r="AD647" s="24">
        <v>1.747945205479452</v>
      </c>
      <c r="AE647" s="25">
        <v>0.12468941303714232</v>
      </c>
      <c r="AF647" s="26">
        <v>0.11733332519551087</v>
      </c>
      <c r="AG647" s="26">
        <v>0.21861271749294844</v>
      </c>
      <c r="AH647" s="27">
        <v>0.50934419464206404</v>
      </c>
      <c r="AI647" s="27">
        <v>0.43585240068018155</v>
      </c>
      <c r="AJ647" s="27">
        <v>0.76954200040251419</v>
      </c>
      <c r="AK647" s="28" t="s">
        <v>2307</v>
      </c>
      <c r="AL647" s="29">
        <v>5</v>
      </c>
      <c r="AM647" s="29">
        <v>3</v>
      </c>
      <c r="AN647" s="29" t="s">
        <v>48</v>
      </c>
      <c r="AO647" s="47" t="s">
        <v>739</v>
      </c>
      <c r="AP647" s="28">
        <v>0</v>
      </c>
      <c r="AQ647" s="26">
        <v>1.4999999999999999E-2</v>
      </c>
      <c r="AR647" s="26">
        <v>0</v>
      </c>
    </row>
    <row r="648" spans="1:44" x14ac:dyDescent="0.15">
      <c r="A648">
        <v>799</v>
      </c>
      <c r="B648" s="11">
        <v>233008</v>
      </c>
      <c r="C648" s="32"/>
      <c r="D648" s="32">
        <v>-1.2438819786105299E-3</v>
      </c>
      <c r="E648" s="32">
        <v>114</v>
      </c>
      <c r="F648" s="32">
        <v>0.58813802426768602</v>
      </c>
      <c r="G648" s="11"/>
      <c r="H648" s="11"/>
      <c r="I648" s="11"/>
      <c r="J648" s="18" t="s">
        <v>44</v>
      </c>
      <c r="K648" s="18" t="s">
        <v>45</v>
      </c>
      <c r="L648" s="58" t="s">
        <v>65</v>
      </c>
      <c r="M648" s="18">
        <f>[1]!f_prt_stocktonav(B648,"2017/03/31")</f>
        <v>76.712150573730469</v>
      </c>
      <c r="N648" s="20" t="str">
        <f>[1]!f_info_fundmanager(B648)</f>
        <v>司巍</v>
      </c>
      <c r="O648" s="21">
        <v>2.1890410958904107</v>
      </c>
      <c r="P648" s="34" t="s">
        <v>2611</v>
      </c>
      <c r="Q648" s="34" t="s">
        <v>2612</v>
      </c>
      <c r="R648" s="34" t="s">
        <v>378</v>
      </c>
      <c r="S648" s="34">
        <v>20101203</v>
      </c>
      <c r="T648" s="45">
        <v>1.9850296407000001</v>
      </c>
      <c r="U648" s="46">
        <v>2.3957095393999999</v>
      </c>
      <c r="V648" s="34" t="s">
        <v>231</v>
      </c>
      <c r="W648" s="34" t="s">
        <v>44</v>
      </c>
      <c r="X648" s="34" t="s">
        <v>45</v>
      </c>
      <c r="Y648" s="34" t="s">
        <v>65</v>
      </c>
      <c r="Z648" s="34"/>
      <c r="AA648" s="34"/>
      <c r="AB648" s="22">
        <v>0.74518936157226567</v>
      </c>
      <c r="AC648" s="23" t="s">
        <v>2613</v>
      </c>
      <c r="AD648" s="24">
        <v>1.9589041095890412</v>
      </c>
      <c r="AE648" s="25">
        <v>-1.0793214681079188E-2</v>
      </c>
      <c r="AF648" s="26">
        <v>4.4186369747107879E-3</v>
      </c>
      <c r="AG648" s="26">
        <v>4.059738506667121E-2</v>
      </c>
      <c r="AH648" s="27">
        <v>-1.9680618054585546E-3</v>
      </c>
      <c r="AI648" s="27">
        <v>8.0407220446898922E-2</v>
      </c>
      <c r="AJ648" s="27">
        <v>0.22363967066955848</v>
      </c>
      <c r="AK648" s="28" t="s">
        <v>2614</v>
      </c>
      <c r="AL648" s="29">
        <v>2</v>
      </c>
      <c r="AM648" s="29">
        <v>4</v>
      </c>
      <c r="AN648" s="29" t="s">
        <v>48</v>
      </c>
      <c r="AO648" s="47" t="s">
        <v>2226</v>
      </c>
      <c r="AP648" s="28">
        <v>0</v>
      </c>
      <c r="AQ648" s="26">
        <v>1.4999999999999999E-2</v>
      </c>
      <c r="AR648" s="26">
        <v>0</v>
      </c>
    </row>
    <row r="649" spans="1:44" x14ac:dyDescent="0.15">
      <c r="A649">
        <v>638</v>
      </c>
      <c r="B649" s="11">
        <v>450009</v>
      </c>
      <c r="C649" s="32"/>
      <c r="D649" s="32">
        <v>-1.99585195351872E-4</v>
      </c>
      <c r="E649" s="32">
        <v>331</v>
      </c>
      <c r="F649" s="32">
        <v>0.79025890082413597</v>
      </c>
      <c r="G649" s="11"/>
      <c r="H649" s="11"/>
      <c r="I649" s="11"/>
      <c r="J649" s="18" t="s">
        <v>44</v>
      </c>
      <c r="K649" s="18" t="s">
        <v>45</v>
      </c>
      <c r="L649" s="58" t="s">
        <v>274</v>
      </c>
      <c r="M649" s="18">
        <f>[1]!f_prt_stocktonav(B649,"2017/03/31")</f>
        <v>81.896354675292969</v>
      </c>
      <c r="N649" s="20" t="str">
        <f>[1]!f_info_fundmanager(B649)</f>
        <v>赵晓东</v>
      </c>
      <c r="O649" s="21">
        <v>6.3561643835616435</v>
      </c>
      <c r="P649" s="34" t="s">
        <v>2615</v>
      </c>
      <c r="Q649" s="34" t="s">
        <v>2616</v>
      </c>
      <c r="R649" s="34" t="s">
        <v>742</v>
      </c>
      <c r="S649" s="34">
        <v>20101123</v>
      </c>
      <c r="T649" s="45">
        <v>5.3256884638999997</v>
      </c>
      <c r="U649" s="46">
        <v>5.2271766543</v>
      </c>
      <c r="V649" s="34" t="s">
        <v>231</v>
      </c>
      <c r="W649" s="34" t="s">
        <v>44</v>
      </c>
      <c r="X649" s="34" t="s">
        <v>45</v>
      </c>
      <c r="Y649" s="34" t="s">
        <v>274</v>
      </c>
      <c r="Z649" s="34"/>
      <c r="AA649" s="34"/>
      <c r="AB649" s="22">
        <v>0.88025436401367185</v>
      </c>
      <c r="AC649" s="23" t="s">
        <v>2617</v>
      </c>
      <c r="AD649" s="24">
        <v>6.1260273972602741</v>
      </c>
      <c r="AE649" s="25">
        <v>0.11666489658807698</v>
      </c>
      <c r="AF649" s="26">
        <v>0.26706140407531165</v>
      </c>
      <c r="AG649" s="26">
        <v>0.18474493519882038</v>
      </c>
      <c r="AH649" s="27">
        <v>0.49940949659583561</v>
      </c>
      <c r="AI649" s="27">
        <v>0.87652252684148657</v>
      </c>
      <c r="AJ649" s="27">
        <v>0.70648584632113998</v>
      </c>
      <c r="AK649" s="28" t="s">
        <v>2618</v>
      </c>
      <c r="AL649" s="29">
        <v>4</v>
      </c>
      <c r="AM649" s="29">
        <v>4</v>
      </c>
      <c r="AN649" s="29" t="s">
        <v>48</v>
      </c>
      <c r="AO649" s="47" t="s">
        <v>2619</v>
      </c>
      <c r="AP649" s="28">
        <v>0</v>
      </c>
      <c r="AQ649" s="26">
        <v>1.4999999999999999E-2</v>
      </c>
      <c r="AR649" s="26">
        <v>0</v>
      </c>
    </row>
    <row r="650" spans="1:44" x14ac:dyDescent="0.15">
      <c r="A650">
        <v>450</v>
      </c>
      <c r="B650" s="11">
        <v>270025</v>
      </c>
      <c r="C650" s="32"/>
      <c r="D650" s="32">
        <v>0</v>
      </c>
      <c r="E650" s="32">
        <v>0</v>
      </c>
      <c r="F650" s="32">
        <v>0</v>
      </c>
      <c r="G650" s="11"/>
      <c r="H650" s="11"/>
      <c r="I650" s="11"/>
      <c r="J650" s="18" t="s">
        <v>44</v>
      </c>
      <c r="K650" s="18" t="s">
        <v>45</v>
      </c>
      <c r="L650" s="58">
        <v>0</v>
      </c>
      <c r="M650" s="18">
        <f>[1]!f_prt_stocktonav(B650,"2017/03/31")</f>
        <v>86.305831909179687</v>
      </c>
      <c r="N650" s="20" t="str">
        <f>[1]!f_info_fundmanager(B650)</f>
        <v>邱璟旻</v>
      </c>
      <c r="O650" s="21">
        <v>5.4794520547945206E-3</v>
      </c>
      <c r="P650" s="34" t="s">
        <v>2620</v>
      </c>
      <c r="Q650" s="34" t="s">
        <v>2621</v>
      </c>
      <c r="R650" s="34" t="s">
        <v>132</v>
      </c>
      <c r="S650" s="34">
        <v>20101123</v>
      </c>
      <c r="T650" s="45">
        <v>36.250840658500003</v>
      </c>
      <c r="U650" s="46">
        <v>41.8546521484</v>
      </c>
      <c r="V650" s="34" t="s">
        <v>231</v>
      </c>
      <c r="W650" s="34" t="s">
        <v>44</v>
      </c>
      <c r="X650" s="34" t="s">
        <v>45</v>
      </c>
      <c r="Y650" s="34" t="s">
        <v>65</v>
      </c>
      <c r="Z650" s="34"/>
      <c r="AA650" s="34"/>
      <c r="AB650" s="22">
        <v>0.86051887512207026</v>
      </c>
      <c r="AC650" s="23" t="s">
        <v>2622</v>
      </c>
      <c r="AD650" s="24">
        <v>6.1260273972602741</v>
      </c>
      <c r="AE650" s="25">
        <v>0.10488387322933847</v>
      </c>
      <c r="AF650" s="26">
        <v>0.22087570712326296</v>
      </c>
      <c r="AG650" s="26">
        <v>0.19850131635242985</v>
      </c>
      <c r="AH650" s="27">
        <v>0.4567288693485364</v>
      </c>
      <c r="AI650" s="27">
        <v>0.73570216383272968</v>
      </c>
      <c r="AJ650" s="27">
        <v>0.7401455247118216</v>
      </c>
      <c r="AK650" s="28" t="s">
        <v>957</v>
      </c>
      <c r="AL650" s="29">
        <v>5</v>
      </c>
      <c r="AM650" s="29">
        <v>5</v>
      </c>
      <c r="AN650" s="29" t="s">
        <v>48</v>
      </c>
      <c r="AO650" s="47" t="s">
        <v>287</v>
      </c>
      <c r="AP650" s="28">
        <v>0</v>
      </c>
      <c r="AQ650" s="26">
        <v>1.4999999999999999E-2</v>
      </c>
      <c r="AR650" s="26">
        <v>0</v>
      </c>
    </row>
    <row r="651" spans="1:44" x14ac:dyDescent="0.15">
      <c r="A651">
        <v>408</v>
      </c>
      <c r="B651" s="11">
        <v>519983</v>
      </c>
      <c r="C651" s="32"/>
      <c r="D651" s="32">
        <v>-1.35092378988868E-3</v>
      </c>
      <c r="E651" s="32">
        <v>107</v>
      </c>
      <c r="F651" s="32">
        <v>0.15570358857658001</v>
      </c>
      <c r="G651" s="11"/>
      <c r="H651" s="11"/>
      <c r="I651" s="11"/>
      <c r="J651" s="18" t="s">
        <v>44</v>
      </c>
      <c r="K651" s="18" t="s">
        <v>64</v>
      </c>
      <c r="L651" s="58" t="s">
        <v>274</v>
      </c>
      <c r="M651" s="18">
        <f>[1]!f_prt_stocktonav(B651,"2017/03/31")</f>
        <v>87.288963317871094</v>
      </c>
      <c r="N651" s="20" t="str">
        <f>[1]!f_info_fundmanager(B651)</f>
        <v>左金保</v>
      </c>
      <c r="O651" s="21">
        <v>2.0520547945205481</v>
      </c>
      <c r="P651" s="34" t="s">
        <v>2623</v>
      </c>
      <c r="Q651" s="34" t="s">
        <v>2624</v>
      </c>
      <c r="R651" s="34" t="s">
        <v>206</v>
      </c>
      <c r="S651" s="34">
        <v>20101118</v>
      </c>
      <c r="T651" s="45">
        <v>109.4407526087</v>
      </c>
      <c r="U651" s="46">
        <v>74.474449606600004</v>
      </c>
      <c r="V651" s="34" t="s">
        <v>231</v>
      </c>
      <c r="W651" s="34" t="s">
        <v>44</v>
      </c>
      <c r="X651" s="34" t="s">
        <v>45</v>
      </c>
      <c r="Y651" s="34" t="s">
        <v>65</v>
      </c>
      <c r="Z651" s="34"/>
      <c r="AA651" s="34"/>
      <c r="AB651" s="22">
        <v>0.8460810089111328</v>
      </c>
      <c r="AC651" s="23" t="s">
        <v>327</v>
      </c>
      <c r="AD651" s="24">
        <v>1.821917808219178</v>
      </c>
      <c r="AE651" s="25">
        <v>0.1778144189252</v>
      </c>
      <c r="AF651" s="26">
        <v>0.47515293427051897</v>
      </c>
      <c r="AG651" s="26">
        <v>0.30830754625405321</v>
      </c>
      <c r="AH651" s="27">
        <v>0.69662266324571032</v>
      </c>
      <c r="AI651" s="27">
        <v>1.3265333982621079</v>
      </c>
      <c r="AJ651" s="27">
        <v>1.0613091517702002</v>
      </c>
      <c r="AK651" s="28" t="s">
        <v>2271</v>
      </c>
      <c r="AL651" s="29">
        <v>5</v>
      </c>
      <c r="AM651" s="29">
        <v>5</v>
      </c>
      <c r="AN651" s="29" t="s">
        <v>48</v>
      </c>
      <c r="AO651" s="47" t="s">
        <v>209</v>
      </c>
      <c r="AP651" s="28" t="s">
        <v>608</v>
      </c>
      <c r="AQ651" s="26">
        <v>1.4999999999999999E-2</v>
      </c>
      <c r="AR651" s="26">
        <v>0</v>
      </c>
    </row>
    <row r="652" spans="1:44" x14ac:dyDescent="0.15">
      <c r="A652">
        <v>685</v>
      </c>
      <c r="B652" s="11">
        <v>530011</v>
      </c>
      <c r="C652" s="32"/>
      <c r="D652" s="32">
        <v>-1.03869302201238E-3</v>
      </c>
      <c r="E652" s="32">
        <v>123</v>
      </c>
      <c r="F652" s="32">
        <v>0.44109397079836499</v>
      </c>
      <c r="G652" s="11"/>
      <c r="H652" s="11"/>
      <c r="I652" s="11"/>
      <c r="J652" s="18" t="s">
        <v>44</v>
      </c>
      <c r="K652" s="18" t="s">
        <v>45</v>
      </c>
      <c r="L652" s="58" t="s">
        <v>65</v>
      </c>
      <c r="M652" s="18">
        <f>[1]!f_prt_stocktonav(B652,"2017/03/31")</f>
        <v>80.449234008789063</v>
      </c>
      <c r="N652" s="20" t="str">
        <f>[1]!f_info_fundmanager(B652)</f>
        <v>吴尚伟</v>
      </c>
      <c r="O652" s="21">
        <v>2.3479452054794518</v>
      </c>
      <c r="P652" s="34" t="s">
        <v>2625</v>
      </c>
      <c r="Q652" s="34" t="s">
        <v>2626</v>
      </c>
      <c r="R652" s="34" t="s">
        <v>307</v>
      </c>
      <c r="S652" s="34">
        <v>20101116</v>
      </c>
      <c r="T652" s="45">
        <v>3.9896907971000002</v>
      </c>
      <c r="U652" s="46">
        <v>5.1002038744</v>
      </c>
      <c r="V652" s="34" t="s">
        <v>231</v>
      </c>
      <c r="W652" s="34" t="s">
        <v>41</v>
      </c>
      <c r="X652" s="17" t="s">
        <v>42</v>
      </c>
      <c r="Y652" s="17" t="s">
        <v>181</v>
      </c>
      <c r="Z652" s="34"/>
      <c r="AA652" s="34"/>
      <c r="AB652" s="22">
        <v>0.69658142089843755</v>
      </c>
      <c r="AC652" s="23" t="s">
        <v>2627</v>
      </c>
      <c r="AD652" s="24">
        <v>2.117808219178082</v>
      </c>
      <c r="AE652" s="25">
        <v>5.9232951374592613E-2</v>
      </c>
      <c r="AF652" s="26">
        <v>0.13628664996129758</v>
      </c>
      <c r="AG652" s="26">
        <v>0.11493893021423984</v>
      </c>
      <c r="AH652" s="27">
        <v>0.31022783189022379</v>
      </c>
      <c r="AI652" s="27">
        <v>0.58450770580069789</v>
      </c>
      <c r="AJ652" s="27">
        <v>0.53203403216885747</v>
      </c>
      <c r="AK652" s="28" t="s">
        <v>2074</v>
      </c>
      <c r="AL652" s="29">
        <v>2</v>
      </c>
      <c r="AM652" s="29">
        <v>4</v>
      </c>
      <c r="AN652" s="29" t="s">
        <v>48</v>
      </c>
      <c r="AO652" s="47" t="s">
        <v>209</v>
      </c>
      <c r="AP652" s="28">
        <v>0</v>
      </c>
      <c r="AQ652" s="26">
        <v>1.4999999999999999E-2</v>
      </c>
      <c r="AR652" s="26">
        <v>0</v>
      </c>
    </row>
    <row r="653" spans="1:44" x14ac:dyDescent="0.15">
      <c r="A653">
        <v>863</v>
      </c>
      <c r="B653" s="11">
        <v>630008</v>
      </c>
      <c r="C653" s="32"/>
      <c r="D653" s="32">
        <v>-2.3787075495602401E-3</v>
      </c>
      <c r="E653" s="32">
        <v>152</v>
      </c>
      <c r="F653" s="32">
        <v>3.1474347409525399E-2</v>
      </c>
      <c r="G653" s="11"/>
      <c r="H653" s="11"/>
      <c r="I653" s="11"/>
      <c r="J653" s="18" t="s">
        <v>44</v>
      </c>
      <c r="K653" s="18" t="s">
        <v>45</v>
      </c>
      <c r="L653" s="58" t="s">
        <v>274</v>
      </c>
      <c r="M653" s="18">
        <f>[1]!f_prt_stocktonav(B653,"2017/03/31")</f>
        <v>73.992080688476562</v>
      </c>
      <c r="N653" s="20" t="str">
        <f>[1]!f_info_fundmanager(B653)</f>
        <v>周海栋,孙祺</v>
      </c>
      <c r="O653" s="21">
        <v>2.9068493150684933</v>
      </c>
      <c r="P653" s="34" t="s">
        <v>2628</v>
      </c>
      <c r="Q653" s="34" t="s">
        <v>2629</v>
      </c>
      <c r="R653" s="34" t="s">
        <v>387</v>
      </c>
      <c r="S653" s="34">
        <v>20101109</v>
      </c>
      <c r="T653" s="45">
        <v>11.8488454188</v>
      </c>
      <c r="U653" s="46">
        <v>12.085052790000001</v>
      </c>
      <c r="V653" s="34" t="s">
        <v>231</v>
      </c>
      <c r="W653" s="34" t="s">
        <v>41</v>
      </c>
      <c r="X653" s="17" t="s">
        <v>42</v>
      </c>
      <c r="Y653" s="17" t="s">
        <v>181</v>
      </c>
      <c r="Z653" s="34"/>
      <c r="AA653" s="34"/>
      <c r="AB653" s="22">
        <v>0.62404541015625004</v>
      </c>
      <c r="AC653" s="23" t="s">
        <v>2630</v>
      </c>
      <c r="AD653" s="24">
        <v>2.6767123287671235</v>
      </c>
      <c r="AE653" s="25">
        <v>5.3760788717155394E-2</v>
      </c>
      <c r="AF653" s="26">
        <v>0.15484498370674427</v>
      </c>
      <c r="AG653" s="26">
        <v>0.13551360463964635</v>
      </c>
      <c r="AH653" s="27">
        <v>0.28576690350656681</v>
      </c>
      <c r="AI653" s="27">
        <v>0.59337440620852155</v>
      </c>
      <c r="AJ653" s="27">
        <v>0.59648891771043222</v>
      </c>
      <c r="AK653" s="28" t="s">
        <v>240</v>
      </c>
      <c r="AL653" s="29">
        <v>4</v>
      </c>
      <c r="AM653" s="29">
        <v>3</v>
      </c>
      <c r="AN653" s="29" t="s">
        <v>48</v>
      </c>
      <c r="AO653" s="47" t="s">
        <v>1525</v>
      </c>
      <c r="AP653" s="28">
        <v>0</v>
      </c>
      <c r="AQ653" s="26">
        <v>1.4999999999999999E-2</v>
      </c>
      <c r="AR653" s="26">
        <v>0</v>
      </c>
    </row>
    <row r="654" spans="1:44" x14ac:dyDescent="0.15">
      <c r="A654">
        <v>310</v>
      </c>
      <c r="B654" s="11">
        <v>470006</v>
      </c>
      <c r="C654" s="32"/>
      <c r="D654" s="32">
        <v>-1.2142645546398001E-3</v>
      </c>
      <c r="E654" s="32">
        <v>265</v>
      </c>
      <c r="F654" s="32">
        <v>0.22746013056641001</v>
      </c>
      <c r="G654" s="11"/>
      <c r="H654" s="11"/>
      <c r="I654" s="11"/>
      <c r="J654" s="18" t="s">
        <v>44</v>
      </c>
      <c r="K654" s="19" t="s">
        <v>86</v>
      </c>
      <c r="L654" s="58" t="s">
        <v>274</v>
      </c>
      <c r="M654" s="18">
        <f>[1]!f_prt_stocktonav(B654,"2017/03/31")</f>
        <v>89.298431396484375</v>
      </c>
      <c r="N654" s="20" t="str">
        <f>[1]!f_info_fundmanager(B654)</f>
        <v>周睿</v>
      </c>
      <c r="O654" s="21">
        <v>5.0821917808219181</v>
      </c>
      <c r="P654" s="32" t="s">
        <v>2631</v>
      </c>
      <c r="Q654" s="13" t="s">
        <v>2632</v>
      </c>
      <c r="R654" s="13" t="s">
        <v>331</v>
      </c>
      <c r="S654" s="13">
        <v>20100921</v>
      </c>
      <c r="T654" s="14">
        <v>39.067092066400001</v>
      </c>
      <c r="U654" s="15" t="s">
        <v>39</v>
      </c>
      <c r="V654" s="16" t="s">
        <v>40</v>
      </c>
      <c r="W654" s="17" t="s">
        <v>44</v>
      </c>
      <c r="X654" s="17" t="s">
        <v>86</v>
      </c>
      <c r="Y654" s="17" t="s">
        <v>274</v>
      </c>
      <c r="Z654" s="13"/>
      <c r="AA654" s="13"/>
      <c r="AB654" s="22">
        <v>0.91372863769531254</v>
      </c>
      <c r="AC654" s="23" t="s">
        <v>2633</v>
      </c>
      <c r="AD654" s="24">
        <v>4.8520547945205479</v>
      </c>
      <c r="AE654" s="25">
        <v>8.5068726711223785E-2</v>
      </c>
      <c r="AF654" s="26">
        <v>0.1025541491385862</v>
      </c>
      <c r="AG654" s="26">
        <v>0.16784177224187324</v>
      </c>
      <c r="AH654" s="27">
        <v>0.38907421928905067</v>
      </c>
      <c r="AI654" s="27">
        <v>0.4011253987906937</v>
      </c>
      <c r="AJ654" s="27">
        <v>0.6467495564548944</v>
      </c>
      <c r="AK654" s="33" t="s">
        <v>2387</v>
      </c>
      <c r="AL654" s="29">
        <v>3</v>
      </c>
      <c r="AM654" s="29">
        <v>3</v>
      </c>
      <c r="AN654" s="29" t="s">
        <v>48</v>
      </c>
      <c r="AO654" s="23" t="s">
        <v>2634</v>
      </c>
      <c r="AP654" s="30">
        <v>0</v>
      </c>
      <c r="AQ654" s="31">
        <v>1.4999999999999999E-2</v>
      </c>
      <c r="AR654" s="31">
        <v>0</v>
      </c>
    </row>
    <row r="655" spans="1:44" x14ac:dyDescent="0.15">
      <c r="A655">
        <v>816</v>
      </c>
      <c r="B655" s="11">
        <v>320012</v>
      </c>
      <c r="C655" s="32"/>
      <c r="D655" s="32">
        <v>2.7565817776793597E-4</v>
      </c>
      <c r="E655" s="32">
        <v>79</v>
      </c>
      <c r="F655" s="32">
        <v>0.84977579655473701</v>
      </c>
      <c r="G655" s="11"/>
      <c r="H655" s="11"/>
      <c r="I655" s="11"/>
      <c r="J655" s="18" t="s">
        <v>44</v>
      </c>
      <c r="K655" s="18" t="s">
        <v>87</v>
      </c>
      <c r="L655" s="58" t="s">
        <v>65</v>
      </c>
      <c r="M655" s="18">
        <f>[1]!f_prt_stocktonav(B655,"2017/03/31")</f>
        <v>76.01318359375</v>
      </c>
      <c r="N655" s="20" t="str">
        <f>[1]!f_info_fundmanager(B655)</f>
        <v>罗春蕾</v>
      </c>
      <c r="O655" s="21">
        <v>1.5123287671232877</v>
      </c>
      <c r="P655" s="34" t="s">
        <v>2635</v>
      </c>
      <c r="Q655" s="34" t="s">
        <v>2636</v>
      </c>
      <c r="R655" s="34" t="s">
        <v>955</v>
      </c>
      <c r="S655" s="34">
        <v>20100915</v>
      </c>
      <c r="T655" s="45">
        <v>1.9753945075999999</v>
      </c>
      <c r="U655" s="46">
        <v>2.0793939876</v>
      </c>
      <c r="V655" s="34" t="s">
        <v>231</v>
      </c>
      <c r="W655" s="34" t="s">
        <v>41</v>
      </c>
      <c r="X655" s="17" t="s">
        <v>42</v>
      </c>
      <c r="Y655" s="17" t="s">
        <v>181</v>
      </c>
      <c r="Z655" s="34"/>
      <c r="AA655" s="34"/>
      <c r="AB655" s="22">
        <v>0.6726110076904297</v>
      </c>
      <c r="AC655" s="23" t="s">
        <v>2637</v>
      </c>
      <c r="AD655" s="24">
        <v>1.2821917808219179</v>
      </c>
      <c r="AE655" s="25">
        <v>8.78380750920984E-2</v>
      </c>
      <c r="AF655" s="26">
        <v>0.19304531535499556</v>
      </c>
      <c r="AG655" s="26">
        <v>0.1650268728312756</v>
      </c>
      <c r="AH655" s="27">
        <v>0.43151290077869148</v>
      </c>
      <c r="AI655" s="27">
        <v>0.77320040864326434</v>
      </c>
      <c r="AJ655" s="27">
        <v>0.72472342056683581</v>
      </c>
      <c r="AK655" s="28" t="s">
        <v>2119</v>
      </c>
      <c r="AL655" s="29">
        <v>5</v>
      </c>
      <c r="AM655" s="29">
        <v>4</v>
      </c>
      <c r="AN655" s="29" t="s">
        <v>48</v>
      </c>
      <c r="AO655" s="47" t="s">
        <v>583</v>
      </c>
      <c r="AP655" s="28">
        <v>0</v>
      </c>
      <c r="AQ655" s="26">
        <v>1.4999999999999999E-2</v>
      </c>
      <c r="AR655" s="26">
        <v>0</v>
      </c>
    </row>
    <row r="656" spans="1:44" x14ac:dyDescent="0.15">
      <c r="A656">
        <v>652</v>
      </c>
      <c r="B656" s="11">
        <v>620006</v>
      </c>
      <c r="C656" s="32"/>
      <c r="D656" s="32">
        <v>-4.70247346785517E-4</v>
      </c>
      <c r="E656" s="32">
        <v>76</v>
      </c>
      <c r="F656" s="32">
        <v>0.81332459674033797</v>
      </c>
      <c r="G656" s="11"/>
      <c r="H656" s="11"/>
      <c r="I656" s="11"/>
      <c r="J656" s="18" t="s">
        <v>44</v>
      </c>
      <c r="K656" s="18" t="s">
        <v>87</v>
      </c>
      <c r="L656" s="58" t="s">
        <v>65</v>
      </c>
      <c r="M656" s="18">
        <f>[1]!f_prt_stocktonav(B656,"2017/03/31")</f>
        <v>81.364921569824219</v>
      </c>
      <c r="N656" s="20" t="str">
        <f>[1]!f_info_fundmanager(B656)</f>
        <v>闵杭</v>
      </c>
      <c r="O656" s="21">
        <v>1.4575342465753425</v>
      </c>
      <c r="P656" s="34" t="s">
        <v>2638</v>
      </c>
      <c r="Q656" s="34" t="s">
        <v>2639</v>
      </c>
      <c r="R656" s="34" t="s">
        <v>2275</v>
      </c>
      <c r="S656" s="34">
        <v>20100915</v>
      </c>
      <c r="T656" s="45">
        <v>0.1614777828</v>
      </c>
      <c r="U656" s="46">
        <v>0.1703709679</v>
      </c>
      <c r="V656" s="34" t="s">
        <v>231</v>
      </c>
      <c r="W656" s="34" t="s">
        <v>44</v>
      </c>
      <c r="X656" s="34" t="s">
        <v>87</v>
      </c>
      <c r="Y656" s="34" t="s">
        <v>274</v>
      </c>
      <c r="Z656" s="34" t="s">
        <v>338</v>
      </c>
      <c r="AA656" s="34"/>
      <c r="AB656" s="22">
        <v>0.80512374877929682</v>
      </c>
      <c r="AC656" s="23" t="s">
        <v>2277</v>
      </c>
      <c r="AD656" s="24">
        <v>1.2273972602739727</v>
      </c>
      <c r="AE656" s="25">
        <v>-2.2752135453552258E-2</v>
      </c>
      <c r="AF656" s="26">
        <v>-1.459243434680968E-2</v>
      </c>
      <c r="AG656" s="26">
        <v>1.3726849493490123E-2</v>
      </c>
      <c r="AH656" s="27">
        <v>-1.5385175289330614E-2</v>
      </c>
      <c r="AI656" s="27">
        <v>7.8783574739581169E-2</v>
      </c>
      <c r="AJ656" s="27">
        <v>0.13805713573957457</v>
      </c>
      <c r="AK656" s="33" t="s">
        <v>110</v>
      </c>
      <c r="AL656" s="29">
        <v>1</v>
      </c>
      <c r="AM656" s="29">
        <v>2</v>
      </c>
      <c r="AN656" s="29" t="s">
        <v>48</v>
      </c>
      <c r="AO656" s="47" t="s">
        <v>2640</v>
      </c>
      <c r="AP656" s="28">
        <v>0</v>
      </c>
      <c r="AQ656" s="26">
        <v>1.4999999999999999E-2</v>
      </c>
      <c r="AR656" s="26">
        <v>0</v>
      </c>
    </row>
    <row r="657" spans="1:44" x14ac:dyDescent="0.15">
      <c r="A657">
        <v>776</v>
      </c>
      <c r="B657" s="11">
        <v>660006</v>
      </c>
      <c r="C657" s="32"/>
      <c r="D657" s="32">
        <v>3.0567153900550799E-5</v>
      </c>
      <c r="E657" s="32">
        <v>70</v>
      </c>
      <c r="F657" s="32">
        <v>0.96017244956708703</v>
      </c>
      <c r="G657" s="11"/>
      <c r="H657" s="11"/>
      <c r="I657" s="11"/>
      <c r="J657" s="18" t="s">
        <v>44</v>
      </c>
      <c r="K657" s="18" t="s">
        <v>45</v>
      </c>
      <c r="L657" s="58" t="s">
        <v>354</v>
      </c>
      <c r="M657" s="18">
        <f>[1]!f_prt_stocktonav(B657,"2017/03/31")</f>
        <v>77.419563293457031</v>
      </c>
      <c r="N657" s="20" t="str">
        <f>[1]!f_info_fundmanager(B657)</f>
        <v>宋永安</v>
      </c>
      <c r="O657" s="21">
        <v>1.3287671232876712</v>
      </c>
      <c r="P657" s="34" t="s">
        <v>2641</v>
      </c>
      <c r="Q657" s="34" t="s">
        <v>2642</v>
      </c>
      <c r="R657" s="34" t="s">
        <v>424</v>
      </c>
      <c r="S657" s="34">
        <v>20100901</v>
      </c>
      <c r="T657" s="45">
        <v>2.7450141541000002</v>
      </c>
      <c r="U657" s="46">
        <v>2.7505982805000002</v>
      </c>
      <c r="V657" s="34" t="s">
        <v>231</v>
      </c>
      <c r="W657" s="34" t="s">
        <v>44</v>
      </c>
      <c r="X657" s="34" t="s">
        <v>45</v>
      </c>
      <c r="Y657" s="34" t="s">
        <v>817</v>
      </c>
      <c r="Z657" s="34"/>
      <c r="AA657" s="34"/>
      <c r="AB657" s="22">
        <v>0.79454910278320312</v>
      </c>
      <c r="AC657" s="23" t="s">
        <v>2643</v>
      </c>
      <c r="AD657" s="24">
        <v>1.0986301369863014</v>
      </c>
      <c r="AE657" s="25">
        <v>-7.1380968813568035E-3</v>
      </c>
      <c r="AF657" s="26">
        <v>4.5407169707112338E-3</v>
      </c>
      <c r="AG657" s="26">
        <v>4.2650768782146464E-2</v>
      </c>
      <c r="AH657" s="27">
        <v>9.642067240872184E-3</v>
      </c>
      <c r="AI657" s="27">
        <v>9.2349146187419143E-2</v>
      </c>
      <c r="AJ657" s="27">
        <v>0.23304559311286843</v>
      </c>
      <c r="AK657" s="28" t="s">
        <v>2119</v>
      </c>
      <c r="AL657" s="29">
        <v>1</v>
      </c>
      <c r="AM657" s="29">
        <v>2</v>
      </c>
      <c r="AN657" s="29" t="s">
        <v>48</v>
      </c>
      <c r="AO657" s="47" t="s">
        <v>702</v>
      </c>
      <c r="AP657" s="28">
        <v>0</v>
      </c>
      <c r="AQ657" s="26">
        <v>1.4999999999999999E-2</v>
      </c>
      <c r="AR657" s="26">
        <v>0</v>
      </c>
    </row>
    <row r="658" spans="1:44" x14ac:dyDescent="0.15">
      <c r="A658">
        <v>568</v>
      </c>
      <c r="B658" s="11">
        <v>110022</v>
      </c>
      <c r="C658" s="32"/>
      <c r="D658" s="32">
        <v>1.51597098375849E-3</v>
      </c>
      <c r="E658" s="32">
        <v>235</v>
      </c>
      <c r="F658" s="32">
        <v>0.16574286900238799</v>
      </c>
      <c r="G658" s="11"/>
      <c r="H658" s="11"/>
      <c r="I658" s="11"/>
      <c r="J658" s="18" t="s">
        <v>44</v>
      </c>
      <c r="K658" s="18" t="s">
        <v>87</v>
      </c>
      <c r="L658" s="58" t="s">
        <v>65</v>
      </c>
      <c r="M658" s="18">
        <f>[1]!f_prt_stocktonav(B658,"2017/03/31")</f>
        <v>83.612960815429688</v>
      </c>
      <c r="N658" s="20" t="str">
        <f>[1]!f_info_fundmanager(B658)</f>
        <v>萧楠</v>
      </c>
      <c r="O658" s="21">
        <v>4.506849315068493</v>
      </c>
      <c r="P658" s="39" t="s">
        <v>2644</v>
      </c>
      <c r="Q658" s="39" t="s">
        <v>2645</v>
      </c>
      <c r="R658" s="39" t="s">
        <v>218</v>
      </c>
      <c r="S658" s="39">
        <v>20100820</v>
      </c>
      <c r="T658" s="48">
        <v>12.835985064600001</v>
      </c>
      <c r="U658" s="46">
        <v>13.186650676299999</v>
      </c>
      <c r="V658" s="39" t="s">
        <v>231</v>
      </c>
      <c r="W658" s="39" t="s">
        <v>44</v>
      </c>
      <c r="X658" s="39" t="s">
        <v>87</v>
      </c>
      <c r="Y658" s="55" t="s">
        <v>65</v>
      </c>
      <c r="Z658" s="34" t="s">
        <v>2646</v>
      </c>
      <c r="AA658" s="34"/>
      <c r="AB658" s="22">
        <v>0.88071655273437499</v>
      </c>
      <c r="AC658" s="23" t="s">
        <v>2647</v>
      </c>
      <c r="AD658" s="24">
        <v>4.2767123287671236</v>
      </c>
      <c r="AE658" s="25">
        <v>5.5748739070477393E-2</v>
      </c>
      <c r="AF658" s="26">
        <v>0.1383056310575117</v>
      </c>
      <c r="AG658" s="26">
        <v>0.11094136397755892</v>
      </c>
      <c r="AH658" s="27">
        <v>0.29943074707092671</v>
      </c>
      <c r="AI658" s="27">
        <v>0.63593676371607621</v>
      </c>
      <c r="AJ658" s="27">
        <v>0.54262742479106396</v>
      </c>
      <c r="AK658" s="40" t="s">
        <v>2648</v>
      </c>
      <c r="AL658" s="41">
        <v>4</v>
      </c>
      <c r="AM658" s="41">
        <v>3</v>
      </c>
      <c r="AN658" s="41" t="s">
        <v>48</v>
      </c>
      <c r="AO658" s="50" t="s">
        <v>2457</v>
      </c>
      <c r="AP658" s="51">
        <v>0</v>
      </c>
      <c r="AQ658" s="52">
        <v>1.4999999999999999E-2</v>
      </c>
      <c r="AR658" s="52">
        <v>0</v>
      </c>
    </row>
    <row r="659" spans="1:44" x14ac:dyDescent="0.15">
      <c r="A659">
        <v>759</v>
      </c>
      <c r="B659" s="11">
        <v>160215</v>
      </c>
      <c r="C659" s="32"/>
      <c r="D659" s="32">
        <v>-5.7977470398879602E-5</v>
      </c>
      <c r="E659" s="32">
        <v>159</v>
      </c>
      <c r="F659" s="32">
        <v>0.96475073046096704</v>
      </c>
      <c r="G659" s="11"/>
      <c r="H659" s="11"/>
      <c r="I659" s="11"/>
      <c r="J659" s="18" t="s">
        <v>44</v>
      </c>
      <c r="K659" s="18" t="s">
        <v>45</v>
      </c>
      <c r="L659" s="58" t="s">
        <v>274</v>
      </c>
      <c r="M659" s="18">
        <f>[1]!f_prt_stocktonav(B659,"2017/03/31")</f>
        <v>77.994422912597656</v>
      </c>
      <c r="N659" s="20" t="str">
        <f>[1]!f_info_fundmanager(B659)</f>
        <v>周伟锋</v>
      </c>
      <c r="O659" s="21">
        <v>3.0410958904109591</v>
      </c>
      <c r="P659" s="34" t="s">
        <v>2649</v>
      </c>
      <c r="Q659" s="34" t="s">
        <v>2650</v>
      </c>
      <c r="R659" s="34" t="s">
        <v>663</v>
      </c>
      <c r="S659" s="34">
        <v>20100813</v>
      </c>
      <c r="T659" s="45">
        <v>14.773902508500001</v>
      </c>
      <c r="U659" s="46">
        <v>13.047346509500001</v>
      </c>
      <c r="V659" s="34" t="s">
        <v>231</v>
      </c>
      <c r="W659" s="34" t="s">
        <v>44</v>
      </c>
      <c r="X659" s="34" t="s">
        <v>45</v>
      </c>
      <c r="Y659" s="34" t="s">
        <v>274</v>
      </c>
      <c r="Z659" s="34"/>
      <c r="AA659" s="34"/>
      <c r="AB659" s="22">
        <v>0.74951210021972658</v>
      </c>
      <c r="AC659" s="23" t="s">
        <v>2651</v>
      </c>
      <c r="AD659" s="24">
        <v>2.8109589041095893</v>
      </c>
      <c r="AE659" s="25">
        <v>9.3807187668894829E-2</v>
      </c>
      <c r="AF659" s="26">
        <v>0.27539562697883335</v>
      </c>
      <c r="AG659" s="26">
        <v>0.18472474253032245</v>
      </c>
      <c r="AH659" s="27">
        <v>0.42403701217933149</v>
      </c>
      <c r="AI659" s="27">
        <v>0.9038435963575262</v>
      </c>
      <c r="AJ659" s="27">
        <v>0.70543793219905226</v>
      </c>
      <c r="AK659" s="28" t="s">
        <v>276</v>
      </c>
      <c r="AL659" s="29">
        <v>4</v>
      </c>
      <c r="AM659" s="29">
        <v>3</v>
      </c>
      <c r="AN659" s="29" t="s">
        <v>48</v>
      </c>
      <c r="AO659" s="47" t="s">
        <v>101</v>
      </c>
      <c r="AP659" s="28">
        <v>0</v>
      </c>
      <c r="AQ659" s="26">
        <v>1.4999999999999999E-2</v>
      </c>
      <c r="AR659" s="26">
        <v>0</v>
      </c>
    </row>
    <row r="660" spans="1:44" x14ac:dyDescent="0.15">
      <c r="A660">
        <v>255</v>
      </c>
      <c r="B660" s="11">
        <v>165508</v>
      </c>
      <c r="C660" s="32"/>
      <c r="D660" s="32">
        <v>-8.4939925967238497E-4</v>
      </c>
      <c r="E660" s="32">
        <v>96</v>
      </c>
      <c r="F660" s="32">
        <v>0.61217959788026299</v>
      </c>
      <c r="G660" s="11"/>
      <c r="H660" s="11"/>
      <c r="I660" s="11"/>
      <c r="J660" s="18" t="s">
        <v>44</v>
      </c>
      <c r="K660" s="18" t="s">
        <v>45</v>
      </c>
      <c r="L660" s="58" t="s">
        <v>274</v>
      </c>
      <c r="M660" s="18">
        <f>[1]!f_prt_stocktonav(B660,"2017/03/31")</f>
        <v>90.462966918945313</v>
      </c>
      <c r="N660" s="20" t="str">
        <f>[1]!f_info_fundmanager(B660)</f>
        <v>郑伟</v>
      </c>
      <c r="O660" s="21">
        <v>1.8410958904109589</v>
      </c>
      <c r="P660" s="34" t="s">
        <v>2652</v>
      </c>
      <c r="Q660" s="34" t="s">
        <v>2653</v>
      </c>
      <c r="R660" s="34" t="s">
        <v>456</v>
      </c>
      <c r="S660" s="34">
        <v>20100730</v>
      </c>
      <c r="T660" s="45">
        <v>0.76232231589999999</v>
      </c>
      <c r="U660" s="46">
        <v>0.8028436591</v>
      </c>
      <c r="V660" s="34" t="s">
        <v>231</v>
      </c>
      <c r="W660" s="34" t="s">
        <v>44</v>
      </c>
      <c r="X660" s="34" t="s">
        <v>45</v>
      </c>
      <c r="Y660" s="34" t="s">
        <v>274</v>
      </c>
      <c r="Z660" s="34"/>
      <c r="AA660" s="34"/>
      <c r="AB660" s="22">
        <v>0.79410575866699218</v>
      </c>
      <c r="AC660" s="23" t="s">
        <v>2106</v>
      </c>
      <c r="AD660" s="24">
        <v>1.6109589041095891</v>
      </c>
      <c r="AE660" s="25">
        <v>8.7803012059972652E-2</v>
      </c>
      <c r="AF660" s="26">
        <v>0.14349528164413594</v>
      </c>
      <c r="AG660" s="26">
        <v>0.17107770071886819</v>
      </c>
      <c r="AH660" s="27">
        <v>0.38653435231586825</v>
      </c>
      <c r="AI660" s="27">
        <v>0.49931167652233516</v>
      </c>
      <c r="AJ660" s="27">
        <v>0.61314471741051113</v>
      </c>
      <c r="AK660" s="28" t="s">
        <v>2654</v>
      </c>
      <c r="AL660" s="29">
        <v>3</v>
      </c>
      <c r="AM660" s="29">
        <v>4</v>
      </c>
      <c r="AN660" s="29" t="s">
        <v>48</v>
      </c>
      <c r="AO660" s="47" t="s">
        <v>310</v>
      </c>
      <c r="AP660" s="28">
        <v>0</v>
      </c>
      <c r="AQ660" s="26">
        <v>1.4999999999999999E-2</v>
      </c>
      <c r="AR660" s="26">
        <v>0</v>
      </c>
    </row>
    <row r="661" spans="1:44" x14ac:dyDescent="0.15">
      <c r="A661">
        <v>525</v>
      </c>
      <c r="B661" s="11">
        <v>610005</v>
      </c>
      <c r="C661" s="32"/>
      <c r="D661" s="32">
        <v>1.4285400464672099E-3</v>
      </c>
      <c r="E661" s="32">
        <v>64</v>
      </c>
      <c r="F661" s="32">
        <v>0.25979446057243</v>
      </c>
      <c r="G661" s="11"/>
      <c r="H661" s="11"/>
      <c r="I661" s="11"/>
      <c r="J661" s="18" t="s">
        <v>44</v>
      </c>
      <c r="K661" s="18" t="s">
        <v>87</v>
      </c>
      <c r="L661" s="58" t="s">
        <v>274</v>
      </c>
      <c r="M661" s="18">
        <f>[1]!f_prt_stocktonav(B661,"2017/03/31")</f>
        <v>84.66375732421875</v>
      </c>
      <c r="N661" s="20" t="str">
        <f>[1]!f_info_fundmanager(B661)</f>
        <v>王辉良</v>
      </c>
      <c r="O661" s="21">
        <v>1.2273972602739727</v>
      </c>
      <c r="P661" s="34" t="s">
        <v>2655</v>
      </c>
      <c r="Q661" s="34" t="s">
        <v>2656</v>
      </c>
      <c r="R661" s="34" t="s">
        <v>189</v>
      </c>
      <c r="S661" s="34">
        <v>20100728</v>
      </c>
      <c r="T661" s="45">
        <v>0.80015964390000005</v>
      </c>
      <c r="U661" s="46">
        <v>0.90401180640000001</v>
      </c>
      <c r="V661" s="34" t="s">
        <v>231</v>
      </c>
      <c r="W661" s="34" t="s">
        <v>44</v>
      </c>
      <c r="X661" s="34" t="s">
        <v>45</v>
      </c>
      <c r="Y661" s="34" t="s">
        <v>274</v>
      </c>
      <c r="Z661" s="34"/>
      <c r="AA661" s="34"/>
      <c r="AB661" s="22">
        <v>0.88789123535156245</v>
      </c>
      <c r="AC661" s="23" t="s">
        <v>2657</v>
      </c>
      <c r="AD661" s="24">
        <v>0.99726027397260275</v>
      </c>
      <c r="AE661" s="25">
        <v>2.8707494795307209E-2</v>
      </c>
      <c r="AF661" s="26">
        <v>0.15432168962253878</v>
      </c>
      <c r="AG661" s="26">
        <v>9.9865681919147242E-2</v>
      </c>
      <c r="AH661" s="27">
        <v>0.17975833042384221</v>
      </c>
      <c r="AI661" s="27">
        <v>0.55540791946160828</v>
      </c>
      <c r="AJ661" s="27">
        <v>0.43355391294660234</v>
      </c>
      <c r="AK661" s="28" t="s">
        <v>2658</v>
      </c>
      <c r="AL661" s="29">
        <v>2</v>
      </c>
      <c r="AM661" s="29">
        <v>4</v>
      </c>
      <c r="AN661" s="29" t="s">
        <v>48</v>
      </c>
      <c r="AO661" s="47" t="s">
        <v>1002</v>
      </c>
      <c r="AP661" s="28">
        <v>0</v>
      </c>
      <c r="AQ661" s="26">
        <v>1.4999999999999999E-2</v>
      </c>
      <c r="AR661" s="26">
        <v>0</v>
      </c>
    </row>
    <row r="662" spans="1:44" x14ac:dyDescent="0.15">
      <c r="A662">
        <v>916</v>
      </c>
      <c r="B662" s="11">
        <v>519095</v>
      </c>
      <c r="C662" s="32"/>
      <c r="D662" s="32">
        <v>-4.7458501154310903E-3</v>
      </c>
      <c r="E662" s="32">
        <v>87</v>
      </c>
      <c r="F662" s="32">
        <v>1.2235143267988399E-3</v>
      </c>
      <c r="G662" s="11"/>
      <c r="H662" s="11"/>
      <c r="I662" s="11"/>
      <c r="J662" s="18" t="s">
        <v>44</v>
      </c>
      <c r="K662" s="18" t="s">
        <v>45</v>
      </c>
      <c r="L662" s="58" t="s">
        <v>337</v>
      </c>
      <c r="M662" s="18">
        <f>[1]!f_prt_stocktonav(B662,"2017/03/31")</f>
        <v>71.686347961425781</v>
      </c>
      <c r="N662" s="20" t="str">
        <f>[1]!f_info_fundmanager(B662)</f>
        <v>蔡春红,路文韬</v>
      </c>
      <c r="O662" s="21">
        <v>1.6602739726027398</v>
      </c>
      <c r="P662" s="34" t="s">
        <v>2659</v>
      </c>
      <c r="Q662" s="34" t="s">
        <v>2660</v>
      </c>
      <c r="R662" s="34" t="s">
        <v>569</v>
      </c>
      <c r="S662" s="34">
        <v>20100721</v>
      </c>
      <c r="T662" s="45">
        <v>1.4573091952999999</v>
      </c>
      <c r="U662" s="46">
        <v>1.4004221187000001</v>
      </c>
      <c r="V662" s="34" t="s">
        <v>231</v>
      </c>
      <c r="W662" s="34" t="s">
        <v>44</v>
      </c>
      <c r="X662" s="34" t="s">
        <v>45</v>
      </c>
      <c r="Y662" s="34" t="s">
        <v>65</v>
      </c>
      <c r="Z662" s="34"/>
      <c r="AA662" s="34"/>
      <c r="AB662" s="22">
        <v>0.74207313537597652</v>
      </c>
      <c r="AC662" s="23" t="s">
        <v>2661</v>
      </c>
      <c r="AD662" s="24">
        <v>1.4301369863013698</v>
      </c>
      <c r="AE662" s="25">
        <v>0.15009480203710646</v>
      </c>
      <c r="AF662" s="26">
        <v>0.20201976463154181</v>
      </c>
      <c r="AG662" s="26">
        <v>0.20319734015849389</v>
      </c>
      <c r="AH662" s="27">
        <v>0.63799924638197858</v>
      </c>
      <c r="AI662" s="27">
        <v>0.71854567650535062</v>
      </c>
      <c r="AJ662" s="27">
        <v>0.7822425839246232</v>
      </c>
      <c r="AK662" s="28" t="s">
        <v>1459</v>
      </c>
      <c r="AL662" s="29">
        <v>4</v>
      </c>
      <c r="AM662" s="29">
        <v>5</v>
      </c>
      <c r="AN662" s="29" t="s">
        <v>48</v>
      </c>
      <c r="AO662" s="47" t="s">
        <v>310</v>
      </c>
      <c r="AP662" s="28">
        <v>0</v>
      </c>
      <c r="AQ662" s="26">
        <v>1.4999999999999999E-2</v>
      </c>
      <c r="AR662" s="26">
        <v>0</v>
      </c>
    </row>
    <row r="663" spans="1:44" x14ac:dyDescent="0.15">
      <c r="A663">
        <v>21</v>
      </c>
      <c r="B663" s="11">
        <v>519672</v>
      </c>
      <c r="C663" s="32"/>
      <c r="D663" s="32">
        <v>1.3351297572741299E-3</v>
      </c>
      <c r="E663" s="32">
        <v>66</v>
      </c>
      <c r="F663" s="32">
        <v>0.40148167519827799</v>
      </c>
      <c r="G663" s="11"/>
      <c r="H663" s="11"/>
      <c r="I663" s="11"/>
      <c r="J663" s="18" t="s">
        <v>44</v>
      </c>
      <c r="K663" s="18" t="s">
        <v>45</v>
      </c>
      <c r="L663" s="58" t="s">
        <v>65</v>
      </c>
      <c r="M663" s="18">
        <f>[1]!f_prt_stocktonav(B663,"2017/03/31")</f>
        <v>94.730911254882813</v>
      </c>
      <c r="N663" s="20" t="str">
        <f>[1]!f_info_fundmanager(B663)</f>
        <v>袁曦</v>
      </c>
      <c r="O663" s="21">
        <v>1.2575342465753425</v>
      </c>
      <c r="P663" s="34" t="s">
        <v>2662</v>
      </c>
      <c r="Q663" s="34" t="s">
        <v>2663</v>
      </c>
      <c r="R663" s="34" t="s">
        <v>807</v>
      </c>
      <c r="S663" s="34">
        <v>20100716</v>
      </c>
      <c r="T663" s="45">
        <v>1.0364519186000001</v>
      </c>
      <c r="U663" s="46">
        <v>1.0442765949999999</v>
      </c>
      <c r="V663" s="34" t="s">
        <v>231</v>
      </c>
      <c r="W663" s="34" t="s">
        <v>44</v>
      </c>
      <c r="X663" s="34" t="s">
        <v>45</v>
      </c>
      <c r="Y663" s="34" t="s">
        <v>274</v>
      </c>
      <c r="Z663" s="34"/>
      <c r="AA663" s="34"/>
      <c r="AB663" s="22">
        <v>0.94599082946777346</v>
      </c>
      <c r="AC663" s="23" t="s">
        <v>2664</v>
      </c>
      <c r="AD663" s="24">
        <v>1.0273972602739727</v>
      </c>
      <c r="AE663" s="25">
        <v>8.8041453944193618E-2</v>
      </c>
      <c r="AF663" s="26">
        <v>0.17609337206981568</v>
      </c>
      <c r="AG663" s="26">
        <v>0.15796985087912119</v>
      </c>
      <c r="AH663" s="27">
        <v>0.39221102900917459</v>
      </c>
      <c r="AI663" s="27">
        <v>0.58332028324125673</v>
      </c>
      <c r="AJ663" s="27">
        <v>0.58967560183264622</v>
      </c>
      <c r="AK663" s="28" t="s">
        <v>1750</v>
      </c>
      <c r="AL663" s="29">
        <v>4</v>
      </c>
      <c r="AM663" s="29">
        <v>4</v>
      </c>
      <c r="AN663" s="29" t="s">
        <v>48</v>
      </c>
      <c r="AO663" s="47" t="s">
        <v>2665</v>
      </c>
      <c r="AP663" s="28">
        <v>0</v>
      </c>
      <c r="AQ663" s="26">
        <v>1.4999999999999999E-2</v>
      </c>
      <c r="AR663" s="26">
        <v>0</v>
      </c>
    </row>
    <row r="664" spans="1:44" x14ac:dyDescent="0.15">
      <c r="A664">
        <v>761</v>
      </c>
      <c r="B664" s="11">
        <v>690004</v>
      </c>
      <c r="C664" s="32"/>
      <c r="D664" s="32">
        <v>3.5292152907102099E-3</v>
      </c>
      <c r="E664" s="32">
        <v>39</v>
      </c>
      <c r="F664" s="32">
        <v>4.0226862398540002E-2</v>
      </c>
      <c r="G664" s="11"/>
      <c r="H664" s="11"/>
      <c r="I664" s="11"/>
      <c r="J664" s="18" t="s">
        <v>44</v>
      </c>
      <c r="K664" s="18" t="s">
        <v>45</v>
      </c>
      <c r="L664" s="58" t="s">
        <v>65</v>
      </c>
      <c r="M664" s="18">
        <f>[1]!f_prt_stocktonav(B664,"2017/03/31")</f>
        <v>77.926414489746094</v>
      </c>
      <c r="N664" s="20" t="str">
        <f>[1]!f_info_fundmanager(B664)</f>
        <v>宋磊,蒯学章</v>
      </c>
      <c r="O664" s="21">
        <v>0.73972602739726023</v>
      </c>
      <c r="P664" s="34" t="s">
        <v>2666</v>
      </c>
      <c r="Q664" s="34" t="s">
        <v>2667</v>
      </c>
      <c r="R664" s="34" t="s">
        <v>1234</v>
      </c>
      <c r="S664" s="34">
        <v>20100629</v>
      </c>
      <c r="T664" s="45">
        <v>0.63673388419999999</v>
      </c>
      <c r="U664" s="46">
        <v>0.65609527909999998</v>
      </c>
      <c r="V664" s="34" t="s">
        <v>231</v>
      </c>
      <c r="W664" s="34" t="s">
        <v>44</v>
      </c>
      <c r="X664" s="34" t="s">
        <v>45</v>
      </c>
      <c r="Y664" s="34" t="s">
        <v>65</v>
      </c>
      <c r="Z664" s="34"/>
      <c r="AA664" s="34"/>
      <c r="AB664" s="22">
        <v>0.76727439880371096</v>
      </c>
      <c r="AC664" s="23" t="s">
        <v>2668</v>
      </c>
      <c r="AD664" s="24">
        <v>0.50958904109589043</v>
      </c>
      <c r="AE664" s="25">
        <v>4.2073041640272368E-2</v>
      </c>
      <c r="AF664" s="26">
        <v>0.20102928613138579</v>
      </c>
      <c r="AG664" s="26">
        <v>0.15010867030201003</v>
      </c>
      <c r="AH664" s="27">
        <v>0.23687072788175381</v>
      </c>
      <c r="AI664" s="27">
        <v>0.65027264616634572</v>
      </c>
      <c r="AJ664" s="27">
        <v>0.56884600799789242</v>
      </c>
      <c r="AK664" s="28" t="s">
        <v>1459</v>
      </c>
      <c r="AL664" s="29">
        <v>2</v>
      </c>
      <c r="AM664" s="29">
        <v>2</v>
      </c>
      <c r="AN664" s="29" t="s">
        <v>48</v>
      </c>
      <c r="AO664" s="47" t="s">
        <v>82</v>
      </c>
      <c r="AP664" s="28">
        <v>0</v>
      </c>
      <c r="AQ664" s="26">
        <v>1.4999999999999999E-2</v>
      </c>
      <c r="AR664" s="26">
        <v>0</v>
      </c>
    </row>
    <row r="665" spans="1:44" x14ac:dyDescent="0.15">
      <c r="A665">
        <v>506</v>
      </c>
      <c r="B665" s="11">
        <v>570006</v>
      </c>
      <c r="C665" s="32"/>
      <c r="D665" s="32">
        <v>-1.2920772202305599E-3</v>
      </c>
      <c r="E665" s="32">
        <v>85</v>
      </c>
      <c r="F665" s="32">
        <v>0.35280687379962999</v>
      </c>
      <c r="G665" s="11"/>
      <c r="H665" s="11"/>
      <c r="I665" s="11"/>
      <c r="J665" s="18" t="s">
        <v>44</v>
      </c>
      <c r="K665" s="18" t="s">
        <v>45</v>
      </c>
      <c r="L665" s="58" t="s">
        <v>274</v>
      </c>
      <c r="M665" s="18">
        <f>[1]!f_prt_stocktonav(B665,"2017/03/31")</f>
        <v>85.168952941894531</v>
      </c>
      <c r="N665" s="20" t="str">
        <f>[1]!f_info_fundmanager(B665)</f>
        <v>王赟</v>
      </c>
      <c r="O665" s="21">
        <v>1.6164383561643836</v>
      </c>
      <c r="P665" s="34" t="s">
        <v>2669</v>
      </c>
      <c r="Q665" s="34" t="s">
        <v>2670</v>
      </c>
      <c r="R665" s="34" t="s">
        <v>2351</v>
      </c>
      <c r="S665" s="34">
        <v>20100628</v>
      </c>
      <c r="T665" s="45">
        <v>0.43212495420000002</v>
      </c>
      <c r="U665" s="46">
        <v>0.48001485469999999</v>
      </c>
      <c r="V665" s="34" t="s">
        <v>231</v>
      </c>
      <c r="W665" s="34" t="s">
        <v>44</v>
      </c>
      <c r="X665" s="34" t="s">
        <v>45</v>
      </c>
      <c r="Y665" s="34" t="s">
        <v>274</v>
      </c>
      <c r="Z665" s="34"/>
      <c r="AA665" s="34"/>
      <c r="AB665" s="22">
        <v>0.84466476440429683</v>
      </c>
      <c r="AC665" s="23" t="s">
        <v>2671</v>
      </c>
      <c r="AD665" s="24">
        <v>1.4931506849315068</v>
      </c>
      <c r="AE665" s="25">
        <v>7.9696951519272252E-2</v>
      </c>
      <c r="AF665" s="26">
        <v>0.15046313347325624</v>
      </c>
      <c r="AG665" s="26">
        <v>0.14464618792116979</v>
      </c>
      <c r="AH665" s="27">
        <v>0.36764550269489393</v>
      </c>
      <c r="AI665" s="27">
        <v>0.52752488992130653</v>
      </c>
      <c r="AJ665" s="27">
        <v>0.56353006891369029</v>
      </c>
      <c r="AK665" s="28" t="s">
        <v>2414</v>
      </c>
      <c r="AL665" s="29">
        <v>3</v>
      </c>
      <c r="AM665" s="29">
        <v>5</v>
      </c>
      <c r="AN665" s="29" t="s">
        <v>48</v>
      </c>
      <c r="AO665" s="47" t="s">
        <v>2672</v>
      </c>
      <c r="AP665" s="28">
        <v>0</v>
      </c>
      <c r="AQ665" s="26">
        <v>1.4999999999999999E-2</v>
      </c>
      <c r="AR665" s="26">
        <v>0</v>
      </c>
    </row>
    <row r="666" spans="1:44" x14ac:dyDescent="0.15">
      <c r="A666">
        <v>118</v>
      </c>
      <c r="B666" s="11">
        <v>460009</v>
      </c>
      <c r="C666" s="32"/>
      <c r="D666" s="32">
        <v>-2.7582959861157102E-4</v>
      </c>
      <c r="E666" s="32">
        <v>106</v>
      </c>
      <c r="F666" s="32">
        <v>0.79607424646708902</v>
      </c>
      <c r="G666" s="11"/>
      <c r="H666" s="11"/>
      <c r="I666" s="11"/>
      <c r="J666" s="18" t="s">
        <v>44</v>
      </c>
      <c r="K666" s="18" t="s">
        <v>64</v>
      </c>
      <c r="L666" s="58" t="s">
        <v>65</v>
      </c>
      <c r="M666" s="18">
        <f>[1]!f_prt_stocktonav(B666,"2017/03/31")</f>
        <v>93.292274475097656</v>
      </c>
      <c r="N666" s="20" t="str">
        <f>[1]!f_info_fundmanager(B666)</f>
        <v>田汉卿</v>
      </c>
      <c r="O666" s="21">
        <v>2.0383561643835617</v>
      </c>
      <c r="P666" s="34" t="s">
        <v>2673</v>
      </c>
      <c r="Q666" s="34" t="s">
        <v>2674</v>
      </c>
      <c r="R666" s="34" t="s">
        <v>880</v>
      </c>
      <c r="S666" s="34">
        <v>20100622</v>
      </c>
      <c r="T666" s="45">
        <v>3.4460689141</v>
      </c>
      <c r="U666" s="46">
        <v>3.3990509100000001</v>
      </c>
      <c r="V666" s="34" t="s">
        <v>231</v>
      </c>
      <c r="W666" s="34" t="s">
        <v>44</v>
      </c>
      <c r="X666" s="34" t="s">
        <v>45</v>
      </c>
      <c r="Y666" s="34" t="s">
        <v>65</v>
      </c>
      <c r="Z666" s="34"/>
      <c r="AA666" s="34"/>
      <c r="AB666" s="22">
        <v>0.93962783813476558</v>
      </c>
      <c r="AC666" s="23" t="s">
        <v>1188</v>
      </c>
      <c r="AD666" s="24">
        <v>1.8082191780821917</v>
      </c>
      <c r="AE666" s="25">
        <v>8.49472943262677E-2</v>
      </c>
      <c r="AF666" s="26">
        <v>0.21354237646454302</v>
      </c>
      <c r="AG666" s="26">
        <v>0.15813827923962953</v>
      </c>
      <c r="AH666" s="27">
        <v>0.40695156358994972</v>
      </c>
      <c r="AI666" s="27">
        <v>0.76715128243858455</v>
      </c>
      <c r="AJ666" s="27">
        <v>0.65658839520061119</v>
      </c>
      <c r="AK666" s="28" t="s">
        <v>726</v>
      </c>
      <c r="AL666" s="29">
        <v>3</v>
      </c>
      <c r="AM666" s="29">
        <v>4</v>
      </c>
      <c r="AN666" s="29" t="s">
        <v>48</v>
      </c>
      <c r="AO666" s="47" t="s">
        <v>101</v>
      </c>
      <c r="AP666" s="28">
        <v>0</v>
      </c>
      <c r="AQ666" s="26">
        <v>1.4999999999999999E-2</v>
      </c>
      <c r="AR666" s="26">
        <v>0</v>
      </c>
    </row>
    <row r="667" spans="1:44" x14ac:dyDescent="0.15">
      <c r="A667">
        <v>614</v>
      </c>
      <c r="B667" s="11">
        <v>630006</v>
      </c>
      <c r="C667" s="32"/>
      <c r="D667" s="32">
        <v>1.87699737713589E-3</v>
      </c>
      <c r="E667" s="32">
        <v>34</v>
      </c>
      <c r="F667" s="32">
        <v>0.34910425514979199</v>
      </c>
      <c r="G667" s="11"/>
      <c r="H667" s="11"/>
      <c r="I667" s="11"/>
      <c r="J667" s="18" t="s">
        <v>44</v>
      </c>
      <c r="K667" s="18" t="s">
        <v>45</v>
      </c>
      <c r="L667" s="58" t="s">
        <v>65</v>
      </c>
      <c r="M667" s="18">
        <f>[1]!f_prt_stocktonav(B667,"2017/03/31")</f>
        <v>82.49920654296875</v>
      </c>
      <c r="N667" s="20" t="str">
        <f>[1]!f_info_fundmanager(B667)</f>
        <v>彭欣杨</v>
      </c>
      <c r="O667" s="21">
        <v>0.65205479452054793</v>
      </c>
      <c r="P667" s="34" t="s">
        <v>2675</v>
      </c>
      <c r="Q667" s="34" t="s">
        <v>2676</v>
      </c>
      <c r="R667" s="34" t="s">
        <v>387</v>
      </c>
      <c r="S667" s="34">
        <v>20100618</v>
      </c>
      <c r="T667" s="45">
        <v>1.9276615498</v>
      </c>
      <c r="U667" s="46">
        <v>2.2256084597000001</v>
      </c>
      <c r="V667" s="34" t="s">
        <v>231</v>
      </c>
      <c r="W667" s="34" t="s">
        <v>44</v>
      </c>
      <c r="X667" s="34" t="s">
        <v>45</v>
      </c>
      <c r="Y667" s="34" t="s">
        <v>274</v>
      </c>
      <c r="Z667" s="34"/>
      <c r="AA667" s="34"/>
      <c r="AB667" s="22">
        <v>0.88697143554687496</v>
      </c>
      <c r="AC667" s="23" t="s">
        <v>2677</v>
      </c>
      <c r="AD667" s="24">
        <v>0.96986301369863015</v>
      </c>
      <c r="AE667" s="25">
        <v>4.9323161224335887E-2</v>
      </c>
      <c r="AF667" s="26">
        <v>0.20205995929505782</v>
      </c>
      <c r="AG667" s="26">
        <v>0.15699314904520811</v>
      </c>
      <c r="AH667" s="27">
        <v>0.25944834116339033</v>
      </c>
      <c r="AI667" s="27">
        <v>0.68312366604067021</v>
      </c>
      <c r="AJ667" s="27">
        <v>0.61905621116554888</v>
      </c>
      <c r="AK667" s="28" t="s">
        <v>1750</v>
      </c>
      <c r="AL667" s="29">
        <v>3</v>
      </c>
      <c r="AM667" s="29">
        <v>4</v>
      </c>
      <c r="AN667" s="29" t="s">
        <v>48</v>
      </c>
      <c r="AO667" s="47" t="s">
        <v>1525</v>
      </c>
      <c r="AP667" s="28">
        <v>0</v>
      </c>
      <c r="AQ667" s="26">
        <v>1.4999999999999999E-2</v>
      </c>
      <c r="AR667" s="26">
        <v>0</v>
      </c>
    </row>
    <row r="668" spans="1:44" x14ac:dyDescent="0.15">
      <c r="A668">
        <v>63</v>
      </c>
      <c r="B668" s="11">
        <v>540008</v>
      </c>
      <c r="C668" s="32"/>
      <c r="D668" s="32">
        <v>-3.3412342447984599E-3</v>
      </c>
      <c r="E668" s="32">
        <v>80</v>
      </c>
      <c r="F668" s="32">
        <v>7.4472406958088697E-2</v>
      </c>
      <c r="G668" s="11"/>
      <c r="H668" s="11"/>
      <c r="I668" s="11"/>
      <c r="J668" s="18" t="s">
        <v>44</v>
      </c>
      <c r="K668" s="18" t="s">
        <v>45</v>
      </c>
      <c r="L668" s="58" t="s">
        <v>274</v>
      </c>
      <c r="M668" s="18">
        <f>[1]!f_prt_stocktonav(B668,"2017/03/31")</f>
        <v>94.165435791015625</v>
      </c>
      <c r="N668" s="20" t="str">
        <f>[1]!f_info_fundmanager(B668)</f>
        <v>方超</v>
      </c>
      <c r="O668" s="21">
        <v>1.5315068493150685</v>
      </c>
      <c r="P668" s="34" t="s">
        <v>2678</v>
      </c>
      <c r="Q668" s="34" t="s">
        <v>2679</v>
      </c>
      <c r="R668" s="34" t="s">
        <v>149</v>
      </c>
      <c r="S668" s="34">
        <v>20100608</v>
      </c>
      <c r="T668" s="45">
        <v>4.6628979814999996</v>
      </c>
      <c r="U668" s="46">
        <v>5.911788789</v>
      </c>
      <c r="V668" s="34" t="s">
        <v>201</v>
      </c>
      <c r="W668" s="34" t="s">
        <v>44</v>
      </c>
      <c r="X668" s="34" t="s">
        <v>45</v>
      </c>
      <c r="Y668" s="34" t="s">
        <v>274</v>
      </c>
      <c r="Z668" s="34"/>
      <c r="AA668" s="34"/>
      <c r="AB668" s="22">
        <v>0.94610015869140629</v>
      </c>
      <c r="AC668" s="23" t="s">
        <v>1350</v>
      </c>
      <c r="AD668" s="24">
        <v>1.3013698630136987</v>
      </c>
      <c r="AE668" s="25">
        <v>8.5594699505545435E-2</v>
      </c>
      <c r="AF668" s="26">
        <v>9.6807071539998013E-2</v>
      </c>
      <c r="AG668" s="26">
        <v>0.13144526301416626</v>
      </c>
      <c r="AH668" s="27">
        <v>0.37714962581799377</v>
      </c>
      <c r="AI668" s="27">
        <v>0.38586934082845747</v>
      </c>
      <c r="AJ668" s="27">
        <v>0.50279330318246351</v>
      </c>
      <c r="AK668" s="28" t="s">
        <v>2680</v>
      </c>
      <c r="AL668" s="29">
        <v>3</v>
      </c>
      <c r="AM668" s="29">
        <v>3</v>
      </c>
      <c r="AN668" s="29" t="s">
        <v>48</v>
      </c>
      <c r="AO668" s="47" t="s">
        <v>410</v>
      </c>
      <c r="AP668" s="28">
        <v>0</v>
      </c>
      <c r="AQ668" s="26">
        <v>1.4999999999999999E-2</v>
      </c>
      <c r="AR668" s="26">
        <v>0</v>
      </c>
    </row>
    <row r="669" spans="1:44" x14ac:dyDescent="0.15">
      <c r="A669">
        <v>623</v>
      </c>
      <c r="B669" s="11">
        <v>70019</v>
      </c>
      <c r="C669" s="32"/>
      <c r="D669" s="32">
        <v>-2.33720275050371E-3</v>
      </c>
      <c r="E669" s="32">
        <v>122</v>
      </c>
      <c r="F669" s="32">
        <v>2.3879423529420601E-2</v>
      </c>
      <c r="G669" s="11"/>
      <c r="H669" s="11"/>
      <c r="I669" s="11"/>
      <c r="J669" s="18" t="s">
        <v>44</v>
      </c>
      <c r="K669" s="18" t="s">
        <v>45</v>
      </c>
      <c r="L669" s="58" t="s">
        <v>274</v>
      </c>
      <c r="M669" s="18">
        <f>[1]!f_prt_stocktonav(B669,"2017/03/31")</f>
        <v>82.229019165039063</v>
      </c>
      <c r="N669" s="20" t="str">
        <f>[1]!f_info_fundmanager(B669)</f>
        <v>翟琳琳</v>
      </c>
      <c r="O669" s="21">
        <v>2.3452054794520549</v>
      </c>
      <c r="P669" s="34" t="s">
        <v>2681</v>
      </c>
      <c r="Q669" s="34" t="s">
        <v>2682</v>
      </c>
      <c r="R669" s="34" t="s">
        <v>92</v>
      </c>
      <c r="S669" s="34">
        <v>20100607</v>
      </c>
      <c r="T669" s="45">
        <v>5.0093046198</v>
      </c>
      <c r="U669" s="46">
        <v>5.5190155645000001</v>
      </c>
      <c r="V669" s="34" t="s">
        <v>231</v>
      </c>
      <c r="W669" s="34" t="s">
        <v>44</v>
      </c>
      <c r="X669" s="34" t="s">
        <v>45</v>
      </c>
      <c r="Y669" s="34" t="s">
        <v>274</v>
      </c>
      <c r="Z669" s="34"/>
      <c r="AA669" s="34"/>
      <c r="AB669" s="22">
        <v>0.91218406677246089</v>
      </c>
      <c r="AC669" s="23" t="s">
        <v>2683</v>
      </c>
      <c r="AD669" s="24">
        <v>2.1150684931506851</v>
      </c>
      <c r="AE669" s="25">
        <v>6.8445318867705218E-2</v>
      </c>
      <c r="AF669" s="26">
        <v>9.1344381021976062E-2</v>
      </c>
      <c r="AG669" s="26">
        <v>0.10855348059416325</v>
      </c>
      <c r="AH669" s="27">
        <v>0.34040266030887989</v>
      </c>
      <c r="AI669" s="27">
        <v>0.40380004867617558</v>
      </c>
      <c r="AJ669" s="27">
        <v>0.48348399058445496</v>
      </c>
      <c r="AK669" s="28" t="s">
        <v>2607</v>
      </c>
      <c r="AL669" s="29">
        <v>3</v>
      </c>
      <c r="AM669" s="29">
        <v>2</v>
      </c>
      <c r="AN669" s="29" t="s">
        <v>48</v>
      </c>
      <c r="AO669" s="47" t="s">
        <v>101</v>
      </c>
      <c r="AP669" s="28" t="s">
        <v>2293</v>
      </c>
      <c r="AQ669" s="26">
        <v>1.4999999999999999E-2</v>
      </c>
      <c r="AR669" s="26">
        <v>0</v>
      </c>
    </row>
    <row r="670" spans="1:44" x14ac:dyDescent="0.15">
      <c r="A670">
        <v>581</v>
      </c>
      <c r="B670" s="11">
        <v>50014</v>
      </c>
      <c r="C670" s="32"/>
      <c r="D670" s="32">
        <v>-2.5942877616325099E-3</v>
      </c>
      <c r="E670" s="32">
        <v>188</v>
      </c>
      <c r="F670" s="32">
        <v>7.8069417299431697E-3</v>
      </c>
      <c r="G670" s="11"/>
      <c r="H670" s="11"/>
      <c r="I670" s="11"/>
      <c r="J670" s="18" t="s">
        <v>44</v>
      </c>
      <c r="K670" s="18" t="s">
        <v>45</v>
      </c>
      <c r="L670" s="58" t="s">
        <v>274</v>
      </c>
      <c r="M670" s="18">
        <f>[1]!f_prt_stocktonav(B670,"2017/03/31")</f>
        <v>83.265151977539063</v>
      </c>
      <c r="N670" s="20" t="str">
        <f>[1]!f_info_fundmanager(B670)</f>
        <v>韩茂华</v>
      </c>
      <c r="O670" s="21">
        <v>3.5972602739726027</v>
      </c>
      <c r="P670" s="34" t="s">
        <v>2684</v>
      </c>
      <c r="Q670" s="34" t="s">
        <v>2685</v>
      </c>
      <c r="R670" s="34" t="s">
        <v>413</v>
      </c>
      <c r="S670" s="34">
        <v>20100601</v>
      </c>
      <c r="T670" s="45">
        <v>4.0898199577999996</v>
      </c>
      <c r="U670" s="46">
        <v>4.2450149071999999</v>
      </c>
      <c r="V670" s="34" t="s">
        <v>231</v>
      </c>
      <c r="W670" s="34" t="s">
        <v>44</v>
      </c>
      <c r="X670" s="34" t="s">
        <v>45</v>
      </c>
      <c r="Y670" s="34" t="s">
        <v>274</v>
      </c>
      <c r="Z670" s="34"/>
      <c r="AA670" s="34"/>
      <c r="AB670" s="22">
        <v>0.90509895324707035</v>
      </c>
      <c r="AC670" s="23" t="s">
        <v>2686</v>
      </c>
      <c r="AD670" s="24">
        <v>3.3671232876712329</v>
      </c>
      <c r="AE670" s="25">
        <v>0.1100040172483947</v>
      </c>
      <c r="AF670" s="26">
        <v>0.23472683676244621</v>
      </c>
      <c r="AG670" s="26">
        <v>0.18217324296670778</v>
      </c>
      <c r="AH670" s="27">
        <v>0.47281691916467977</v>
      </c>
      <c r="AI670" s="27">
        <v>0.75683722958008914</v>
      </c>
      <c r="AJ670" s="27">
        <v>0.67935248334343645</v>
      </c>
      <c r="AK670" s="28" t="s">
        <v>2687</v>
      </c>
      <c r="AL670" s="29">
        <v>3</v>
      </c>
      <c r="AM670" s="29">
        <v>3</v>
      </c>
      <c r="AN670" s="29" t="s">
        <v>48</v>
      </c>
      <c r="AO670" s="47" t="s">
        <v>745</v>
      </c>
      <c r="AP670" s="28" t="s">
        <v>2688</v>
      </c>
      <c r="AQ670" s="26">
        <v>1.4999999999999999E-2</v>
      </c>
      <c r="AR670" s="26">
        <v>0</v>
      </c>
    </row>
    <row r="671" spans="1:44" x14ac:dyDescent="0.15">
      <c r="A671">
        <v>522</v>
      </c>
      <c r="B671" s="11">
        <v>590005</v>
      </c>
      <c r="C671" s="32"/>
      <c r="D671" s="32">
        <v>-1.67111118053362E-3</v>
      </c>
      <c r="E671" s="32">
        <v>107</v>
      </c>
      <c r="F671" s="32">
        <v>0.36172476143235699</v>
      </c>
      <c r="G671" s="11"/>
      <c r="H671" s="11"/>
      <c r="I671" s="11"/>
      <c r="J671" s="18" t="s">
        <v>44</v>
      </c>
      <c r="K671" s="18" t="s">
        <v>87</v>
      </c>
      <c r="L671" s="58" t="s">
        <v>274</v>
      </c>
      <c r="M671" s="18">
        <f>[1]!f_prt_stocktonav(B671,"2017/03/31")</f>
        <v>84.75048828125</v>
      </c>
      <c r="N671" s="20" t="str">
        <f>[1]!f_info_fundmanager(B671)</f>
        <v>陈梁,国晓雯</v>
      </c>
      <c r="O671" s="21">
        <v>2.0520547945205481</v>
      </c>
      <c r="P671" s="34" t="s">
        <v>2689</v>
      </c>
      <c r="Q671" s="34" t="s">
        <v>2690</v>
      </c>
      <c r="R671" s="34" t="s">
        <v>85</v>
      </c>
      <c r="S671" s="34">
        <v>20100519</v>
      </c>
      <c r="T671" s="45">
        <v>14.672868381100001</v>
      </c>
      <c r="U671" s="46">
        <v>19.155432014599999</v>
      </c>
      <c r="V671" s="34" t="s">
        <v>231</v>
      </c>
      <c r="W671" s="34" t="s">
        <v>44</v>
      </c>
      <c r="X671" s="34" t="s">
        <v>45</v>
      </c>
      <c r="Y671" s="34" t="s">
        <v>274</v>
      </c>
      <c r="Z671" s="34"/>
      <c r="AA671" s="34"/>
      <c r="AB671" s="22">
        <v>0.82044563293457029</v>
      </c>
      <c r="AC671" s="23" t="s">
        <v>2691</v>
      </c>
      <c r="AD671" s="24">
        <v>1.821917808219178</v>
      </c>
      <c r="AE671" s="25">
        <v>0.10689340577717331</v>
      </c>
      <c r="AF671" s="26">
        <v>0.21653604626078238</v>
      </c>
      <c r="AG671" s="26">
        <v>0.18429226759520123</v>
      </c>
      <c r="AH671" s="27">
        <v>0.45379092889000605</v>
      </c>
      <c r="AI671" s="27">
        <v>0.68466788724212435</v>
      </c>
      <c r="AJ671" s="27">
        <v>0.665491289721451</v>
      </c>
      <c r="AK671" s="28" t="s">
        <v>726</v>
      </c>
      <c r="AL671" s="29">
        <v>5</v>
      </c>
      <c r="AM671" s="29">
        <v>4</v>
      </c>
      <c r="AN671" s="29" t="s">
        <v>48</v>
      </c>
      <c r="AO671" s="47" t="s">
        <v>310</v>
      </c>
      <c r="AP671" s="28">
        <v>0</v>
      </c>
      <c r="AQ671" s="26">
        <v>1.4999999999999999E-2</v>
      </c>
      <c r="AR671" s="26">
        <v>0</v>
      </c>
    </row>
    <row r="672" spans="1:44" x14ac:dyDescent="0.15">
      <c r="A672">
        <v>909</v>
      </c>
      <c r="B672" s="11">
        <v>233007</v>
      </c>
      <c r="C672" s="32"/>
      <c r="D672" s="32">
        <v>-1.2679461508937199E-4</v>
      </c>
      <c r="E672" s="32">
        <v>37</v>
      </c>
      <c r="F672" s="32">
        <v>0.93346263090111203</v>
      </c>
      <c r="G672" s="11"/>
      <c r="H672" s="11"/>
      <c r="I672" s="11"/>
      <c r="J672" s="18" t="s">
        <v>44</v>
      </c>
      <c r="K672" s="18" t="s">
        <v>45</v>
      </c>
      <c r="L672" s="58" t="s">
        <v>65</v>
      </c>
      <c r="M672" s="18">
        <f>[1]!f_prt_stocktonav(B672,"2017/03/31")</f>
        <v>72.105384826660156</v>
      </c>
      <c r="N672" s="20" t="str">
        <f>[1]!f_info_fundmanager(B672)</f>
        <v>袁斌</v>
      </c>
      <c r="O672" s="21">
        <v>0.70684931506849313</v>
      </c>
      <c r="P672" s="34" t="s">
        <v>2692</v>
      </c>
      <c r="Q672" s="34" t="s">
        <v>2693</v>
      </c>
      <c r="R672" s="34" t="s">
        <v>378</v>
      </c>
      <c r="S672" s="34">
        <v>20100518</v>
      </c>
      <c r="T672" s="45">
        <v>7.3512036625999997</v>
      </c>
      <c r="U672" s="46">
        <v>7.4746349402999996</v>
      </c>
      <c r="V672" s="34" t="s">
        <v>231</v>
      </c>
      <c r="W672" s="34" t="s">
        <v>44</v>
      </c>
      <c r="X672" s="34" t="s">
        <v>45</v>
      </c>
      <c r="Y672" s="34" t="s">
        <v>65</v>
      </c>
      <c r="Z672" s="34"/>
      <c r="AA672" s="34"/>
      <c r="AB672" s="22">
        <v>0.91053344726562502</v>
      </c>
      <c r="AC672" s="23" t="s">
        <v>2070</v>
      </c>
      <c r="AD672" s="24">
        <v>0.47671232876712327</v>
      </c>
      <c r="AE672" s="25">
        <v>0.14336215257539098</v>
      </c>
      <c r="AF672" s="26">
        <v>0.22351723292441439</v>
      </c>
      <c r="AG672" s="26">
        <v>0.21841384393561292</v>
      </c>
      <c r="AH672" s="27">
        <v>0.56576927546897182</v>
      </c>
      <c r="AI672" s="27">
        <v>0.6903939575161101</v>
      </c>
      <c r="AJ672" s="27">
        <v>0.74247747512716944</v>
      </c>
      <c r="AK672" s="28" t="s">
        <v>2357</v>
      </c>
      <c r="AL672" s="29">
        <v>5</v>
      </c>
      <c r="AM672" s="29">
        <v>4</v>
      </c>
      <c r="AN672" s="29" t="s">
        <v>48</v>
      </c>
      <c r="AO672" s="47" t="s">
        <v>2368</v>
      </c>
      <c r="AP672" s="28">
        <v>0</v>
      </c>
      <c r="AQ672" s="26">
        <v>1.4999999999999999E-2</v>
      </c>
      <c r="AR672" s="26">
        <v>0</v>
      </c>
    </row>
    <row r="673" spans="1:44" x14ac:dyDescent="0.15">
      <c r="A673">
        <v>315</v>
      </c>
      <c r="B673" s="11">
        <v>100039</v>
      </c>
      <c r="C673" s="32"/>
      <c r="D673" s="32">
        <v>-7.8193910267536197E-4</v>
      </c>
      <c r="E673" s="32">
        <v>95</v>
      </c>
      <c r="F673" s="32">
        <v>0.60787578354608696</v>
      </c>
      <c r="G673" s="11"/>
      <c r="H673" s="11"/>
      <c r="I673" s="11"/>
      <c r="J673" s="18" t="s">
        <v>44</v>
      </c>
      <c r="K673" s="18" t="s">
        <v>87</v>
      </c>
      <c r="L673" s="58" t="s">
        <v>274</v>
      </c>
      <c r="M673" s="18">
        <f>[1]!f_prt_stocktonav(B673,"2017/03/31")</f>
        <v>89.1881103515625</v>
      </c>
      <c r="N673" s="20" t="str">
        <f>[1]!f_info_fundmanager(B673)</f>
        <v>毕天宇,章旭峰</v>
      </c>
      <c r="O673" s="21">
        <v>1.810958904109589</v>
      </c>
      <c r="P673" s="34" t="s">
        <v>2694</v>
      </c>
      <c r="Q673" s="34" t="s">
        <v>2695</v>
      </c>
      <c r="R673" s="34" t="s">
        <v>396</v>
      </c>
      <c r="S673" s="34">
        <v>20100512</v>
      </c>
      <c r="T673" s="45">
        <v>2.1433356922</v>
      </c>
      <c r="U673" s="46">
        <v>2.2466877835000001</v>
      </c>
      <c r="V673" s="34" t="s">
        <v>231</v>
      </c>
      <c r="W673" s="34" t="s">
        <v>44</v>
      </c>
      <c r="X673" s="34" t="s">
        <v>87</v>
      </c>
      <c r="Y673" s="34" t="s">
        <v>274</v>
      </c>
      <c r="Z673" s="34" t="s">
        <v>2696</v>
      </c>
      <c r="AA673" s="34"/>
      <c r="AB673" s="22">
        <v>0.94074729919433597</v>
      </c>
      <c r="AC673" s="23" t="s">
        <v>2697</v>
      </c>
      <c r="AD673" s="24">
        <v>1.5808219178082192</v>
      </c>
      <c r="AE673" s="25">
        <v>6.0228595758324843E-2</v>
      </c>
      <c r="AF673" s="26">
        <v>0.18187073534418441</v>
      </c>
      <c r="AG673" s="26">
        <v>0.11878309802466426</v>
      </c>
      <c r="AH673" s="27">
        <v>0.30282823657900354</v>
      </c>
      <c r="AI673" s="27">
        <v>0.63530674930043862</v>
      </c>
      <c r="AJ673" s="27">
        <v>0.5033083684018741</v>
      </c>
      <c r="AK673" s="33" t="s">
        <v>167</v>
      </c>
      <c r="AL673" s="29">
        <v>3</v>
      </c>
      <c r="AM673" s="29">
        <v>3</v>
      </c>
      <c r="AN673" s="29" t="s">
        <v>48</v>
      </c>
      <c r="AO673" s="47" t="s">
        <v>2095</v>
      </c>
      <c r="AP673" s="28" t="s">
        <v>608</v>
      </c>
      <c r="AQ673" s="26">
        <v>1.4999999999999999E-2</v>
      </c>
      <c r="AR673" s="26">
        <v>0</v>
      </c>
    </row>
    <row r="674" spans="1:44" x14ac:dyDescent="0.15">
      <c r="A674">
        <v>732</v>
      </c>
      <c r="B674" s="11">
        <v>40016</v>
      </c>
      <c r="C674" s="32"/>
      <c r="D674" s="32">
        <v>-1.61673779510308E-3</v>
      </c>
      <c r="E674" s="32">
        <v>232</v>
      </c>
      <c r="F674" s="32">
        <v>5.2106685581244497E-2</v>
      </c>
      <c r="G674" s="11"/>
      <c r="H674" s="11"/>
      <c r="I674" s="11"/>
      <c r="J674" s="18" t="s">
        <v>44</v>
      </c>
      <c r="K674" s="18" t="s">
        <v>45</v>
      </c>
      <c r="L674" s="58" t="s">
        <v>65</v>
      </c>
      <c r="M674" s="18">
        <f>[1]!f_prt_stocktonav(B674,"2017/03/31")</f>
        <v>78.992790222167969</v>
      </c>
      <c r="N674" s="20" t="str">
        <f>[1]!f_info_fundmanager(B674)</f>
        <v>吴丰树</v>
      </c>
      <c r="O674" s="21">
        <v>4.4602739726027396</v>
      </c>
      <c r="P674" s="34" t="s">
        <v>2698</v>
      </c>
      <c r="Q674" s="34" t="s">
        <v>2699</v>
      </c>
      <c r="R674" s="34" t="s">
        <v>63</v>
      </c>
      <c r="S674" s="34">
        <v>20100511</v>
      </c>
      <c r="T674" s="45">
        <v>2.5583179940999998</v>
      </c>
      <c r="U674" s="46">
        <v>2.5939778471000001</v>
      </c>
      <c r="V674" s="34" t="s">
        <v>231</v>
      </c>
      <c r="W674" s="34" t="s">
        <v>44</v>
      </c>
      <c r="X674" s="34" t="s">
        <v>45</v>
      </c>
      <c r="Y674" s="34" t="s">
        <v>65</v>
      </c>
      <c r="Z674" s="34"/>
      <c r="AA674" s="34"/>
      <c r="AB674" s="22">
        <v>0.90913017272949215</v>
      </c>
      <c r="AC674" s="23" t="s">
        <v>2700</v>
      </c>
      <c r="AD674" s="24">
        <v>4.2301369863013702</v>
      </c>
      <c r="AE674" s="25">
        <v>0.10771389971658918</v>
      </c>
      <c r="AF674" s="26">
        <v>0.28328886966968314</v>
      </c>
      <c r="AG674" s="26">
        <v>0.18153321048042059</v>
      </c>
      <c r="AH674" s="27">
        <v>0.48469292376519257</v>
      </c>
      <c r="AI674" s="27">
        <v>0.94557962664698592</v>
      </c>
      <c r="AJ674" s="27">
        <v>0.71451701499900999</v>
      </c>
      <c r="AK674" s="28" t="s">
        <v>110</v>
      </c>
      <c r="AL674" s="29">
        <v>4</v>
      </c>
      <c r="AM674" s="29">
        <v>4</v>
      </c>
      <c r="AN674" s="29" t="s">
        <v>48</v>
      </c>
      <c r="AO674" s="47" t="s">
        <v>2701</v>
      </c>
      <c r="AP674" s="28">
        <v>0</v>
      </c>
      <c r="AQ674" s="26">
        <v>1.4999999999999999E-2</v>
      </c>
      <c r="AR674" s="26">
        <v>0</v>
      </c>
    </row>
    <row r="675" spans="1:44" x14ac:dyDescent="0.15">
      <c r="A675">
        <v>577</v>
      </c>
      <c r="B675" s="11">
        <v>470009</v>
      </c>
      <c r="C675" s="32"/>
      <c r="D675" s="32">
        <v>-2.5245277417952302E-4</v>
      </c>
      <c r="E675" s="32">
        <v>55</v>
      </c>
      <c r="F675" s="32">
        <v>0.82833535896715305</v>
      </c>
      <c r="G675" s="11"/>
      <c r="H675" s="11"/>
      <c r="I675" s="11"/>
      <c r="J675" s="18" t="s">
        <v>44</v>
      </c>
      <c r="K675" s="19" t="s">
        <v>87</v>
      </c>
      <c r="L675" s="58" t="s">
        <v>65</v>
      </c>
      <c r="M675" s="18">
        <f>[1]!f_prt_stocktonav(B675,"2017/03/31")</f>
        <v>83.329757690429688</v>
      </c>
      <c r="N675" s="20" t="str">
        <f>[1]!f_info_fundmanager(B675)</f>
        <v>马翔</v>
      </c>
      <c r="O675" s="21">
        <v>1.0547945205479452</v>
      </c>
      <c r="P675" s="32" t="s">
        <v>2702</v>
      </c>
      <c r="Q675" s="13" t="s">
        <v>2703</v>
      </c>
      <c r="R675" s="13" t="s">
        <v>331</v>
      </c>
      <c r="S675" s="13">
        <v>20100505</v>
      </c>
      <c r="T675" s="14">
        <v>56.4909791352</v>
      </c>
      <c r="U675" s="15" t="s">
        <v>39</v>
      </c>
      <c r="V675" s="16" t="s">
        <v>40</v>
      </c>
      <c r="W675" s="17" t="s">
        <v>44</v>
      </c>
      <c r="X675" s="17" t="s">
        <v>45</v>
      </c>
      <c r="Y675" s="17" t="s">
        <v>65</v>
      </c>
      <c r="Z675" s="13"/>
      <c r="AA675" s="13"/>
      <c r="AB675" s="22">
        <v>0.89113388061523435</v>
      </c>
      <c r="AC675" s="23" t="s">
        <v>2704</v>
      </c>
      <c r="AD675" s="24">
        <v>0.8246575342465754</v>
      </c>
      <c r="AE675" s="25">
        <v>0.19446476290348572</v>
      </c>
      <c r="AF675" s="26">
        <v>0.3027968184651586</v>
      </c>
      <c r="AG675" s="26">
        <v>0.2911598684686274</v>
      </c>
      <c r="AH675" s="27">
        <v>0.7571286056146953</v>
      </c>
      <c r="AI675" s="27">
        <v>0.90216579902776617</v>
      </c>
      <c r="AJ675" s="27">
        <v>0.98302948029389825</v>
      </c>
      <c r="AK675" s="28" t="s">
        <v>2705</v>
      </c>
      <c r="AL675" s="29">
        <v>5</v>
      </c>
      <c r="AM675" s="29">
        <v>4</v>
      </c>
      <c r="AN675" s="29" t="s">
        <v>48</v>
      </c>
      <c r="AO675" s="23" t="s">
        <v>1904</v>
      </c>
      <c r="AP675" s="30">
        <v>0</v>
      </c>
      <c r="AQ675" s="31">
        <v>1.4999999999999999E-2</v>
      </c>
      <c r="AR675" s="31">
        <v>0</v>
      </c>
    </row>
    <row r="676" spans="1:44" x14ac:dyDescent="0.15">
      <c r="A676">
        <v>843</v>
      </c>
      <c r="B676" s="11">
        <v>320011</v>
      </c>
      <c r="C676" s="32"/>
      <c r="D676" s="32">
        <v>2.42372197119242E-6</v>
      </c>
      <c r="E676" s="32">
        <v>29</v>
      </c>
      <c r="F676" s="32">
        <v>0.99914564289407504</v>
      </c>
      <c r="G676" s="11"/>
      <c r="H676" s="11"/>
      <c r="I676" s="11"/>
      <c r="J676" s="18" t="s">
        <v>44</v>
      </c>
      <c r="K676" s="18" t="s">
        <v>45</v>
      </c>
      <c r="L676" s="58" t="s">
        <v>65</v>
      </c>
      <c r="M676" s="18">
        <f>[1]!f_prt_stocktonav(B676,"2017/03/31")</f>
        <v>74.869209289550781</v>
      </c>
      <c r="N676" s="20" t="str">
        <f>[1]!f_info_fundmanager(B676)</f>
        <v>韩冬燕</v>
      </c>
      <c r="O676" s="21">
        <v>0.54520547945205478</v>
      </c>
      <c r="P676" s="34" t="s">
        <v>2706</v>
      </c>
      <c r="Q676" s="34" t="s">
        <v>2707</v>
      </c>
      <c r="R676" s="34" t="s">
        <v>955</v>
      </c>
      <c r="S676" s="34">
        <v>20100428</v>
      </c>
      <c r="T676" s="45">
        <v>8.8308149283000006</v>
      </c>
      <c r="U676" s="46">
        <v>8.6155064729999999</v>
      </c>
      <c r="V676" s="34" t="s">
        <v>231</v>
      </c>
      <c r="W676" s="34" t="s">
        <v>44</v>
      </c>
      <c r="X676" s="34" t="s">
        <v>45</v>
      </c>
      <c r="Y676" s="34" t="s">
        <v>65</v>
      </c>
      <c r="Z676" s="34"/>
      <c r="AA676" s="34"/>
      <c r="AB676" s="22">
        <v>0.70591567993164062</v>
      </c>
      <c r="AC676" s="23" t="s">
        <v>956</v>
      </c>
      <c r="AD676" s="24">
        <v>0.31506849315068491</v>
      </c>
      <c r="AE676" s="25">
        <v>0.16018581577445937</v>
      </c>
      <c r="AF676" s="26">
        <v>0.33233777603738668</v>
      </c>
      <c r="AG676" s="26">
        <v>0.2254394572816345</v>
      </c>
      <c r="AH676" s="27">
        <v>0.7543807501411377</v>
      </c>
      <c r="AI676" s="27">
        <v>1.3881388674120374</v>
      </c>
      <c r="AJ676" s="27">
        <v>1.0052228275679875</v>
      </c>
      <c r="AK676" s="28" t="s">
        <v>2578</v>
      </c>
      <c r="AL676" s="29">
        <v>5</v>
      </c>
      <c r="AM676" s="29">
        <v>5</v>
      </c>
      <c r="AN676" s="29" t="s">
        <v>48</v>
      </c>
      <c r="AO676" s="47" t="s">
        <v>249</v>
      </c>
      <c r="AP676" s="28">
        <v>0</v>
      </c>
      <c r="AQ676" s="26">
        <v>1.4999999999999999E-2</v>
      </c>
      <c r="AR676" s="26">
        <v>0</v>
      </c>
    </row>
    <row r="677" spans="1:44" x14ac:dyDescent="0.15">
      <c r="A677">
        <v>379</v>
      </c>
      <c r="B677" s="11">
        <v>163406</v>
      </c>
      <c r="C677" s="32"/>
      <c r="D677" s="32">
        <v>1.4965687448189101E-3</v>
      </c>
      <c r="E677" s="32">
        <v>217</v>
      </c>
      <c r="F677" s="32">
        <v>8.0808817184438206E-2</v>
      </c>
      <c r="G677" s="11"/>
      <c r="H677" s="11"/>
      <c r="I677" s="11"/>
      <c r="J677" s="18" t="s">
        <v>44</v>
      </c>
      <c r="K677" s="18" t="s">
        <v>45</v>
      </c>
      <c r="L677" s="58" t="s">
        <v>274</v>
      </c>
      <c r="M677" s="18">
        <f>[1]!f_prt_stocktonav(B677,"2017/03/31")</f>
        <v>87.944801330566406</v>
      </c>
      <c r="N677" s="20" t="str">
        <f>[1]!f_info_fundmanager(B677)</f>
        <v>谢治宇</v>
      </c>
      <c r="O677" s="21">
        <v>4.1698630136986301</v>
      </c>
      <c r="P677" s="34" t="s">
        <v>2708</v>
      </c>
      <c r="Q677" s="34" t="s">
        <v>2709</v>
      </c>
      <c r="R677" s="34" t="s">
        <v>2217</v>
      </c>
      <c r="S677" s="34">
        <v>20100422</v>
      </c>
      <c r="T677" s="45">
        <v>39.498732664099997</v>
      </c>
      <c r="U677" s="46">
        <v>43.458308778000003</v>
      </c>
      <c r="V677" s="34" t="s">
        <v>231</v>
      </c>
      <c r="W677" s="34" t="s">
        <v>44</v>
      </c>
      <c r="X677" s="34" t="s">
        <v>45</v>
      </c>
      <c r="Y677" s="34" t="s">
        <v>65</v>
      </c>
      <c r="Z677" s="34"/>
      <c r="AA677" s="34" t="s">
        <v>2362</v>
      </c>
      <c r="AB677" s="22">
        <v>0.86310302734375</v>
      </c>
      <c r="AC677" s="23" t="s">
        <v>2344</v>
      </c>
      <c r="AD677" s="24">
        <v>3.9397260273972603</v>
      </c>
      <c r="AE677" s="25">
        <v>0.16599212072873962</v>
      </c>
      <c r="AF677" s="26">
        <v>0.33832389900438331</v>
      </c>
      <c r="AG677" s="26">
        <v>0.26687405850091617</v>
      </c>
      <c r="AH677" s="27">
        <v>0.7399254852612841</v>
      </c>
      <c r="AI677" s="27">
        <v>1.2144330185432191</v>
      </c>
      <c r="AJ677" s="27">
        <v>1.0724071630092686</v>
      </c>
      <c r="AK677" s="28" t="s">
        <v>2219</v>
      </c>
      <c r="AL677" s="29">
        <v>5</v>
      </c>
      <c r="AM677" s="29">
        <v>5</v>
      </c>
      <c r="AN677" s="29" t="s">
        <v>48</v>
      </c>
      <c r="AO677" s="47" t="s">
        <v>2710</v>
      </c>
      <c r="AP677" s="28">
        <v>0</v>
      </c>
      <c r="AQ677" s="26">
        <v>1.4999999999999999E-2</v>
      </c>
      <c r="AR677" s="26">
        <v>0</v>
      </c>
    </row>
    <row r="678" spans="1:44" x14ac:dyDescent="0.15">
      <c r="A678">
        <v>806</v>
      </c>
      <c r="B678" s="11">
        <v>270022</v>
      </c>
      <c r="C678" s="32"/>
      <c r="D678" s="32">
        <v>3.70323336259587E-4</v>
      </c>
      <c r="E678" s="32">
        <v>94</v>
      </c>
      <c r="F678" s="32">
        <v>0.82146731938075901</v>
      </c>
      <c r="G678" s="11"/>
      <c r="H678" s="11"/>
      <c r="I678" s="11"/>
      <c r="J678" s="18" t="s">
        <v>44</v>
      </c>
      <c r="K678" s="18" t="s">
        <v>45</v>
      </c>
      <c r="L678" s="58" t="s">
        <v>274</v>
      </c>
      <c r="M678" s="18">
        <f>[1]!f_prt_stocktonav(B678,"2017/03/31")</f>
        <v>76.439498901367188</v>
      </c>
      <c r="N678" s="20" t="str">
        <f>[1]!f_info_fundmanager(B678)</f>
        <v>王小松</v>
      </c>
      <c r="O678" s="21">
        <v>1.8</v>
      </c>
      <c r="P678" s="34" t="s">
        <v>2711</v>
      </c>
      <c r="Q678" s="34" t="s">
        <v>2712</v>
      </c>
      <c r="R678" s="34" t="s">
        <v>132</v>
      </c>
      <c r="S678" s="34">
        <v>20100419</v>
      </c>
      <c r="T678" s="45">
        <v>3.827666072</v>
      </c>
      <c r="U678" s="46">
        <v>4.1551415281999997</v>
      </c>
      <c r="V678" s="34" t="s">
        <v>231</v>
      </c>
      <c r="W678" s="34" t="s">
        <v>44</v>
      </c>
      <c r="X678" s="34" t="s">
        <v>45</v>
      </c>
      <c r="Y678" s="34" t="s">
        <v>274</v>
      </c>
      <c r="Z678" s="34"/>
      <c r="AA678" s="34"/>
      <c r="AB678" s="22">
        <v>0.77564102172851568</v>
      </c>
      <c r="AC678" s="23" t="s">
        <v>2713</v>
      </c>
      <c r="AD678" s="24">
        <v>1.5698630136986302</v>
      </c>
      <c r="AE678" s="25">
        <v>-9.9858917482708032E-3</v>
      </c>
      <c r="AF678" s="26">
        <v>8.3398584979160972E-2</v>
      </c>
      <c r="AG678" s="26">
        <v>2.1508924008243335E-2</v>
      </c>
      <c r="AH678" s="27">
        <v>4.0039036525428832E-2</v>
      </c>
      <c r="AI678" s="27">
        <v>0.37749485953590378</v>
      </c>
      <c r="AJ678" s="27">
        <v>0.16600028281395371</v>
      </c>
      <c r="AK678" s="28" t="s">
        <v>1964</v>
      </c>
      <c r="AL678" s="29">
        <v>1</v>
      </c>
      <c r="AM678" s="29">
        <v>1</v>
      </c>
      <c r="AN678" s="29" t="s">
        <v>48</v>
      </c>
      <c r="AO678" s="47" t="s">
        <v>287</v>
      </c>
      <c r="AP678" s="28">
        <v>0</v>
      </c>
      <c r="AQ678" s="26">
        <v>1.4999999999999999E-2</v>
      </c>
      <c r="AR678" s="26">
        <v>0</v>
      </c>
    </row>
    <row r="679" spans="1:44" x14ac:dyDescent="0.15">
      <c r="A679">
        <v>748</v>
      </c>
      <c r="B679" s="11">
        <v>519026</v>
      </c>
      <c r="C679" s="32"/>
      <c r="D679" s="32">
        <v>-3.3697820300435501E-3</v>
      </c>
      <c r="E679" s="32">
        <v>119</v>
      </c>
      <c r="F679" s="32">
        <v>0.128542720868044</v>
      </c>
      <c r="G679" s="11"/>
      <c r="H679" s="11"/>
      <c r="I679" s="11"/>
      <c r="J679" s="18" t="s">
        <v>44</v>
      </c>
      <c r="K679" s="18" t="s">
        <v>45</v>
      </c>
      <c r="L679" s="58" t="s">
        <v>65</v>
      </c>
      <c r="M679" s="18">
        <f>[1]!f_prt_stocktonav(B679,"2017/03/31")</f>
        <v>78.423149108886719</v>
      </c>
      <c r="N679" s="20" t="str">
        <f>[1]!f_info_fundmanager(B679)</f>
        <v>黄峰</v>
      </c>
      <c r="O679" s="21">
        <v>2.2876712328767121</v>
      </c>
      <c r="P679" s="34" t="s">
        <v>2714</v>
      </c>
      <c r="Q679" s="34" t="s">
        <v>2715</v>
      </c>
      <c r="R679" s="34" t="s">
        <v>496</v>
      </c>
      <c r="S679" s="34">
        <v>20100414</v>
      </c>
      <c r="T679" s="45">
        <v>1.5579119815</v>
      </c>
      <c r="U679" s="46">
        <v>1.6717973370999999</v>
      </c>
      <c r="V679" s="34" t="s">
        <v>231</v>
      </c>
      <c r="W679" s="34" t="s">
        <v>44</v>
      </c>
      <c r="X679" s="34" t="s">
        <v>45</v>
      </c>
      <c r="Y679" s="34" t="s">
        <v>65</v>
      </c>
      <c r="Z679" s="34"/>
      <c r="AA679" s="34"/>
      <c r="AB679" s="22">
        <v>0.76952148437500001</v>
      </c>
      <c r="AC679" s="23" t="s">
        <v>2036</v>
      </c>
      <c r="AD679" s="24">
        <v>2.0575342465753423</v>
      </c>
      <c r="AE679" s="25">
        <v>-2.3541453491289555E-2</v>
      </c>
      <c r="AF679" s="26">
        <v>-6.6689602613099752E-2</v>
      </c>
      <c r="AG679" s="26">
        <v>-5.7673974472919332E-3</v>
      </c>
      <c r="AH679" s="27">
        <v>-2.4132840189436421E-3</v>
      </c>
      <c r="AI679" s="27">
        <v>-0.10088308141043344</v>
      </c>
      <c r="AJ679" s="27">
        <v>7.7973108813674891E-2</v>
      </c>
      <c r="AK679" s="28" t="s">
        <v>2414</v>
      </c>
      <c r="AL679" s="29">
        <v>1</v>
      </c>
      <c r="AM679" s="29">
        <v>1</v>
      </c>
      <c r="AN679" s="29" t="s">
        <v>48</v>
      </c>
      <c r="AO679" s="47" t="s">
        <v>310</v>
      </c>
      <c r="AP679" s="28">
        <v>0</v>
      </c>
      <c r="AQ679" s="26">
        <v>1.4999999999999999E-2</v>
      </c>
      <c r="AR679" s="26">
        <v>0</v>
      </c>
    </row>
    <row r="680" spans="1:44" x14ac:dyDescent="0.15">
      <c r="A680">
        <v>200</v>
      </c>
      <c r="B680" s="11">
        <v>210004</v>
      </c>
      <c r="C680" s="32"/>
      <c r="D680" s="32">
        <v>3.2476445563409399E-4</v>
      </c>
      <c r="E680" s="32">
        <v>94</v>
      </c>
      <c r="F680" s="32">
        <v>0.82079654077434505</v>
      </c>
      <c r="G680" s="11"/>
      <c r="H680" s="11"/>
      <c r="I680" s="11"/>
      <c r="J680" s="18" t="s">
        <v>44</v>
      </c>
      <c r="K680" s="18" t="s">
        <v>45</v>
      </c>
      <c r="L680" s="58" t="s">
        <v>274</v>
      </c>
      <c r="M680" s="18">
        <f>[1]!f_prt_stocktonav(B680,"2017/03/31")</f>
        <v>91.794212341308594</v>
      </c>
      <c r="N680" s="20" t="str">
        <f>[1]!f_info_fundmanager(B680)</f>
        <v>陈颖</v>
      </c>
      <c r="O680" s="21">
        <v>1.8054794520547945</v>
      </c>
      <c r="P680" s="34" t="s">
        <v>2716</v>
      </c>
      <c r="Q680" s="34" t="s">
        <v>2717</v>
      </c>
      <c r="R680" s="34" t="s">
        <v>273</v>
      </c>
      <c r="S680" s="34">
        <v>20100414</v>
      </c>
      <c r="T680" s="45">
        <v>29.394732791199999</v>
      </c>
      <c r="U680" s="46">
        <v>4.9023471666000003</v>
      </c>
      <c r="V680" s="34" t="s">
        <v>231</v>
      </c>
      <c r="W680" s="34" t="s">
        <v>44</v>
      </c>
      <c r="X680" s="34" t="s">
        <v>45</v>
      </c>
      <c r="Y680" s="34" t="s">
        <v>274</v>
      </c>
      <c r="Z680" s="34"/>
      <c r="AA680" s="34"/>
      <c r="AB680" s="22">
        <v>0.92978462219238278</v>
      </c>
      <c r="AC680" s="23" t="s">
        <v>2718</v>
      </c>
      <c r="AD680" s="24">
        <v>1.5753424657534247</v>
      </c>
      <c r="AE680" s="25">
        <v>0.1518474582124969</v>
      </c>
      <c r="AF680" s="26">
        <v>0.38079050897356104</v>
      </c>
      <c r="AG680" s="26">
        <v>0.26606240611061738</v>
      </c>
      <c r="AH680" s="27">
        <v>0.5922276027582758</v>
      </c>
      <c r="AI680" s="27">
        <v>1.0253912593611025</v>
      </c>
      <c r="AJ680" s="27">
        <v>0.88017798041107742</v>
      </c>
      <c r="AK680" s="28" t="s">
        <v>1868</v>
      </c>
      <c r="AL680" s="29">
        <v>5</v>
      </c>
      <c r="AM680" s="29">
        <v>5</v>
      </c>
      <c r="AN680" s="29" t="s">
        <v>48</v>
      </c>
      <c r="AO680" s="47" t="s">
        <v>592</v>
      </c>
      <c r="AP680" s="28">
        <v>0</v>
      </c>
      <c r="AQ680" s="26">
        <v>1.4999999999999999E-2</v>
      </c>
      <c r="AR680" s="26">
        <v>0</v>
      </c>
    </row>
    <row r="681" spans="1:44" x14ac:dyDescent="0.15">
      <c r="A681">
        <v>150</v>
      </c>
      <c r="B681" s="11">
        <v>202019</v>
      </c>
      <c r="C681" s="32"/>
      <c r="D681" s="32">
        <v>-1.9226748824445301E-4</v>
      </c>
      <c r="E681" s="32">
        <v>94</v>
      </c>
      <c r="F681" s="32">
        <v>0.78513587483876202</v>
      </c>
      <c r="G681" s="11"/>
      <c r="H681" s="11"/>
      <c r="I681" s="11"/>
      <c r="J681" s="18" t="s">
        <v>44</v>
      </c>
      <c r="K681" s="18" t="s">
        <v>45</v>
      </c>
      <c r="L681" s="58" t="s">
        <v>65</v>
      </c>
      <c r="M681" s="18">
        <f>[1]!f_prt_stocktonav(B681,"2017/03/31")</f>
        <v>92.777503967285156</v>
      </c>
      <c r="N681" s="20" t="str">
        <f>[1]!f_info_fundmanager(B681)</f>
        <v>雷俊</v>
      </c>
      <c r="O681" s="21">
        <v>1.7917808219178082</v>
      </c>
      <c r="P681" s="34" t="s">
        <v>2719</v>
      </c>
      <c r="Q681" s="34" t="s">
        <v>2720</v>
      </c>
      <c r="R681" s="34" t="s">
        <v>284</v>
      </c>
      <c r="S681" s="34">
        <v>20100330</v>
      </c>
      <c r="T681" s="45">
        <v>14.9563075269</v>
      </c>
      <c r="U681" s="46">
        <v>7.1832204985999999</v>
      </c>
      <c r="V681" s="34" t="s">
        <v>231</v>
      </c>
      <c r="W681" s="34" t="s">
        <v>44</v>
      </c>
      <c r="X681" s="34" t="s">
        <v>45</v>
      </c>
      <c r="Y681" s="34" t="s">
        <v>65</v>
      </c>
      <c r="Z681" s="34"/>
      <c r="AA681" s="34"/>
      <c r="AB681" s="22">
        <v>0.90917564392089845</v>
      </c>
      <c r="AC681" s="23" t="s">
        <v>1068</v>
      </c>
      <c r="AD681" s="24">
        <v>1.5616438356164384</v>
      </c>
      <c r="AE681" s="25">
        <v>7.408108102660016E-2</v>
      </c>
      <c r="AF681" s="26">
        <v>0.36439754836965577</v>
      </c>
      <c r="AG681" s="26">
        <v>0.19117815194614862</v>
      </c>
      <c r="AH681" s="27">
        <v>0.35464801676455637</v>
      </c>
      <c r="AI681" s="27">
        <v>1.1522661254608824</v>
      </c>
      <c r="AJ681" s="27">
        <v>0.7499560500801592</v>
      </c>
      <c r="AK681" s="28" t="s">
        <v>726</v>
      </c>
      <c r="AL681" s="29">
        <v>4</v>
      </c>
      <c r="AM681" s="29">
        <v>4</v>
      </c>
      <c r="AN681" s="29" t="s">
        <v>48</v>
      </c>
      <c r="AO681" s="47" t="s">
        <v>287</v>
      </c>
      <c r="AP681" s="28" t="s">
        <v>1843</v>
      </c>
      <c r="AQ681" s="26">
        <v>1.4999999999999999E-2</v>
      </c>
      <c r="AR681" s="26">
        <v>0</v>
      </c>
    </row>
    <row r="682" spans="1:44" x14ac:dyDescent="0.15">
      <c r="A682">
        <v>792</v>
      </c>
      <c r="B682" s="11">
        <v>163001</v>
      </c>
      <c r="C682" s="32"/>
      <c r="D682" s="32">
        <v>3.4253264351970702E-4</v>
      </c>
      <c r="E682" s="32">
        <v>107</v>
      </c>
      <c r="F682" s="32">
        <v>0.86831684865771297</v>
      </c>
      <c r="G682" s="11"/>
      <c r="H682" s="11"/>
      <c r="I682" s="11"/>
      <c r="J682" s="18" t="s">
        <v>44</v>
      </c>
      <c r="K682" s="18" t="s">
        <v>86</v>
      </c>
      <c r="L682" s="58" t="s">
        <v>65</v>
      </c>
      <c r="M682" s="18">
        <f>[1]!f_prt_stocktonav(B682,"2017/03/31")</f>
        <v>76.963424682617188</v>
      </c>
      <c r="N682" s="20" t="str">
        <f>[1]!f_info_fundmanager(B682)</f>
        <v>左金保</v>
      </c>
      <c r="O682" s="21">
        <v>2.0520547945205481</v>
      </c>
      <c r="P682" s="34" t="s">
        <v>2721</v>
      </c>
      <c r="Q682" s="34" t="s">
        <v>2722</v>
      </c>
      <c r="R682" s="34" t="s">
        <v>206</v>
      </c>
      <c r="S682" s="34">
        <v>20100326</v>
      </c>
      <c r="T682" s="45">
        <v>1.5933338695000001</v>
      </c>
      <c r="U682" s="46">
        <v>1.3736373534999999</v>
      </c>
      <c r="V682" s="34" t="s">
        <v>231</v>
      </c>
      <c r="W682" s="34" t="s">
        <v>44</v>
      </c>
      <c r="X682" s="34" t="s">
        <v>86</v>
      </c>
      <c r="Y682" s="34" t="s">
        <v>65</v>
      </c>
      <c r="Z682" s="34" t="s">
        <v>2723</v>
      </c>
      <c r="AA682" s="34"/>
      <c r="AB682" s="22">
        <v>0.7161978912353516</v>
      </c>
      <c r="AC682" s="23" t="s">
        <v>327</v>
      </c>
      <c r="AD682" s="24">
        <v>1.821917808219178</v>
      </c>
      <c r="AE682" s="25">
        <v>6.5871178105795236E-2</v>
      </c>
      <c r="AF682" s="26">
        <v>0.28037631716517364</v>
      </c>
      <c r="AG682" s="26">
        <v>0.14672052965938454</v>
      </c>
      <c r="AH682" s="27">
        <v>0.32413119917159372</v>
      </c>
      <c r="AI682" s="27">
        <v>0.96147064161556406</v>
      </c>
      <c r="AJ682" s="27">
        <v>0.60475694977253402</v>
      </c>
      <c r="AK682" s="33" t="s">
        <v>2004</v>
      </c>
      <c r="AL682" s="29" t="s">
        <v>48</v>
      </c>
      <c r="AM682" s="29">
        <v>4</v>
      </c>
      <c r="AN682" s="29" t="s">
        <v>48</v>
      </c>
      <c r="AO682" s="47" t="s">
        <v>209</v>
      </c>
      <c r="AP682" s="28">
        <v>0</v>
      </c>
      <c r="AQ682" s="26">
        <v>1.4999999999999999E-2</v>
      </c>
      <c r="AR682" s="26">
        <v>0</v>
      </c>
    </row>
    <row r="683" spans="1:44" x14ac:dyDescent="0.15">
      <c r="A683">
        <v>548</v>
      </c>
      <c r="B683" s="11">
        <v>660005</v>
      </c>
      <c r="C683" s="32"/>
      <c r="D683" s="32">
        <v>-8.8981706155655705E-4</v>
      </c>
      <c r="E683" s="32">
        <v>212</v>
      </c>
      <c r="F683" s="32">
        <v>0.50902414701753196</v>
      </c>
      <c r="G683" s="11"/>
      <c r="H683" s="11"/>
      <c r="I683" s="11"/>
      <c r="J683" s="18" t="s">
        <v>44</v>
      </c>
      <c r="K683" s="18" t="s">
        <v>45</v>
      </c>
      <c r="L683" s="58" t="s">
        <v>274</v>
      </c>
      <c r="M683" s="18">
        <f>[1]!f_prt_stocktonav(B683,"2017/03/31")</f>
        <v>84.064041137695312</v>
      </c>
      <c r="N683" s="20" t="str">
        <f>[1]!f_info_fundmanager(B683)</f>
        <v>付娟,徐文卉</v>
      </c>
      <c r="O683" s="21">
        <v>4.0739726027397261</v>
      </c>
      <c r="P683" s="34" t="s">
        <v>2724</v>
      </c>
      <c r="Q683" s="34" t="s">
        <v>2725</v>
      </c>
      <c r="R683" s="34" t="s">
        <v>424</v>
      </c>
      <c r="S683" s="34">
        <v>20100325</v>
      </c>
      <c r="T683" s="45">
        <v>12.2721569118</v>
      </c>
      <c r="U683" s="46">
        <v>16.9386498012</v>
      </c>
      <c r="V683" s="34" t="s">
        <v>231</v>
      </c>
      <c r="W683" s="34" t="s">
        <v>44</v>
      </c>
      <c r="X683" s="34" t="s">
        <v>45</v>
      </c>
      <c r="Y683" s="34" t="s">
        <v>274</v>
      </c>
      <c r="Z683" s="34"/>
      <c r="AA683" s="34"/>
      <c r="AB683" s="22">
        <v>0.79882225036621091</v>
      </c>
      <c r="AC683" s="23" t="s">
        <v>2332</v>
      </c>
      <c r="AD683" s="24">
        <v>3.8438356164383563</v>
      </c>
      <c r="AE683" s="25">
        <v>0.14131647202734321</v>
      </c>
      <c r="AF683" s="26">
        <v>0.16906717838236829</v>
      </c>
      <c r="AG683" s="26">
        <v>0.2061032388685291</v>
      </c>
      <c r="AH683" s="27">
        <v>0.5713480376108302</v>
      </c>
      <c r="AI683" s="27">
        <v>0.56383449373071515</v>
      </c>
      <c r="AJ683" s="27">
        <v>0.73001652415930574</v>
      </c>
      <c r="AK683" s="28" t="s">
        <v>2726</v>
      </c>
      <c r="AL683" s="29">
        <v>5</v>
      </c>
      <c r="AM683" s="29">
        <v>3</v>
      </c>
      <c r="AN683" s="29" t="s">
        <v>48</v>
      </c>
      <c r="AO683" s="47" t="s">
        <v>702</v>
      </c>
      <c r="AP683" s="28">
        <v>0</v>
      </c>
      <c r="AQ683" s="26">
        <v>1.4999999999999999E-2</v>
      </c>
      <c r="AR683" s="26">
        <v>0</v>
      </c>
    </row>
    <row r="684" spans="1:44" x14ac:dyDescent="0.15">
      <c r="A684">
        <v>890</v>
      </c>
      <c r="B684" s="11">
        <v>163809</v>
      </c>
      <c r="C684" s="32"/>
      <c r="D684" s="32">
        <v>-9.5415148910928398E-4</v>
      </c>
      <c r="E684" s="32">
        <v>88</v>
      </c>
      <c r="F684" s="32">
        <v>0.49986070899349699</v>
      </c>
      <c r="G684" s="11"/>
      <c r="H684" s="11"/>
      <c r="I684" s="11"/>
      <c r="J684" s="18" t="s">
        <v>44</v>
      </c>
      <c r="K684" s="18" t="s">
        <v>45</v>
      </c>
      <c r="L684" s="58" t="s">
        <v>274</v>
      </c>
      <c r="M684" s="18">
        <f>[1]!f_prt_stocktonav(B684,"2017/03/31")</f>
        <v>73.116012573242188</v>
      </c>
      <c r="N684" s="20" t="str">
        <f>[1]!f_info_fundmanager(B684)</f>
        <v>王帅</v>
      </c>
      <c r="O684" s="21">
        <v>1.6739726027397259</v>
      </c>
      <c r="P684" s="34" t="s">
        <v>2727</v>
      </c>
      <c r="Q684" s="34" t="s">
        <v>2728</v>
      </c>
      <c r="R684" s="34" t="s">
        <v>71</v>
      </c>
      <c r="S684" s="34">
        <v>20100211</v>
      </c>
      <c r="T684" s="45">
        <v>2.2869275659000001</v>
      </c>
      <c r="U684" s="46">
        <v>2.4325923292999998</v>
      </c>
      <c r="V684" s="34" t="s">
        <v>231</v>
      </c>
      <c r="W684" s="34" t="s">
        <v>41</v>
      </c>
      <c r="X684" s="17" t="s">
        <v>42</v>
      </c>
      <c r="Y684" s="17" t="s">
        <v>181</v>
      </c>
      <c r="Z684" s="34"/>
      <c r="AA684" s="34"/>
      <c r="AB684" s="22">
        <v>0.68616157531738287</v>
      </c>
      <c r="AC684" s="23" t="s">
        <v>2729</v>
      </c>
      <c r="AD684" s="24">
        <v>1.4438356164383561</v>
      </c>
      <c r="AE684" s="25">
        <v>2.0762565242155917E-2</v>
      </c>
      <c r="AF684" s="26">
        <v>3.0976347254563219E-2</v>
      </c>
      <c r="AG684" s="26">
        <v>6.4286073364506091E-2</v>
      </c>
      <c r="AH684" s="27">
        <v>0.12991227711566261</v>
      </c>
      <c r="AI684" s="27">
        <v>0.18060000985839481</v>
      </c>
      <c r="AJ684" s="27">
        <v>0.32661913722816693</v>
      </c>
      <c r="AK684" s="28" t="s">
        <v>323</v>
      </c>
      <c r="AL684" s="29">
        <v>1</v>
      </c>
      <c r="AM684" s="29">
        <v>3</v>
      </c>
      <c r="AN684" s="29" t="s">
        <v>48</v>
      </c>
      <c r="AO684" s="47" t="s">
        <v>845</v>
      </c>
      <c r="AP684" s="28">
        <v>0</v>
      </c>
      <c r="AQ684" s="26">
        <v>1.4999999999999999E-2</v>
      </c>
      <c r="AR684" s="26">
        <v>0</v>
      </c>
    </row>
    <row r="685" spans="1:44" x14ac:dyDescent="0.15">
      <c r="A685">
        <v>32</v>
      </c>
      <c r="B685" s="11">
        <v>481010</v>
      </c>
      <c r="C685" s="32"/>
      <c r="D685" s="32">
        <v>-1.8228421355160401E-3</v>
      </c>
      <c r="E685" s="32">
        <v>285</v>
      </c>
      <c r="F685" s="32">
        <v>9.8844253964018702E-3</v>
      </c>
      <c r="G685" s="11"/>
      <c r="H685" s="11"/>
      <c r="I685" s="11"/>
      <c r="J685" s="18" t="s">
        <v>44</v>
      </c>
      <c r="K685" s="18" t="s">
        <v>45</v>
      </c>
      <c r="L685" s="58" t="s">
        <v>274</v>
      </c>
      <c r="M685" s="18">
        <f>[1]!f_prt_stocktonav(B685,"2017/03/31")</f>
        <v>94.593276977539063</v>
      </c>
      <c r="N685" s="20" t="str">
        <f>[1]!f_info_fundmanager(B685)</f>
        <v>胡文彪,王筱苓</v>
      </c>
      <c r="O685" s="21">
        <v>5.4739726027397264</v>
      </c>
      <c r="P685" s="34" t="s">
        <v>2730</v>
      </c>
      <c r="Q685" s="34" t="s">
        <v>2731</v>
      </c>
      <c r="R685" s="34" t="s">
        <v>523</v>
      </c>
      <c r="S685" s="34">
        <v>20100210</v>
      </c>
      <c r="T685" s="45">
        <v>4.3973551183000001</v>
      </c>
      <c r="U685" s="46">
        <v>4.6820793581000002</v>
      </c>
      <c r="V685" s="34" t="s">
        <v>231</v>
      </c>
      <c r="W685" s="34" t="s">
        <v>44</v>
      </c>
      <c r="X685" s="34" t="s">
        <v>45</v>
      </c>
      <c r="Y685" s="34" t="s">
        <v>65</v>
      </c>
      <c r="Z685" s="34"/>
      <c r="AA685" s="34"/>
      <c r="AB685" s="22">
        <v>0.94309211730957032</v>
      </c>
      <c r="AC685" s="23" t="s">
        <v>2732</v>
      </c>
      <c r="AD685" s="24">
        <v>5.2438356164383562</v>
      </c>
      <c r="AE685" s="25">
        <v>5.6622033516103842E-2</v>
      </c>
      <c r="AF685" s="26">
        <v>0.19209863941764341</v>
      </c>
      <c r="AG685" s="26">
        <v>0.1394953130022929</v>
      </c>
      <c r="AH685" s="27">
        <v>0.28615852649871004</v>
      </c>
      <c r="AI685" s="27">
        <v>0.62561647934189146</v>
      </c>
      <c r="AJ685" s="27">
        <v>0.53763935664792228</v>
      </c>
      <c r="AK685" s="28" t="s">
        <v>2567</v>
      </c>
      <c r="AL685" s="29">
        <v>4</v>
      </c>
      <c r="AM685" s="29">
        <v>3</v>
      </c>
      <c r="AN685" s="29" t="s">
        <v>48</v>
      </c>
      <c r="AO685" s="47" t="s">
        <v>255</v>
      </c>
      <c r="AP685" s="28">
        <v>0</v>
      </c>
      <c r="AQ685" s="26">
        <v>1.4999999999999999E-2</v>
      </c>
      <c r="AR685" s="26">
        <v>0</v>
      </c>
    </row>
    <row r="686" spans="1:44" x14ac:dyDescent="0.15">
      <c r="A686">
        <v>539</v>
      </c>
      <c r="B686" s="11">
        <v>550009</v>
      </c>
      <c r="C686" s="32"/>
      <c r="D686" s="32">
        <v>-3.7460363033878E-3</v>
      </c>
      <c r="E686" s="32">
        <v>153</v>
      </c>
      <c r="F686" s="32">
        <v>8.7195118059118296E-3</v>
      </c>
      <c r="G686" s="11"/>
      <c r="H686" s="11"/>
      <c r="I686" s="11"/>
      <c r="J686" s="18" t="s">
        <v>44</v>
      </c>
      <c r="K686" s="18" t="s">
        <v>45</v>
      </c>
      <c r="L686" s="58" t="s">
        <v>274</v>
      </c>
      <c r="M686" s="18">
        <f>[1]!f_prt_stocktonav(B686,"2017/03/31")</f>
        <v>84.286468505859375</v>
      </c>
      <c r="N686" s="20" t="str">
        <f>[1]!f_info_fundmanager(B686)</f>
        <v>郑伟</v>
      </c>
      <c r="O686" s="21">
        <v>2.9397260273972603</v>
      </c>
      <c r="P686" s="34" t="s">
        <v>2733</v>
      </c>
      <c r="Q686" s="34" t="s">
        <v>2734</v>
      </c>
      <c r="R686" s="34" t="s">
        <v>456</v>
      </c>
      <c r="S686" s="34">
        <v>20100210</v>
      </c>
      <c r="T686" s="45">
        <v>0.58095857490000002</v>
      </c>
      <c r="U686" s="46">
        <v>0.61251375699999999</v>
      </c>
      <c r="V686" s="34" t="s">
        <v>231</v>
      </c>
      <c r="W686" s="34" t="s">
        <v>44</v>
      </c>
      <c r="X686" s="34" t="s">
        <v>45</v>
      </c>
      <c r="Y686" s="34" t="s">
        <v>274</v>
      </c>
      <c r="Z686" s="34"/>
      <c r="AA686" s="34"/>
      <c r="AB686" s="22">
        <v>0.77516265869140621</v>
      </c>
      <c r="AC686" s="23" t="s">
        <v>2106</v>
      </c>
      <c r="AD686" s="24">
        <v>2.7095890410958905</v>
      </c>
      <c r="AE686" s="25">
        <v>7.5665203917244739E-2</v>
      </c>
      <c r="AF686" s="26">
        <v>0.15415204784449665</v>
      </c>
      <c r="AG686" s="26">
        <v>0.16461300638805088</v>
      </c>
      <c r="AH686" s="27">
        <v>0.3508635923261138</v>
      </c>
      <c r="AI686" s="27">
        <v>0.53071897987339733</v>
      </c>
      <c r="AJ686" s="27">
        <v>0.60011655925085639</v>
      </c>
      <c r="AK686" s="28" t="s">
        <v>2735</v>
      </c>
      <c r="AL686" s="29">
        <v>5</v>
      </c>
      <c r="AM686" s="29">
        <v>5</v>
      </c>
      <c r="AN686" s="29" t="s">
        <v>48</v>
      </c>
      <c r="AO686" s="47" t="s">
        <v>310</v>
      </c>
      <c r="AP686" s="28">
        <v>0</v>
      </c>
      <c r="AQ686" s="26">
        <v>1.4999999999999999E-2</v>
      </c>
      <c r="AR686" s="26">
        <v>0</v>
      </c>
    </row>
    <row r="687" spans="1:44" x14ac:dyDescent="0.15">
      <c r="A687">
        <v>419</v>
      </c>
      <c r="B687" s="11">
        <v>519093</v>
      </c>
      <c r="C687" s="32"/>
      <c r="D687" s="32">
        <v>-1.46147508237453E-3</v>
      </c>
      <c r="E687" s="32">
        <v>41</v>
      </c>
      <c r="F687" s="32">
        <v>0.21644371161749801</v>
      </c>
      <c r="G687" s="11"/>
      <c r="H687" s="11"/>
      <c r="I687" s="11"/>
      <c r="J687" s="18" t="s">
        <v>44</v>
      </c>
      <c r="K687" s="18" t="s">
        <v>45</v>
      </c>
      <c r="L687" s="58" t="s">
        <v>274</v>
      </c>
      <c r="M687" s="18">
        <f>[1]!f_prt_stocktonav(B687,"2017/03/31")</f>
        <v>86.945297241210938</v>
      </c>
      <c r="N687" s="20" t="str">
        <f>[1]!f_info_fundmanager(B687)</f>
        <v>付伟,蔡春红</v>
      </c>
      <c r="O687" s="21">
        <v>0.78630136986301369</v>
      </c>
      <c r="P687" s="34" t="s">
        <v>2736</v>
      </c>
      <c r="Q687" s="34" t="s">
        <v>2737</v>
      </c>
      <c r="R687" s="34" t="s">
        <v>569</v>
      </c>
      <c r="S687" s="34">
        <v>20100203</v>
      </c>
      <c r="T687" s="45">
        <v>4.4348282029000003</v>
      </c>
      <c r="U687" s="46">
        <v>4.6940611068000004</v>
      </c>
      <c r="V687" s="34" t="s">
        <v>201</v>
      </c>
      <c r="W687" s="34" t="s">
        <v>44</v>
      </c>
      <c r="X687" s="34" t="s">
        <v>45</v>
      </c>
      <c r="Y687" s="34" t="s">
        <v>274</v>
      </c>
      <c r="Z687" s="34"/>
      <c r="AA687" s="34"/>
      <c r="AB687" s="22">
        <v>0.85420135498046879</v>
      </c>
      <c r="AC687" s="23" t="s">
        <v>2566</v>
      </c>
      <c r="AD687" s="24">
        <v>0.55616438356164388</v>
      </c>
      <c r="AE687" s="25">
        <v>9.6678246668969958E-2</v>
      </c>
      <c r="AF687" s="26">
        <v>0.20054312201010549</v>
      </c>
      <c r="AG687" s="26">
        <v>0.1714740297478452</v>
      </c>
      <c r="AH687" s="27">
        <v>0.46675843064930422</v>
      </c>
      <c r="AI687" s="27">
        <v>0.80233734397011403</v>
      </c>
      <c r="AJ687" s="27">
        <v>0.73588052190393249</v>
      </c>
      <c r="AK687" s="28" t="s">
        <v>1459</v>
      </c>
      <c r="AL687" s="29">
        <v>4</v>
      </c>
      <c r="AM687" s="29">
        <v>4</v>
      </c>
      <c r="AN687" s="29" t="s">
        <v>48</v>
      </c>
      <c r="AO687" s="47" t="s">
        <v>310</v>
      </c>
      <c r="AP687" s="28">
        <v>0</v>
      </c>
      <c r="AQ687" s="26">
        <v>1.4999999999999999E-2</v>
      </c>
      <c r="AR687" s="26">
        <v>0</v>
      </c>
    </row>
    <row r="688" spans="1:44" x14ac:dyDescent="0.15">
      <c r="A688">
        <v>246</v>
      </c>
      <c r="B688" s="11">
        <v>377530</v>
      </c>
      <c r="C688" s="32"/>
      <c r="D688" s="32">
        <v>-2.7882120853454399E-3</v>
      </c>
      <c r="E688" s="32">
        <v>119</v>
      </c>
      <c r="F688" s="32">
        <v>9.6433856077111704E-2</v>
      </c>
      <c r="G688" s="11"/>
      <c r="H688" s="11"/>
      <c r="I688" s="11"/>
      <c r="J688" s="18" t="s">
        <v>44</v>
      </c>
      <c r="K688" s="19" t="s">
        <v>45</v>
      </c>
      <c r="L688" s="58" t="s">
        <v>274</v>
      </c>
      <c r="M688" s="18">
        <f>[1]!f_prt_stocktonav(B688,"2017/03/31")</f>
        <v>90.66680908203125</v>
      </c>
      <c r="N688" s="20" t="str">
        <f>[1]!f_info_fundmanager(B688)</f>
        <v>孙芳</v>
      </c>
      <c r="O688" s="21">
        <v>2.2821917808219179</v>
      </c>
      <c r="P688" s="32" t="s">
        <v>2738</v>
      </c>
      <c r="Q688" s="13" t="s">
        <v>2739</v>
      </c>
      <c r="R688" s="13" t="s">
        <v>511</v>
      </c>
      <c r="S688" s="13">
        <v>20100128</v>
      </c>
      <c r="T688" s="14">
        <v>7.6308353974000003</v>
      </c>
      <c r="U688" s="15" t="s">
        <v>39</v>
      </c>
      <c r="V688" s="16" t="s">
        <v>40</v>
      </c>
      <c r="W688" s="17" t="s">
        <v>44</v>
      </c>
      <c r="X688" s="17" t="s">
        <v>45</v>
      </c>
      <c r="Y688" s="17" t="s">
        <v>274</v>
      </c>
      <c r="Z688" s="13"/>
      <c r="AA688" s="13"/>
      <c r="AB688" s="22">
        <v>0.87338928222656254</v>
      </c>
      <c r="AC688" s="23" t="s">
        <v>2229</v>
      </c>
      <c r="AD688" s="24">
        <v>2.0520547945205481</v>
      </c>
      <c r="AE688" s="25">
        <v>7.7440037497826575E-2</v>
      </c>
      <c r="AF688" s="26">
        <v>9.8246393169087329E-2</v>
      </c>
      <c r="AG688" s="26">
        <v>0.16935813077051853</v>
      </c>
      <c r="AH688" s="27">
        <v>0.35772091906709574</v>
      </c>
      <c r="AI688" s="27">
        <v>0.39588595510970331</v>
      </c>
      <c r="AJ688" s="27">
        <v>0.61739531456767216</v>
      </c>
      <c r="AK688" s="28" t="s">
        <v>1459</v>
      </c>
      <c r="AL688" s="29">
        <v>3</v>
      </c>
      <c r="AM688" s="29">
        <v>2</v>
      </c>
      <c r="AN688" s="29" t="s">
        <v>48</v>
      </c>
      <c r="AO688" s="23" t="s">
        <v>2740</v>
      </c>
      <c r="AP688" s="30">
        <v>0</v>
      </c>
      <c r="AQ688" s="31">
        <v>1.4999999999999999E-2</v>
      </c>
      <c r="AR688" s="31">
        <v>0</v>
      </c>
    </row>
    <row r="689" spans="1:44" x14ac:dyDescent="0.15">
      <c r="A689">
        <v>483</v>
      </c>
      <c r="B689" s="11">
        <v>580006</v>
      </c>
      <c r="C689" s="32"/>
      <c r="D689" s="32">
        <v>-2.8236551298041999E-3</v>
      </c>
      <c r="E689" s="32">
        <v>96</v>
      </c>
      <c r="F689" s="32">
        <v>6.2172062546324902E-2</v>
      </c>
      <c r="G689" s="11"/>
      <c r="H689" s="11"/>
      <c r="I689" s="11"/>
      <c r="J689" s="18" t="s">
        <v>44</v>
      </c>
      <c r="K689" s="18" t="s">
        <v>45</v>
      </c>
      <c r="L689" s="58" t="s">
        <v>274</v>
      </c>
      <c r="M689" s="18">
        <f>[1]!f_prt_stocktonav(B689,"2017/03/31")</f>
        <v>85.641342163085938</v>
      </c>
      <c r="N689" s="20" t="str">
        <f>[1]!f_info_fundmanager(B689)</f>
        <v>徐嶒</v>
      </c>
      <c r="O689" s="21">
        <v>1.8410958904109589</v>
      </c>
      <c r="P689" s="34" t="s">
        <v>2741</v>
      </c>
      <c r="Q689" s="34" t="s">
        <v>2742</v>
      </c>
      <c r="R689" s="34" t="s">
        <v>1057</v>
      </c>
      <c r="S689" s="34">
        <v>20091230</v>
      </c>
      <c r="T689" s="45">
        <v>0.34227197669999998</v>
      </c>
      <c r="U689" s="46">
        <v>0.72740646610000004</v>
      </c>
      <c r="V689" s="34" t="s">
        <v>201</v>
      </c>
      <c r="W689" s="34" t="s">
        <v>44</v>
      </c>
      <c r="X689" s="34" t="s">
        <v>45</v>
      </c>
      <c r="Y689" s="34" t="s">
        <v>274</v>
      </c>
      <c r="Z689" s="34"/>
      <c r="AA689" s="34"/>
      <c r="AB689" s="22">
        <v>0.79693717956542964</v>
      </c>
      <c r="AC689" s="23" t="s">
        <v>2743</v>
      </c>
      <c r="AD689" s="24">
        <v>1.6109589041095891</v>
      </c>
      <c r="AE689" s="25">
        <v>4.4314640165687758E-2</v>
      </c>
      <c r="AF689" s="26">
        <v>0.13824777005740096</v>
      </c>
      <c r="AG689" s="26">
        <v>7.432378615014934E-2</v>
      </c>
      <c r="AH689" s="27">
        <v>0.24011952944272374</v>
      </c>
      <c r="AI689" s="27">
        <v>0.5343957131916921</v>
      </c>
      <c r="AJ689" s="27">
        <v>0.34941628216290344</v>
      </c>
      <c r="AK689" s="28" t="s">
        <v>2119</v>
      </c>
      <c r="AL689" s="29">
        <v>2</v>
      </c>
      <c r="AM689" s="29">
        <v>3</v>
      </c>
      <c r="AN689" s="29" t="s">
        <v>48</v>
      </c>
      <c r="AO689" s="47" t="s">
        <v>310</v>
      </c>
      <c r="AP689" s="28">
        <v>0</v>
      </c>
      <c r="AQ689" s="26">
        <v>1.4999999999999999E-2</v>
      </c>
      <c r="AR689" s="26">
        <v>0</v>
      </c>
    </row>
    <row r="690" spans="1:44" x14ac:dyDescent="0.15">
      <c r="A690">
        <v>496</v>
      </c>
      <c r="B690" s="11">
        <v>166006</v>
      </c>
      <c r="C690" s="32"/>
      <c r="D690" s="32">
        <v>2.24607466221488E-3</v>
      </c>
      <c r="E690" s="32">
        <v>64</v>
      </c>
      <c r="F690" s="32">
        <v>0.119537890919167</v>
      </c>
      <c r="G690" s="11"/>
      <c r="H690" s="11"/>
      <c r="I690" s="11"/>
      <c r="J690" s="18" t="s">
        <v>44</v>
      </c>
      <c r="K690" s="18" t="s">
        <v>45</v>
      </c>
      <c r="L690" s="58" t="s">
        <v>65</v>
      </c>
      <c r="M690" s="18">
        <f>[1]!f_prt_stocktonav(B690,"2017/03/31")</f>
        <v>85.441421508789063</v>
      </c>
      <c r="N690" s="20" t="str">
        <f>[1]!f_info_fundmanager(B690)</f>
        <v>李欣</v>
      </c>
      <c r="O690" s="21">
        <v>1.2273972602739727</v>
      </c>
      <c r="P690" s="34" t="s">
        <v>2744</v>
      </c>
      <c r="Q690" s="34" t="s">
        <v>2745</v>
      </c>
      <c r="R690" s="34" t="s">
        <v>200</v>
      </c>
      <c r="S690" s="34">
        <v>20091230</v>
      </c>
      <c r="T690" s="45">
        <v>17.770548365900002</v>
      </c>
      <c r="U690" s="46">
        <v>20.8570759274</v>
      </c>
      <c r="V690" s="34" t="s">
        <v>231</v>
      </c>
      <c r="W690" s="34" t="s">
        <v>44</v>
      </c>
      <c r="X690" s="34" t="s">
        <v>45</v>
      </c>
      <c r="Y690" s="34" t="s">
        <v>65</v>
      </c>
      <c r="Z690" s="34"/>
      <c r="AA690" s="34"/>
      <c r="AB690" s="22">
        <v>0.77564109802246095</v>
      </c>
      <c r="AC690" s="23" t="s">
        <v>1392</v>
      </c>
      <c r="AD690" s="24">
        <v>0.99726027397260275</v>
      </c>
      <c r="AE690" s="25">
        <v>1.972701926962328E-2</v>
      </c>
      <c r="AF690" s="26">
        <v>0.14312410789838492</v>
      </c>
      <c r="AG690" s="26">
        <v>8.3833642434976596E-2</v>
      </c>
      <c r="AH690" s="27">
        <v>0.15499504098974198</v>
      </c>
      <c r="AI690" s="27">
        <v>0.55690383573234248</v>
      </c>
      <c r="AJ690" s="27">
        <v>0.37051416193390185</v>
      </c>
      <c r="AK690" s="28" t="s">
        <v>468</v>
      </c>
      <c r="AL690" s="29">
        <v>1</v>
      </c>
      <c r="AM690" s="29">
        <v>1</v>
      </c>
      <c r="AN690" s="29" t="s">
        <v>48</v>
      </c>
      <c r="AO690" s="47" t="s">
        <v>2746</v>
      </c>
      <c r="AP690" s="28">
        <v>0</v>
      </c>
      <c r="AQ690" s="26">
        <v>1.4999999999999999E-2</v>
      </c>
      <c r="AR690" s="26">
        <v>0</v>
      </c>
    </row>
    <row r="691" spans="1:44" x14ac:dyDescent="0.15">
      <c r="A691">
        <v>811</v>
      </c>
      <c r="B691" s="11">
        <v>217013</v>
      </c>
      <c r="C691" s="32"/>
      <c r="D691" s="32">
        <v>-2.47054154815424E-3</v>
      </c>
      <c r="E691" s="32">
        <v>100</v>
      </c>
      <c r="F691" s="32">
        <v>0.18688893021979799</v>
      </c>
      <c r="G691" s="11"/>
      <c r="H691" s="11"/>
      <c r="I691" s="11"/>
      <c r="J691" s="18" t="s">
        <v>44</v>
      </c>
      <c r="K691" s="18" t="s">
        <v>45</v>
      </c>
      <c r="L691" s="58" t="s">
        <v>65</v>
      </c>
      <c r="M691" s="18">
        <f>[1]!f_prt_stocktonav(B691,"2017/03/31")</f>
        <v>76.242324829101563</v>
      </c>
      <c r="N691" s="20" t="str">
        <f>[1]!f_info_fundmanager(B691)</f>
        <v>韩冰,张西林</v>
      </c>
      <c r="O691" s="21">
        <v>1.9068493150684931</v>
      </c>
      <c r="P691" s="34" t="s">
        <v>2747</v>
      </c>
      <c r="Q691" s="34" t="s">
        <v>2748</v>
      </c>
      <c r="R691" s="34" t="s">
        <v>165</v>
      </c>
      <c r="S691" s="34">
        <v>20091225</v>
      </c>
      <c r="T691" s="45">
        <v>1.7153540842999999</v>
      </c>
      <c r="U691" s="46">
        <v>1.8732146451</v>
      </c>
      <c r="V691" s="34" t="s">
        <v>231</v>
      </c>
      <c r="W691" s="34" t="s">
        <v>44</v>
      </c>
      <c r="X691" s="34" t="s">
        <v>45</v>
      </c>
      <c r="Y691" s="34" t="s">
        <v>274</v>
      </c>
      <c r="Z691" s="34"/>
      <c r="AA691" s="34"/>
      <c r="AB691" s="22">
        <v>0.80206626892089838</v>
      </c>
      <c r="AC691" s="23" t="s">
        <v>2749</v>
      </c>
      <c r="AD691" s="24">
        <v>1.6767123287671233</v>
      </c>
      <c r="AE691" s="25">
        <v>3.9526720638217938E-2</v>
      </c>
      <c r="AF691" s="26">
        <v>8.3931956288035181E-2</v>
      </c>
      <c r="AG691" s="26">
        <v>0.10007279205725439</v>
      </c>
      <c r="AH691" s="27">
        <v>0.22389581823068477</v>
      </c>
      <c r="AI691" s="27">
        <v>0.37778365348675075</v>
      </c>
      <c r="AJ691" s="27">
        <v>0.42604143557585339</v>
      </c>
      <c r="AK691" s="28" t="s">
        <v>2750</v>
      </c>
      <c r="AL691" s="29">
        <v>2</v>
      </c>
      <c r="AM691" s="29">
        <v>2</v>
      </c>
      <c r="AN691" s="29" t="s">
        <v>48</v>
      </c>
      <c r="AO691" s="47" t="s">
        <v>2751</v>
      </c>
      <c r="AP691" s="28">
        <v>0</v>
      </c>
      <c r="AQ691" s="26">
        <v>1.4999999999999999E-2</v>
      </c>
      <c r="AR691" s="26">
        <v>0</v>
      </c>
    </row>
    <row r="692" spans="1:44" x14ac:dyDescent="0.15">
      <c r="A692">
        <v>271</v>
      </c>
      <c r="B692" s="11">
        <v>470008</v>
      </c>
      <c r="C692" s="32"/>
      <c r="D692" s="32">
        <v>-2.3012053550764502E-3</v>
      </c>
      <c r="E692" s="32">
        <v>379</v>
      </c>
      <c r="F692" s="32">
        <v>2.3585126861877401E-2</v>
      </c>
      <c r="G692" s="11"/>
      <c r="H692" s="11"/>
      <c r="I692" s="11"/>
      <c r="J692" s="18" t="s">
        <v>44</v>
      </c>
      <c r="K692" s="18" t="s">
        <v>45</v>
      </c>
      <c r="L692" s="58" t="s">
        <v>65</v>
      </c>
      <c r="M692" s="18">
        <f>[1]!f_prt_stocktonav(B692,"2017/03/31")</f>
        <v>90.036827087402344</v>
      </c>
      <c r="N692" s="20" t="str">
        <f>[1]!f_info_fundmanager(B692)</f>
        <v>顾耀强</v>
      </c>
      <c r="O692" s="21">
        <v>7.2767123287671236</v>
      </c>
      <c r="P692" s="34" t="s">
        <v>2752</v>
      </c>
      <c r="Q692" s="34" t="s">
        <v>2753</v>
      </c>
      <c r="R692" s="34" t="s">
        <v>331</v>
      </c>
      <c r="S692" s="34">
        <v>20091222</v>
      </c>
      <c r="T692" s="45">
        <v>13.892652333899999</v>
      </c>
      <c r="U692" s="46">
        <v>16.1802473276</v>
      </c>
      <c r="V692" s="34" t="s">
        <v>231</v>
      </c>
      <c r="W692" s="34" t="s">
        <v>44</v>
      </c>
      <c r="X692" s="34" t="s">
        <v>45</v>
      </c>
      <c r="Y692" s="34" t="s">
        <v>65</v>
      </c>
      <c r="Z692" s="34"/>
      <c r="AA692" s="34"/>
      <c r="AB692" s="22">
        <v>0.89826789855957034</v>
      </c>
      <c r="AC692" s="23" t="s">
        <v>2371</v>
      </c>
      <c r="AD692" s="24">
        <v>7.0465753424657533</v>
      </c>
      <c r="AE692" s="25">
        <v>7.2945599371079251E-2</v>
      </c>
      <c r="AF692" s="26">
        <v>0.16295860769153905</v>
      </c>
      <c r="AG692" s="26">
        <v>0.12566809425799752</v>
      </c>
      <c r="AH692" s="27">
        <v>0.33590697239909012</v>
      </c>
      <c r="AI692" s="27">
        <v>0.53030245349211191</v>
      </c>
      <c r="AJ692" s="27">
        <v>0.48027371500685218</v>
      </c>
      <c r="AK692" s="28" t="s">
        <v>726</v>
      </c>
      <c r="AL692" s="29">
        <v>2</v>
      </c>
      <c r="AM692" s="29">
        <v>3</v>
      </c>
      <c r="AN692" s="29" t="s">
        <v>48</v>
      </c>
      <c r="AO692" s="47" t="s">
        <v>334</v>
      </c>
      <c r="AP692" s="28">
        <v>0</v>
      </c>
      <c r="AQ692" s="26">
        <v>1.4999999999999999E-2</v>
      </c>
      <c r="AR692" s="26">
        <v>0</v>
      </c>
    </row>
    <row r="693" spans="1:44" x14ac:dyDescent="0.15">
      <c r="A693">
        <v>714</v>
      </c>
      <c r="B693" s="11">
        <v>40015</v>
      </c>
      <c r="C693" s="32"/>
      <c r="D693" s="32">
        <v>1.12601522611085E-4</v>
      </c>
      <c r="E693" s="32">
        <v>94</v>
      </c>
      <c r="F693" s="32">
        <v>0.93179852626204496</v>
      </c>
      <c r="G693" s="11"/>
      <c r="H693" s="11"/>
      <c r="I693" s="11"/>
      <c r="J693" s="18" t="s">
        <v>44</v>
      </c>
      <c r="K693" s="18" t="s">
        <v>45</v>
      </c>
      <c r="L693" s="58" t="s">
        <v>274</v>
      </c>
      <c r="M693" s="18">
        <f>[1]!f_prt_stocktonav(B693,"2017/03/31")</f>
        <v>79.597747802734375</v>
      </c>
      <c r="N693" s="20" t="str">
        <f>[1]!f_info_fundmanager(B693)</f>
        <v>蒋璆</v>
      </c>
      <c r="O693" s="21">
        <v>1.7917808219178082</v>
      </c>
      <c r="P693" s="34" t="s">
        <v>2754</v>
      </c>
      <c r="Q693" s="34" t="s">
        <v>2755</v>
      </c>
      <c r="R693" s="34" t="s">
        <v>63</v>
      </c>
      <c r="S693" s="34">
        <v>20091222</v>
      </c>
      <c r="T693" s="45">
        <v>2.4854736277999998</v>
      </c>
      <c r="U693" s="46">
        <v>2.5994283498000001</v>
      </c>
      <c r="V693" s="34" t="s">
        <v>40</v>
      </c>
      <c r="W693" s="34" t="s">
        <v>44</v>
      </c>
      <c r="X693" s="34" t="s">
        <v>45</v>
      </c>
      <c r="Y693" s="34" t="s">
        <v>274</v>
      </c>
      <c r="Z693" s="34"/>
      <c r="AA693" s="34"/>
      <c r="AB693" s="22">
        <v>0.79070426940917971</v>
      </c>
      <c r="AC693" s="23" t="s">
        <v>2756</v>
      </c>
      <c r="AD693" s="24">
        <v>1.5616438356164384</v>
      </c>
      <c r="AE693" s="25">
        <v>0.11732360600963121</v>
      </c>
      <c r="AF693" s="26">
        <v>0.26809270143704578</v>
      </c>
      <c r="AG693" s="26">
        <v>0.20188663761907555</v>
      </c>
      <c r="AH693" s="27">
        <v>0.51924710650882755</v>
      </c>
      <c r="AI693" s="27">
        <v>0.86181402504883697</v>
      </c>
      <c r="AJ693" s="27">
        <v>0.76776721140172288</v>
      </c>
      <c r="AK693" s="28" t="s">
        <v>678</v>
      </c>
      <c r="AL693" s="29">
        <v>5</v>
      </c>
      <c r="AM693" s="29">
        <v>3</v>
      </c>
      <c r="AN693" s="29" t="s">
        <v>48</v>
      </c>
      <c r="AO693" s="47" t="s">
        <v>2757</v>
      </c>
      <c r="AP693" s="28">
        <v>0</v>
      </c>
      <c r="AQ693" s="26">
        <v>1.4999999999999999E-2</v>
      </c>
      <c r="AR693" s="26">
        <v>0</v>
      </c>
    </row>
    <row r="694" spans="1:44" x14ac:dyDescent="0.15">
      <c r="A694">
        <v>710</v>
      </c>
      <c r="B694" s="11">
        <v>420005</v>
      </c>
      <c r="C694" s="32"/>
      <c r="D694" s="32">
        <v>-5.8018186593351399E-5</v>
      </c>
      <c r="E694" s="32">
        <v>71</v>
      </c>
      <c r="F694" s="32">
        <v>0.97842699542300304</v>
      </c>
      <c r="G694" s="11"/>
      <c r="H694" s="11"/>
      <c r="I694" s="11"/>
      <c r="J694" s="18" t="s">
        <v>44</v>
      </c>
      <c r="K694" s="18" t="s">
        <v>45</v>
      </c>
      <c r="L694" s="58" t="s">
        <v>65</v>
      </c>
      <c r="M694" s="18">
        <f>[1]!f_prt_stocktonav(B694,"2017/03/31")</f>
        <v>79.773574829101563</v>
      </c>
      <c r="N694" s="20" t="str">
        <f>[1]!f_info_fundmanager(B694)</f>
        <v>陈国光</v>
      </c>
      <c r="O694" s="21">
        <v>1.3616438356164384</v>
      </c>
      <c r="P694" s="34" t="s">
        <v>2758</v>
      </c>
      <c r="Q694" s="34" t="s">
        <v>2759</v>
      </c>
      <c r="R694" s="34" t="s">
        <v>1215</v>
      </c>
      <c r="S694" s="34">
        <v>20091217</v>
      </c>
      <c r="T694" s="45">
        <v>1.0268083493</v>
      </c>
      <c r="U694" s="46">
        <v>1.2000914541000001</v>
      </c>
      <c r="V694" s="34" t="s">
        <v>201</v>
      </c>
      <c r="W694" s="34" t="s">
        <v>41</v>
      </c>
      <c r="X694" s="17" t="s">
        <v>42</v>
      </c>
      <c r="Y694" s="17" t="s">
        <v>181</v>
      </c>
      <c r="Z694" s="34"/>
      <c r="AA694" s="34"/>
      <c r="AB694" s="22">
        <v>0.69835685729980468</v>
      </c>
      <c r="AC694" s="23" t="s">
        <v>2760</v>
      </c>
      <c r="AD694" s="24">
        <v>1.1315068493150684</v>
      </c>
      <c r="AE694" s="25">
        <v>7.6808765908799703E-2</v>
      </c>
      <c r="AF694" s="26">
        <v>0.14138376428569654</v>
      </c>
      <c r="AG694" s="26">
        <v>0.13867951761132957</v>
      </c>
      <c r="AH694" s="27">
        <v>0.35486384468914023</v>
      </c>
      <c r="AI694" s="27">
        <v>0.51929355753159223</v>
      </c>
      <c r="AJ694" s="27">
        <v>0.54486554883471883</v>
      </c>
      <c r="AK694" s="28" t="s">
        <v>2761</v>
      </c>
      <c r="AL694" s="29">
        <v>4</v>
      </c>
      <c r="AM694" s="29">
        <v>4</v>
      </c>
      <c r="AN694" s="29" t="s">
        <v>48</v>
      </c>
      <c r="AO694" s="47" t="s">
        <v>334</v>
      </c>
      <c r="AP694" s="28">
        <v>0</v>
      </c>
      <c r="AQ694" s="26">
        <v>1.4999999999999999E-2</v>
      </c>
      <c r="AR694" s="26">
        <v>0</v>
      </c>
    </row>
    <row r="695" spans="1:44" x14ac:dyDescent="0.15">
      <c r="A695">
        <v>400</v>
      </c>
      <c r="B695" s="11">
        <v>540007</v>
      </c>
      <c r="C695" s="32"/>
      <c r="D695" s="32">
        <v>-2.8977883478757101E-3</v>
      </c>
      <c r="E695" s="32">
        <v>207</v>
      </c>
      <c r="F695" s="32">
        <v>2.0558516152514399E-2</v>
      </c>
      <c r="G695" s="11"/>
      <c r="H695" s="11"/>
      <c r="I695" s="11"/>
      <c r="J695" s="18" t="s">
        <v>44</v>
      </c>
      <c r="K695" s="18" t="s">
        <v>45</v>
      </c>
      <c r="L695" s="58" t="s">
        <v>274</v>
      </c>
      <c r="M695" s="18">
        <f>[1]!f_prt_stocktonav(B695,"2017/03/31")</f>
        <v>87.525527954101563</v>
      </c>
      <c r="N695" s="20" t="str">
        <f>[1]!f_info_fundmanager(B695)</f>
        <v>侯玉琦</v>
      </c>
      <c r="O695" s="21">
        <v>3.967123287671233</v>
      </c>
      <c r="P695" s="34" t="s">
        <v>2762</v>
      </c>
      <c r="Q695" s="34" t="s">
        <v>2763</v>
      </c>
      <c r="R695" s="34" t="s">
        <v>149</v>
      </c>
      <c r="S695" s="34">
        <v>20091211</v>
      </c>
      <c r="T695" s="45">
        <v>0.88576742109999995</v>
      </c>
      <c r="U695" s="46">
        <v>0.93943036140000002</v>
      </c>
      <c r="V695" s="34" t="s">
        <v>231</v>
      </c>
      <c r="W695" s="34" t="s">
        <v>44</v>
      </c>
      <c r="X695" s="34" t="s">
        <v>45</v>
      </c>
      <c r="Y695" s="34" t="s">
        <v>274</v>
      </c>
      <c r="Z695" s="34"/>
      <c r="AA695" s="34"/>
      <c r="AB695" s="22">
        <v>0.86863830566406253</v>
      </c>
      <c r="AC695" s="23" t="s">
        <v>2764</v>
      </c>
      <c r="AD695" s="24">
        <v>3.7369863013698632</v>
      </c>
      <c r="AE695" s="25">
        <v>1.9043280438728383E-2</v>
      </c>
      <c r="AF695" s="26">
        <v>9.8849995132971991E-2</v>
      </c>
      <c r="AG695" s="26">
        <v>9.2403608437835447E-2</v>
      </c>
      <c r="AH695" s="27">
        <v>0.14758936145797349</v>
      </c>
      <c r="AI695" s="27">
        <v>0.41387429810865589</v>
      </c>
      <c r="AJ695" s="27">
        <v>0.40511528533999014</v>
      </c>
      <c r="AK695" s="28" t="s">
        <v>2765</v>
      </c>
      <c r="AL695" s="29">
        <v>1</v>
      </c>
      <c r="AM695" s="29">
        <v>4</v>
      </c>
      <c r="AN695" s="29" t="s">
        <v>48</v>
      </c>
      <c r="AO695" s="47" t="s">
        <v>410</v>
      </c>
      <c r="AP695" s="28">
        <v>0</v>
      </c>
      <c r="AQ695" s="26">
        <v>1.4999999999999999E-2</v>
      </c>
      <c r="AR695" s="26">
        <v>0</v>
      </c>
    </row>
    <row r="696" spans="1:44" x14ac:dyDescent="0.15">
      <c r="A696">
        <v>201</v>
      </c>
      <c r="B696" s="11">
        <v>61</v>
      </c>
      <c r="C696" s="32"/>
      <c r="D696" s="32">
        <v>-2.4795058792489301E-3</v>
      </c>
      <c r="E696" s="32">
        <v>90</v>
      </c>
      <c r="F696" s="32">
        <v>0.11065554447758599</v>
      </c>
      <c r="G696" s="11"/>
      <c r="H696" s="11"/>
      <c r="I696" s="11"/>
      <c r="J696" s="18" t="s">
        <v>44</v>
      </c>
      <c r="K696" s="18" t="s">
        <v>45</v>
      </c>
      <c r="L696" s="58" t="s">
        <v>274</v>
      </c>
      <c r="M696" s="18">
        <f>[1]!f_prt_stocktonav(B696,"2017/03/31")</f>
        <v>91.785621643066406</v>
      </c>
      <c r="N696" s="20" t="str">
        <f>[1]!f_info_fundmanager(B696)</f>
        <v>代瑞亮</v>
      </c>
      <c r="O696" s="21">
        <v>1.7287671232876711</v>
      </c>
      <c r="P696" s="34" t="s">
        <v>2766</v>
      </c>
      <c r="Q696" s="34" t="s">
        <v>2767</v>
      </c>
      <c r="R696" s="34" t="s">
        <v>143</v>
      </c>
      <c r="S696" s="34">
        <v>20091211</v>
      </c>
      <c r="T696" s="45">
        <v>19.5708314876</v>
      </c>
      <c r="U696" s="46">
        <v>20.014213559800002</v>
      </c>
      <c r="V696" s="34" t="s">
        <v>231</v>
      </c>
      <c r="W696" s="34" t="s">
        <v>44</v>
      </c>
      <c r="X696" s="34" t="s">
        <v>45</v>
      </c>
      <c r="Y696" s="34" t="s">
        <v>274</v>
      </c>
      <c r="Z696" s="34"/>
      <c r="AA696" s="34"/>
      <c r="AB696" s="22">
        <v>0.88960174560546879</v>
      </c>
      <c r="AC696" s="23" t="s">
        <v>471</v>
      </c>
      <c r="AD696" s="24">
        <v>1.4986301369863013</v>
      </c>
      <c r="AE696" s="25">
        <v>5.8419824280413479E-3</v>
      </c>
      <c r="AF696" s="26">
        <v>0.11833130492720345</v>
      </c>
      <c r="AG696" s="26">
        <v>8.847051424220688E-2</v>
      </c>
      <c r="AH696" s="27">
        <v>0.10349747816669343</v>
      </c>
      <c r="AI696" s="27">
        <v>0.4538731600965662</v>
      </c>
      <c r="AJ696" s="27">
        <v>0.38737756082284752</v>
      </c>
      <c r="AK696" s="28" t="s">
        <v>726</v>
      </c>
      <c r="AL696" s="29">
        <v>1</v>
      </c>
      <c r="AM696" s="29">
        <v>2</v>
      </c>
      <c r="AN696" s="29" t="s">
        <v>48</v>
      </c>
      <c r="AO696" s="47" t="s">
        <v>592</v>
      </c>
      <c r="AP696" s="28">
        <v>0</v>
      </c>
      <c r="AQ696" s="26">
        <v>1.4999999999999999E-2</v>
      </c>
      <c r="AR696" s="26">
        <v>0</v>
      </c>
    </row>
    <row r="697" spans="1:44" x14ac:dyDescent="0.15">
      <c r="A697">
        <v>303</v>
      </c>
      <c r="B697" s="11">
        <v>162212</v>
      </c>
      <c r="C697" s="32"/>
      <c r="D697" s="32">
        <v>-5.2546317300456698E-3</v>
      </c>
      <c r="E697" s="32">
        <v>104</v>
      </c>
      <c r="F697" s="32">
        <v>1.10363245191197E-2</v>
      </c>
      <c r="G697" s="11"/>
      <c r="H697" s="11"/>
      <c r="I697" s="11"/>
      <c r="J697" s="18" t="s">
        <v>44</v>
      </c>
      <c r="K697" s="18" t="s">
        <v>45</v>
      </c>
      <c r="L697" s="58" t="s">
        <v>65</v>
      </c>
      <c r="M697" s="18">
        <f>[1]!f_prt_stocktonav(B697,"2017/03/31")</f>
        <v>89.389801025390625</v>
      </c>
      <c r="N697" s="20" t="str">
        <f>[1]!f_info_fundmanager(B697)</f>
        <v>邓艺颖</v>
      </c>
      <c r="O697" s="21">
        <v>1.9945205479452055</v>
      </c>
      <c r="P697" s="34" t="s">
        <v>2768</v>
      </c>
      <c r="Q697" s="34" t="s">
        <v>2769</v>
      </c>
      <c r="R697" s="34" t="s">
        <v>263</v>
      </c>
      <c r="S697" s="34">
        <v>20091203</v>
      </c>
      <c r="T697" s="45">
        <v>1.9545290151000001</v>
      </c>
      <c r="U697" s="46">
        <v>2.2673055404000002</v>
      </c>
      <c r="V697" s="34" t="s">
        <v>231</v>
      </c>
      <c r="W697" s="34" t="s">
        <v>44</v>
      </c>
      <c r="X697" s="34" t="s">
        <v>45</v>
      </c>
      <c r="Y697" s="34" t="s">
        <v>274</v>
      </c>
      <c r="Z697" s="34"/>
      <c r="AA697" s="34"/>
      <c r="AB697" s="22">
        <v>0.94705810546875002</v>
      </c>
      <c r="AC697" s="23" t="s">
        <v>2770</v>
      </c>
      <c r="AD697" s="24">
        <v>1.7643835616438357</v>
      </c>
      <c r="AE697" s="25">
        <v>5.7534064732819745E-2</v>
      </c>
      <c r="AF697" s="26">
        <v>1.6707161184084551E-2</v>
      </c>
      <c r="AG697" s="26">
        <v>7.4491616828087581E-2</v>
      </c>
      <c r="AH697" s="27">
        <v>0.28993371459469053</v>
      </c>
      <c r="AI697" s="27">
        <v>0.15630291286028242</v>
      </c>
      <c r="AJ697" s="27">
        <v>0.34386259127898411</v>
      </c>
      <c r="AK697" s="28" t="s">
        <v>2771</v>
      </c>
      <c r="AL697" s="29">
        <v>2</v>
      </c>
      <c r="AM697" s="29">
        <v>1</v>
      </c>
      <c r="AN697" s="29" t="s">
        <v>48</v>
      </c>
      <c r="AO697" s="47" t="s">
        <v>2772</v>
      </c>
      <c r="AP697" s="28">
        <v>0</v>
      </c>
      <c r="AQ697" s="26">
        <v>1.4999999999999999E-2</v>
      </c>
      <c r="AR697" s="26">
        <v>0</v>
      </c>
    </row>
    <row r="698" spans="1:44" x14ac:dyDescent="0.15">
      <c r="A698">
        <v>124</v>
      </c>
      <c r="B698" s="11">
        <v>519115</v>
      </c>
      <c r="C698" s="32"/>
      <c r="D698" s="32">
        <v>8.7577914692934297E-4</v>
      </c>
      <c r="E698" s="32">
        <v>63</v>
      </c>
      <c r="F698" s="32">
        <v>0.50616366329157603</v>
      </c>
      <c r="G698" s="11"/>
      <c r="H698" s="11"/>
      <c r="I698" s="11"/>
      <c r="J698" s="18" t="s">
        <v>44</v>
      </c>
      <c r="K698" s="18" t="s">
        <v>87</v>
      </c>
      <c r="L698" s="58" t="s">
        <v>274</v>
      </c>
      <c r="M698" s="18">
        <f>[1]!f_prt_stocktonav(B698,"2017/03/31")</f>
        <v>93.184745788574219</v>
      </c>
      <c r="N698" s="20" t="str">
        <f>[1]!f_info_fundmanager(B698)</f>
        <v>陈蔚丰</v>
      </c>
      <c r="O698" s="21">
        <v>1.210958904109589</v>
      </c>
      <c r="P698" s="34" t="s">
        <v>2773</v>
      </c>
      <c r="Q698" s="34" t="s">
        <v>2774</v>
      </c>
      <c r="R698" s="34" t="s">
        <v>649</v>
      </c>
      <c r="S698" s="34">
        <v>20091203</v>
      </c>
      <c r="T698" s="45">
        <v>0.98456746390000005</v>
      </c>
      <c r="U698" s="46">
        <v>1.0214153982</v>
      </c>
      <c r="V698" s="34" t="s">
        <v>231</v>
      </c>
      <c r="W698" s="34" t="s">
        <v>44</v>
      </c>
      <c r="X698" s="34" t="s">
        <v>45</v>
      </c>
      <c r="Y698" s="34" t="s">
        <v>274</v>
      </c>
      <c r="Z698" s="34"/>
      <c r="AA698" s="34"/>
      <c r="AB698" s="22">
        <v>0.90836441040039062</v>
      </c>
      <c r="AC698" s="23" t="s">
        <v>1252</v>
      </c>
      <c r="AD698" s="24">
        <v>0.98082191780821915</v>
      </c>
      <c r="AE698" s="25">
        <v>5.8599331216487416E-2</v>
      </c>
      <c r="AF698" s="26">
        <v>0.17832991110591359</v>
      </c>
      <c r="AG698" s="26">
        <v>0.15132521483616523</v>
      </c>
      <c r="AH698" s="27">
        <v>0.29605152624506714</v>
      </c>
      <c r="AI698" s="27">
        <v>0.55013608023983906</v>
      </c>
      <c r="AJ698" s="27">
        <v>0.53556434379189088</v>
      </c>
      <c r="AK698" s="28" t="s">
        <v>2775</v>
      </c>
      <c r="AL698" s="29">
        <v>1</v>
      </c>
      <c r="AM698" s="29">
        <v>2</v>
      </c>
      <c r="AN698" s="29" t="s">
        <v>48</v>
      </c>
      <c r="AO698" s="47" t="s">
        <v>334</v>
      </c>
      <c r="AP698" s="28">
        <v>0</v>
      </c>
      <c r="AQ698" s="26">
        <v>1.4999999999999999E-2</v>
      </c>
      <c r="AR698" s="26">
        <v>0</v>
      </c>
    </row>
    <row r="699" spans="1:44" x14ac:dyDescent="0.15">
      <c r="A699">
        <v>634</v>
      </c>
      <c r="B699" s="11">
        <v>610004</v>
      </c>
      <c r="C699" s="32"/>
      <c r="D699" s="32">
        <v>-7.9380327006972097E-4</v>
      </c>
      <c r="E699" s="32">
        <v>92</v>
      </c>
      <c r="F699" s="32">
        <v>0.56131627644350202</v>
      </c>
      <c r="G699" s="11"/>
      <c r="H699" s="11"/>
      <c r="I699" s="11"/>
      <c r="J699" s="18" t="s">
        <v>44</v>
      </c>
      <c r="K699" s="18" t="s">
        <v>45</v>
      </c>
      <c r="L699" s="58" t="s">
        <v>274</v>
      </c>
      <c r="M699" s="18">
        <f>[1]!f_prt_stocktonav(B699,"2017/03/31")</f>
        <v>81.964950561523438</v>
      </c>
      <c r="N699" s="20" t="str">
        <f>[1]!f_info_fundmanager(B699)</f>
        <v>冯士祯</v>
      </c>
      <c r="O699" s="21">
        <v>1.7506849315068493</v>
      </c>
      <c r="P699" s="34" t="s">
        <v>2776</v>
      </c>
      <c r="Q699" s="34" t="s">
        <v>2777</v>
      </c>
      <c r="R699" s="34" t="s">
        <v>189</v>
      </c>
      <c r="S699" s="34">
        <v>20091201</v>
      </c>
      <c r="T699" s="45">
        <v>1.0223341764</v>
      </c>
      <c r="U699" s="46">
        <v>1.0738400107999999</v>
      </c>
      <c r="V699" s="34" t="s">
        <v>231</v>
      </c>
      <c r="W699" s="34" t="s">
        <v>44</v>
      </c>
      <c r="X699" s="34" t="s">
        <v>45</v>
      </c>
      <c r="Y699" s="34" t="s">
        <v>274</v>
      </c>
      <c r="Z699" s="34"/>
      <c r="AA699" s="34"/>
      <c r="AB699" s="22">
        <v>0.83706520080566404</v>
      </c>
      <c r="AC699" s="23" t="s">
        <v>1439</v>
      </c>
      <c r="AD699" s="24">
        <v>1.5205479452054795</v>
      </c>
      <c r="AE699" s="25">
        <v>2.5685111174861497E-2</v>
      </c>
      <c r="AF699" s="26">
        <v>0.10715524489384996</v>
      </c>
      <c r="AG699" s="26">
        <v>8.0706153255602361E-2</v>
      </c>
      <c r="AH699" s="27">
        <v>0.18313693389470628</v>
      </c>
      <c r="AI699" s="27">
        <v>0.42241189812910779</v>
      </c>
      <c r="AJ699" s="27">
        <v>0.3611542273203513</v>
      </c>
      <c r="AK699" s="28" t="s">
        <v>2778</v>
      </c>
      <c r="AL699" s="29">
        <v>1</v>
      </c>
      <c r="AM699" s="29">
        <v>3</v>
      </c>
      <c r="AN699" s="29" t="s">
        <v>48</v>
      </c>
      <c r="AO699" s="47" t="s">
        <v>1002</v>
      </c>
      <c r="AP699" s="28">
        <v>0</v>
      </c>
      <c r="AQ699" s="26">
        <v>1.4999999999999999E-2</v>
      </c>
      <c r="AR699" s="26">
        <v>0</v>
      </c>
    </row>
    <row r="700" spans="1:44" x14ac:dyDescent="0.15">
      <c r="A700">
        <v>479</v>
      </c>
      <c r="B700" s="11">
        <v>80005</v>
      </c>
      <c r="C700" s="32"/>
      <c r="D700" s="32">
        <v>1.22132032965041E-3</v>
      </c>
      <c r="E700" s="32">
        <v>93</v>
      </c>
      <c r="F700" s="32">
        <v>0.33094952737364702</v>
      </c>
      <c r="G700" s="11"/>
      <c r="H700" s="11"/>
      <c r="I700" s="11"/>
      <c r="J700" s="18" t="s">
        <v>44</v>
      </c>
      <c r="K700" s="18" t="s">
        <v>87</v>
      </c>
      <c r="L700" s="58" t="s">
        <v>65</v>
      </c>
      <c r="M700" s="18">
        <f>[1]!f_prt_stocktonav(B700,"2017/03/31")</f>
        <v>85.700241088867187</v>
      </c>
      <c r="N700" s="20" t="str">
        <f>[1]!f_info_fundmanager(B700)</f>
        <v>王超</v>
      </c>
      <c r="O700" s="21">
        <v>1.7863013698630137</v>
      </c>
      <c r="P700" s="34" t="s">
        <v>2779</v>
      </c>
      <c r="Q700" s="34" t="s">
        <v>2780</v>
      </c>
      <c r="R700" s="34" t="s">
        <v>364</v>
      </c>
      <c r="S700" s="34">
        <v>20091125</v>
      </c>
      <c r="T700" s="45">
        <v>19.122089027400001</v>
      </c>
      <c r="U700" s="46">
        <v>3.1188022667999999</v>
      </c>
      <c r="V700" s="34" t="s">
        <v>231</v>
      </c>
      <c r="W700" s="34" t="s">
        <v>41</v>
      </c>
      <c r="X700" s="34" t="s">
        <v>42</v>
      </c>
      <c r="Y700" s="34" t="s">
        <v>181</v>
      </c>
      <c r="Z700" s="34"/>
      <c r="AA700" s="34"/>
      <c r="AB700" s="22">
        <v>0.13887896537780761</v>
      </c>
      <c r="AC700" s="23" t="s">
        <v>1988</v>
      </c>
      <c r="AD700" s="24">
        <v>1.5561643835616439</v>
      </c>
      <c r="AE700" s="25">
        <v>0.10421993534731966</v>
      </c>
      <c r="AF700" s="26">
        <v>0.28760224428159997</v>
      </c>
      <c r="AG700" s="26">
        <v>0.18624996206089683</v>
      </c>
      <c r="AH700" s="27">
        <v>0.45652445062958974</v>
      </c>
      <c r="AI700" s="27">
        <v>0.82123973032043796</v>
      </c>
      <c r="AJ700" s="27">
        <v>0.67986157255247948</v>
      </c>
      <c r="AK700" s="28" t="s">
        <v>2781</v>
      </c>
      <c r="AL700" s="29">
        <v>5</v>
      </c>
      <c r="AM700" s="29">
        <v>3</v>
      </c>
      <c r="AN700" s="29" t="s">
        <v>48</v>
      </c>
      <c r="AO700" s="47" t="s">
        <v>559</v>
      </c>
      <c r="AP700" s="28">
        <v>0</v>
      </c>
      <c r="AQ700" s="26">
        <v>1.4999999999999999E-2</v>
      </c>
      <c r="AR700" s="26">
        <v>0</v>
      </c>
    </row>
    <row r="701" spans="1:44" x14ac:dyDescent="0.15">
      <c r="A701">
        <v>709</v>
      </c>
      <c r="B701" s="11">
        <v>630005</v>
      </c>
      <c r="C701" s="32"/>
      <c r="D701" s="32">
        <v>-1.9954899435785899E-3</v>
      </c>
      <c r="E701" s="32">
        <v>383</v>
      </c>
      <c r="F701" s="32">
        <v>2.6380129177176699E-2</v>
      </c>
      <c r="G701" s="11"/>
      <c r="H701" s="11"/>
      <c r="I701" s="11"/>
      <c r="J701" s="18" t="s">
        <v>44</v>
      </c>
      <c r="K701" s="18" t="s">
        <v>64</v>
      </c>
      <c r="L701" s="58" t="s">
        <v>274</v>
      </c>
      <c r="M701" s="18">
        <f>[1]!f_prt_stocktonav(B701,"2017/03/31")</f>
        <v>79.783920288085937</v>
      </c>
      <c r="N701" s="20" t="str">
        <f>[1]!f_info_fundmanager(B701)</f>
        <v>梁永强</v>
      </c>
      <c r="O701" s="21">
        <v>7.353424657534247</v>
      </c>
      <c r="P701" s="34" t="s">
        <v>2782</v>
      </c>
      <c r="Q701" s="34" t="s">
        <v>2783</v>
      </c>
      <c r="R701" s="34" t="s">
        <v>387</v>
      </c>
      <c r="S701" s="34">
        <v>20091124</v>
      </c>
      <c r="T701" s="45">
        <v>19.008126734800001</v>
      </c>
      <c r="U701" s="46">
        <v>20.480600447899999</v>
      </c>
      <c r="V701" s="34" t="s">
        <v>40</v>
      </c>
      <c r="W701" s="34" t="s">
        <v>44</v>
      </c>
      <c r="X701" s="34" t="s">
        <v>45</v>
      </c>
      <c r="Y701" s="34" t="s">
        <v>274</v>
      </c>
      <c r="Z701" s="34"/>
      <c r="AA701" s="34"/>
      <c r="AB701" s="22">
        <v>0.7838605499267578</v>
      </c>
      <c r="AC701" s="23" t="s">
        <v>1749</v>
      </c>
      <c r="AD701" s="24">
        <v>7.1232876712328768</v>
      </c>
      <c r="AE701" s="25">
        <v>0.12214748056841751</v>
      </c>
      <c r="AF701" s="26">
        <v>0.20462887165003665</v>
      </c>
      <c r="AG701" s="26">
        <v>0.22190628569247117</v>
      </c>
      <c r="AH701" s="27">
        <v>0.5270975507560679</v>
      </c>
      <c r="AI701" s="27">
        <v>0.70938773666901389</v>
      </c>
      <c r="AJ701" s="27">
        <v>0.81800380254184801</v>
      </c>
      <c r="AK701" s="28" t="s">
        <v>240</v>
      </c>
      <c r="AL701" s="29">
        <v>5</v>
      </c>
      <c r="AM701" s="29">
        <v>3</v>
      </c>
      <c r="AN701" s="29" t="s">
        <v>48</v>
      </c>
      <c r="AO701" s="47" t="s">
        <v>1525</v>
      </c>
      <c r="AP701" s="28">
        <v>0</v>
      </c>
      <c r="AQ701" s="26">
        <v>1.4999999999999999E-2</v>
      </c>
      <c r="AR701" s="26">
        <v>0</v>
      </c>
    </row>
    <row r="702" spans="1:44" x14ac:dyDescent="0.15">
      <c r="A702">
        <v>742</v>
      </c>
      <c r="B702" s="11">
        <v>590003</v>
      </c>
      <c r="C702" s="32"/>
      <c r="D702" s="32">
        <v>-2.1501964787477299E-3</v>
      </c>
      <c r="E702" s="32">
        <v>106</v>
      </c>
      <c r="F702" s="32">
        <v>0.27812676066771402</v>
      </c>
      <c r="G702" s="11"/>
      <c r="H702" s="11"/>
      <c r="I702" s="11"/>
      <c r="J702" s="18" t="s">
        <v>44</v>
      </c>
      <c r="K702" s="18" t="s">
        <v>45</v>
      </c>
      <c r="L702" s="58" t="s">
        <v>274</v>
      </c>
      <c r="M702" s="18">
        <f>[1]!f_prt_stocktonav(B702,"2017/03/31")</f>
        <v>78.625541687011719</v>
      </c>
      <c r="N702" s="20" t="str">
        <f>[1]!f_info_fundmanager(B702)</f>
        <v>张腾</v>
      </c>
      <c r="O702" s="21">
        <v>2.0383561643835617</v>
      </c>
      <c r="P702" s="34" t="s">
        <v>2784</v>
      </c>
      <c r="Q702" s="34" t="s">
        <v>2785</v>
      </c>
      <c r="R702" s="34" t="s">
        <v>85</v>
      </c>
      <c r="S702" s="34">
        <v>20091028</v>
      </c>
      <c r="T702" s="45">
        <v>11.400787983000001</v>
      </c>
      <c r="U702" s="46">
        <v>16.645762591899999</v>
      </c>
      <c r="V702" s="34" t="s">
        <v>40</v>
      </c>
      <c r="W702" s="34" t="s">
        <v>44</v>
      </c>
      <c r="X702" s="34" t="s">
        <v>45</v>
      </c>
      <c r="Y702" s="34" t="s">
        <v>274</v>
      </c>
      <c r="Z702" s="34"/>
      <c r="AA702" s="34"/>
      <c r="AB702" s="22">
        <v>0.70143737792968752</v>
      </c>
      <c r="AC702" s="23" t="s">
        <v>2786</v>
      </c>
      <c r="AD702" s="24">
        <v>4.4164383561643836</v>
      </c>
      <c r="AE702" s="25">
        <v>0.11404968352780509</v>
      </c>
      <c r="AF702" s="26">
        <v>0.21802688985823981</v>
      </c>
      <c r="AG702" s="26">
        <v>0.17323134012853902</v>
      </c>
      <c r="AH702" s="27">
        <v>0.4903851664469206</v>
      </c>
      <c r="AI702" s="27">
        <v>0.70719675789255043</v>
      </c>
      <c r="AJ702" s="27">
        <v>0.65506064673429099</v>
      </c>
      <c r="AK702" s="28" t="s">
        <v>1226</v>
      </c>
      <c r="AL702" s="29">
        <v>4</v>
      </c>
      <c r="AM702" s="29">
        <v>3</v>
      </c>
      <c r="AN702" s="29" t="s">
        <v>48</v>
      </c>
      <c r="AO702" s="47" t="s">
        <v>310</v>
      </c>
      <c r="AP702" s="28">
        <v>0</v>
      </c>
      <c r="AQ702" s="26">
        <v>1.4999999999999999E-2</v>
      </c>
      <c r="AR702" s="26">
        <v>0</v>
      </c>
    </row>
    <row r="703" spans="1:44" x14ac:dyDescent="0.15">
      <c r="A703">
        <v>641</v>
      </c>
      <c r="B703" s="11">
        <v>160211</v>
      </c>
      <c r="C703" s="32"/>
      <c r="D703" s="32">
        <v>3.1797824803412801E-3</v>
      </c>
      <c r="E703" s="32">
        <v>99</v>
      </c>
      <c r="F703" s="32">
        <v>0.127792208457744</v>
      </c>
      <c r="G703" s="11"/>
      <c r="H703" s="11"/>
      <c r="I703" s="11"/>
      <c r="J703" s="18" t="s">
        <v>44</v>
      </c>
      <c r="K703" s="18" t="s">
        <v>45</v>
      </c>
      <c r="L703" s="58" t="s">
        <v>274</v>
      </c>
      <c r="M703" s="18">
        <f>[1]!f_prt_stocktonav(B703,"2017/03/31")</f>
        <v>81.793815612792969</v>
      </c>
      <c r="N703" s="20" t="str">
        <f>[1]!f_info_fundmanager(B703)</f>
        <v>杨飞</v>
      </c>
      <c r="O703" s="21">
        <v>1.8904109589041096</v>
      </c>
      <c r="P703" s="34" t="s">
        <v>2787</v>
      </c>
      <c r="Q703" s="34" t="s">
        <v>2788</v>
      </c>
      <c r="R703" s="34" t="s">
        <v>663</v>
      </c>
      <c r="S703" s="34">
        <v>20091019</v>
      </c>
      <c r="T703" s="45">
        <v>19.481099938300002</v>
      </c>
      <c r="U703" s="46">
        <v>24.438509369799998</v>
      </c>
      <c r="V703" s="34" t="s">
        <v>231</v>
      </c>
      <c r="W703" s="34" t="s">
        <v>44</v>
      </c>
      <c r="X703" s="34" t="s">
        <v>45</v>
      </c>
      <c r="Y703" s="34" t="s">
        <v>274</v>
      </c>
      <c r="Z703" s="34"/>
      <c r="AA703" s="34"/>
      <c r="AB703" s="22">
        <v>0.71964355468749996</v>
      </c>
      <c r="AC703" s="23" t="s">
        <v>664</v>
      </c>
      <c r="AD703" s="24">
        <v>1.6602739726027398</v>
      </c>
      <c r="AE703" s="25">
        <v>0.15710422577490912</v>
      </c>
      <c r="AF703" s="26">
        <v>0.33850151078291107</v>
      </c>
      <c r="AG703" s="26">
        <v>0.25733529319019643</v>
      </c>
      <c r="AH703" s="27">
        <v>0.61963394984565567</v>
      </c>
      <c r="AI703" s="27">
        <v>0.95242074504244101</v>
      </c>
      <c r="AJ703" s="27">
        <v>0.8627693659752157</v>
      </c>
      <c r="AK703" s="28" t="s">
        <v>2789</v>
      </c>
      <c r="AL703" s="29">
        <v>5</v>
      </c>
      <c r="AM703" s="29">
        <v>3</v>
      </c>
      <c r="AN703" s="29" t="s">
        <v>48</v>
      </c>
      <c r="AO703" s="47" t="s">
        <v>2790</v>
      </c>
      <c r="AP703" s="28">
        <v>0</v>
      </c>
      <c r="AQ703" s="26">
        <v>1.4999999999999999E-2</v>
      </c>
      <c r="AR703" s="26">
        <v>0</v>
      </c>
    </row>
    <row r="704" spans="1:44" x14ac:dyDescent="0.15">
      <c r="A704">
        <v>830</v>
      </c>
      <c r="B704" s="11">
        <v>660004</v>
      </c>
      <c r="C704" s="32"/>
      <c r="D704" s="32">
        <v>1.30240775396328E-3</v>
      </c>
      <c r="E704" s="32">
        <v>95</v>
      </c>
      <c r="F704" s="32">
        <v>0.30305932500580002</v>
      </c>
      <c r="G704" s="11"/>
      <c r="H704" s="11"/>
      <c r="I704" s="11"/>
      <c r="J704" s="18" t="s">
        <v>44</v>
      </c>
      <c r="K704" s="18" t="s">
        <v>45</v>
      </c>
      <c r="L704" s="58" t="s">
        <v>274</v>
      </c>
      <c r="M704" s="18">
        <f>[1]!f_prt_stocktonav(B704,"2017/03/31")</f>
        <v>75.670600891113281</v>
      </c>
      <c r="N704" s="20" t="str">
        <f>[1]!f_info_fundmanager(B704)</f>
        <v>陈富权</v>
      </c>
      <c r="O704" s="21">
        <v>1.8191780821917809</v>
      </c>
      <c r="P704" s="34" t="s">
        <v>2791</v>
      </c>
      <c r="Q704" s="34" t="s">
        <v>2792</v>
      </c>
      <c r="R704" s="34" t="s">
        <v>424</v>
      </c>
      <c r="S704" s="34">
        <v>20090929</v>
      </c>
      <c r="T704" s="45">
        <v>3.4821936027999998</v>
      </c>
      <c r="U704" s="46">
        <v>3.5737115919</v>
      </c>
      <c r="V704" s="34" t="s">
        <v>231</v>
      </c>
      <c r="W704" s="34" t="s">
        <v>44</v>
      </c>
      <c r="X704" s="34" t="s">
        <v>45</v>
      </c>
      <c r="Y704" s="34" t="s">
        <v>274</v>
      </c>
      <c r="Z704" s="34"/>
      <c r="AA704" s="34"/>
      <c r="AB704" s="22">
        <v>0.75731224060058588</v>
      </c>
      <c r="AC704" s="23" t="s">
        <v>2793</v>
      </c>
      <c r="AD704" s="24">
        <v>1.5890410958904109</v>
      </c>
      <c r="AE704" s="25">
        <v>7.1121776246858559E-2</v>
      </c>
      <c r="AF704" s="26">
        <v>0.10318597843831379</v>
      </c>
      <c r="AG704" s="26">
        <v>0.12050610046152599</v>
      </c>
      <c r="AH704" s="27">
        <v>0.34300465715288969</v>
      </c>
      <c r="AI704" s="27">
        <v>0.41501691893628112</v>
      </c>
      <c r="AJ704" s="27">
        <v>0.50101209669859115</v>
      </c>
      <c r="AK704" s="28" t="s">
        <v>2119</v>
      </c>
      <c r="AL704" s="29">
        <v>2</v>
      </c>
      <c r="AM704" s="29">
        <v>3</v>
      </c>
      <c r="AN704" s="29" t="s">
        <v>48</v>
      </c>
      <c r="AO704" s="47" t="s">
        <v>702</v>
      </c>
      <c r="AP704" s="28">
        <v>0</v>
      </c>
      <c r="AQ704" s="26">
        <v>1.4999999999999999E-2</v>
      </c>
      <c r="AR704" s="26">
        <v>0</v>
      </c>
    </row>
    <row r="705" spans="1:44" x14ac:dyDescent="0.15">
      <c r="A705">
        <v>284</v>
      </c>
      <c r="B705" s="11">
        <v>233006</v>
      </c>
      <c r="C705" s="32"/>
      <c r="D705" s="32">
        <v>5.1469046926896499E-4</v>
      </c>
      <c r="E705" s="32">
        <v>10</v>
      </c>
      <c r="F705" s="32">
        <v>0.87525425106661403</v>
      </c>
      <c r="G705" s="11"/>
      <c r="H705" s="11"/>
      <c r="I705" s="11"/>
      <c r="J705" s="18" t="s">
        <v>44</v>
      </c>
      <c r="K705" s="18" t="s">
        <v>45</v>
      </c>
      <c r="L705" s="58" t="s">
        <v>817</v>
      </c>
      <c r="M705" s="18">
        <f>[1]!f_prt_stocktonav(B705,"2017/03/31")</f>
        <v>89.726593017578125</v>
      </c>
      <c r="N705" s="20" t="str">
        <f>[1]!f_info_fundmanager(B705)</f>
        <v>徐达</v>
      </c>
      <c r="O705" s="21">
        <v>0.18904109589041096</v>
      </c>
      <c r="P705" s="34" t="s">
        <v>2794</v>
      </c>
      <c r="Q705" s="34" t="s">
        <v>2795</v>
      </c>
      <c r="R705" s="34" t="s">
        <v>378</v>
      </c>
      <c r="S705" s="34">
        <v>20090922</v>
      </c>
      <c r="T705" s="45">
        <v>4.8497992160000001</v>
      </c>
      <c r="U705" s="46">
        <v>5.5283521597999998</v>
      </c>
      <c r="V705" s="34" t="s">
        <v>231</v>
      </c>
      <c r="W705" s="34" t="s">
        <v>44</v>
      </c>
      <c r="X705" s="34" t="s">
        <v>45</v>
      </c>
      <c r="Y705" s="34" t="s">
        <v>274</v>
      </c>
      <c r="Z705" s="34"/>
      <c r="AA705" s="34"/>
      <c r="AB705" s="22">
        <v>0.83463836669921876</v>
      </c>
      <c r="AC705" s="23" t="s">
        <v>2367</v>
      </c>
      <c r="AD705" s="24">
        <v>2.4136986301369863</v>
      </c>
      <c r="AE705" s="25">
        <v>9.0132644998322645E-2</v>
      </c>
      <c r="AF705" s="26">
        <v>0.1946632802990429</v>
      </c>
      <c r="AG705" s="26">
        <v>0.15157519912168915</v>
      </c>
      <c r="AH705" s="27">
        <v>0.40663527907938507</v>
      </c>
      <c r="AI705" s="27">
        <v>0.66014082787949424</v>
      </c>
      <c r="AJ705" s="27">
        <v>0.58613496981860158</v>
      </c>
      <c r="AK705" s="28" t="s">
        <v>167</v>
      </c>
      <c r="AL705" s="29">
        <v>3</v>
      </c>
      <c r="AM705" s="29">
        <v>3</v>
      </c>
      <c r="AN705" s="29" t="s">
        <v>48</v>
      </c>
      <c r="AO705" s="47" t="s">
        <v>2368</v>
      </c>
      <c r="AP705" s="28">
        <v>0</v>
      </c>
      <c r="AQ705" s="26">
        <v>1.4999999999999999E-2</v>
      </c>
      <c r="AR705" s="26">
        <v>0</v>
      </c>
    </row>
    <row r="706" spans="1:44" x14ac:dyDescent="0.15">
      <c r="A706">
        <v>736</v>
      </c>
      <c r="B706" s="11">
        <v>620004</v>
      </c>
      <c r="C706" s="32"/>
      <c r="D706" s="32">
        <v>-2.9351547437392799E-3</v>
      </c>
      <c r="E706" s="32">
        <v>15</v>
      </c>
      <c r="F706" s="32">
        <v>8.4099627063233998E-2</v>
      </c>
      <c r="G706" s="11"/>
      <c r="H706" s="11"/>
      <c r="I706" s="11"/>
      <c r="J706" s="18" t="s">
        <v>44</v>
      </c>
      <c r="K706" s="18" t="s">
        <v>45</v>
      </c>
      <c r="L706" s="58" t="s">
        <v>65</v>
      </c>
      <c r="M706" s="18">
        <f>[1]!f_prt_stocktonav(B706,"2017/03/31")</f>
        <v>78.901107788085937</v>
      </c>
      <c r="N706" s="20" t="str">
        <f>[1]!f_info_fundmanager(B706)</f>
        <v>缪玮彬</v>
      </c>
      <c r="O706" s="21">
        <v>0.28767123287671231</v>
      </c>
      <c r="P706" s="34" t="s">
        <v>2796</v>
      </c>
      <c r="Q706" s="34" t="s">
        <v>2797</v>
      </c>
      <c r="R706" s="34" t="s">
        <v>2275</v>
      </c>
      <c r="S706" s="34">
        <v>20090911</v>
      </c>
      <c r="T706" s="45">
        <v>0.2410014979</v>
      </c>
      <c r="U706" s="46">
        <v>0.26512923770000002</v>
      </c>
      <c r="V706" s="34" t="s">
        <v>231</v>
      </c>
      <c r="W706" s="34" t="s">
        <v>44</v>
      </c>
      <c r="X706" s="34" t="s">
        <v>45</v>
      </c>
      <c r="Y706" s="34" t="s">
        <v>65</v>
      </c>
      <c r="Z706" s="34"/>
      <c r="AA706" s="34"/>
      <c r="AB706" s="22">
        <v>0.82270072937011718</v>
      </c>
      <c r="AC706" s="23" t="s">
        <v>2798</v>
      </c>
      <c r="AD706" s="24">
        <v>5.7534246575342465E-2</v>
      </c>
      <c r="AE706" s="25">
        <v>-5.1426626296271483E-3</v>
      </c>
      <c r="AF706" s="26">
        <v>2.3567882524035966E-2</v>
      </c>
      <c r="AG706" s="26">
        <v>4.0398791758225805E-2</v>
      </c>
      <c r="AH706" s="27">
        <v>4.8194587009766351E-2</v>
      </c>
      <c r="AI706" s="27">
        <v>0.18175376279551045</v>
      </c>
      <c r="AJ706" s="27">
        <v>0.22870611323476575</v>
      </c>
      <c r="AK706" s="28" t="s">
        <v>2799</v>
      </c>
      <c r="AL706" s="29">
        <v>1</v>
      </c>
      <c r="AM706" s="29">
        <v>4</v>
      </c>
      <c r="AN706" s="29" t="s">
        <v>48</v>
      </c>
      <c r="AO706" s="47" t="s">
        <v>702</v>
      </c>
      <c r="AP706" s="28">
        <v>0</v>
      </c>
      <c r="AQ706" s="26">
        <v>1.4999999999999999E-2</v>
      </c>
      <c r="AR706" s="26">
        <v>0</v>
      </c>
    </row>
    <row r="707" spans="1:44" x14ac:dyDescent="0.15">
      <c r="A707">
        <v>433</v>
      </c>
      <c r="B707" s="11">
        <v>206002</v>
      </c>
      <c r="C707" s="32"/>
      <c r="D707" s="32">
        <v>5.8169511339230804E-4</v>
      </c>
      <c r="E707" s="32">
        <v>4</v>
      </c>
      <c r="F707" s="32" t="s">
        <v>3745</v>
      </c>
      <c r="G707" s="11"/>
      <c r="H707" s="11"/>
      <c r="I707" s="11"/>
      <c r="J707" s="18" t="s">
        <v>44</v>
      </c>
      <c r="K707" s="18" t="s">
        <v>45</v>
      </c>
      <c r="L707" s="58">
        <v>0</v>
      </c>
      <c r="M707" s="18">
        <f>[1]!f_prt_stocktonav(B707,"2017/03/31")</f>
        <v>86.633918762207031</v>
      </c>
      <c r="N707" s="20" t="str">
        <f>[1]!f_info_fundmanager(B707)</f>
        <v>张清华</v>
      </c>
      <c r="O707" s="21">
        <v>7.6712328767123292E-2</v>
      </c>
      <c r="P707" s="34" t="s">
        <v>2800</v>
      </c>
      <c r="Q707" s="34" t="s">
        <v>2801</v>
      </c>
      <c r="R707" s="34" t="s">
        <v>705</v>
      </c>
      <c r="S707" s="34">
        <v>20090909</v>
      </c>
      <c r="T707" s="45">
        <v>2.1678071596000001</v>
      </c>
      <c r="U707" s="46">
        <v>2.4602960663000002</v>
      </c>
      <c r="V707" s="34" t="s">
        <v>231</v>
      </c>
      <c r="W707" s="34" t="s">
        <v>44</v>
      </c>
      <c r="X707" s="34" t="s">
        <v>45</v>
      </c>
      <c r="Y707" s="34" t="s">
        <v>817</v>
      </c>
      <c r="Z707" s="34"/>
      <c r="AA707" s="34"/>
      <c r="AB707" s="22">
        <v>0.90468025207519531</v>
      </c>
      <c r="AC707" s="23" t="s">
        <v>2802</v>
      </c>
      <c r="AD707" s="24">
        <v>1.6767123287671233</v>
      </c>
      <c r="AE707" s="25">
        <v>2.3702843364129089E-2</v>
      </c>
      <c r="AF707" s="26">
        <v>8.8648379733657703E-2</v>
      </c>
      <c r="AG707" s="26">
        <v>0.10546339314804133</v>
      </c>
      <c r="AH707" s="27">
        <v>0.14701016102626649</v>
      </c>
      <c r="AI707" s="27">
        <v>0.41077694035612272</v>
      </c>
      <c r="AJ707" s="27">
        <v>0.48848489578645793</v>
      </c>
      <c r="AK707" s="28" t="s">
        <v>380</v>
      </c>
      <c r="AL707" s="29">
        <v>4</v>
      </c>
      <c r="AM707" s="29">
        <v>5</v>
      </c>
      <c r="AN707" s="29" t="s">
        <v>48</v>
      </c>
      <c r="AO707" s="47" t="s">
        <v>2501</v>
      </c>
      <c r="AP707" s="28">
        <v>0</v>
      </c>
      <c r="AQ707" s="26">
        <v>1.4999999999999999E-2</v>
      </c>
      <c r="AR707" s="26">
        <v>0</v>
      </c>
    </row>
    <row r="708" spans="1:44" x14ac:dyDescent="0.15">
      <c r="A708">
        <v>332</v>
      </c>
      <c r="B708" s="11">
        <v>90009</v>
      </c>
      <c r="C708" s="32"/>
      <c r="D708" s="32">
        <v>3.3457649987673598E-3</v>
      </c>
      <c r="E708" s="32">
        <v>68</v>
      </c>
      <c r="F708" s="32">
        <v>2.6990588164194002E-2</v>
      </c>
      <c r="G708" s="11"/>
      <c r="H708" s="11"/>
      <c r="I708" s="11"/>
      <c r="J708" s="18" t="s">
        <v>44</v>
      </c>
      <c r="K708" s="18" t="s">
        <v>45</v>
      </c>
      <c r="L708" s="58" t="s">
        <v>274</v>
      </c>
      <c r="M708" s="18">
        <f>[1]!f_prt_stocktonav(B708,"2017/03/31")</f>
        <v>88.773544311523438</v>
      </c>
      <c r="N708" s="20" t="str">
        <f>[1]!f_info_fundmanager(B708)</f>
        <v>王磊</v>
      </c>
      <c r="O708" s="21">
        <v>1.295890410958904</v>
      </c>
      <c r="P708" s="34" t="s">
        <v>2803</v>
      </c>
      <c r="Q708" s="34" t="s">
        <v>2804</v>
      </c>
      <c r="R708" s="34" t="s">
        <v>486</v>
      </c>
      <c r="S708" s="34">
        <v>20090908</v>
      </c>
      <c r="T708" s="45">
        <v>1.5057966281999999</v>
      </c>
      <c r="U708" s="46">
        <v>1.5487880571999999</v>
      </c>
      <c r="V708" s="34" t="s">
        <v>231</v>
      </c>
      <c r="W708" s="34" t="s">
        <v>44</v>
      </c>
      <c r="X708" s="34" t="s">
        <v>45</v>
      </c>
      <c r="Y708" s="34" t="s">
        <v>274</v>
      </c>
      <c r="Z708" s="34"/>
      <c r="AA708" s="34"/>
      <c r="AB708" s="22">
        <v>0.85915702819824213</v>
      </c>
      <c r="AC708" s="23" t="s">
        <v>2805</v>
      </c>
      <c r="AD708" s="24">
        <v>1.0657534246575342</v>
      </c>
      <c r="AE708" s="25">
        <v>3.9724688806410224E-2</v>
      </c>
      <c r="AF708" s="26">
        <v>0.17588841707804925</v>
      </c>
      <c r="AG708" s="26">
        <v>0.11754603131018125</v>
      </c>
      <c r="AH708" s="27">
        <v>0.22935872929216392</v>
      </c>
      <c r="AI708" s="27">
        <v>0.58266394861473148</v>
      </c>
      <c r="AJ708" s="27">
        <v>0.46790685935148968</v>
      </c>
      <c r="AK708" s="28" t="s">
        <v>2357</v>
      </c>
      <c r="AL708" s="29">
        <v>1</v>
      </c>
      <c r="AM708" s="29">
        <v>3</v>
      </c>
      <c r="AN708" s="29" t="s">
        <v>48</v>
      </c>
      <c r="AO708" s="47" t="s">
        <v>1002</v>
      </c>
      <c r="AP708" s="28">
        <v>0</v>
      </c>
      <c r="AQ708" s="26">
        <v>1.4999999999999999E-2</v>
      </c>
      <c r="AR708" s="26">
        <v>0</v>
      </c>
    </row>
    <row r="709" spans="1:44" x14ac:dyDescent="0.15">
      <c r="A709">
        <v>514</v>
      </c>
      <c r="B709" s="11">
        <v>257050</v>
      </c>
      <c r="C709" s="32"/>
      <c r="D709" s="32">
        <v>4.2644572671494598E-3</v>
      </c>
      <c r="E709" s="32">
        <v>14</v>
      </c>
      <c r="F709" s="32">
        <v>0.32006457203363597</v>
      </c>
      <c r="G709" s="11"/>
      <c r="H709" s="11"/>
      <c r="I709" s="11"/>
      <c r="J709" s="18" t="s">
        <v>44</v>
      </c>
      <c r="K709" s="18" t="s">
        <v>87</v>
      </c>
      <c r="L709" s="58" t="s">
        <v>65</v>
      </c>
      <c r="M709" s="18">
        <f>[1]!f_prt_stocktonav(B709,"2017/03/31")</f>
        <v>84.983901977539063</v>
      </c>
      <c r="N709" s="20" t="str">
        <f>[1]!f_info_fundmanager(B709)</f>
        <v>张汉毅</v>
      </c>
      <c r="O709" s="21">
        <v>0.26849315068493151</v>
      </c>
      <c r="P709" s="34" t="s">
        <v>2806</v>
      </c>
      <c r="Q709" s="34" t="s">
        <v>2807</v>
      </c>
      <c r="R709" s="34" t="s">
        <v>724</v>
      </c>
      <c r="S709" s="34">
        <v>20090826</v>
      </c>
      <c r="T709" s="45">
        <v>1.7009351804999999</v>
      </c>
      <c r="U709" s="46">
        <v>2.2144423487</v>
      </c>
      <c r="V709" s="34" t="s">
        <v>231</v>
      </c>
      <c r="W709" s="34" t="s">
        <v>44</v>
      </c>
      <c r="X709" s="34" t="s">
        <v>45</v>
      </c>
      <c r="Y709" s="34" t="s">
        <v>274</v>
      </c>
      <c r="Z709" s="34"/>
      <c r="AA709" s="34"/>
      <c r="AB709" s="22">
        <v>0.8029210662841797</v>
      </c>
      <c r="AC709" s="23" t="s">
        <v>2808</v>
      </c>
      <c r="AD709" s="24">
        <v>1.6958904109589041</v>
      </c>
      <c r="AE709" s="25">
        <v>2.216492963624872E-2</v>
      </c>
      <c r="AF709" s="26">
        <v>2.2229462182910442E-2</v>
      </c>
      <c r="AG709" s="26">
        <v>7.0962744176155335E-2</v>
      </c>
      <c r="AH709" s="27">
        <v>0.17984238755702181</v>
      </c>
      <c r="AI709" s="27">
        <v>0.22216399002885001</v>
      </c>
      <c r="AJ709" s="27">
        <v>0.33109878355474115</v>
      </c>
      <c r="AK709" s="28" t="s">
        <v>726</v>
      </c>
      <c r="AL709" s="29">
        <v>2</v>
      </c>
      <c r="AM709" s="29">
        <v>3</v>
      </c>
      <c r="AN709" s="29" t="s">
        <v>48</v>
      </c>
      <c r="AO709" s="47" t="s">
        <v>2809</v>
      </c>
      <c r="AP709" s="28">
        <v>0</v>
      </c>
      <c r="AQ709" s="26">
        <v>1.4999999999999999E-2</v>
      </c>
      <c r="AR709" s="26">
        <v>0</v>
      </c>
    </row>
    <row r="710" spans="1:44" x14ac:dyDescent="0.15">
      <c r="A710">
        <v>942</v>
      </c>
      <c r="B710" s="11">
        <v>50012</v>
      </c>
      <c r="C710" s="32"/>
      <c r="D710" s="32">
        <v>2.9789177864785501E-4</v>
      </c>
      <c r="E710" s="32">
        <v>80</v>
      </c>
      <c r="F710" s="32">
        <v>0.73731250089774203</v>
      </c>
      <c r="G710" s="11"/>
      <c r="H710" s="11"/>
      <c r="I710" s="11"/>
      <c r="J710" s="18" t="s">
        <v>44</v>
      </c>
      <c r="K710" s="18" t="s">
        <v>45</v>
      </c>
      <c r="L710" s="58" t="s">
        <v>274</v>
      </c>
      <c r="M710" s="18">
        <f>[1]!f_prt_stocktonav(B710,"2017/03/31")</f>
        <v>70.673683166503906</v>
      </c>
      <c r="N710" s="20" t="str">
        <f>[1]!f_info_fundmanager(B710)</f>
        <v>孙少锋</v>
      </c>
      <c r="O710" s="21">
        <v>1.5205479452054795</v>
      </c>
      <c r="P710" s="34" t="s">
        <v>2810</v>
      </c>
      <c r="Q710" s="34" t="s">
        <v>2811</v>
      </c>
      <c r="R710" s="34" t="s">
        <v>413</v>
      </c>
      <c r="S710" s="34">
        <v>20090811</v>
      </c>
      <c r="T710" s="45">
        <v>4.6792393961999998</v>
      </c>
      <c r="U710" s="46">
        <v>4.7371497811000003</v>
      </c>
      <c r="V710" s="34" t="s">
        <v>231</v>
      </c>
      <c r="W710" s="34" t="s">
        <v>41</v>
      </c>
      <c r="X710" s="34" t="s">
        <v>42</v>
      </c>
      <c r="Y710" s="34" t="s">
        <v>181</v>
      </c>
      <c r="Z710" s="34"/>
      <c r="AA710" s="34"/>
      <c r="AB710" s="22">
        <v>0.69432594299316408</v>
      </c>
      <c r="AC710" s="23" t="s">
        <v>2812</v>
      </c>
      <c r="AD710" s="24">
        <v>1.2904109589041095</v>
      </c>
      <c r="AE710" s="25">
        <v>3.4519179896328245E-2</v>
      </c>
      <c r="AF710" s="26">
        <v>0.142595517536106</v>
      </c>
      <c r="AG710" s="26">
        <v>9.4136294624773922E-2</v>
      </c>
      <c r="AH710" s="27">
        <v>0.19816640752986914</v>
      </c>
      <c r="AI710" s="27">
        <v>0.62297444603732277</v>
      </c>
      <c r="AJ710" s="27">
        <v>0.46226925279411141</v>
      </c>
      <c r="AK710" s="28" t="s">
        <v>678</v>
      </c>
      <c r="AL710" s="29">
        <v>2</v>
      </c>
      <c r="AM710" s="29">
        <v>3</v>
      </c>
      <c r="AN710" s="29" t="s">
        <v>48</v>
      </c>
      <c r="AO710" s="47" t="s">
        <v>417</v>
      </c>
      <c r="AP710" s="28">
        <v>0</v>
      </c>
      <c r="AQ710" s="26">
        <v>1.4999999999999999E-2</v>
      </c>
      <c r="AR710" s="26">
        <v>0</v>
      </c>
    </row>
    <row r="711" spans="1:44" x14ac:dyDescent="0.15">
      <c r="A711">
        <v>20</v>
      </c>
      <c r="B711" s="11">
        <v>460007</v>
      </c>
      <c r="C711" s="32"/>
      <c r="D711" s="32">
        <v>-1.54698080677679E-3</v>
      </c>
      <c r="E711" s="32">
        <v>384</v>
      </c>
      <c r="F711" s="32">
        <v>0.122124025534235</v>
      </c>
      <c r="G711" s="11"/>
      <c r="H711" s="11"/>
      <c r="I711" s="11"/>
      <c r="J711" s="18" t="s">
        <v>44</v>
      </c>
      <c r="K711" s="18" t="s">
        <v>45</v>
      </c>
      <c r="L711" s="58" t="s">
        <v>65</v>
      </c>
      <c r="M711" s="18">
        <f>[1]!f_prt_stocktonav(B711,"2017/03/31")</f>
        <v>94.731697082519531</v>
      </c>
      <c r="N711" s="20" t="str">
        <f>[1]!f_info_fundmanager(B711)</f>
        <v>吕慧建,徐晓杰</v>
      </c>
      <c r="O711" s="21">
        <v>7.3698630136986303</v>
      </c>
      <c r="P711" s="34" t="s">
        <v>2813</v>
      </c>
      <c r="Q711" s="34" t="s">
        <v>2814</v>
      </c>
      <c r="R711" s="34" t="s">
        <v>880</v>
      </c>
      <c r="S711" s="34">
        <v>20090803</v>
      </c>
      <c r="T711" s="45">
        <v>1.6253750469999999</v>
      </c>
      <c r="U711" s="46">
        <v>1.7900423620999999</v>
      </c>
      <c r="V711" s="34" t="s">
        <v>231</v>
      </c>
      <c r="W711" s="34" t="s">
        <v>44</v>
      </c>
      <c r="X711" s="34" t="s">
        <v>45</v>
      </c>
      <c r="Y711" s="34" t="s">
        <v>65</v>
      </c>
      <c r="Z711" s="34"/>
      <c r="AA711" s="34"/>
      <c r="AB711" s="22">
        <v>0.94114349365234373</v>
      </c>
      <c r="AC711" s="23" t="s">
        <v>2815</v>
      </c>
      <c r="AD711" s="24">
        <v>7.13972602739726</v>
      </c>
      <c r="AE711" s="25">
        <v>2.3491394061326831E-2</v>
      </c>
      <c r="AF711" s="26">
        <v>0.11371139485173476</v>
      </c>
      <c r="AG711" s="26">
        <v>0.13098353514913241</v>
      </c>
      <c r="AH711" s="27">
        <v>0.20309449152537157</v>
      </c>
      <c r="AI711" s="27">
        <v>0.4209214096158862</v>
      </c>
      <c r="AJ711" s="27">
        <v>0.51219732966424447</v>
      </c>
      <c r="AK711" s="28" t="s">
        <v>2816</v>
      </c>
      <c r="AL711" s="29">
        <v>4</v>
      </c>
      <c r="AM711" s="29">
        <v>3</v>
      </c>
      <c r="AN711" s="29" t="s">
        <v>48</v>
      </c>
      <c r="AO711" s="47" t="s">
        <v>2817</v>
      </c>
      <c r="AP711" s="28">
        <v>0</v>
      </c>
      <c r="AQ711" s="26">
        <v>1.4999999999999999E-2</v>
      </c>
      <c r="AR711" s="26">
        <v>0</v>
      </c>
    </row>
    <row r="712" spans="1:44" x14ac:dyDescent="0.15">
      <c r="A712">
        <v>847</v>
      </c>
      <c r="B712" s="11">
        <v>519987</v>
      </c>
      <c r="C712" s="32"/>
      <c r="D712" s="32">
        <v>-8.8522819828101395E-4</v>
      </c>
      <c r="E712" s="32">
        <v>313</v>
      </c>
      <c r="F712" s="32">
        <v>0.22112008182522899</v>
      </c>
      <c r="G712" s="11"/>
      <c r="H712" s="11"/>
      <c r="I712" s="11"/>
      <c r="J712" s="18" t="s">
        <v>44</v>
      </c>
      <c r="K712" s="18" t="s">
        <v>45</v>
      </c>
      <c r="L712" s="58" t="s">
        <v>65</v>
      </c>
      <c r="M712" s="18">
        <f>[1]!f_prt_stocktonav(B712,"2017/03/31")</f>
        <v>74.550933837890625</v>
      </c>
      <c r="N712" s="20" t="str">
        <f>[1]!f_info_fundmanager(B712)</f>
        <v>黄韵,叶松</v>
      </c>
      <c r="O712" s="21">
        <v>6.0109589041095894</v>
      </c>
      <c r="P712" s="34" t="s">
        <v>2818</v>
      </c>
      <c r="Q712" s="34" t="s">
        <v>2819</v>
      </c>
      <c r="R712" s="34" t="s">
        <v>206</v>
      </c>
      <c r="S712" s="34">
        <v>20090730</v>
      </c>
      <c r="T712" s="45">
        <v>0.3480454677</v>
      </c>
      <c r="U712" s="46">
        <v>0.37666290590000001</v>
      </c>
      <c r="V712" s="34" t="s">
        <v>231</v>
      </c>
      <c r="W712" s="34" t="s">
        <v>44</v>
      </c>
      <c r="X712" s="34" t="s">
        <v>45</v>
      </c>
      <c r="Y712" s="34" t="s">
        <v>274</v>
      </c>
      <c r="Z712" s="34"/>
      <c r="AA712" s="34"/>
      <c r="AB712" s="22">
        <v>0.70296775817871093</v>
      </c>
      <c r="AC712" s="23" t="s">
        <v>2820</v>
      </c>
      <c r="AD712" s="24">
        <v>5.7808219178082192</v>
      </c>
      <c r="AE712" s="25">
        <v>2.7448276305547026E-2</v>
      </c>
      <c r="AF712" s="26">
        <v>0.12624999632082234</v>
      </c>
      <c r="AG712" s="26">
        <v>0.12354764490974347</v>
      </c>
      <c r="AH712" s="27">
        <v>0.17708537270824451</v>
      </c>
      <c r="AI712" s="27">
        <v>0.49096953016817746</v>
      </c>
      <c r="AJ712" s="27">
        <v>0.51496156599426324</v>
      </c>
      <c r="AK712" s="28" t="s">
        <v>1948</v>
      </c>
      <c r="AL712" s="29">
        <v>3</v>
      </c>
      <c r="AM712" s="29">
        <v>3</v>
      </c>
      <c r="AN712" s="29" t="s">
        <v>48</v>
      </c>
      <c r="AO712" s="47" t="s">
        <v>209</v>
      </c>
      <c r="AP712" s="28" t="s">
        <v>608</v>
      </c>
      <c r="AQ712" s="26">
        <v>1.4999999999999999E-2</v>
      </c>
      <c r="AR712" s="26">
        <v>0</v>
      </c>
    </row>
    <row r="713" spans="1:44" x14ac:dyDescent="0.15">
      <c r="A713">
        <v>672</v>
      </c>
      <c r="B713" s="11">
        <v>166005</v>
      </c>
      <c r="C713" s="32"/>
      <c r="D713" s="32">
        <v>8.7305916968580103E-4</v>
      </c>
      <c r="E713" s="32">
        <v>71</v>
      </c>
      <c r="F713" s="32">
        <v>0.33457391708034601</v>
      </c>
      <c r="G713" s="11"/>
      <c r="H713" s="11"/>
      <c r="I713" s="11"/>
      <c r="J713" s="18" t="s">
        <v>44</v>
      </c>
      <c r="K713" s="18" t="s">
        <v>45</v>
      </c>
      <c r="L713" s="58" t="s">
        <v>354</v>
      </c>
      <c r="M713" s="18">
        <f>[1]!f_prt_stocktonav(B713,"2017/03/31")</f>
        <v>80.779190063476562</v>
      </c>
      <c r="N713" s="20" t="str">
        <f>[1]!f_info_fundmanager(B713)</f>
        <v>曹名长,蓝小康</v>
      </c>
      <c r="O713" s="21">
        <v>1.3616438356164384</v>
      </c>
      <c r="P713" s="34" t="s">
        <v>2821</v>
      </c>
      <c r="Q713" s="34" t="s">
        <v>2822</v>
      </c>
      <c r="R713" s="34" t="s">
        <v>200</v>
      </c>
      <c r="S713" s="34">
        <v>20090724</v>
      </c>
      <c r="T713" s="45">
        <v>22.046701732300001</v>
      </c>
      <c r="U713" s="46">
        <v>29.873995915199998</v>
      </c>
      <c r="V713" s="34" t="s">
        <v>231</v>
      </c>
      <c r="W713" s="34" t="s">
        <v>44</v>
      </c>
      <c r="X713" s="34" t="s">
        <v>45</v>
      </c>
      <c r="Y713" s="34" t="s">
        <v>354</v>
      </c>
      <c r="Z713" s="34"/>
      <c r="AA713" s="34"/>
      <c r="AB713" s="22">
        <v>0.94001724243164064</v>
      </c>
      <c r="AC713" s="23" t="s">
        <v>2823</v>
      </c>
      <c r="AD713" s="24">
        <v>1.1315068493150684</v>
      </c>
      <c r="AE713" s="25">
        <v>0.11317701661956558</v>
      </c>
      <c r="AF713" s="26">
        <v>0.25916592771824609</v>
      </c>
      <c r="AG713" s="26">
        <v>0.20934490194181721</v>
      </c>
      <c r="AH713" s="27">
        <v>0.53954727284381954</v>
      </c>
      <c r="AI713" s="27">
        <v>1.0312675420390853</v>
      </c>
      <c r="AJ713" s="27">
        <v>0.93362570429172587</v>
      </c>
      <c r="AK713" s="28" t="s">
        <v>726</v>
      </c>
      <c r="AL713" s="29">
        <v>5</v>
      </c>
      <c r="AM713" s="29">
        <v>2</v>
      </c>
      <c r="AN713" s="29" t="s">
        <v>48</v>
      </c>
      <c r="AO713" s="47" t="s">
        <v>2746</v>
      </c>
      <c r="AP713" s="28">
        <v>0</v>
      </c>
      <c r="AQ713" s="26">
        <v>1.4999999999999999E-2</v>
      </c>
      <c r="AR713" s="26">
        <v>0</v>
      </c>
    </row>
    <row r="714" spans="1:44" x14ac:dyDescent="0.15">
      <c r="A714">
        <v>790</v>
      </c>
      <c r="B714" s="11">
        <v>410007</v>
      </c>
      <c r="C714" s="32"/>
      <c r="D714" s="32">
        <v>-2.1308737504576801E-3</v>
      </c>
      <c r="E714" s="32">
        <v>131</v>
      </c>
      <c r="F714" s="32">
        <v>0.125220161679725</v>
      </c>
      <c r="G714" s="11"/>
      <c r="H714" s="11"/>
      <c r="I714" s="11"/>
      <c r="J714" s="18" t="s">
        <v>44</v>
      </c>
      <c r="K714" s="18" t="s">
        <v>45</v>
      </c>
      <c r="L714" s="58" t="s">
        <v>274</v>
      </c>
      <c r="M714" s="18">
        <f>[1]!f_prt_stocktonav(B714,"2017/03/31")</f>
        <v>77.088943481445312</v>
      </c>
      <c r="N714" s="20" t="str">
        <f>[1]!f_info_fundmanager(B714)</f>
        <v>陈启明</v>
      </c>
      <c r="O714" s="21">
        <v>2.5123287671232877</v>
      </c>
      <c r="P714" s="34" t="s">
        <v>2824</v>
      </c>
      <c r="Q714" s="34" t="s">
        <v>2825</v>
      </c>
      <c r="R714" s="34" t="s">
        <v>1000</v>
      </c>
      <c r="S714" s="34">
        <v>20090715</v>
      </c>
      <c r="T714" s="45">
        <v>3.0649289902999999</v>
      </c>
      <c r="U714" s="46">
        <v>4.0244455724000003</v>
      </c>
      <c r="V714" s="34" t="s">
        <v>40</v>
      </c>
      <c r="W714" s="34" t="s">
        <v>44</v>
      </c>
      <c r="X714" s="34" t="s">
        <v>45</v>
      </c>
      <c r="Y714" s="34" t="s">
        <v>274</v>
      </c>
      <c r="Z714" s="34"/>
      <c r="AA714" s="34"/>
      <c r="AB714" s="22">
        <v>0.77730422973632818</v>
      </c>
      <c r="AC714" s="23" t="s">
        <v>2826</v>
      </c>
      <c r="AD714" s="24">
        <v>2.2821917808219179</v>
      </c>
      <c r="AE714" s="25">
        <v>8.1856489443009828E-2</v>
      </c>
      <c r="AF714" s="26">
        <v>0.25033289656931523</v>
      </c>
      <c r="AG714" s="26">
        <v>0.20850786407561284</v>
      </c>
      <c r="AH714" s="27">
        <v>0.37596952974235937</v>
      </c>
      <c r="AI714" s="27">
        <v>0.77815952484781592</v>
      </c>
      <c r="AJ714" s="27">
        <v>0.7542469717521133</v>
      </c>
      <c r="AK714" s="28" t="s">
        <v>226</v>
      </c>
      <c r="AL714" s="29">
        <v>4</v>
      </c>
      <c r="AM714" s="29">
        <v>4</v>
      </c>
      <c r="AN714" s="29" t="s">
        <v>48</v>
      </c>
      <c r="AO714" s="47" t="s">
        <v>2554</v>
      </c>
      <c r="AP714" s="28">
        <v>0</v>
      </c>
      <c r="AQ714" s="26">
        <v>1.4999999999999999E-2</v>
      </c>
      <c r="AR714" s="26">
        <v>0</v>
      </c>
    </row>
    <row r="715" spans="1:44" x14ac:dyDescent="0.15">
      <c r="A715">
        <v>932</v>
      </c>
      <c r="B715" s="11">
        <v>519091</v>
      </c>
      <c r="C715" s="32"/>
      <c r="D715" s="32">
        <v>2.5098085267902899E-3</v>
      </c>
      <c r="E715" s="32">
        <v>87</v>
      </c>
      <c r="F715" s="32">
        <v>7.0190935267118698E-2</v>
      </c>
      <c r="G715" s="11"/>
      <c r="H715" s="11"/>
      <c r="I715" s="11"/>
      <c r="J715" s="18" t="s">
        <v>44</v>
      </c>
      <c r="K715" s="18" t="s">
        <v>45</v>
      </c>
      <c r="L715" s="58" t="s">
        <v>274</v>
      </c>
      <c r="M715" s="18">
        <f>[1]!f_prt_stocktonav(B715,"2017/03/31")</f>
        <v>70.977508544921875</v>
      </c>
      <c r="N715" s="20" t="str">
        <f>[1]!f_info_fundmanager(B715)</f>
        <v>栾江伟</v>
      </c>
      <c r="O715" s="21">
        <v>1.6602739726027398</v>
      </c>
      <c r="P715" s="34" t="s">
        <v>2827</v>
      </c>
      <c r="Q715" s="34" t="s">
        <v>2828</v>
      </c>
      <c r="R715" s="34" t="s">
        <v>569</v>
      </c>
      <c r="S715" s="34">
        <v>20090713</v>
      </c>
      <c r="T715" s="45">
        <v>2.1949021104000002</v>
      </c>
      <c r="U715" s="46">
        <v>1.9313259699000001</v>
      </c>
      <c r="V715" s="34" t="s">
        <v>40</v>
      </c>
      <c r="W715" s="34" t="s">
        <v>44</v>
      </c>
      <c r="X715" s="34" t="s">
        <v>45</v>
      </c>
      <c r="Y715" s="34" t="s">
        <v>274</v>
      </c>
      <c r="Z715" s="34"/>
      <c r="AA715" s="34"/>
      <c r="AB715" s="22">
        <v>0.78042686462402344</v>
      </c>
      <c r="AC715" s="23" t="s">
        <v>2829</v>
      </c>
      <c r="AD715" s="24">
        <v>1.4301369863013698</v>
      </c>
      <c r="AE715" s="25">
        <v>0.11482603054852314</v>
      </c>
      <c r="AF715" s="26">
        <v>0.26141517646521439</v>
      </c>
      <c r="AG715" s="26">
        <v>0.19916240840122312</v>
      </c>
      <c r="AH715" s="27">
        <v>0.53509986441962953</v>
      </c>
      <c r="AI715" s="27">
        <v>0.89875485249418741</v>
      </c>
      <c r="AJ715" s="27">
        <v>0.81747144438004948</v>
      </c>
      <c r="AK715" s="28" t="s">
        <v>1226</v>
      </c>
      <c r="AL715" s="29">
        <v>3</v>
      </c>
      <c r="AM715" s="29">
        <v>4</v>
      </c>
      <c r="AN715" s="29" t="s">
        <v>48</v>
      </c>
      <c r="AO715" s="47" t="s">
        <v>310</v>
      </c>
      <c r="AP715" s="28">
        <v>0</v>
      </c>
      <c r="AQ715" s="26">
        <v>1.4999999999999999E-2</v>
      </c>
      <c r="AR715" s="26">
        <v>0</v>
      </c>
    </row>
    <row r="716" spans="1:44" x14ac:dyDescent="0.15">
      <c r="A716">
        <v>511</v>
      </c>
      <c r="B716" s="11">
        <v>210003</v>
      </c>
      <c r="C716" s="32"/>
      <c r="D716" s="32">
        <v>-8.9653314539234902E-4</v>
      </c>
      <c r="E716" s="32">
        <v>94</v>
      </c>
      <c r="F716" s="32">
        <v>0.57995083548257298</v>
      </c>
      <c r="G716" s="11"/>
      <c r="H716" s="11"/>
      <c r="I716" s="11"/>
      <c r="J716" s="18" t="s">
        <v>44</v>
      </c>
      <c r="K716" s="18" t="s">
        <v>45</v>
      </c>
      <c r="L716" s="58" t="s">
        <v>274</v>
      </c>
      <c r="M716" s="18">
        <f>[1]!f_prt_stocktonav(B716,"2017/03/31")</f>
        <v>85.02581787109375</v>
      </c>
      <c r="N716" s="20" t="str">
        <f>[1]!f_info_fundmanager(B716)</f>
        <v>倪超</v>
      </c>
      <c r="O716" s="21">
        <v>1.8054794520547945</v>
      </c>
      <c r="P716" s="34" t="s">
        <v>2830</v>
      </c>
      <c r="Q716" s="34" t="s">
        <v>2831</v>
      </c>
      <c r="R716" s="34" t="s">
        <v>273</v>
      </c>
      <c r="S716" s="34">
        <v>20090701</v>
      </c>
      <c r="T716" s="45">
        <v>1.7389827443000001</v>
      </c>
      <c r="U716" s="46">
        <v>1.8626777670000001</v>
      </c>
      <c r="V716" s="34" t="s">
        <v>231</v>
      </c>
      <c r="W716" s="34" t="s">
        <v>44</v>
      </c>
      <c r="X716" s="34" t="s">
        <v>45</v>
      </c>
      <c r="Y716" s="34" t="s">
        <v>274</v>
      </c>
      <c r="Z716" s="34"/>
      <c r="AA716" s="34"/>
      <c r="AB716" s="22">
        <v>0.83710395812988281</v>
      </c>
      <c r="AC716" s="23" t="s">
        <v>2832</v>
      </c>
      <c r="AD716" s="24">
        <v>1.5753424657534247</v>
      </c>
      <c r="AE716" s="25">
        <v>4.0326472423824367E-2</v>
      </c>
      <c r="AF716" s="26">
        <v>0.18609495608350479</v>
      </c>
      <c r="AG716" s="26">
        <v>0.12116761563684107</v>
      </c>
      <c r="AH716" s="27">
        <v>0.22750677550044088</v>
      </c>
      <c r="AI716" s="27">
        <v>0.66506320269862473</v>
      </c>
      <c r="AJ716" s="27">
        <v>0.49676447409857377</v>
      </c>
      <c r="AK716" s="28" t="s">
        <v>1868</v>
      </c>
      <c r="AL716" s="29">
        <v>3</v>
      </c>
      <c r="AM716" s="29">
        <v>4</v>
      </c>
      <c r="AN716" s="29" t="s">
        <v>48</v>
      </c>
      <c r="AO716" s="47" t="s">
        <v>410</v>
      </c>
      <c r="AP716" s="28">
        <v>0</v>
      </c>
      <c r="AQ716" s="26">
        <v>1.4999999999999999E-2</v>
      </c>
      <c r="AR716" s="26">
        <v>0</v>
      </c>
    </row>
    <row r="717" spans="1:44" x14ac:dyDescent="0.15">
      <c r="A717">
        <v>536</v>
      </c>
      <c r="B717" s="11">
        <v>161810</v>
      </c>
      <c r="C717" s="32"/>
      <c r="D717" s="32">
        <v>-2.5538460306159202E-3</v>
      </c>
      <c r="E717" s="32">
        <v>38</v>
      </c>
      <c r="F717" s="32">
        <v>9.8311902198645704E-2</v>
      </c>
      <c r="G717" s="11"/>
      <c r="H717" s="11"/>
      <c r="I717" s="11"/>
      <c r="J717" s="18" t="s">
        <v>44</v>
      </c>
      <c r="K717" s="18" t="s">
        <v>45</v>
      </c>
      <c r="L717" s="58" t="s">
        <v>65</v>
      </c>
      <c r="M717" s="18">
        <f>[1]!f_prt_stocktonav(B717,"2017/03/31")</f>
        <v>84.394508361816406</v>
      </c>
      <c r="N717" s="20" t="str">
        <f>[1]!f_info_fundmanager(B717)</f>
        <v>倪明,刘辉</v>
      </c>
      <c r="O717" s="21">
        <v>0.72876712328767124</v>
      </c>
      <c r="P717" s="34" t="s">
        <v>2833</v>
      </c>
      <c r="Q717" s="34" t="s">
        <v>2834</v>
      </c>
      <c r="R717" s="34" t="s">
        <v>57</v>
      </c>
      <c r="S717" s="34">
        <v>20090701</v>
      </c>
      <c r="T717" s="45">
        <v>6.0560198259</v>
      </c>
      <c r="U717" s="46">
        <v>7.0767686305000002</v>
      </c>
      <c r="V717" s="34" t="s">
        <v>231</v>
      </c>
      <c r="W717" s="34" t="s">
        <v>44</v>
      </c>
      <c r="X717" s="34" t="s">
        <v>45</v>
      </c>
      <c r="Y717" s="34" t="s">
        <v>65</v>
      </c>
      <c r="Z717" s="34"/>
      <c r="AA717" s="34"/>
      <c r="AB717" s="22">
        <v>0.87008598327636721</v>
      </c>
      <c r="AC717" s="23" t="s">
        <v>2835</v>
      </c>
      <c r="AD717" s="24">
        <v>0.49863013698630138</v>
      </c>
      <c r="AE717" s="25">
        <v>6.1278572396447961E-2</v>
      </c>
      <c r="AF717" s="26">
        <v>0.26351790764372085</v>
      </c>
      <c r="AG717" s="26">
        <v>0.1995235111959508</v>
      </c>
      <c r="AH717" s="27">
        <v>0.33962063323584935</v>
      </c>
      <c r="AI717" s="27">
        <v>0.8733489933246068</v>
      </c>
      <c r="AJ717" s="27">
        <v>0.769235348632055</v>
      </c>
      <c r="AK717" s="28" t="s">
        <v>1459</v>
      </c>
      <c r="AL717" s="29">
        <v>5</v>
      </c>
      <c r="AM717" s="29">
        <v>5</v>
      </c>
      <c r="AN717" s="29" t="s">
        <v>48</v>
      </c>
      <c r="AO717" s="47" t="s">
        <v>2297</v>
      </c>
      <c r="AP717" s="28">
        <v>0</v>
      </c>
      <c r="AQ717" s="26">
        <v>1.4999999999999999E-2</v>
      </c>
      <c r="AR717" s="26">
        <v>0</v>
      </c>
    </row>
    <row r="718" spans="1:44" x14ac:dyDescent="0.15">
      <c r="A718">
        <v>958</v>
      </c>
      <c r="B718" s="11">
        <v>200011</v>
      </c>
      <c r="C718" s="32"/>
      <c r="D718" s="32">
        <v>-4.5421405790596501E-3</v>
      </c>
      <c r="E718" s="32">
        <v>153</v>
      </c>
      <c r="F718" s="32">
        <v>4.7690895127157102E-4</v>
      </c>
      <c r="G718" s="11"/>
      <c r="H718" s="11"/>
      <c r="I718" s="11"/>
      <c r="J718" s="18" t="s">
        <v>44</v>
      </c>
      <c r="K718" s="18" t="s">
        <v>45</v>
      </c>
      <c r="L718" s="58" t="s">
        <v>274</v>
      </c>
      <c r="M718" s="18">
        <f>[1]!f_prt_stocktonav(B718,"2017/03/31")</f>
        <v>70.175994873046875</v>
      </c>
      <c r="N718" s="20" t="str">
        <f>[1]!f_info_fundmanager(B718)</f>
        <v>赵波</v>
      </c>
      <c r="O718" s="21">
        <v>2.9369863013698629</v>
      </c>
      <c r="P718" s="34" t="s">
        <v>2836</v>
      </c>
      <c r="Q718" s="34" t="s">
        <v>2837</v>
      </c>
      <c r="R718" s="34" t="s">
        <v>1172</v>
      </c>
      <c r="S718" s="34">
        <v>20090630</v>
      </c>
      <c r="T718" s="45">
        <v>0.6832625417</v>
      </c>
      <c r="U718" s="46">
        <v>0.74108471760000005</v>
      </c>
      <c r="V718" s="34" t="s">
        <v>231</v>
      </c>
      <c r="W718" s="34" t="s">
        <v>41</v>
      </c>
      <c r="X718" s="17" t="s">
        <v>42</v>
      </c>
      <c r="Y718" s="17" t="s">
        <v>181</v>
      </c>
      <c r="Z718" s="34"/>
      <c r="AA718" s="34"/>
      <c r="AB718" s="22">
        <v>0.69280654907226558</v>
      </c>
      <c r="AC718" s="23" t="s">
        <v>2838</v>
      </c>
      <c r="AD718" s="24">
        <v>2.7068493150684931</v>
      </c>
      <c r="AE718" s="25">
        <v>2.2076481412599991E-2</v>
      </c>
      <c r="AF718" s="26">
        <v>3.6644033716128011E-2</v>
      </c>
      <c r="AG718" s="26">
        <v>5.0327058591693064E-2</v>
      </c>
      <c r="AH718" s="27">
        <v>0.14319516117745318</v>
      </c>
      <c r="AI718" s="27">
        <v>0.22652899581643796</v>
      </c>
      <c r="AJ718" s="27">
        <v>0.26357109553299346</v>
      </c>
      <c r="AK718" s="28" t="s">
        <v>2839</v>
      </c>
      <c r="AL718" s="29">
        <v>1</v>
      </c>
      <c r="AM718" s="29">
        <v>4</v>
      </c>
      <c r="AN718" s="29" t="s">
        <v>48</v>
      </c>
      <c r="AO718" s="47" t="s">
        <v>2337</v>
      </c>
      <c r="AP718" s="28">
        <v>0</v>
      </c>
      <c r="AQ718" s="26">
        <v>1.4999999999999999E-2</v>
      </c>
      <c r="AR718" s="26">
        <v>0</v>
      </c>
    </row>
    <row r="719" spans="1:44" x14ac:dyDescent="0.15">
      <c r="A719">
        <v>232</v>
      </c>
      <c r="B719" s="11">
        <v>540006</v>
      </c>
      <c r="C719" s="32"/>
      <c r="D719" s="32">
        <v>3.5570375813351899E-3</v>
      </c>
      <c r="E719" s="32">
        <v>133</v>
      </c>
      <c r="F719" s="32">
        <v>8.0966691935784702E-4</v>
      </c>
      <c r="G719" s="11"/>
      <c r="H719" s="11"/>
      <c r="I719" s="11"/>
      <c r="J719" s="18" t="s">
        <v>44</v>
      </c>
      <c r="K719" s="18" t="s">
        <v>45</v>
      </c>
      <c r="L719" s="58" t="s">
        <v>354</v>
      </c>
      <c r="M719" s="18">
        <f>[1]!f_prt_stocktonav(B719,"2017/03/31")</f>
        <v>91.067138671875</v>
      </c>
      <c r="N719" s="20" t="str">
        <f>[1]!f_info_fundmanager(B719)</f>
        <v>丘栋荣</v>
      </c>
      <c r="O719" s="21">
        <v>2.5397260273972604</v>
      </c>
      <c r="P719" s="34" t="s">
        <v>2840</v>
      </c>
      <c r="Q719" s="34" t="s">
        <v>2841</v>
      </c>
      <c r="R719" s="34" t="s">
        <v>149</v>
      </c>
      <c r="S719" s="34">
        <v>20090624</v>
      </c>
      <c r="T719" s="45">
        <v>25.737236385500001</v>
      </c>
      <c r="U719" s="46">
        <v>23.253908944399999</v>
      </c>
      <c r="V719" s="34" t="s">
        <v>231</v>
      </c>
      <c r="W719" s="34" t="s">
        <v>44</v>
      </c>
      <c r="X719" s="34" t="s">
        <v>45</v>
      </c>
      <c r="Y719" s="34" t="s">
        <v>354</v>
      </c>
      <c r="Z719" s="34"/>
      <c r="AA719" s="34"/>
      <c r="AB719" s="22">
        <v>0.93935401916503902</v>
      </c>
      <c r="AC719" s="23" t="s">
        <v>1714</v>
      </c>
      <c r="AD719" s="24">
        <v>2.3095890410958906</v>
      </c>
      <c r="AE719" s="25">
        <v>0.14289717051162798</v>
      </c>
      <c r="AF719" s="26">
        <v>0.3211871440130778</v>
      </c>
      <c r="AG719" s="26">
        <v>0.21723885066548321</v>
      </c>
      <c r="AH719" s="27">
        <v>0.65234638390623889</v>
      </c>
      <c r="AI719" s="27">
        <v>1.145709775315648</v>
      </c>
      <c r="AJ719" s="27">
        <v>0.90382505828316939</v>
      </c>
      <c r="AK719" s="28" t="s">
        <v>2842</v>
      </c>
      <c r="AL719" s="29">
        <v>5</v>
      </c>
      <c r="AM719" s="29">
        <v>5</v>
      </c>
      <c r="AN719" s="29" t="s">
        <v>48</v>
      </c>
      <c r="AO719" s="47" t="s">
        <v>410</v>
      </c>
      <c r="AP719" s="28">
        <v>0</v>
      </c>
      <c r="AQ719" s="26">
        <v>1.4999999999999999E-2</v>
      </c>
      <c r="AR719" s="26">
        <v>0</v>
      </c>
    </row>
    <row r="720" spans="1:44" x14ac:dyDescent="0.15">
      <c r="A720">
        <v>876</v>
      </c>
      <c r="B720" s="11">
        <v>400011</v>
      </c>
      <c r="C720" s="32"/>
      <c r="D720" s="32">
        <v>-2.7276598631299098E-4</v>
      </c>
      <c r="E720" s="32">
        <v>100</v>
      </c>
      <c r="F720" s="32">
        <v>0.847354988487246</v>
      </c>
      <c r="G720" s="11"/>
      <c r="H720" s="11"/>
      <c r="I720" s="11"/>
      <c r="J720" s="18" t="s">
        <v>44</v>
      </c>
      <c r="K720" s="18" t="s">
        <v>45</v>
      </c>
      <c r="L720" s="58" t="s">
        <v>337</v>
      </c>
      <c r="M720" s="18">
        <f>[1]!f_prt_stocktonav(B720,"2017/03/31")</f>
        <v>73.667121887207031</v>
      </c>
      <c r="N720" s="20" t="str">
        <f>[1]!f_info_fundmanager(B720)</f>
        <v>薛子徵,朱晓栋</v>
      </c>
      <c r="O720" s="21">
        <v>1.9205479452054794</v>
      </c>
      <c r="P720" s="34" t="s">
        <v>2843</v>
      </c>
      <c r="Q720" s="34" t="s">
        <v>2844</v>
      </c>
      <c r="R720" s="34" t="s">
        <v>252</v>
      </c>
      <c r="S720" s="34">
        <v>20090624</v>
      </c>
      <c r="T720" s="45">
        <v>0.50823265009999996</v>
      </c>
      <c r="U720" s="46">
        <v>0.61279865529999999</v>
      </c>
      <c r="V720" s="34" t="s">
        <v>231</v>
      </c>
      <c r="W720" s="34" t="s">
        <v>41</v>
      </c>
      <c r="X720" s="34" t="s">
        <v>42</v>
      </c>
      <c r="Y720" s="34" t="s">
        <v>181</v>
      </c>
      <c r="Z720" s="34"/>
      <c r="AA720" s="34"/>
      <c r="AB720" s="22">
        <v>0.65258956909179688</v>
      </c>
      <c r="AC720" s="23" t="s">
        <v>253</v>
      </c>
      <c r="AD720" s="24">
        <v>1.6904109589041096</v>
      </c>
      <c r="AE720" s="25">
        <v>5.0975117390976932E-2</v>
      </c>
      <c r="AF720" s="26">
        <v>0.20187655535205984</v>
      </c>
      <c r="AG720" s="26">
        <v>0.14835105861643583</v>
      </c>
      <c r="AH720" s="27">
        <v>0.26793446421580946</v>
      </c>
      <c r="AI720" s="27">
        <v>0.76435268115164601</v>
      </c>
      <c r="AJ720" s="27">
        <v>0.63747892487817615</v>
      </c>
      <c r="AK720" s="28" t="s">
        <v>276</v>
      </c>
      <c r="AL720" s="29">
        <v>4</v>
      </c>
      <c r="AM720" s="29">
        <v>3</v>
      </c>
      <c r="AN720" s="29" t="s">
        <v>48</v>
      </c>
      <c r="AO720" s="47" t="s">
        <v>410</v>
      </c>
      <c r="AP720" s="28" t="s">
        <v>2845</v>
      </c>
      <c r="AQ720" s="26">
        <v>1.4999999999999999E-2</v>
      </c>
      <c r="AR720" s="26">
        <v>0</v>
      </c>
    </row>
    <row r="721" spans="1:44" x14ac:dyDescent="0.15">
      <c r="A721">
        <v>11</v>
      </c>
      <c r="B721" s="11">
        <v>398041</v>
      </c>
      <c r="C721" s="32"/>
      <c r="D721" s="32">
        <v>3.2996056116630298E-3</v>
      </c>
      <c r="E721" s="32">
        <v>15</v>
      </c>
      <c r="F721" s="32">
        <v>0.33188381859754401</v>
      </c>
      <c r="G721" s="11"/>
      <c r="H721" s="11"/>
      <c r="I721" s="11"/>
      <c r="J721" s="18" t="s">
        <v>44</v>
      </c>
      <c r="K721" s="18" t="s">
        <v>64</v>
      </c>
      <c r="L721" s="58" t="s">
        <v>337</v>
      </c>
      <c r="M721" s="18">
        <f>[1]!f_prt_stocktonav(B721,"2017/03/31")</f>
        <v>94.816322326660156</v>
      </c>
      <c r="N721" s="20" t="str">
        <f>[1]!f_info_fundmanager(B721)</f>
        <v>彭海平</v>
      </c>
      <c r="O721" s="21">
        <v>0.27671232876712326</v>
      </c>
      <c r="P721" s="34" t="s">
        <v>2846</v>
      </c>
      <c r="Q721" s="34" t="s">
        <v>2847</v>
      </c>
      <c r="R721" s="34" t="s">
        <v>505</v>
      </c>
      <c r="S721" s="34">
        <v>20090624</v>
      </c>
      <c r="T721" s="45">
        <v>0.72419917219999996</v>
      </c>
      <c r="U721" s="46">
        <v>0.7342583452</v>
      </c>
      <c r="V721" s="34" t="s">
        <v>231</v>
      </c>
      <c r="W721" s="34" t="s">
        <v>44</v>
      </c>
      <c r="X721" s="34" t="s">
        <v>45</v>
      </c>
      <c r="Y721" s="34" t="s">
        <v>65</v>
      </c>
      <c r="Z721" s="34"/>
      <c r="AA721" s="34"/>
      <c r="AB721" s="22">
        <v>0.81944892883300779</v>
      </c>
      <c r="AC721" s="23" t="s">
        <v>2848</v>
      </c>
      <c r="AD721" s="24">
        <v>4.6575342465753428E-2</v>
      </c>
      <c r="AE721" s="25">
        <v>4.1986697085337976E-2</v>
      </c>
      <c r="AF721" s="26">
        <v>0.15254808034818379</v>
      </c>
      <c r="AG721" s="26">
        <v>9.0700004792071423E-2</v>
      </c>
      <c r="AH721" s="27">
        <v>0.23029580267415795</v>
      </c>
      <c r="AI721" s="27">
        <v>0.61220357358603028</v>
      </c>
      <c r="AJ721" s="27">
        <v>0.41225068093081491</v>
      </c>
      <c r="AK721" s="28" t="s">
        <v>2849</v>
      </c>
      <c r="AL721" s="29">
        <v>1</v>
      </c>
      <c r="AM721" s="29">
        <v>3</v>
      </c>
      <c r="AN721" s="29" t="s">
        <v>48</v>
      </c>
      <c r="AO721" s="47" t="s">
        <v>2850</v>
      </c>
      <c r="AP721" s="28">
        <v>0</v>
      </c>
      <c r="AQ721" s="26">
        <v>1.4999999999999999E-2</v>
      </c>
      <c r="AR721" s="26">
        <v>0</v>
      </c>
    </row>
    <row r="722" spans="1:44" x14ac:dyDescent="0.15">
      <c r="A722">
        <v>941</v>
      </c>
      <c r="B722" s="11">
        <v>217012</v>
      </c>
      <c r="C722" s="32"/>
      <c r="D722" s="32">
        <v>-2.97827766518793E-3</v>
      </c>
      <c r="E722" s="32">
        <v>126</v>
      </c>
      <c r="F722" s="32">
        <v>0.127303169827826</v>
      </c>
      <c r="G722" s="11"/>
      <c r="H722" s="11"/>
      <c r="I722" s="11"/>
      <c r="J722" s="18" t="s">
        <v>44</v>
      </c>
      <c r="K722" s="19" t="s">
        <v>45</v>
      </c>
      <c r="L722" s="58" t="s">
        <v>274</v>
      </c>
      <c r="M722" s="18">
        <f>[1]!f_prt_stocktonav(B722,"2017/03/31")</f>
        <v>70.691940307617188</v>
      </c>
      <c r="N722" s="20" t="str">
        <f>[1]!f_info_fundmanager(B722)</f>
        <v>吴昊</v>
      </c>
      <c r="O722" s="21">
        <v>2.4164383561643836</v>
      </c>
      <c r="P722" s="32" t="s">
        <v>2851</v>
      </c>
      <c r="Q722" s="13" t="s">
        <v>2852</v>
      </c>
      <c r="R722" s="13" t="s">
        <v>165</v>
      </c>
      <c r="S722" s="13">
        <v>20090619</v>
      </c>
      <c r="T722" s="14">
        <v>4.4094233200000001</v>
      </c>
      <c r="U722" s="15" t="s">
        <v>39</v>
      </c>
      <c r="V722" s="16" t="s">
        <v>40</v>
      </c>
      <c r="W722" s="17" t="s">
        <v>44</v>
      </c>
      <c r="X722" s="17" t="s">
        <v>45</v>
      </c>
      <c r="Y722" s="17" t="s">
        <v>274</v>
      </c>
      <c r="Z722" s="13"/>
      <c r="AA722" s="13"/>
      <c r="AB722" s="22">
        <v>0.79007461547851565</v>
      </c>
      <c r="AC722" s="23" t="s">
        <v>2853</v>
      </c>
      <c r="AD722" s="24">
        <v>2.1863013698630138</v>
      </c>
      <c r="AE722" s="25">
        <v>4.5552123994246019E-2</v>
      </c>
      <c r="AF722" s="26">
        <v>0.13899391774158221</v>
      </c>
      <c r="AG722" s="26">
        <v>0.10047205642359479</v>
      </c>
      <c r="AH722" s="27">
        <v>0.24472308458999315</v>
      </c>
      <c r="AI722" s="27">
        <v>0.53088803265508577</v>
      </c>
      <c r="AJ722" s="27">
        <v>0.43249008178968978</v>
      </c>
      <c r="AK722" s="28" t="s">
        <v>2854</v>
      </c>
      <c r="AL722" s="29">
        <v>2</v>
      </c>
      <c r="AM722" s="29">
        <v>2</v>
      </c>
      <c r="AN722" s="29" t="s">
        <v>48</v>
      </c>
      <c r="AO722" s="23" t="s">
        <v>2855</v>
      </c>
      <c r="AP722" s="30">
        <v>0</v>
      </c>
      <c r="AQ722" s="31">
        <v>1.4999999999999999E-2</v>
      </c>
      <c r="AR722" s="31">
        <v>0</v>
      </c>
    </row>
    <row r="723" spans="1:44" x14ac:dyDescent="0.15">
      <c r="A723">
        <v>82</v>
      </c>
      <c r="B723" s="11">
        <v>270021</v>
      </c>
      <c r="C723" s="32"/>
      <c r="D723" s="32">
        <v>-3.9193703747279198E-3</v>
      </c>
      <c r="E723" s="32">
        <v>118</v>
      </c>
      <c r="F723" s="32">
        <v>1.37970488875831E-3</v>
      </c>
      <c r="G723" s="11"/>
      <c r="H723" s="11"/>
      <c r="I723" s="11"/>
      <c r="J723" s="18" t="s">
        <v>44</v>
      </c>
      <c r="K723" s="18" t="s">
        <v>45</v>
      </c>
      <c r="L723" s="58" t="s">
        <v>274</v>
      </c>
      <c r="M723" s="18">
        <f>[1]!f_prt_stocktonav(B723,"2017/03/31")</f>
        <v>93.871147155761719</v>
      </c>
      <c r="N723" s="20" t="str">
        <f>[1]!f_info_fundmanager(B723)</f>
        <v>王颂</v>
      </c>
      <c r="O723" s="21">
        <v>2.2684931506849315</v>
      </c>
      <c r="P723" s="34" t="s">
        <v>2856</v>
      </c>
      <c r="Q723" s="34" t="s">
        <v>2857</v>
      </c>
      <c r="R723" s="34" t="s">
        <v>132</v>
      </c>
      <c r="S723" s="34">
        <v>20090616</v>
      </c>
      <c r="T723" s="45">
        <v>10.620603983500001</v>
      </c>
      <c r="U723" s="46">
        <v>11.1931419172</v>
      </c>
      <c r="V723" s="34" t="s">
        <v>231</v>
      </c>
      <c r="W723" s="34" t="s">
        <v>44</v>
      </c>
      <c r="X723" s="34" t="s">
        <v>45</v>
      </c>
      <c r="Y723" s="34" t="s">
        <v>274</v>
      </c>
      <c r="Z723" s="34"/>
      <c r="AA723" s="34"/>
      <c r="AB723" s="22">
        <v>0.9025775146484375</v>
      </c>
      <c r="AC723" s="23" t="s">
        <v>279</v>
      </c>
      <c r="AD723" s="24">
        <v>2.0383561643835617</v>
      </c>
      <c r="AE723" s="25">
        <v>7.537432293334323E-2</v>
      </c>
      <c r="AF723" s="26">
        <v>6.4754061870380575E-2</v>
      </c>
      <c r="AG723" s="26">
        <v>0.11891213265317833</v>
      </c>
      <c r="AH723" s="27">
        <v>0.34794253983929191</v>
      </c>
      <c r="AI723" s="27">
        <v>0.27241389549964218</v>
      </c>
      <c r="AJ723" s="27">
        <v>0.47717324169014269</v>
      </c>
      <c r="AK723" s="28" t="s">
        <v>957</v>
      </c>
      <c r="AL723" s="29">
        <v>2</v>
      </c>
      <c r="AM723" s="29">
        <v>1</v>
      </c>
      <c r="AN723" s="29" t="s">
        <v>48</v>
      </c>
      <c r="AO723" s="47" t="s">
        <v>287</v>
      </c>
      <c r="AP723" s="28">
        <v>0</v>
      </c>
      <c r="AQ723" s="26">
        <v>1.4999999999999999E-2</v>
      </c>
      <c r="AR723" s="26">
        <v>0</v>
      </c>
    </row>
    <row r="724" spans="1:44" x14ac:dyDescent="0.15">
      <c r="A724">
        <v>588</v>
      </c>
      <c r="B724" s="11">
        <v>310388</v>
      </c>
      <c r="C724" s="32"/>
      <c r="D724" s="32">
        <v>4.9175139859471998E-3</v>
      </c>
      <c r="E724" s="32">
        <v>11</v>
      </c>
      <c r="F724" s="32">
        <v>0.41756334518489002</v>
      </c>
      <c r="G724" s="11"/>
      <c r="H724" s="11"/>
      <c r="I724" s="11"/>
      <c r="J724" s="18" t="s">
        <v>44</v>
      </c>
      <c r="K724" s="18" t="s">
        <v>45</v>
      </c>
      <c r="L724" s="58" t="s">
        <v>65</v>
      </c>
      <c r="M724" s="18">
        <f>[1]!f_prt_stocktonav(B724,"2017/03/31")</f>
        <v>83.077476501464844</v>
      </c>
      <c r="N724" s="20" t="str">
        <f>[1]!f_info_fundmanager(B724)</f>
        <v>季新星</v>
      </c>
      <c r="O724" s="21">
        <v>0.21095890410958903</v>
      </c>
      <c r="P724" s="34" t="s">
        <v>2858</v>
      </c>
      <c r="Q724" s="34" t="s">
        <v>2859</v>
      </c>
      <c r="R724" s="34" t="s">
        <v>2493</v>
      </c>
      <c r="S724" s="34">
        <v>20090612</v>
      </c>
      <c r="T724" s="45">
        <v>0.99417325639999998</v>
      </c>
      <c r="U724" s="46">
        <v>1.0239225199999999</v>
      </c>
      <c r="V724" s="34" t="s">
        <v>231</v>
      </c>
      <c r="W724" s="34" t="s">
        <v>44</v>
      </c>
      <c r="X724" s="34" t="s">
        <v>45</v>
      </c>
      <c r="Y724" s="34" t="s">
        <v>274</v>
      </c>
      <c r="Z724" s="34"/>
      <c r="AA724" s="34"/>
      <c r="AB724" s="22">
        <v>0.75075576782226561</v>
      </c>
      <c r="AC724" s="23" t="s">
        <v>2860</v>
      </c>
      <c r="AD724" s="24">
        <v>1.5205479452054795</v>
      </c>
      <c r="AE724" s="25">
        <v>3.3111255273814644E-2</v>
      </c>
      <c r="AF724" s="26">
        <v>9.2356347032723107E-2</v>
      </c>
      <c r="AG724" s="26">
        <v>9.058403179513741E-2</v>
      </c>
      <c r="AH724" s="27">
        <v>0.19882225453224908</v>
      </c>
      <c r="AI724" s="27">
        <v>0.41084381495958266</v>
      </c>
      <c r="AJ724" s="27">
        <v>0.40518304268060223</v>
      </c>
      <c r="AK724" s="28" t="s">
        <v>2861</v>
      </c>
      <c r="AL724" s="29">
        <v>2</v>
      </c>
      <c r="AM724" s="29">
        <v>2</v>
      </c>
      <c r="AN724" s="29" t="s">
        <v>48</v>
      </c>
      <c r="AO724" s="47" t="s">
        <v>2862</v>
      </c>
      <c r="AP724" s="28">
        <v>0</v>
      </c>
      <c r="AQ724" s="26">
        <v>1.4999999999999999E-2</v>
      </c>
      <c r="AR724" s="26">
        <v>0</v>
      </c>
    </row>
    <row r="725" spans="1:44" x14ac:dyDescent="0.15">
      <c r="A725">
        <v>46</v>
      </c>
      <c r="B725" s="11">
        <v>519113</v>
      </c>
      <c r="C725" s="32"/>
      <c r="D725" s="32">
        <v>-1.21280327075293E-4</v>
      </c>
      <c r="E725" s="32">
        <v>308</v>
      </c>
      <c r="F725" s="32">
        <v>0.91395093914859604</v>
      </c>
      <c r="G725" s="11"/>
      <c r="H725" s="11"/>
      <c r="I725" s="11"/>
      <c r="J725" s="18" t="s">
        <v>44</v>
      </c>
      <c r="K725" s="18" t="s">
        <v>45</v>
      </c>
      <c r="L725" s="58" t="s">
        <v>65</v>
      </c>
      <c r="M725" s="18">
        <f>[1]!f_prt_stocktonav(B725,"2017/03/31")</f>
        <v>94.342231750488281</v>
      </c>
      <c r="N725" s="20" t="str">
        <f>[1]!f_info_fundmanager(B725)</f>
        <v>吴勇</v>
      </c>
      <c r="O725" s="21">
        <v>5.9095890410958907</v>
      </c>
      <c r="P725" s="34" t="s">
        <v>2863</v>
      </c>
      <c r="Q725" s="34" t="s">
        <v>2864</v>
      </c>
      <c r="R725" s="34" t="s">
        <v>649</v>
      </c>
      <c r="S725" s="34">
        <v>20090604</v>
      </c>
      <c r="T725" s="45">
        <v>7.5183835051000001</v>
      </c>
      <c r="U725" s="46">
        <v>9.3429215418999991</v>
      </c>
      <c r="V725" s="34" t="s">
        <v>231</v>
      </c>
      <c r="W725" s="34" t="s">
        <v>44</v>
      </c>
      <c r="X725" s="34" t="s">
        <v>45</v>
      </c>
      <c r="Y725" s="34" t="s">
        <v>65</v>
      </c>
      <c r="Z725" s="34"/>
      <c r="AA725" s="34"/>
      <c r="AB725" s="22">
        <v>0.94056755065917974</v>
      </c>
      <c r="AC725" s="23" t="s">
        <v>650</v>
      </c>
      <c r="AD725" s="24">
        <v>5.6794520547945204</v>
      </c>
      <c r="AE725" s="25">
        <v>0.10494367046098452</v>
      </c>
      <c r="AF725" s="26">
        <v>0.26558227891782127</v>
      </c>
      <c r="AG725" s="26">
        <v>0.20154089210511539</v>
      </c>
      <c r="AH725" s="27">
        <v>0.45274662807954685</v>
      </c>
      <c r="AI725" s="27">
        <v>0.77368459470730488</v>
      </c>
      <c r="AJ725" s="27">
        <v>0.70756769395935415</v>
      </c>
      <c r="AK725" s="28" t="s">
        <v>2865</v>
      </c>
      <c r="AL725" s="29">
        <v>4</v>
      </c>
      <c r="AM725" s="29">
        <v>2</v>
      </c>
      <c r="AN725" s="29" t="s">
        <v>48</v>
      </c>
      <c r="AO725" s="47" t="s">
        <v>334</v>
      </c>
      <c r="AP725" s="28">
        <v>0</v>
      </c>
      <c r="AQ725" s="26">
        <v>1.4999999999999999E-2</v>
      </c>
      <c r="AR725" s="26">
        <v>0</v>
      </c>
    </row>
    <row r="726" spans="1:44" x14ac:dyDescent="0.15">
      <c r="A726">
        <v>670</v>
      </c>
      <c r="B726" s="11">
        <v>20015</v>
      </c>
      <c r="C726" s="32"/>
      <c r="D726" s="32">
        <v>-7.2425805787737203E-4</v>
      </c>
      <c r="E726" s="32">
        <v>409</v>
      </c>
      <c r="F726" s="32">
        <v>0.37827677439302798</v>
      </c>
      <c r="G726" s="11"/>
      <c r="H726" s="11"/>
      <c r="I726" s="11"/>
      <c r="J726" s="18" t="s">
        <v>44</v>
      </c>
      <c r="K726" s="18" t="s">
        <v>45</v>
      </c>
      <c r="L726" s="58" t="s">
        <v>274</v>
      </c>
      <c r="M726" s="18">
        <f>[1]!f_prt_stocktonav(B726,"2017/03/31")</f>
        <v>80.819572448730469</v>
      </c>
      <c r="N726" s="20" t="str">
        <f>[1]!f_info_fundmanager(B726)</f>
        <v>邓时锋,饶玉涵</v>
      </c>
      <c r="O726" s="21">
        <v>7.8493150684931505</v>
      </c>
      <c r="P726" s="34" t="s">
        <v>2866</v>
      </c>
      <c r="Q726" s="34" t="s">
        <v>2867</v>
      </c>
      <c r="R726" s="34" t="s">
        <v>663</v>
      </c>
      <c r="S726" s="34">
        <v>20090527</v>
      </c>
      <c r="T726" s="45">
        <v>2.0352063150999999</v>
      </c>
      <c r="U726" s="46">
        <v>2.1147426005000001</v>
      </c>
      <c r="V726" s="34" t="s">
        <v>231</v>
      </c>
      <c r="W726" s="34" t="s">
        <v>44</v>
      </c>
      <c r="X726" s="34" t="s">
        <v>45</v>
      </c>
      <c r="Y726" s="34" t="s">
        <v>274</v>
      </c>
      <c r="Z726" s="34"/>
      <c r="AA726" s="34"/>
      <c r="AB726" s="22">
        <v>0.83284500122070315</v>
      </c>
      <c r="AC726" s="23" t="s">
        <v>942</v>
      </c>
      <c r="AD726" s="24">
        <v>7.6191780821917812</v>
      </c>
      <c r="AE726" s="25">
        <v>0.11235119720802868</v>
      </c>
      <c r="AF726" s="26">
        <v>0.17934661292504916</v>
      </c>
      <c r="AG726" s="26">
        <v>0.16067341652014178</v>
      </c>
      <c r="AH726" s="27">
        <v>0.50271679674600644</v>
      </c>
      <c r="AI726" s="27">
        <v>0.63415951558732708</v>
      </c>
      <c r="AJ726" s="27">
        <v>0.63038399910059906</v>
      </c>
      <c r="AK726" s="28" t="s">
        <v>1459</v>
      </c>
      <c r="AL726" s="29">
        <v>4</v>
      </c>
      <c r="AM726" s="29">
        <v>2</v>
      </c>
      <c r="AN726" s="29" t="s">
        <v>48</v>
      </c>
      <c r="AO726" s="47" t="s">
        <v>101</v>
      </c>
      <c r="AP726" s="28">
        <v>0</v>
      </c>
      <c r="AQ726" s="26">
        <v>1.4999999999999999E-2</v>
      </c>
      <c r="AR726" s="26">
        <v>0</v>
      </c>
    </row>
    <row r="727" spans="1:44" x14ac:dyDescent="0.15">
      <c r="A727">
        <v>488</v>
      </c>
      <c r="B727" s="11">
        <v>519185</v>
      </c>
      <c r="C727" s="32"/>
      <c r="D727" s="32">
        <v>1.25371986997592E-3</v>
      </c>
      <c r="E727" s="32">
        <v>100</v>
      </c>
      <c r="F727" s="32">
        <v>0.420582529109851</v>
      </c>
      <c r="G727" s="11"/>
      <c r="H727" s="11"/>
      <c r="I727" s="11"/>
      <c r="J727" s="18" t="s">
        <v>44</v>
      </c>
      <c r="K727" s="18" t="s">
        <v>45</v>
      </c>
      <c r="L727" s="58" t="s">
        <v>65</v>
      </c>
      <c r="M727" s="18">
        <f>[1]!f_prt_stocktonav(B727,"2017/03/31")</f>
        <v>85.564407348632813</v>
      </c>
      <c r="N727" s="20" t="str">
        <f>[1]!f_info_fundmanager(B727)</f>
        <v>莫海波</v>
      </c>
      <c r="O727" s="21">
        <v>1.904109589041096</v>
      </c>
      <c r="P727" s="34" t="s">
        <v>2868</v>
      </c>
      <c r="Q727" s="34" t="s">
        <v>2869</v>
      </c>
      <c r="R727" s="34" t="s">
        <v>718</v>
      </c>
      <c r="S727" s="34">
        <v>20090518</v>
      </c>
      <c r="T727" s="45">
        <v>14.7695262913</v>
      </c>
      <c r="U727" s="46">
        <v>5.1785688578000002</v>
      </c>
      <c r="V727" s="34" t="s">
        <v>231</v>
      </c>
      <c r="W727" s="34" t="s">
        <v>44</v>
      </c>
      <c r="X727" s="34" t="s">
        <v>45</v>
      </c>
      <c r="Y727" s="34" t="s">
        <v>65</v>
      </c>
      <c r="Z727" s="34"/>
      <c r="AA727" s="34"/>
      <c r="AB727" s="22">
        <v>0.94634872436523443</v>
      </c>
      <c r="AC727" s="23" t="s">
        <v>719</v>
      </c>
      <c r="AD727" s="24">
        <v>1.6739726027397259</v>
      </c>
      <c r="AE727" s="25">
        <v>0.11211164968149134</v>
      </c>
      <c r="AF727" s="26">
        <v>0.24268571551730234</v>
      </c>
      <c r="AG727" s="26">
        <v>0.23946111349911844</v>
      </c>
      <c r="AH727" s="27">
        <v>0.50179235742262884</v>
      </c>
      <c r="AI727" s="27">
        <v>0.81047360149084646</v>
      </c>
      <c r="AJ727" s="27">
        <v>0.89244688052624099</v>
      </c>
      <c r="AK727" s="28" t="s">
        <v>1459</v>
      </c>
      <c r="AL727" s="29">
        <v>5</v>
      </c>
      <c r="AM727" s="29">
        <v>4</v>
      </c>
      <c r="AN727" s="29" t="s">
        <v>48</v>
      </c>
      <c r="AO727" s="47" t="s">
        <v>2870</v>
      </c>
      <c r="AP727" s="28">
        <v>0</v>
      </c>
      <c r="AQ727" s="26">
        <v>1.4999999999999999E-2</v>
      </c>
      <c r="AR727" s="26">
        <v>0</v>
      </c>
    </row>
    <row r="728" spans="1:44" x14ac:dyDescent="0.15">
      <c r="A728">
        <v>935</v>
      </c>
      <c r="B728" s="11">
        <v>519025</v>
      </c>
      <c r="C728" s="32"/>
      <c r="D728" s="32">
        <v>-2.5345996654006901E-3</v>
      </c>
      <c r="E728" s="32">
        <v>119</v>
      </c>
      <c r="F728" s="32">
        <v>0.22166859840781</v>
      </c>
      <c r="G728" s="11"/>
      <c r="H728" s="11"/>
      <c r="I728" s="11"/>
      <c r="J728" s="18" t="s">
        <v>44</v>
      </c>
      <c r="K728" s="18" t="s">
        <v>45</v>
      </c>
      <c r="L728" s="58" t="s">
        <v>65</v>
      </c>
      <c r="M728" s="18">
        <f>[1]!f_prt_stocktonav(B728,"2017/03/31")</f>
        <v>70.915397644042969</v>
      </c>
      <c r="N728" s="20" t="str">
        <f>[1]!f_info_fundmanager(B728)</f>
        <v>黄峰,李志</v>
      </c>
      <c r="O728" s="21">
        <v>2.2876712328767121</v>
      </c>
      <c r="P728" s="34" t="s">
        <v>2871</v>
      </c>
      <c r="Q728" s="34" t="s">
        <v>2872</v>
      </c>
      <c r="R728" s="34" t="s">
        <v>496</v>
      </c>
      <c r="S728" s="34">
        <v>20090430</v>
      </c>
      <c r="T728" s="45">
        <v>1.2851423005</v>
      </c>
      <c r="U728" s="46">
        <v>1.3421001323999999</v>
      </c>
      <c r="V728" s="34" t="s">
        <v>231</v>
      </c>
      <c r="W728" s="34" t="s">
        <v>41</v>
      </c>
      <c r="X728" s="34" t="s">
        <v>42</v>
      </c>
      <c r="Y728" s="34" t="s">
        <v>181</v>
      </c>
      <c r="Z728" s="34"/>
      <c r="AA728" s="34"/>
      <c r="AB728" s="22">
        <v>0.67874298095703123</v>
      </c>
      <c r="AC728" s="23" t="s">
        <v>2873</v>
      </c>
      <c r="AD728" s="24">
        <v>2.0575342465753423</v>
      </c>
      <c r="AE728" s="25">
        <v>3.8827452916709415E-2</v>
      </c>
      <c r="AF728" s="26">
        <v>7.3960374930390538E-2</v>
      </c>
      <c r="AG728" s="26">
        <v>5.5076864184115282E-2</v>
      </c>
      <c r="AH728" s="27">
        <v>0.22117417061518818</v>
      </c>
      <c r="AI728" s="27">
        <v>0.35079243666736759</v>
      </c>
      <c r="AJ728" s="27">
        <v>0.28191692874200724</v>
      </c>
      <c r="AK728" s="28" t="s">
        <v>2874</v>
      </c>
      <c r="AL728" s="29">
        <v>1</v>
      </c>
      <c r="AM728" s="29">
        <v>1</v>
      </c>
      <c r="AN728" s="29" t="s">
        <v>48</v>
      </c>
      <c r="AO728" s="47" t="s">
        <v>2875</v>
      </c>
      <c r="AP728" s="28">
        <v>0</v>
      </c>
      <c r="AQ728" s="26">
        <v>1.4999999999999999E-2</v>
      </c>
      <c r="AR728" s="26">
        <v>0</v>
      </c>
    </row>
    <row r="729" spans="1:44" x14ac:dyDescent="0.15">
      <c r="A729">
        <v>921</v>
      </c>
      <c r="B729" s="11">
        <v>180018</v>
      </c>
      <c r="C729" s="32"/>
      <c r="D729" s="32">
        <v>-3.8329164464941802E-3</v>
      </c>
      <c r="E729" s="32">
        <v>100</v>
      </c>
      <c r="F729" s="32">
        <v>7.2402389473633904E-3</v>
      </c>
      <c r="G729" s="11"/>
      <c r="H729" s="11"/>
      <c r="I729" s="11"/>
      <c r="J729" s="18" t="s">
        <v>44</v>
      </c>
      <c r="K729" s="18" t="s">
        <v>87</v>
      </c>
      <c r="L729" s="58" t="s">
        <v>65</v>
      </c>
      <c r="M729" s="18">
        <f>[1]!f_prt_stocktonav(B729,"2017/03/31")</f>
        <v>71.658279418945313</v>
      </c>
      <c r="N729" s="20" t="str">
        <f>[1]!f_info_fundmanager(B729)</f>
        <v>唐能,周可彦</v>
      </c>
      <c r="O729" s="21">
        <v>1.904109589041096</v>
      </c>
      <c r="P729" s="34" t="s">
        <v>2876</v>
      </c>
      <c r="Q729" s="34" t="s">
        <v>2877</v>
      </c>
      <c r="R729" s="34" t="s">
        <v>57</v>
      </c>
      <c r="S729" s="34">
        <v>20090427</v>
      </c>
      <c r="T729" s="45">
        <v>2.7490144547000002</v>
      </c>
      <c r="U729" s="46">
        <v>2.8454027450999999</v>
      </c>
      <c r="V729" s="34" t="s">
        <v>201</v>
      </c>
      <c r="W729" s="34" t="s">
        <v>41</v>
      </c>
      <c r="X729" s="34" t="s">
        <v>42</v>
      </c>
      <c r="Y729" s="34" t="s">
        <v>181</v>
      </c>
      <c r="Z729" s="34"/>
      <c r="AA729" s="34"/>
      <c r="AB729" s="22">
        <v>0.62858428955078127</v>
      </c>
      <c r="AC729" s="23" t="s">
        <v>2878</v>
      </c>
      <c r="AD729" s="24">
        <v>1.6739726027397259</v>
      </c>
      <c r="AE729" s="25">
        <v>8.9589986392901277E-2</v>
      </c>
      <c r="AF729" s="26">
        <v>0.12831472472319017</v>
      </c>
      <c r="AG729" s="26">
        <v>0.13812952740185414</v>
      </c>
      <c r="AH729" s="27">
        <v>0.45834469056717708</v>
      </c>
      <c r="AI729" s="27">
        <v>0.57804574995235025</v>
      </c>
      <c r="AJ729" s="27">
        <v>0.65463499291317861</v>
      </c>
      <c r="AK729" s="28" t="s">
        <v>2879</v>
      </c>
      <c r="AL729" s="29">
        <v>3</v>
      </c>
      <c r="AM729" s="29">
        <v>3</v>
      </c>
      <c r="AN729" s="29" t="s">
        <v>48</v>
      </c>
      <c r="AO729" s="47" t="s">
        <v>2297</v>
      </c>
      <c r="AP729" s="28">
        <v>0</v>
      </c>
      <c r="AQ729" s="26">
        <v>1.4999999999999999E-2</v>
      </c>
      <c r="AR729" s="26">
        <v>0</v>
      </c>
    </row>
    <row r="730" spans="1:44" x14ac:dyDescent="0.15">
      <c r="A730">
        <v>737</v>
      </c>
      <c r="B730" s="11">
        <v>519670</v>
      </c>
      <c r="C730" s="32"/>
      <c r="D730" s="32">
        <v>-2.7065888103281399E-3</v>
      </c>
      <c r="E730" s="32">
        <v>173</v>
      </c>
      <c r="F730" s="32">
        <v>4.4998235176316501E-2</v>
      </c>
      <c r="G730" s="11"/>
      <c r="H730" s="11"/>
      <c r="I730" s="11"/>
      <c r="J730" s="18" t="s">
        <v>44</v>
      </c>
      <c r="K730" s="18" t="s">
        <v>45</v>
      </c>
      <c r="L730" s="58" t="s">
        <v>274</v>
      </c>
      <c r="M730" s="18">
        <f>[1]!f_prt_stocktonav(B730,"2017/03/31")</f>
        <v>78.879951477050781</v>
      </c>
      <c r="N730" s="20" t="str">
        <f>[1]!f_info_fundmanager(B730)</f>
        <v>王海华</v>
      </c>
      <c r="O730" s="21">
        <v>3.3232876712328765</v>
      </c>
      <c r="P730" s="34" t="s">
        <v>2880</v>
      </c>
      <c r="Q730" s="34" t="s">
        <v>2881</v>
      </c>
      <c r="R730" s="34" t="s">
        <v>807</v>
      </c>
      <c r="S730" s="34">
        <v>20090424</v>
      </c>
      <c r="T730" s="45">
        <v>17.423963975900001</v>
      </c>
      <c r="U730" s="46">
        <v>19.878652467199998</v>
      </c>
      <c r="V730" s="34" t="s">
        <v>231</v>
      </c>
      <c r="W730" s="34" t="s">
        <v>44</v>
      </c>
      <c r="X730" s="34" t="s">
        <v>45</v>
      </c>
      <c r="Y730" s="34" t="s">
        <v>274</v>
      </c>
      <c r="Z730" s="34"/>
      <c r="AA730" s="34"/>
      <c r="AB730" s="22">
        <v>0.88167625427246099</v>
      </c>
      <c r="AC730" s="23" t="s">
        <v>1730</v>
      </c>
      <c r="AD730" s="24">
        <v>3.0931506849315067</v>
      </c>
      <c r="AE730" s="25">
        <v>0.18226556056984441</v>
      </c>
      <c r="AF730" s="26">
        <v>0.21272729334494359</v>
      </c>
      <c r="AG730" s="26">
        <v>0.23104128989846262</v>
      </c>
      <c r="AH730" s="27">
        <v>0.68338818273460966</v>
      </c>
      <c r="AI730" s="27">
        <v>0.64355123758756982</v>
      </c>
      <c r="AJ730" s="27">
        <v>0.77391659996208928</v>
      </c>
      <c r="AK730" s="28" t="s">
        <v>1459</v>
      </c>
      <c r="AL730" s="29">
        <v>5</v>
      </c>
      <c r="AM730" s="29">
        <v>3</v>
      </c>
      <c r="AN730" s="29" t="s">
        <v>48</v>
      </c>
      <c r="AO730" s="47" t="s">
        <v>2882</v>
      </c>
      <c r="AP730" s="28">
        <v>0</v>
      </c>
      <c r="AQ730" s="26">
        <v>1.4999999999999999E-2</v>
      </c>
      <c r="AR730" s="26">
        <v>0</v>
      </c>
    </row>
    <row r="731" spans="1:44" x14ac:dyDescent="0.15">
      <c r="A731">
        <v>4</v>
      </c>
      <c r="B731" s="11">
        <v>290006</v>
      </c>
      <c r="C731" s="32"/>
      <c r="D731" s="32">
        <v>-6.7273715350706503E-3</v>
      </c>
      <c r="E731" s="32">
        <v>112</v>
      </c>
      <c r="F731" s="32">
        <v>4.3109943593312097E-6</v>
      </c>
      <c r="G731" s="11"/>
      <c r="H731" s="11"/>
      <c r="I731" s="11"/>
      <c r="J731" s="18" t="s">
        <v>44</v>
      </c>
      <c r="K731" s="18" t="s">
        <v>45</v>
      </c>
      <c r="L731" s="58" t="s">
        <v>274</v>
      </c>
      <c r="M731" s="18">
        <f>[1]!f_prt_stocktonav(B731,"2017/03/31")</f>
        <v>94.97393798828125</v>
      </c>
      <c r="N731" s="20" t="str">
        <f>[1]!f_info_fundmanager(B731)</f>
        <v>车广路</v>
      </c>
      <c r="O731" s="21">
        <v>2.1506849315068495</v>
      </c>
      <c r="P731" s="34" t="s">
        <v>2883</v>
      </c>
      <c r="Q731" s="34" t="s">
        <v>2884</v>
      </c>
      <c r="R731" s="34" t="s">
        <v>889</v>
      </c>
      <c r="S731" s="34">
        <v>20090422</v>
      </c>
      <c r="T731" s="45">
        <v>2.6088196050999999</v>
      </c>
      <c r="U731" s="46">
        <v>2.8883977780999999</v>
      </c>
      <c r="V731" s="34" t="s">
        <v>231</v>
      </c>
      <c r="W731" s="34" t="s">
        <v>44</v>
      </c>
      <c r="X731" s="34" t="s">
        <v>45</v>
      </c>
      <c r="Y731" s="34" t="s">
        <v>274</v>
      </c>
      <c r="Z731" s="34"/>
      <c r="AA731" s="34"/>
      <c r="AB731" s="22">
        <v>0.90190231323242187</v>
      </c>
      <c r="AC731" s="23" t="s">
        <v>890</v>
      </c>
      <c r="AD731" s="24">
        <v>1.9205479452054794</v>
      </c>
      <c r="AE731" s="25">
        <v>8.1770503583831644E-2</v>
      </c>
      <c r="AF731" s="26">
        <v>0.13868810760966221</v>
      </c>
      <c r="AG731" s="26">
        <v>0.13343201570291208</v>
      </c>
      <c r="AH731" s="27">
        <v>0.37026269252110661</v>
      </c>
      <c r="AI731" s="27">
        <v>0.51306654354741943</v>
      </c>
      <c r="AJ731" s="27">
        <v>0.51858185935833701</v>
      </c>
      <c r="AK731" s="28" t="s">
        <v>2463</v>
      </c>
      <c r="AL731" s="29">
        <v>3</v>
      </c>
      <c r="AM731" s="29">
        <v>2</v>
      </c>
      <c r="AN731" s="29" t="s">
        <v>48</v>
      </c>
      <c r="AO731" s="47" t="s">
        <v>2457</v>
      </c>
      <c r="AP731" s="28">
        <v>0</v>
      </c>
      <c r="AQ731" s="26">
        <v>1.4999999999999999E-2</v>
      </c>
      <c r="AR731" s="26">
        <v>0</v>
      </c>
    </row>
    <row r="732" spans="1:44" x14ac:dyDescent="0.15">
      <c r="A732">
        <v>882</v>
      </c>
      <c r="B732" s="11">
        <v>161611</v>
      </c>
      <c r="C732" s="32"/>
      <c r="D732" s="32">
        <v>-2.94227906019737E-3</v>
      </c>
      <c r="E732" s="32">
        <v>66</v>
      </c>
      <c r="F732" s="32">
        <v>8.3866865071045807E-2</v>
      </c>
      <c r="G732" s="11"/>
      <c r="H732" s="11"/>
      <c r="I732" s="11"/>
      <c r="J732" s="18" t="s">
        <v>44</v>
      </c>
      <c r="K732" s="18" t="s">
        <v>45</v>
      </c>
      <c r="L732" s="58" t="s">
        <v>65</v>
      </c>
      <c r="M732" s="18">
        <f>[1]!f_prt_stocktonav(B732,"2017/03/31")</f>
        <v>73.411109924316406</v>
      </c>
      <c r="N732" s="20" t="str">
        <f>[1]!f_info_fundmanager(B732)</f>
        <v>林清源,付伟琦</v>
      </c>
      <c r="O732" s="21">
        <v>1.263013698630137</v>
      </c>
      <c r="P732" s="34" t="s">
        <v>2885</v>
      </c>
      <c r="Q732" s="34" t="s">
        <v>2886</v>
      </c>
      <c r="R732" s="34" t="s">
        <v>230</v>
      </c>
      <c r="S732" s="34">
        <v>20090422</v>
      </c>
      <c r="T732" s="45">
        <v>2.6190030472000001</v>
      </c>
      <c r="U732" s="46">
        <v>3.3945102824000002</v>
      </c>
      <c r="V732" s="34" t="s">
        <v>231</v>
      </c>
      <c r="W732" s="34" t="s">
        <v>41</v>
      </c>
      <c r="X732" s="17" t="s">
        <v>42</v>
      </c>
      <c r="Y732" s="17" t="s">
        <v>181</v>
      </c>
      <c r="Z732" s="34"/>
      <c r="AA732" s="34"/>
      <c r="AB732" s="22">
        <v>0.64791931152343751</v>
      </c>
      <c r="AC732" s="23" t="s">
        <v>2887</v>
      </c>
      <c r="AD732" s="24">
        <v>1.0328767123287672</v>
      </c>
      <c r="AE732" s="25">
        <v>-1.3939003892082802E-4</v>
      </c>
      <c r="AF732" s="26">
        <v>6.432231826127599E-2</v>
      </c>
      <c r="AG732" s="26">
        <v>8.0525523769785709E-2</v>
      </c>
      <c r="AH732" s="27">
        <v>8.3839398042752283E-2</v>
      </c>
      <c r="AI732" s="27">
        <v>0.3164028690055371</v>
      </c>
      <c r="AJ732" s="27">
        <v>0.36225605636920238</v>
      </c>
      <c r="AK732" s="28" t="s">
        <v>2888</v>
      </c>
      <c r="AL732" s="29">
        <v>2</v>
      </c>
      <c r="AM732" s="29">
        <v>4</v>
      </c>
      <c r="AN732" s="29" t="s">
        <v>48</v>
      </c>
      <c r="AO732" s="47" t="s">
        <v>1667</v>
      </c>
      <c r="AP732" s="28" t="s">
        <v>235</v>
      </c>
      <c r="AQ732" s="26">
        <v>1.4999999999999999E-2</v>
      </c>
      <c r="AR732" s="26">
        <v>0</v>
      </c>
    </row>
    <row r="733" spans="1:44" x14ac:dyDescent="0.15">
      <c r="A733">
        <v>215</v>
      </c>
      <c r="B733" s="11">
        <v>519698</v>
      </c>
      <c r="C733" s="32"/>
      <c r="D733" s="32">
        <v>-1.5193437454010699E-3</v>
      </c>
      <c r="E733" s="32">
        <v>98</v>
      </c>
      <c r="F733" s="32">
        <v>0.39694391812688601</v>
      </c>
      <c r="G733" s="11"/>
      <c r="H733" s="11"/>
      <c r="I733" s="11"/>
      <c r="J733" s="18" t="s">
        <v>44</v>
      </c>
      <c r="K733" s="18" t="s">
        <v>45</v>
      </c>
      <c r="L733" s="58" t="s">
        <v>274</v>
      </c>
      <c r="M733" s="18">
        <f>[1]!f_prt_stocktonav(B733,"2017/03/31")</f>
        <v>91.513984680175781</v>
      </c>
      <c r="N733" s="20" t="str">
        <f>[1]!f_info_fundmanager(B733)</f>
        <v>芮晨</v>
      </c>
      <c r="O733" s="21">
        <v>1.8712328767123287</v>
      </c>
      <c r="P733" s="34" t="s">
        <v>2889</v>
      </c>
      <c r="Q733" s="34" t="s">
        <v>2890</v>
      </c>
      <c r="R733" s="34" t="s">
        <v>138</v>
      </c>
      <c r="S733" s="34">
        <v>20090410</v>
      </c>
      <c r="T733" s="45">
        <v>18.266364285400002</v>
      </c>
      <c r="U733" s="46">
        <v>21.500759269100001</v>
      </c>
      <c r="V733" s="34" t="s">
        <v>231</v>
      </c>
      <c r="W733" s="34" t="s">
        <v>44</v>
      </c>
      <c r="X733" s="34" t="s">
        <v>45</v>
      </c>
      <c r="Y733" s="34" t="s">
        <v>274</v>
      </c>
      <c r="Z733" s="34"/>
      <c r="AA733" s="34"/>
      <c r="AB733" s="22">
        <v>0.87194816589355473</v>
      </c>
      <c r="AC733" s="23" t="s">
        <v>295</v>
      </c>
      <c r="AD733" s="24">
        <v>1.6410958904109589</v>
      </c>
      <c r="AE733" s="25">
        <v>8.7064471676745914E-2</v>
      </c>
      <c r="AF733" s="26">
        <v>0.14892748887549168</v>
      </c>
      <c r="AG733" s="26">
        <v>0.141944568469897</v>
      </c>
      <c r="AH733" s="27">
        <v>0.3846891086058799</v>
      </c>
      <c r="AI733" s="27">
        <v>0.50261348591985755</v>
      </c>
      <c r="AJ733" s="27">
        <v>0.52735914635035486</v>
      </c>
      <c r="AK733" s="28" t="s">
        <v>2891</v>
      </c>
      <c r="AL733" s="29">
        <v>2</v>
      </c>
      <c r="AM733" s="29">
        <v>3</v>
      </c>
      <c r="AN733" s="29" t="s">
        <v>48</v>
      </c>
      <c r="AO733" s="47" t="s">
        <v>2892</v>
      </c>
      <c r="AP733" s="28" t="s">
        <v>608</v>
      </c>
      <c r="AQ733" s="26">
        <v>1.4999999999999999E-2</v>
      </c>
      <c r="AR733" s="26">
        <v>0</v>
      </c>
    </row>
    <row r="734" spans="1:44" x14ac:dyDescent="0.15">
      <c r="A734">
        <v>931</v>
      </c>
      <c r="B734" s="11">
        <v>660003</v>
      </c>
      <c r="C734" s="32"/>
      <c r="D734" s="32">
        <v>-1.21326580103519E-3</v>
      </c>
      <c r="E734" s="32">
        <v>155</v>
      </c>
      <c r="F734" s="32">
        <v>0.248329029883399</v>
      </c>
      <c r="G734" s="11"/>
      <c r="H734" s="11"/>
      <c r="I734" s="11"/>
      <c r="J734" s="18" t="s">
        <v>44</v>
      </c>
      <c r="K734" s="18" t="s">
        <v>45</v>
      </c>
      <c r="L734" s="58" t="s">
        <v>274</v>
      </c>
      <c r="M734" s="18">
        <f>[1]!f_prt_stocktonav(B734,"2017/03/31")</f>
        <v>71.062469482421875</v>
      </c>
      <c r="N734" s="20" t="str">
        <f>[1]!f_info_fundmanager(B734)</f>
        <v>陈富权</v>
      </c>
      <c r="O734" s="21">
        <v>2.9616438356164383</v>
      </c>
      <c r="P734" s="34" t="s">
        <v>2893</v>
      </c>
      <c r="Q734" s="34" t="s">
        <v>2894</v>
      </c>
      <c r="R734" s="34" t="s">
        <v>424</v>
      </c>
      <c r="S734" s="34">
        <v>20090408</v>
      </c>
      <c r="T734" s="45">
        <v>3.1904501114000001</v>
      </c>
      <c r="U734" s="46">
        <v>3.2234886864000001</v>
      </c>
      <c r="V734" s="34" t="s">
        <v>231</v>
      </c>
      <c r="W734" s="34" t="s">
        <v>44</v>
      </c>
      <c r="X734" s="34" t="s">
        <v>45</v>
      </c>
      <c r="Y734" s="34" t="s">
        <v>274</v>
      </c>
      <c r="Z734" s="34"/>
      <c r="AA734" s="34"/>
      <c r="AB734" s="22">
        <v>0.73039848327636714</v>
      </c>
      <c r="AC734" s="23" t="s">
        <v>2793</v>
      </c>
      <c r="AD734" s="24">
        <v>2.7315068493150685</v>
      </c>
      <c r="AE734" s="25">
        <v>8.8365966216406466E-2</v>
      </c>
      <c r="AF734" s="26">
        <v>0.1515638030386719</v>
      </c>
      <c r="AG734" s="26">
        <v>0.13544816878615928</v>
      </c>
      <c r="AH734" s="27">
        <v>0.42580050624921045</v>
      </c>
      <c r="AI734" s="27">
        <v>0.55486242695370391</v>
      </c>
      <c r="AJ734" s="27">
        <v>0.58111468938286914</v>
      </c>
      <c r="AK734" s="28" t="s">
        <v>1964</v>
      </c>
      <c r="AL734" s="29">
        <v>3</v>
      </c>
      <c r="AM734" s="29">
        <v>4</v>
      </c>
      <c r="AN734" s="29" t="s">
        <v>48</v>
      </c>
      <c r="AO734" s="47" t="s">
        <v>702</v>
      </c>
      <c r="AP734" s="28">
        <v>0</v>
      </c>
      <c r="AQ734" s="26">
        <v>1.4999999999999999E-2</v>
      </c>
      <c r="AR734" s="26">
        <v>0</v>
      </c>
    </row>
    <row r="735" spans="1:44" x14ac:dyDescent="0.15">
      <c r="A735">
        <v>940</v>
      </c>
      <c r="B735" s="11">
        <v>163807</v>
      </c>
      <c r="C735" s="32"/>
      <c r="D735" s="32">
        <v>6.4250495861597698E-4</v>
      </c>
      <c r="E735" s="32">
        <v>96</v>
      </c>
      <c r="F735" s="32">
        <v>0.72581555055566604</v>
      </c>
      <c r="G735" s="11"/>
      <c r="H735" s="11"/>
      <c r="I735" s="11"/>
      <c r="J735" s="18" t="s">
        <v>44</v>
      </c>
      <c r="K735" s="18" t="s">
        <v>45</v>
      </c>
      <c r="L735" s="58" t="s">
        <v>274</v>
      </c>
      <c r="M735" s="18">
        <f>[1]!f_prt_stocktonav(B735,"2017/03/31")</f>
        <v>70.701393127441406</v>
      </c>
      <c r="N735" s="20" t="str">
        <f>[1]!f_info_fundmanager(B735)</f>
        <v>王伟</v>
      </c>
      <c r="O735" s="21">
        <v>1.8438356164383563</v>
      </c>
      <c r="P735" s="34" t="s">
        <v>2895</v>
      </c>
      <c r="Q735" s="34" t="s">
        <v>2896</v>
      </c>
      <c r="R735" s="34" t="s">
        <v>71</v>
      </c>
      <c r="S735" s="34">
        <v>20090403</v>
      </c>
      <c r="T735" s="45">
        <v>2.6025214833999999</v>
      </c>
      <c r="U735" s="46">
        <v>2.6025640315</v>
      </c>
      <c r="V735" s="34" t="s">
        <v>231</v>
      </c>
      <c r="W735" s="34" t="s">
        <v>41</v>
      </c>
      <c r="X735" s="17" t="s">
        <v>42</v>
      </c>
      <c r="Y735" s="17" t="s">
        <v>181</v>
      </c>
      <c r="Z735" s="34"/>
      <c r="AA735" s="34"/>
      <c r="AB735" s="22">
        <v>0.67618522644042967</v>
      </c>
      <c r="AC735" s="23" t="s">
        <v>1129</v>
      </c>
      <c r="AD735" s="24">
        <v>1.6136986301369862</v>
      </c>
      <c r="AE735" s="25">
        <v>9.5694780533839285E-2</v>
      </c>
      <c r="AF735" s="26">
        <v>0.15037603030047086</v>
      </c>
      <c r="AG735" s="26">
        <v>0.1346538404516946</v>
      </c>
      <c r="AH735" s="27">
        <v>0.45702074511208624</v>
      </c>
      <c r="AI735" s="27">
        <v>0.57310979296127285</v>
      </c>
      <c r="AJ735" s="27">
        <v>0.56680347161099598</v>
      </c>
      <c r="AK735" s="28" t="s">
        <v>2897</v>
      </c>
      <c r="AL735" s="29">
        <v>2</v>
      </c>
      <c r="AM735" s="29">
        <v>2</v>
      </c>
      <c r="AN735" s="29" t="s">
        <v>48</v>
      </c>
      <c r="AO735" s="47" t="s">
        <v>845</v>
      </c>
      <c r="AP735" s="28">
        <v>0</v>
      </c>
      <c r="AQ735" s="26">
        <v>1.4999999999999999E-2</v>
      </c>
      <c r="AR735" s="26">
        <v>0</v>
      </c>
    </row>
    <row r="736" spans="1:44" x14ac:dyDescent="0.15">
      <c r="A736">
        <v>578</v>
      </c>
      <c r="B736" s="11">
        <v>110015</v>
      </c>
      <c r="C736" s="32"/>
      <c r="D736" s="32">
        <v>-1.23113364819099E-3</v>
      </c>
      <c r="E736" s="32">
        <v>377</v>
      </c>
      <c r="F736" s="32">
        <v>0.19780737304839899</v>
      </c>
      <c r="G736" s="11"/>
      <c r="H736" s="11"/>
      <c r="I736" s="11"/>
      <c r="J736" s="18" t="s">
        <v>44</v>
      </c>
      <c r="K736" s="18" t="s">
        <v>45</v>
      </c>
      <c r="L736" s="58" t="s">
        <v>65</v>
      </c>
      <c r="M736" s="18">
        <f>[1]!f_prt_stocktonav(B736,"2017/03/31")</f>
        <v>83.325286865234375</v>
      </c>
      <c r="N736" s="20" t="str">
        <f>[1]!f_info_fundmanager(B736)</f>
        <v>冯波</v>
      </c>
      <c r="O736" s="21">
        <v>7.2493150684931509</v>
      </c>
      <c r="P736" s="34" t="s">
        <v>2898</v>
      </c>
      <c r="Q736" s="34" t="s">
        <v>2899</v>
      </c>
      <c r="R736" s="34" t="s">
        <v>218</v>
      </c>
      <c r="S736" s="34">
        <v>20090326</v>
      </c>
      <c r="T736" s="45">
        <v>5.8346648689</v>
      </c>
      <c r="U736" s="46">
        <v>6.1234340986999998</v>
      </c>
      <c r="V736" s="34" t="s">
        <v>231</v>
      </c>
      <c r="W736" s="34" t="s">
        <v>44</v>
      </c>
      <c r="X736" s="34" t="s">
        <v>45</v>
      </c>
      <c r="Y736" s="34" t="s">
        <v>65</v>
      </c>
      <c r="Z736" s="34"/>
      <c r="AA736" s="34"/>
      <c r="AB736" s="22">
        <v>0.8315390777587891</v>
      </c>
      <c r="AC736" s="23" t="s">
        <v>2900</v>
      </c>
      <c r="AD736" s="24">
        <v>7.0191780821917806</v>
      </c>
      <c r="AE736" s="25">
        <v>9.1434603072799478E-2</v>
      </c>
      <c r="AF736" s="26">
        <v>0.10907727021541858</v>
      </c>
      <c r="AG736" s="26">
        <v>0.13012951666360695</v>
      </c>
      <c r="AH736" s="27">
        <v>0.4091758408287049</v>
      </c>
      <c r="AI736" s="27">
        <v>0.42596934811030535</v>
      </c>
      <c r="AJ736" s="27">
        <v>0.51905232680921343</v>
      </c>
      <c r="AK736" s="28" t="s">
        <v>1934</v>
      </c>
      <c r="AL736" s="29">
        <v>2</v>
      </c>
      <c r="AM736" s="29">
        <v>3</v>
      </c>
      <c r="AN736" s="29" t="s">
        <v>48</v>
      </c>
      <c r="AO736" s="47" t="s">
        <v>2457</v>
      </c>
      <c r="AP736" s="28">
        <v>0</v>
      </c>
      <c r="AQ736" s="26">
        <v>1.4999999999999999E-2</v>
      </c>
      <c r="AR736" s="26">
        <v>0</v>
      </c>
    </row>
    <row r="737" spans="1:44" x14ac:dyDescent="0.15">
      <c r="A737">
        <v>222</v>
      </c>
      <c r="B737" s="11">
        <v>450007</v>
      </c>
      <c r="C737" s="32"/>
      <c r="D737" s="32">
        <v>-7.1716082669079795E-4</v>
      </c>
      <c r="E737" s="32">
        <v>89</v>
      </c>
      <c r="F737" s="32">
        <v>0.65627748163031197</v>
      </c>
      <c r="G737" s="11"/>
      <c r="H737" s="11"/>
      <c r="I737" s="11"/>
      <c r="J737" s="18" t="s">
        <v>44</v>
      </c>
      <c r="K737" s="18" t="s">
        <v>45</v>
      </c>
      <c r="L737" s="58" t="s">
        <v>274</v>
      </c>
      <c r="M737" s="18">
        <f>[1]!f_prt_stocktonav(B737,"2017/03/31")</f>
        <v>91.383903503417969</v>
      </c>
      <c r="N737" s="20" t="str">
        <f>[1]!f_info_fundmanager(B737)</f>
        <v>杜飞</v>
      </c>
      <c r="O737" s="21">
        <v>1.7068493150684931</v>
      </c>
      <c r="P737" s="34" t="s">
        <v>2901</v>
      </c>
      <c r="Q737" s="34" t="s">
        <v>2902</v>
      </c>
      <c r="R737" s="34" t="s">
        <v>742</v>
      </c>
      <c r="S737" s="34">
        <v>20090325</v>
      </c>
      <c r="T737" s="45">
        <v>1.0364016425</v>
      </c>
      <c r="U737" s="46">
        <v>1.0713827523999999</v>
      </c>
      <c r="V737" s="34" t="s">
        <v>231</v>
      </c>
      <c r="W737" s="34" t="s">
        <v>44</v>
      </c>
      <c r="X737" s="34" t="s">
        <v>45</v>
      </c>
      <c r="Y737" s="34" t="s">
        <v>274</v>
      </c>
      <c r="Z737" s="34"/>
      <c r="AA737" s="34"/>
      <c r="AB737" s="22">
        <v>0.88530212402343755</v>
      </c>
      <c r="AC737" s="23" t="s">
        <v>2903</v>
      </c>
      <c r="AD737" s="24">
        <v>1.6219178082191781</v>
      </c>
      <c r="AE737" s="25">
        <v>5.2564355607267244E-2</v>
      </c>
      <c r="AF737" s="26">
        <v>0.11994464507677405</v>
      </c>
      <c r="AG737" s="26">
        <v>9.6997248329563343E-2</v>
      </c>
      <c r="AH737" s="27">
        <v>0.27231353212460235</v>
      </c>
      <c r="AI737" s="27">
        <v>0.47311613948090725</v>
      </c>
      <c r="AJ737" s="27">
        <v>0.41392255134759925</v>
      </c>
      <c r="AK737" s="28" t="s">
        <v>2904</v>
      </c>
      <c r="AL737" s="29">
        <v>2</v>
      </c>
      <c r="AM737" s="29">
        <v>4</v>
      </c>
      <c r="AN737" s="29" t="s">
        <v>48</v>
      </c>
      <c r="AO737" s="47" t="s">
        <v>2905</v>
      </c>
      <c r="AP737" s="28">
        <v>0</v>
      </c>
      <c r="AQ737" s="26">
        <v>1.4999999999999999E-2</v>
      </c>
      <c r="AR737" s="26">
        <v>0</v>
      </c>
    </row>
    <row r="738" spans="1:44" x14ac:dyDescent="0.15">
      <c r="A738">
        <v>793</v>
      </c>
      <c r="B738" s="11">
        <v>340008</v>
      </c>
      <c r="C738" s="32"/>
      <c r="D738" s="32">
        <v>4.7195050575119897E-3</v>
      </c>
      <c r="E738" s="32">
        <v>65</v>
      </c>
      <c r="F738" s="32">
        <v>1.18082352744227E-2</v>
      </c>
      <c r="G738" s="11"/>
      <c r="H738" s="11"/>
      <c r="I738" s="11"/>
      <c r="J738" s="18" t="s">
        <v>44</v>
      </c>
      <c r="K738" s="18" t="s">
        <v>45</v>
      </c>
      <c r="L738" s="58" t="s">
        <v>817</v>
      </c>
      <c r="M738" s="18">
        <f>[1]!f_prt_stocktonav(B738,"2017/03/31")</f>
        <v>76.956283569335937</v>
      </c>
      <c r="N738" s="20" t="str">
        <f>[1]!f_info_fundmanager(B738)</f>
        <v>季侃乐</v>
      </c>
      <c r="O738" s="21">
        <v>1.2493150684931507</v>
      </c>
      <c r="P738" s="34" t="s">
        <v>2906</v>
      </c>
      <c r="Q738" s="34" t="s">
        <v>2907</v>
      </c>
      <c r="R738" s="34" t="s">
        <v>2217</v>
      </c>
      <c r="S738" s="34">
        <v>20090325</v>
      </c>
      <c r="T738" s="45">
        <v>24.848248398100001</v>
      </c>
      <c r="U738" s="46">
        <v>26.055338586600001</v>
      </c>
      <c r="V738" s="34" t="s">
        <v>40</v>
      </c>
      <c r="W738" s="34" t="s">
        <v>44</v>
      </c>
      <c r="X738" s="34" t="s">
        <v>45</v>
      </c>
      <c r="Y738" s="34" t="s">
        <v>817</v>
      </c>
      <c r="Z738" s="34"/>
      <c r="AA738" s="34"/>
      <c r="AB738" s="22">
        <v>0.79953308105468746</v>
      </c>
      <c r="AC738" s="23" t="s">
        <v>2908</v>
      </c>
      <c r="AD738" s="24">
        <v>1.0191780821917809</v>
      </c>
      <c r="AE738" s="25">
        <v>0.13990495325180308</v>
      </c>
      <c r="AF738" s="26">
        <v>0.28645639707826431</v>
      </c>
      <c r="AG738" s="26">
        <v>0.20934011238235062</v>
      </c>
      <c r="AH738" s="27">
        <v>0.65143740326078592</v>
      </c>
      <c r="AI738" s="27">
        <v>1.0638692738008444</v>
      </c>
      <c r="AJ738" s="27">
        <v>0.8662403198752997</v>
      </c>
      <c r="AK738" s="28" t="s">
        <v>2909</v>
      </c>
      <c r="AL738" s="29">
        <v>5</v>
      </c>
      <c r="AM738" s="29">
        <v>2</v>
      </c>
      <c r="AN738" s="29" t="s">
        <v>48</v>
      </c>
      <c r="AO738" s="47" t="s">
        <v>1002</v>
      </c>
      <c r="AP738" s="28">
        <v>0</v>
      </c>
      <c r="AQ738" s="26">
        <v>1.4999999999999999E-2</v>
      </c>
      <c r="AR738" s="26">
        <v>0</v>
      </c>
    </row>
    <row r="739" spans="1:44" x14ac:dyDescent="0.15">
      <c r="A739">
        <v>467</v>
      </c>
      <c r="B739" s="11">
        <v>70017</v>
      </c>
      <c r="C739" s="32"/>
      <c r="D739" s="32">
        <v>-2.8993692540797301E-3</v>
      </c>
      <c r="E739" s="32">
        <v>418</v>
      </c>
      <c r="F739" s="32">
        <v>2.6449370418890198E-6</v>
      </c>
      <c r="G739" s="11"/>
      <c r="H739" s="11"/>
      <c r="I739" s="11"/>
      <c r="J739" s="18" t="s">
        <v>44</v>
      </c>
      <c r="K739" s="18" t="s">
        <v>64</v>
      </c>
      <c r="L739" s="58" t="s">
        <v>274</v>
      </c>
      <c r="M739" s="18">
        <f>[1]!f_prt_stocktonav(B739,"2017/03/31")</f>
        <v>85.88470458984375</v>
      </c>
      <c r="N739" s="20" t="str">
        <f>[1]!f_info_fundmanager(B739)</f>
        <v>陶羽</v>
      </c>
      <c r="O739" s="21">
        <v>8.0356164383561648</v>
      </c>
      <c r="P739" s="34" t="s">
        <v>2910</v>
      </c>
      <c r="Q739" s="34" t="s">
        <v>2911</v>
      </c>
      <c r="R739" s="34" t="s">
        <v>92</v>
      </c>
      <c r="S739" s="34">
        <v>20090320</v>
      </c>
      <c r="T739" s="45">
        <v>4.1168727091999999</v>
      </c>
      <c r="U739" s="46">
        <v>3.397306146</v>
      </c>
      <c r="V739" s="34" t="s">
        <v>231</v>
      </c>
      <c r="W739" s="34" t="s">
        <v>44</v>
      </c>
      <c r="X739" s="34" t="s">
        <v>45</v>
      </c>
      <c r="Y739" s="34" t="s">
        <v>274</v>
      </c>
      <c r="Z739" s="34"/>
      <c r="AA739" s="34"/>
      <c r="AB739" s="22">
        <v>0.85750785827636722</v>
      </c>
      <c r="AC739" s="23" t="s">
        <v>2912</v>
      </c>
      <c r="AD739" s="24">
        <v>7.8054794520547945</v>
      </c>
      <c r="AE739" s="25">
        <v>7.5661743983147511E-2</v>
      </c>
      <c r="AF739" s="26">
        <v>0.237761510846765</v>
      </c>
      <c r="AG739" s="26">
        <v>0.15084236122637895</v>
      </c>
      <c r="AH739" s="27">
        <v>0.35345013826363841</v>
      </c>
      <c r="AI739" s="27">
        <v>0.77378726335918691</v>
      </c>
      <c r="AJ739" s="27">
        <v>0.58737537681584751</v>
      </c>
      <c r="AK739" s="28" t="s">
        <v>2463</v>
      </c>
      <c r="AL739" s="29">
        <v>3</v>
      </c>
      <c r="AM739" s="29">
        <v>2</v>
      </c>
      <c r="AN739" s="29" t="s">
        <v>48</v>
      </c>
      <c r="AO739" s="47" t="s">
        <v>310</v>
      </c>
      <c r="AP739" s="28" t="s">
        <v>2293</v>
      </c>
      <c r="AQ739" s="26">
        <v>1.4999999999999999E-2</v>
      </c>
      <c r="AR739" s="26">
        <v>0</v>
      </c>
    </row>
    <row r="740" spans="1:44" x14ac:dyDescent="0.15">
      <c r="A740">
        <v>794</v>
      </c>
      <c r="B740" s="11">
        <v>213006</v>
      </c>
      <c r="C740" s="32"/>
      <c r="D740" s="32">
        <v>-2.8809131699427701E-3</v>
      </c>
      <c r="E740" s="32">
        <v>53</v>
      </c>
      <c r="F740" s="32">
        <v>1.0057703693270199E-2</v>
      </c>
      <c r="G740" s="11"/>
      <c r="H740" s="11"/>
      <c r="I740" s="11"/>
      <c r="J740" s="18" t="s">
        <v>44</v>
      </c>
      <c r="K740" s="18" t="s">
        <v>45</v>
      </c>
      <c r="L740" s="58" t="s">
        <v>274</v>
      </c>
      <c r="M740" s="18">
        <f>[1]!f_prt_stocktonav(B740,"2017/03/31")</f>
        <v>76.941520690917969</v>
      </c>
      <c r="N740" s="20" t="str">
        <f>[1]!f_info_fundmanager(B740)</f>
        <v>易祚兴,李健伟</v>
      </c>
      <c r="O740" s="21">
        <v>1.0136986301369864</v>
      </c>
      <c r="P740" s="34" t="s">
        <v>2913</v>
      </c>
      <c r="Q740" s="34" t="s">
        <v>2914</v>
      </c>
      <c r="R740" s="34" t="s">
        <v>402</v>
      </c>
      <c r="S740" s="34">
        <v>20090317</v>
      </c>
      <c r="T740" s="45">
        <v>17.5004217372</v>
      </c>
      <c r="U740" s="46">
        <v>18.903732724499999</v>
      </c>
      <c r="V740" s="34" t="s">
        <v>231</v>
      </c>
      <c r="W740" s="34" t="s">
        <v>44</v>
      </c>
      <c r="X740" s="34" t="s">
        <v>45</v>
      </c>
      <c r="Y740" s="34" t="s">
        <v>274</v>
      </c>
      <c r="Z740" s="34"/>
      <c r="AA740" s="34"/>
      <c r="AB740" s="22">
        <v>0.73663925170898437</v>
      </c>
      <c r="AC740" s="23" t="s">
        <v>756</v>
      </c>
      <c r="AD740" s="24">
        <v>2.2821917808219179</v>
      </c>
      <c r="AE740" s="25">
        <v>0.11564118104602228</v>
      </c>
      <c r="AF740" s="26">
        <v>0.21297477343946489</v>
      </c>
      <c r="AG740" s="26">
        <v>0.22785107824065043</v>
      </c>
      <c r="AH740" s="27">
        <v>0.51524773348082076</v>
      </c>
      <c r="AI740" s="27">
        <v>0.72187213305683862</v>
      </c>
      <c r="AJ740" s="27">
        <v>0.84791547111462218</v>
      </c>
      <c r="AK740" s="28" t="s">
        <v>2915</v>
      </c>
      <c r="AL740" s="29">
        <v>5</v>
      </c>
      <c r="AM740" s="29">
        <v>5</v>
      </c>
      <c r="AN740" s="29" t="s">
        <v>48</v>
      </c>
      <c r="AO740" s="47" t="s">
        <v>287</v>
      </c>
      <c r="AP740" s="28">
        <v>0</v>
      </c>
      <c r="AQ740" s="26">
        <v>1.4999999999999999E-2</v>
      </c>
      <c r="AR740" s="26">
        <v>0</v>
      </c>
    </row>
    <row r="741" spans="1:44" x14ac:dyDescent="0.15">
      <c r="A741">
        <v>782</v>
      </c>
      <c r="B741" s="11">
        <v>320007</v>
      </c>
      <c r="C741" s="32"/>
      <c r="D741" s="32">
        <v>-2.9537552407281399E-3</v>
      </c>
      <c r="E741" s="32">
        <v>336</v>
      </c>
      <c r="F741" s="32">
        <v>1.9514837821856901E-3</v>
      </c>
      <c r="G741" s="11"/>
      <c r="H741" s="11"/>
      <c r="I741" s="11"/>
      <c r="J741" s="18" t="s">
        <v>44</v>
      </c>
      <c r="K741" s="18" t="s">
        <v>45</v>
      </c>
      <c r="L741" s="58" t="s">
        <v>274</v>
      </c>
      <c r="M741" s="18">
        <f>[1]!f_prt_stocktonav(B741,"2017/03/31")</f>
        <v>77.229949951171875</v>
      </c>
      <c r="N741" s="20" t="str">
        <f>[1]!f_info_fundmanager(B741)</f>
        <v>刘红辉,史高飞</v>
      </c>
      <c r="O741" s="21">
        <v>6.4602739726027396</v>
      </c>
      <c r="P741" s="34" t="s">
        <v>2916</v>
      </c>
      <c r="Q741" s="34" t="s">
        <v>2917</v>
      </c>
      <c r="R741" s="34" t="s">
        <v>955</v>
      </c>
      <c r="S741" s="34">
        <v>20090310</v>
      </c>
      <c r="T741" s="45">
        <v>6.4813422514000001</v>
      </c>
      <c r="U741" s="46">
        <v>7.8769108499999998</v>
      </c>
      <c r="V741" s="34" t="s">
        <v>231</v>
      </c>
      <c r="W741" s="34" t="s">
        <v>44</v>
      </c>
      <c r="X741" s="34" t="s">
        <v>45</v>
      </c>
      <c r="Y741" s="34" t="s">
        <v>274</v>
      </c>
      <c r="Z741" s="34"/>
      <c r="AA741" s="34"/>
      <c r="AB741" s="22">
        <v>0.84890136718749998</v>
      </c>
      <c r="AC741" s="23" t="s">
        <v>2918</v>
      </c>
      <c r="AD741" s="24">
        <v>6.2301369863013702</v>
      </c>
      <c r="AE741" s="25">
        <v>6.2177819776787491E-2</v>
      </c>
      <c r="AF741" s="26">
        <v>7.7217345015941907E-2</v>
      </c>
      <c r="AG741" s="26">
        <v>4.8844827114089551E-2</v>
      </c>
      <c r="AH741" s="27">
        <v>0.30411522047981149</v>
      </c>
      <c r="AI741" s="27">
        <v>0.36162279349056076</v>
      </c>
      <c r="AJ741" s="27">
        <v>0.26675643707136565</v>
      </c>
      <c r="AK741" s="28" t="s">
        <v>2919</v>
      </c>
      <c r="AL741" s="29">
        <v>1</v>
      </c>
      <c r="AM741" s="29">
        <v>3</v>
      </c>
      <c r="AN741" s="29" t="s">
        <v>48</v>
      </c>
      <c r="AO741" s="47" t="s">
        <v>2920</v>
      </c>
      <c r="AP741" s="28">
        <v>0</v>
      </c>
      <c r="AQ741" s="26">
        <v>1.4999999999999999E-2</v>
      </c>
      <c r="AR741" s="26">
        <v>0</v>
      </c>
    </row>
    <row r="742" spans="1:44" x14ac:dyDescent="0.15">
      <c r="A742">
        <v>322</v>
      </c>
      <c r="B742" s="11">
        <v>519069</v>
      </c>
      <c r="C742" s="32"/>
      <c r="D742" s="32">
        <v>1.8420784522741799E-3</v>
      </c>
      <c r="E742" s="32">
        <v>72</v>
      </c>
      <c r="F742" s="32">
        <v>4.9083980445977698E-2</v>
      </c>
      <c r="G742" s="11"/>
      <c r="H742" s="11"/>
      <c r="I742" s="11"/>
      <c r="J742" s="18" t="s">
        <v>44</v>
      </c>
      <c r="K742" s="19" t="s">
        <v>45</v>
      </c>
      <c r="L742" s="58" t="s">
        <v>817</v>
      </c>
      <c r="M742" s="18">
        <f>[1]!f_prt_stocktonav(B742,"2017/03/31")</f>
        <v>88.982681274414062</v>
      </c>
      <c r="N742" s="20" t="str">
        <f>[1]!f_info_fundmanager(B742)</f>
        <v>劳杰男</v>
      </c>
      <c r="O742" s="21">
        <v>1.3671232876712329</v>
      </c>
      <c r="P742" s="32" t="s">
        <v>2921</v>
      </c>
      <c r="Q742" s="13" t="s">
        <v>2922</v>
      </c>
      <c r="R742" s="13" t="s">
        <v>331</v>
      </c>
      <c r="S742" s="13">
        <v>20090123</v>
      </c>
      <c r="T742" s="14">
        <v>33.9149970303</v>
      </c>
      <c r="U742" s="15" t="s">
        <v>39</v>
      </c>
      <c r="V742" s="16" t="s">
        <v>40</v>
      </c>
      <c r="W742" s="17" t="s">
        <v>44</v>
      </c>
      <c r="X742" s="17" t="s">
        <v>45</v>
      </c>
      <c r="Y742" s="17" t="s">
        <v>274</v>
      </c>
      <c r="Z742" s="13"/>
      <c r="AA742" s="13"/>
      <c r="AB742" s="22">
        <v>0.86105972290039068</v>
      </c>
      <c r="AC742" s="23" t="s">
        <v>2923</v>
      </c>
      <c r="AD742" s="24">
        <v>1.1369863013698631</v>
      </c>
      <c r="AE742" s="25">
        <v>0.19571731430758674</v>
      </c>
      <c r="AF742" s="26">
        <v>0.29500971023926237</v>
      </c>
      <c r="AG742" s="26">
        <v>0.23973420343978269</v>
      </c>
      <c r="AH742" s="27">
        <v>0.84283859822287133</v>
      </c>
      <c r="AI742" s="27">
        <v>1.0738694447533799</v>
      </c>
      <c r="AJ742" s="27">
        <v>0.97808438520439023</v>
      </c>
      <c r="AK742" s="28" t="s">
        <v>1459</v>
      </c>
      <c r="AL742" s="29">
        <v>5</v>
      </c>
      <c r="AM742" s="29">
        <v>5</v>
      </c>
      <c r="AN742" s="29" t="s">
        <v>48</v>
      </c>
      <c r="AO742" s="23" t="s">
        <v>2924</v>
      </c>
      <c r="AP742" s="30">
        <v>0</v>
      </c>
      <c r="AQ742" s="31">
        <v>1.4999999999999999E-2</v>
      </c>
      <c r="AR742" s="31">
        <v>0</v>
      </c>
    </row>
    <row r="743" spans="1:44" x14ac:dyDescent="0.15">
      <c r="A743">
        <v>361</v>
      </c>
      <c r="B743" s="11">
        <v>379010</v>
      </c>
      <c r="C743" s="32"/>
      <c r="D743" s="32">
        <v>-2.32600136109214E-3</v>
      </c>
      <c r="E743" s="32">
        <v>113</v>
      </c>
      <c r="F743" s="32">
        <v>0.20393175445384501</v>
      </c>
      <c r="G743" s="11"/>
      <c r="H743" s="11"/>
      <c r="I743" s="11"/>
      <c r="J743" s="18" t="s">
        <v>44</v>
      </c>
      <c r="K743" s="19" t="s">
        <v>45</v>
      </c>
      <c r="L743" s="58" t="s">
        <v>274</v>
      </c>
      <c r="M743" s="18">
        <f>[1]!f_prt_stocktonav(B743,"2017/03/31")</f>
        <v>88.308357238769531</v>
      </c>
      <c r="N743" s="20" t="str">
        <f>[1]!f_info_fundmanager(B743)</f>
        <v>郭晨</v>
      </c>
      <c r="O743" s="21">
        <v>2.1671232876712327</v>
      </c>
      <c r="P743" s="32" t="s">
        <v>2925</v>
      </c>
      <c r="Q743" s="13" t="s">
        <v>2926</v>
      </c>
      <c r="R743" s="13" t="s">
        <v>511</v>
      </c>
      <c r="S743" s="13">
        <v>20090121</v>
      </c>
      <c r="T743" s="14">
        <v>4.0476094687000002</v>
      </c>
      <c r="U743" s="15" t="s">
        <v>39</v>
      </c>
      <c r="V743" s="16" t="s">
        <v>40</v>
      </c>
      <c r="W743" s="17" t="s">
        <v>44</v>
      </c>
      <c r="X743" s="17" t="s">
        <v>45</v>
      </c>
      <c r="Y743" s="17" t="s">
        <v>274</v>
      </c>
      <c r="Z743" s="13"/>
      <c r="AA743" s="13"/>
      <c r="AB743" s="22">
        <v>0.90087913513183593</v>
      </c>
      <c r="AC743" s="23" t="s">
        <v>1165</v>
      </c>
      <c r="AD743" s="24">
        <v>1.9369863013698629</v>
      </c>
      <c r="AE743" s="25">
        <v>7.9464701540976179E-2</v>
      </c>
      <c r="AF743" s="26">
        <v>0.10935204615262695</v>
      </c>
      <c r="AG743" s="26">
        <v>9.9029402148051768E-2</v>
      </c>
      <c r="AH743" s="27">
        <v>0.361233202445573</v>
      </c>
      <c r="AI743" s="27">
        <v>0.43000206848691552</v>
      </c>
      <c r="AJ743" s="27">
        <v>0.41317953122557544</v>
      </c>
      <c r="AK743" s="28" t="s">
        <v>2927</v>
      </c>
      <c r="AL743" s="29">
        <v>1</v>
      </c>
      <c r="AM743" s="29">
        <v>3</v>
      </c>
      <c r="AN743" s="29" t="s">
        <v>48</v>
      </c>
      <c r="AO743" s="23" t="s">
        <v>1909</v>
      </c>
      <c r="AP743" s="30">
        <v>0</v>
      </c>
      <c r="AQ743" s="31">
        <v>1.4999999999999999E-2</v>
      </c>
      <c r="AR743" s="31">
        <v>0</v>
      </c>
    </row>
    <row r="744" spans="1:44" x14ac:dyDescent="0.15">
      <c r="A744">
        <v>936</v>
      </c>
      <c r="B744" s="11">
        <v>519697</v>
      </c>
      <c r="C744" s="32"/>
      <c r="D744" s="32">
        <v>2.4769742031828402E-3</v>
      </c>
      <c r="E744" s="32">
        <v>90</v>
      </c>
      <c r="F744" s="32">
        <v>4.40269150096902E-2</v>
      </c>
      <c r="G744" s="11"/>
      <c r="H744" s="11"/>
      <c r="I744" s="11"/>
      <c r="J744" s="18" t="s">
        <v>44</v>
      </c>
      <c r="K744" s="18" t="s">
        <v>45</v>
      </c>
      <c r="L744" s="58" t="s">
        <v>274</v>
      </c>
      <c r="M744" s="18">
        <f>[1]!f_prt_stocktonav(B744,"2017/03/31")</f>
        <v>70.914207458496094</v>
      </c>
      <c r="N744" s="20" t="str">
        <f>[1]!f_info_fundmanager(B744)</f>
        <v>何帅</v>
      </c>
      <c r="O744" s="21">
        <v>1.7287671232876711</v>
      </c>
      <c r="P744" s="34" t="s">
        <v>2928</v>
      </c>
      <c r="Q744" s="34" t="s">
        <v>2929</v>
      </c>
      <c r="R744" s="34" t="s">
        <v>138</v>
      </c>
      <c r="S744" s="34">
        <v>20090121</v>
      </c>
      <c r="T744" s="45">
        <v>6.5359844055999998</v>
      </c>
      <c r="U744" s="46">
        <v>4.0853556022999999</v>
      </c>
      <c r="V744" s="34" t="s">
        <v>40</v>
      </c>
      <c r="W744" s="34" t="s">
        <v>44</v>
      </c>
      <c r="X744" s="34" t="s">
        <v>45</v>
      </c>
      <c r="Y744" s="34" t="s">
        <v>274</v>
      </c>
      <c r="Z744" s="34"/>
      <c r="AA744" s="34"/>
      <c r="AB744" s="22">
        <v>0.71799362182617188</v>
      </c>
      <c r="AC744" s="23" t="s">
        <v>2270</v>
      </c>
      <c r="AD744" s="24">
        <v>1.4986301369863013</v>
      </c>
      <c r="AE744" s="25">
        <v>0.15664653453475741</v>
      </c>
      <c r="AF744" s="26">
        <v>0.38004607556425651</v>
      </c>
      <c r="AG744" s="26">
        <v>0.23361143099387108</v>
      </c>
      <c r="AH744" s="27">
        <v>0.8372002637257</v>
      </c>
      <c r="AI744" s="27">
        <v>1.3222461056095263</v>
      </c>
      <c r="AJ744" s="27">
        <v>1.0119847621684548</v>
      </c>
      <c r="AK744" s="28" t="s">
        <v>140</v>
      </c>
      <c r="AL744" s="29">
        <v>5</v>
      </c>
      <c r="AM744" s="29">
        <v>5</v>
      </c>
      <c r="AN744" s="29" t="s">
        <v>48</v>
      </c>
      <c r="AO744" s="47" t="s">
        <v>2930</v>
      </c>
      <c r="AP744" s="28" t="s">
        <v>608</v>
      </c>
      <c r="AQ744" s="26">
        <v>1.4999999999999999E-2</v>
      </c>
      <c r="AR744" s="26">
        <v>0</v>
      </c>
    </row>
    <row r="745" spans="1:44" x14ac:dyDescent="0.15">
      <c r="A745">
        <v>655</v>
      </c>
      <c r="B745" s="11">
        <v>200010</v>
      </c>
      <c r="C745" s="32"/>
      <c r="D745" s="32">
        <v>0</v>
      </c>
      <c r="E745" s="32">
        <v>0</v>
      </c>
      <c r="F745" s="32">
        <v>0</v>
      </c>
      <c r="G745" s="11"/>
      <c r="H745" s="11"/>
      <c r="I745" s="11"/>
      <c r="J745" s="18" t="s">
        <v>44</v>
      </c>
      <c r="K745" s="18" t="s">
        <v>45</v>
      </c>
      <c r="L745" s="58">
        <v>0</v>
      </c>
      <c r="M745" s="18">
        <f>[1]!f_prt_stocktonav(B745,"2017/03/31")</f>
        <v>81.288986206054688</v>
      </c>
      <c r="N745" s="20" t="str">
        <f>[1]!f_info_fundmanager(B745)</f>
        <v>乔春</v>
      </c>
      <c r="O745" s="21">
        <v>4.1095890410958902E-2</v>
      </c>
      <c r="P745" s="34" t="s">
        <v>2931</v>
      </c>
      <c r="Q745" s="34" t="s">
        <v>2932</v>
      </c>
      <c r="R745" s="34" t="s">
        <v>1172</v>
      </c>
      <c r="S745" s="34">
        <v>20090115</v>
      </c>
      <c r="T745" s="45">
        <v>11.547265816199999</v>
      </c>
      <c r="U745" s="46">
        <v>11.1146177867</v>
      </c>
      <c r="V745" s="34" t="s">
        <v>231</v>
      </c>
      <c r="W745" s="34" t="s">
        <v>44</v>
      </c>
      <c r="X745" s="34" t="s">
        <v>45</v>
      </c>
      <c r="Y745" s="34" t="s">
        <v>274</v>
      </c>
      <c r="Z745" s="34"/>
      <c r="AA745" s="34"/>
      <c r="AB745" s="22">
        <v>0.85918762207031252</v>
      </c>
      <c r="AC745" s="23" t="s">
        <v>2933</v>
      </c>
      <c r="AD745" s="24">
        <v>3.032876712328767</v>
      </c>
      <c r="AE745" s="25">
        <v>0.10992379612775703</v>
      </c>
      <c r="AF745" s="26">
        <v>0.24837425205982597</v>
      </c>
      <c r="AG745" s="26">
        <v>0.21817723209997752</v>
      </c>
      <c r="AH745" s="27">
        <v>0.46686910432788209</v>
      </c>
      <c r="AI745" s="27">
        <v>0.74587614895379639</v>
      </c>
      <c r="AJ745" s="27">
        <v>0.75147153997454008</v>
      </c>
      <c r="AK745" s="28" t="s">
        <v>2934</v>
      </c>
      <c r="AL745" s="29">
        <v>5</v>
      </c>
      <c r="AM745" s="29">
        <v>5</v>
      </c>
      <c r="AN745" s="29" t="s">
        <v>48</v>
      </c>
      <c r="AO745" s="47" t="s">
        <v>2935</v>
      </c>
      <c r="AP745" s="28">
        <v>0</v>
      </c>
      <c r="AQ745" s="26">
        <v>1.4999999999999999E-2</v>
      </c>
      <c r="AR745" s="26">
        <v>0</v>
      </c>
    </row>
    <row r="746" spans="1:44" x14ac:dyDescent="0.15">
      <c r="A746">
        <v>743</v>
      </c>
      <c r="B746" s="11">
        <v>398031</v>
      </c>
      <c r="C746" s="32"/>
      <c r="D746" s="32">
        <v>-5.38540604389712E-3</v>
      </c>
      <c r="E746" s="32">
        <v>158</v>
      </c>
      <c r="F746" s="32">
        <v>4.8375275368074699E-4</v>
      </c>
      <c r="G746" s="11"/>
      <c r="H746" s="11"/>
      <c r="I746" s="11"/>
      <c r="J746" s="18" t="s">
        <v>44</v>
      </c>
      <c r="K746" s="18" t="s">
        <v>45</v>
      </c>
      <c r="L746" s="58" t="s">
        <v>274</v>
      </c>
      <c r="M746" s="18">
        <f>[1]!f_prt_stocktonav(B746,"2017/03/31")</f>
        <v>78.526359558105469</v>
      </c>
      <c r="N746" s="20" t="str">
        <f>[1]!f_info_fundmanager(B746)</f>
        <v>邱红丽</v>
      </c>
      <c r="O746" s="21">
        <v>3.032876712328767</v>
      </c>
      <c r="P746" s="34" t="s">
        <v>2936</v>
      </c>
      <c r="Q746" s="34" t="s">
        <v>2937</v>
      </c>
      <c r="R746" s="34" t="s">
        <v>505</v>
      </c>
      <c r="S746" s="34">
        <v>20081203</v>
      </c>
      <c r="T746" s="45">
        <v>0.99893982380000002</v>
      </c>
      <c r="U746" s="46">
        <v>1.2794591287999999</v>
      </c>
      <c r="V746" s="34" t="s">
        <v>231</v>
      </c>
      <c r="W746" s="34" t="s">
        <v>41</v>
      </c>
      <c r="X746" s="17" t="s">
        <v>42</v>
      </c>
      <c r="Y746" s="17" t="s">
        <v>181</v>
      </c>
      <c r="Z746" s="34"/>
      <c r="AA746" s="34"/>
      <c r="AB746" s="22">
        <v>0.68764289855957028</v>
      </c>
      <c r="AC746" s="23" t="s">
        <v>862</v>
      </c>
      <c r="AD746" s="24">
        <v>2.8027397260273972</v>
      </c>
      <c r="AE746" s="25">
        <v>7.6823592324572143E-2</v>
      </c>
      <c r="AF746" s="26">
        <v>3.6214497459665873E-2</v>
      </c>
      <c r="AG746" s="26">
        <v>9.8812905187320124E-2</v>
      </c>
      <c r="AH746" s="27">
        <v>0.37142088413457996</v>
      </c>
      <c r="AI746" s="27">
        <v>0.20890554630182057</v>
      </c>
      <c r="AJ746" s="27">
        <v>0.43238698730450381</v>
      </c>
      <c r="AK746" s="28" t="s">
        <v>2938</v>
      </c>
      <c r="AL746" s="29">
        <v>2</v>
      </c>
      <c r="AM746" s="29">
        <v>3</v>
      </c>
      <c r="AN746" s="29" t="s">
        <v>48</v>
      </c>
      <c r="AO746" s="47" t="s">
        <v>2939</v>
      </c>
      <c r="AP746" s="28">
        <v>0</v>
      </c>
      <c r="AQ746" s="26">
        <v>1.4999999999999999E-2</v>
      </c>
      <c r="AR746" s="26">
        <v>0</v>
      </c>
    </row>
    <row r="747" spans="1:44" x14ac:dyDescent="0.15">
      <c r="A747">
        <v>352</v>
      </c>
      <c r="B747" s="11">
        <v>420003</v>
      </c>
      <c r="C747" s="32"/>
      <c r="D747" s="32">
        <v>-1.0656203001077301E-3</v>
      </c>
      <c r="E747" s="32">
        <v>165</v>
      </c>
      <c r="F747" s="32">
        <v>0.431752155994645</v>
      </c>
      <c r="G747" s="11"/>
      <c r="H747" s="11"/>
      <c r="I747" s="11"/>
      <c r="J747" s="18" t="s">
        <v>44</v>
      </c>
      <c r="K747" s="18" t="s">
        <v>45</v>
      </c>
      <c r="L747" s="58" t="s">
        <v>65</v>
      </c>
      <c r="M747" s="18">
        <f>[1]!f_prt_stocktonav(B747,"2017/03/31")</f>
        <v>88.516700744628906</v>
      </c>
      <c r="N747" s="20" t="str">
        <f>[1]!f_info_fundmanager(B747)</f>
        <v>肖志刚</v>
      </c>
      <c r="O747" s="21">
        <v>3.1698630136986301</v>
      </c>
      <c r="P747" s="34" t="s">
        <v>2940</v>
      </c>
      <c r="Q747" s="34" t="s">
        <v>2941</v>
      </c>
      <c r="R747" s="34" t="s">
        <v>1215</v>
      </c>
      <c r="S747" s="34">
        <v>20081202</v>
      </c>
      <c r="T747" s="45">
        <v>8.7009606606999998</v>
      </c>
      <c r="U747" s="46">
        <v>5.3780070198000001</v>
      </c>
      <c r="V747" s="34" t="s">
        <v>231</v>
      </c>
      <c r="W747" s="34" t="s">
        <v>44</v>
      </c>
      <c r="X747" s="34" t="s">
        <v>45</v>
      </c>
      <c r="Y747" s="34" t="s">
        <v>65</v>
      </c>
      <c r="Z747" s="34"/>
      <c r="AA747" s="34"/>
      <c r="AB747" s="22">
        <v>0.91261619567871088</v>
      </c>
      <c r="AC747" s="23" t="s">
        <v>2942</v>
      </c>
      <c r="AD747" s="24">
        <v>2.9397260273972603</v>
      </c>
      <c r="AE747" s="25">
        <v>0.11719393625062736</v>
      </c>
      <c r="AF747" s="26">
        <v>0.29838119190969059</v>
      </c>
      <c r="AG747" s="26">
        <v>0.18678182879718608</v>
      </c>
      <c r="AH747" s="27">
        <v>0.52170387890099745</v>
      </c>
      <c r="AI747" s="27">
        <v>1.0831436400544427</v>
      </c>
      <c r="AJ747" s="27">
        <v>0.76113953253625599</v>
      </c>
      <c r="AK747" s="28" t="s">
        <v>1459</v>
      </c>
      <c r="AL747" s="29">
        <v>3</v>
      </c>
      <c r="AM747" s="29">
        <v>3</v>
      </c>
      <c r="AN747" s="29" t="s">
        <v>48</v>
      </c>
      <c r="AO747" s="47" t="s">
        <v>2943</v>
      </c>
      <c r="AP747" s="28">
        <v>0</v>
      </c>
      <c r="AQ747" s="26">
        <v>1.4999999999999999E-2</v>
      </c>
      <c r="AR747" s="26">
        <v>0</v>
      </c>
    </row>
    <row r="748" spans="1:44" x14ac:dyDescent="0.15">
      <c r="A748">
        <v>925</v>
      </c>
      <c r="B748" s="11">
        <v>90007</v>
      </c>
      <c r="C748" s="32"/>
      <c r="D748" s="32">
        <v>8.5716679509635196E-4</v>
      </c>
      <c r="E748" s="32">
        <v>230</v>
      </c>
      <c r="F748" s="32">
        <v>0.33931214442089702</v>
      </c>
      <c r="G748" s="11"/>
      <c r="H748" s="11"/>
      <c r="I748" s="11"/>
      <c r="J748" s="18" t="s">
        <v>44</v>
      </c>
      <c r="K748" s="18" t="s">
        <v>45</v>
      </c>
      <c r="L748" s="58" t="s">
        <v>65</v>
      </c>
      <c r="M748" s="18">
        <f>[1]!f_prt_stocktonav(B748,"2017/03/31")</f>
        <v>71.318557739257813</v>
      </c>
      <c r="N748" s="20" t="str">
        <f>[1]!f_info_fundmanager(B748)</f>
        <v>徐彦</v>
      </c>
      <c r="O748" s="21">
        <v>4.4164383561643836</v>
      </c>
      <c r="P748" s="34" t="s">
        <v>2944</v>
      </c>
      <c r="Q748" s="34" t="s">
        <v>2945</v>
      </c>
      <c r="R748" s="34" t="s">
        <v>486</v>
      </c>
      <c r="S748" s="34">
        <v>20081126</v>
      </c>
      <c r="T748" s="45">
        <v>9.8936645515000006</v>
      </c>
      <c r="U748" s="46">
        <v>6.7322599396999996</v>
      </c>
      <c r="V748" s="34" t="s">
        <v>231</v>
      </c>
      <c r="W748" s="34" t="s">
        <v>44</v>
      </c>
      <c r="X748" s="34" t="s">
        <v>45</v>
      </c>
      <c r="Y748" s="34" t="s">
        <v>65</v>
      </c>
      <c r="Z748" s="34"/>
      <c r="AA748" s="34"/>
      <c r="AB748" s="22">
        <v>0.70305107116699217</v>
      </c>
      <c r="AC748" s="23" t="s">
        <v>2549</v>
      </c>
      <c r="AD748" s="24">
        <v>4.1863013698630134</v>
      </c>
      <c r="AE748" s="25">
        <v>0.17721410332817666</v>
      </c>
      <c r="AF748" s="26">
        <v>0.23525212987976515</v>
      </c>
      <c r="AG748" s="26">
        <v>0.19015110029306026</v>
      </c>
      <c r="AH748" s="27">
        <v>0.77424521936667334</v>
      </c>
      <c r="AI748" s="27">
        <v>0.90275750556967405</v>
      </c>
      <c r="AJ748" s="27">
        <v>0.81323606628723766</v>
      </c>
      <c r="AK748" s="28" t="s">
        <v>1707</v>
      </c>
      <c r="AL748" s="29">
        <v>5</v>
      </c>
      <c r="AM748" s="29">
        <v>4</v>
      </c>
      <c r="AN748" s="29" t="s">
        <v>48</v>
      </c>
      <c r="AO748" s="47" t="s">
        <v>1002</v>
      </c>
      <c r="AP748" s="28">
        <v>0</v>
      </c>
      <c r="AQ748" s="26">
        <v>1.4999999999999999E-2</v>
      </c>
      <c r="AR748" s="26">
        <v>0</v>
      </c>
    </row>
    <row r="749" spans="1:44" x14ac:dyDescent="0.15">
      <c r="A749">
        <v>468</v>
      </c>
      <c r="B749" s="11">
        <v>530006</v>
      </c>
      <c r="C749" s="32"/>
      <c r="D749" s="32">
        <v>-1.3993036898771901E-4</v>
      </c>
      <c r="E749" s="32">
        <v>53</v>
      </c>
      <c r="F749" s="32">
        <v>0.91976509312965105</v>
      </c>
      <c r="G749" s="11"/>
      <c r="H749" s="11"/>
      <c r="I749" s="11"/>
      <c r="J749" s="18" t="s">
        <v>44</v>
      </c>
      <c r="K749" s="18" t="s">
        <v>45</v>
      </c>
      <c r="L749" s="58" t="s">
        <v>817</v>
      </c>
      <c r="M749" s="18">
        <f>[1]!f_prt_stocktonav(B749,"2017/03/31")</f>
        <v>85.876426696777344</v>
      </c>
      <c r="N749" s="20" t="str">
        <f>[1]!f_info_fundmanager(B749)</f>
        <v>潘龙玲</v>
      </c>
      <c r="O749" s="21">
        <v>1.0027397260273974</v>
      </c>
      <c r="P749" s="34" t="s">
        <v>2946</v>
      </c>
      <c r="Q749" s="34" t="s">
        <v>2947</v>
      </c>
      <c r="R749" s="34" t="s">
        <v>307</v>
      </c>
      <c r="S749" s="34">
        <v>20081125</v>
      </c>
      <c r="T749" s="45">
        <v>5.4977762036</v>
      </c>
      <c r="U749" s="46">
        <v>6.5779464631</v>
      </c>
      <c r="V749" s="34" t="s">
        <v>231</v>
      </c>
      <c r="W749" s="34" t="s">
        <v>44</v>
      </c>
      <c r="X749" s="34" t="s">
        <v>45</v>
      </c>
      <c r="Y749" s="34" t="s">
        <v>274</v>
      </c>
      <c r="Z749" s="34"/>
      <c r="AA749" s="34"/>
      <c r="AB749" s="22">
        <v>0.79046493530273443</v>
      </c>
      <c r="AC749" s="23" t="s">
        <v>2948</v>
      </c>
      <c r="AD749" s="24">
        <v>1.6301369863013699</v>
      </c>
      <c r="AE749" s="25">
        <v>0.14396558993531783</v>
      </c>
      <c r="AF749" s="26">
        <v>0.1598916187013284</v>
      </c>
      <c r="AG749" s="26">
        <v>0.12796862606921033</v>
      </c>
      <c r="AH749" s="27">
        <v>0.65715801578015176</v>
      </c>
      <c r="AI749" s="27">
        <v>0.60980949279584351</v>
      </c>
      <c r="AJ749" s="27">
        <v>0.56634944093992112</v>
      </c>
      <c r="AK749" s="28" t="s">
        <v>2949</v>
      </c>
      <c r="AL749" s="29">
        <v>4</v>
      </c>
      <c r="AM749" s="29">
        <v>4</v>
      </c>
      <c r="AN749" s="29" t="s">
        <v>48</v>
      </c>
      <c r="AO749" s="47" t="s">
        <v>679</v>
      </c>
      <c r="AP749" s="28">
        <v>0</v>
      </c>
      <c r="AQ749" s="26">
        <v>1.4999999999999999E-2</v>
      </c>
      <c r="AR749" s="26">
        <v>0</v>
      </c>
    </row>
    <row r="750" spans="1:44" x14ac:dyDescent="0.15">
      <c r="A750">
        <v>434</v>
      </c>
      <c r="B750" s="11">
        <v>110013</v>
      </c>
      <c r="C750" s="32"/>
      <c r="D750" s="32">
        <v>-1.3452740592072101E-4</v>
      </c>
      <c r="E750" s="32">
        <v>151</v>
      </c>
      <c r="F750" s="32">
        <v>0.92774643353284603</v>
      </c>
      <c r="G750" s="11"/>
      <c r="H750" s="11"/>
      <c r="I750" s="11"/>
      <c r="J750" s="18" t="s">
        <v>44</v>
      </c>
      <c r="K750" s="18" t="s">
        <v>87</v>
      </c>
      <c r="L750" s="58" t="s">
        <v>274</v>
      </c>
      <c r="M750" s="18">
        <f>[1]!f_prt_stocktonav(B750,"2017/03/31")</f>
        <v>86.588531494140625</v>
      </c>
      <c r="N750" s="20" t="str">
        <f>[1]!f_info_fundmanager(B750)</f>
        <v>陈皓</v>
      </c>
      <c r="O750" s="21">
        <v>2.893150684931507</v>
      </c>
      <c r="P750" s="34" t="s">
        <v>2950</v>
      </c>
      <c r="Q750" s="34" t="s">
        <v>2951</v>
      </c>
      <c r="R750" s="34" t="s">
        <v>218</v>
      </c>
      <c r="S750" s="34">
        <v>20081113</v>
      </c>
      <c r="T750" s="45">
        <v>26.960367568100001</v>
      </c>
      <c r="U750" s="46">
        <v>33.485322807999999</v>
      </c>
      <c r="V750" s="34" t="s">
        <v>231</v>
      </c>
      <c r="W750" s="34" t="s">
        <v>44</v>
      </c>
      <c r="X750" s="34" t="s">
        <v>45</v>
      </c>
      <c r="Y750" s="34" t="s">
        <v>274</v>
      </c>
      <c r="Z750" s="34"/>
      <c r="AA750" s="34"/>
      <c r="AB750" s="22">
        <v>0.81307510375976566</v>
      </c>
      <c r="AC750" s="23" t="s">
        <v>1133</v>
      </c>
      <c r="AD750" s="24">
        <v>2.6630136986301371</v>
      </c>
      <c r="AE750" s="25">
        <v>0.17119185095755143</v>
      </c>
      <c r="AF750" s="26">
        <v>0.24486904390335762</v>
      </c>
      <c r="AG750" s="26">
        <v>0.20118566785021463</v>
      </c>
      <c r="AH750" s="27">
        <v>0.64933064613634539</v>
      </c>
      <c r="AI750" s="27">
        <v>0.75929336048205653</v>
      </c>
      <c r="AJ750" s="27">
        <v>0.71568642136840088</v>
      </c>
      <c r="AK750" s="28" t="s">
        <v>2952</v>
      </c>
      <c r="AL750" s="29">
        <v>4</v>
      </c>
      <c r="AM750" s="29">
        <v>5</v>
      </c>
      <c r="AN750" s="29" t="s">
        <v>48</v>
      </c>
      <c r="AO750" s="47" t="s">
        <v>2457</v>
      </c>
      <c r="AP750" s="28">
        <v>0</v>
      </c>
      <c r="AQ750" s="26">
        <v>1.4999999999999999E-2</v>
      </c>
      <c r="AR750" s="26">
        <v>0</v>
      </c>
    </row>
    <row r="751" spans="1:44" x14ac:dyDescent="0.15">
      <c r="A751">
        <v>750</v>
      </c>
      <c r="B751" s="11">
        <v>571002</v>
      </c>
      <c r="C751" s="32"/>
      <c r="D751" s="32">
        <v>-4.96894134779207E-4</v>
      </c>
      <c r="E751" s="32">
        <v>156</v>
      </c>
      <c r="F751" s="32">
        <v>0.61720091572404501</v>
      </c>
      <c r="G751" s="11"/>
      <c r="H751" s="11"/>
      <c r="I751" s="11"/>
      <c r="J751" s="18" t="s">
        <v>44</v>
      </c>
      <c r="K751" s="18" t="s">
        <v>87</v>
      </c>
      <c r="L751" s="58" t="s">
        <v>274</v>
      </c>
      <c r="M751" s="18">
        <f>[1]!f_prt_stocktonav(B751,"2017/03/31")</f>
        <v>78.2353515625</v>
      </c>
      <c r="N751" s="20" t="str">
        <f>[1]!f_info_fundmanager(B751)</f>
        <v>朱红</v>
      </c>
      <c r="O751" s="21">
        <v>3</v>
      </c>
      <c r="P751" s="34" t="s">
        <v>2953</v>
      </c>
      <c r="Q751" s="34" t="s">
        <v>2954</v>
      </c>
      <c r="R751" s="34" t="s">
        <v>2351</v>
      </c>
      <c r="S751" s="34">
        <v>20081105</v>
      </c>
      <c r="T751" s="45">
        <v>0.36728520269999998</v>
      </c>
      <c r="U751" s="46">
        <v>0.39080041939999999</v>
      </c>
      <c r="V751" s="34" t="s">
        <v>231</v>
      </c>
      <c r="W751" s="34" t="s">
        <v>44</v>
      </c>
      <c r="X751" s="34" t="s">
        <v>45</v>
      </c>
      <c r="Y751" s="34" t="s">
        <v>274</v>
      </c>
      <c r="Z751" s="34"/>
      <c r="AA751" s="34"/>
      <c r="AB751" s="22">
        <v>0.7628326416015625</v>
      </c>
      <c r="AC751" s="23" t="s">
        <v>2955</v>
      </c>
      <c r="AD751" s="24">
        <v>2.7698630136986302</v>
      </c>
      <c r="AE751" s="25">
        <v>9.582847009768812E-2</v>
      </c>
      <c r="AF751" s="26">
        <v>0.20561885280025849</v>
      </c>
      <c r="AG751" s="26">
        <v>0.13145391883978763</v>
      </c>
      <c r="AH751" s="27">
        <v>0.44673758094873145</v>
      </c>
      <c r="AI751" s="27">
        <v>0.74131277741555879</v>
      </c>
      <c r="AJ751" s="27">
        <v>0.55596247606485838</v>
      </c>
      <c r="AK751" s="28" t="s">
        <v>1226</v>
      </c>
      <c r="AL751" s="29">
        <v>3</v>
      </c>
      <c r="AM751" s="29">
        <v>5</v>
      </c>
      <c r="AN751" s="29" t="s">
        <v>48</v>
      </c>
      <c r="AO751" s="47" t="s">
        <v>2672</v>
      </c>
      <c r="AP751" s="28">
        <v>0</v>
      </c>
      <c r="AQ751" s="26">
        <v>1.4999999999999999E-2</v>
      </c>
      <c r="AR751" s="26">
        <v>0</v>
      </c>
    </row>
    <row r="752" spans="1:44" x14ac:dyDescent="0.15">
      <c r="A752">
        <v>933</v>
      </c>
      <c r="B752" s="11">
        <v>2031</v>
      </c>
      <c r="C752" s="32"/>
      <c r="D752" s="32">
        <v>3.6237985484823898E-3</v>
      </c>
      <c r="E752" s="32">
        <v>4</v>
      </c>
      <c r="F752" s="32" t="s">
        <v>3745</v>
      </c>
      <c r="G752" s="11"/>
      <c r="H752" s="11"/>
      <c r="I752" s="11"/>
      <c r="J752" s="18" t="s">
        <v>44</v>
      </c>
      <c r="K752" s="18" t="s">
        <v>45</v>
      </c>
      <c r="L752" s="58">
        <v>0</v>
      </c>
      <c r="M752" s="18">
        <f>[1]!f_prt_stocktonav(B752,"2017/03/31")</f>
        <v>70.916915893554688</v>
      </c>
      <c r="N752" s="20" t="str">
        <f>[1]!f_info_fundmanager(B752)</f>
        <v>林晶</v>
      </c>
      <c r="O752" s="21">
        <v>6.575342465753424E-2</v>
      </c>
      <c r="P752" s="34" t="s">
        <v>2956</v>
      </c>
      <c r="Q752" s="34" t="s">
        <v>2957</v>
      </c>
      <c r="R752" s="34" t="s">
        <v>143</v>
      </c>
      <c r="S752" s="34">
        <v>20081023</v>
      </c>
      <c r="T752" s="45">
        <v>9.8106864524000006</v>
      </c>
      <c r="U752" s="46">
        <v>10.096957811699999</v>
      </c>
      <c r="V752" s="34" t="s">
        <v>231</v>
      </c>
      <c r="W752" s="34" t="s">
        <v>41</v>
      </c>
      <c r="X752" s="34" t="s">
        <v>42</v>
      </c>
      <c r="Y752" s="34" t="s">
        <v>181</v>
      </c>
      <c r="Z752" s="34"/>
      <c r="AA752" s="34"/>
      <c r="AB752" s="22">
        <v>0.67735427856445307</v>
      </c>
      <c r="AC752" s="23" t="s">
        <v>258</v>
      </c>
      <c r="AD752" s="24">
        <v>0.9397260273972603</v>
      </c>
      <c r="AE752" s="25">
        <v>0.19008551234613294</v>
      </c>
      <c r="AF752" s="26">
        <v>0.1732163055742173</v>
      </c>
      <c r="AG752" s="26">
        <v>0.1454285414276546</v>
      </c>
      <c r="AH752" s="27">
        <v>0.91474929033975738</v>
      </c>
      <c r="AI752" s="27">
        <v>0.75385013439107862</v>
      </c>
      <c r="AJ752" s="27">
        <v>0.71382065479556123</v>
      </c>
      <c r="AK752" s="28" t="s">
        <v>240</v>
      </c>
      <c r="AL752" s="29">
        <v>4</v>
      </c>
      <c r="AM752" s="29">
        <v>3</v>
      </c>
      <c r="AN752" s="29" t="s">
        <v>48</v>
      </c>
      <c r="AO752" s="47" t="s">
        <v>592</v>
      </c>
      <c r="AP752" s="28">
        <v>0</v>
      </c>
      <c r="AQ752" s="26">
        <v>1.4999999999999999E-2</v>
      </c>
      <c r="AR752" s="26">
        <v>0</v>
      </c>
    </row>
    <row r="753" spans="1:44" x14ac:dyDescent="0.15">
      <c r="A753">
        <v>729</v>
      </c>
      <c r="B753" s="11">
        <v>260111</v>
      </c>
      <c r="C753" s="32"/>
      <c r="D753" s="32">
        <v>-3.3430414456963398E-3</v>
      </c>
      <c r="E753" s="32">
        <v>114</v>
      </c>
      <c r="F753" s="32">
        <v>0.12373604467866001</v>
      </c>
      <c r="G753" s="11"/>
      <c r="H753" s="11"/>
      <c r="I753" s="11"/>
      <c r="J753" s="18" t="s">
        <v>44</v>
      </c>
      <c r="K753" s="18" t="s">
        <v>45</v>
      </c>
      <c r="L753" s="58" t="s">
        <v>65</v>
      </c>
      <c r="M753" s="18">
        <f>[1]!f_prt_stocktonav(B753,"2017/03/31")</f>
        <v>79.089828491210938</v>
      </c>
      <c r="N753" s="20" t="str">
        <f>[1]!f_info_fundmanager(B753)</f>
        <v>江科宏,徐喻军,万梦</v>
      </c>
      <c r="O753" s="21">
        <v>2.1753424657534248</v>
      </c>
      <c r="P753" s="34" t="s">
        <v>2958</v>
      </c>
      <c r="Q753" s="34" t="s">
        <v>2959</v>
      </c>
      <c r="R753" s="34" t="s">
        <v>353</v>
      </c>
      <c r="S753" s="34">
        <v>20081022</v>
      </c>
      <c r="T753" s="45">
        <v>1.5793739111</v>
      </c>
      <c r="U753" s="46">
        <v>0.41199766789999998</v>
      </c>
      <c r="V753" s="34" t="s">
        <v>231</v>
      </c>
      <c r="W753" s="34" t="s">
        <v>41</v>
      </c>
      <c r="X753" s="17" t="s">
        <v>42</v>
      </c>
      <c r="Y753" s="17" t="s">
        <v>181</v>
      </c>
      <c r="Z753" s="34"/>
      <c r="AA753" s="34"/>
      <c r="AB753" s="22">
        <v>0.67831039428710938</v>
      </c>
      <c r="AC753" s="23" t="s">
        <v>1825</v>
      </c>
      <c r="AD753" s="24">
        <v>1.9452054794520548</v>
      </c>
      <c r="AE753" s="25">
        <v>6.1134176119019612E-2</v>
      </c>
      <c r="AF753" s="26">
        <v>5.8446584782388067E-2</v>
      </c>
      <c r="AG753" s="26">
        <v>6.493991447255576E-2</v>
      </c>
      <c r="AH753" s="27">
        <v>0.30176535837555529</v>
      </c>
      <c r="AI753" s="27">
        <v>0.30303516789120671</v>
      </c>
      <c r="AJ753" s="27">
        <v>0.31291799412988208</v>
      </c>
      <c r="AK753" s="28" t="s">
        <v>957</v>
      </c>
      <c r="AL753" s="29">
        <v>2</v>
      </c>
      <c r="AM753" s="29">
        <v>1</v>
      </c>
      <c r="AN753" s="29" t="s">
        <v>48</v>
      </c>
      <c r="AO753" s="47" t="s">
        <v>2920</v>
      </c>
      <c r="AP753" s="28">
        <v>0</v>
      </c>
      <c r="AQ753" s="26">
        <v>1.4999999999999999E-2</v>
      </c>
      <c r="AR753" s="26">
        <v>0</v>
      </c>
    </row>
    <row r="754" spans="1:44" x14ac:dyDescent="0.15">
      <c r="A754">
        <v>193</v>
      </c>
      <c r="B754" s="11">
        <v>257040</v>
      </c>
      <c r="C754" s="32"/>
      <c r="D754" s="32">
        <v>1.50046330378603E-3</v>
      </c>
      <c r="E754" s="32">
        <v>102</v>
      </c>
      <c r="F754" s="32">
        <v>0.36047515200920099</v>
      </c>
      <c r="G754" s="11"/>
      <c r="H754" s="11"/>
      <c r="I754" s="11"/>
      <c r="J754" s="18" t="s">
        <v>44</v>
      </c>
      <c r="K754" s="18" t="s">
        <v>45</v>
      </c>
      <c r="L754" s="58" t="s">
        <v>274</v>
      </c>
      <c r="M754" s="18">
        <f>[1]!f_prt_stocktonav(B754,"2017/03/31")</f>
        <v>91.966529846191406</v>
      </c>
      <c r="N754" s="20" t="str">
        <f>[1]!f_info_fundmanager(B754)</f>
        <v>潘明,郑青</v>
      </c>
      <c r="O754" s="21">
        <v>1.9561643835616438</v>
      </c>
      <c r="P754" s="34" t="s">
        <v>2960</v>
      </c>
      <c r="Q754" s="34" t="s">
        <v>2961</v>
      </c>
      <c r="R754" s="34" t="s">
        <v>724</v>
      </c>
      <c r="S754" s="34">
        <v>20081022</v>
      </c>
      <c r="T754" s="45">
        <v>1.3453835305999999</v>
      </c>
      <c r="U754" s="46">
        <v>1.4631985333999999</v>
      </c>
      <c r="V754" s="34" t="s">
        <v>231</v>
      </c>
      <c r="W754" s="34" t="s">
        <v>44</v>
      </c>
      <c r="X754" s="34" t="s">
        <v>45</v>
      </c>
      <c r="Y754" s="34" t="s">
        <v>274</v>
      </c>
      <c r="Z754" s="34"/>
      <c r="AA754" s="34"/>
      <c r="AB754" s="22">
        <v>0.94143882751464847</v>
      </c>
      <c r="AC754" s="23" t="s">
        <v>2962</v>
      </c>
      <c r="AD754" s="24">
        <v>1.726027397260274</v>
      </c>
      <c r="AE754" s="25">
        <v>0.11863842484616981</v>
      </c>
      <c r="AF754" s="26">
        <v>0.20555415609702732</v>
      </c>
      <c r="AG754" s="26">
        <v>0.18594406473432978</v>
      </c>
      <c r="AH754" s="27">
        <v>0.50272003656942066</v>
      </c>
      <c r="AI754" s="27">
        <v>0.66931232509365102</v>
      </c>
      <c r="AJ754" s="27">
        <v>0.67979582258173343</v>
      </c>
      <c r="AK754" s="28" t="s">
        <v>726</v>
      </c>
      <c r="AL754" s="29">
        <v>4</v>
      </c>
      <c r="AM754" s="29">
        <v>5</v>
      </c>
      <c r="AN754" s="29" t="s">
        <v>48</v>
      </c>
      <c r="AO754" s="47" t="s">
        <v>2809</v>
      </c>
      <c r="AP754" s="28" t="s">
        <v>2963</v>
      </c>
      <c r="AQ754" s="26">
        <v>1.4999999999999999E-2</v>
      </c>
      <c r="AR754" s="26">
        <v>0</v>
      </c>
    </row>
    <row r="755" spans="1:44" x14ac:dyDescent="0.15">
      <c r="A755">
        <v>171</v>
      </c>
      <c r="B755" s="11">
        <v>160613</v>
      </c>
      <c r="C755" s="32"/>
      <c r="D755" s="32">
        <v>-7.1890731949764803E-4</v>
      </c>
      <c r="E755" s="32">
        <v>274</v>
      </c>
      <c r="F755" s="32">
        <v>0.26327439840795402</v>
      </c>
      <c r="G755" s="11"/>
      <c r="H755" s="11"/>
      <c r="I755" s="11"/>
      <c r="J755" s="18" t="s">
        <v>44</v>
      </c>
      <c r="K755" s="18" t="s">
        <v>45</v>
      </c>
      <c r="L755" s="58" t="s">
        <v>274</v>
      </c>
      <c r="M755" s="18">
        <f>[1]!f_prt_stocktonav(B755,"2017/03/31")</f>
        <v>92.319038391113281</v>
      </c>
      <c r="N755" s="20" t="str">
        <f>[1]!f_info_fundmanager(B755)</f>
        <v>伍旋</v>
      </c>
      <c r="O755" s="21">
        <v>5.2602739726027394</v>
      </c>
      <c r="P755" s="34" t="s">
        <v>2964</v>
      </c>
      <c r="Q755" s="34" t="s">
        <v>2965</v>
      </c>
      <c r="R755" s="34" t="s">
        <v>705</v>
      </c>
      <c r="S755" s="34">
        <v>20081010</v>
      </c>
      <c r="T755" s="45">
        <v>0.96103351189999997</v>
      </c>
      <c r="U755" s="46">
        <v>0.93634147219999997</v>
      </c>
      <c r="V755" s="34" t="s">
        <v>201</v>
      </c>
      <c r="W755" s="34" t="s">
        <v>44</v>
      </c>
      <c r="X755" s="34" t="s">
        <v>45</v>
      </c>
      <c r="Y755" s="34" t="s">
        <v>65</v>
      </c>
      <c r="Z755" s="34"/>
      <c r="AA755" s="34"/>
      <c r="AB755" s="22">
        <v>0.89629699707031252</v>
      </c>
      <c r="AC755" s="23" t="s">
        <v>1371</v>
      </c>
      <c r="AD755" s="24">
        <v>5.0301369863013701</v>
      </c>
      <c r="AE755" s="25">
        <v>0.11814099702456371</v>
      </c>
      <c r="AF755" s="26">
        <v>0.21340092105300854</v>
      </c>
      <c r="AG755" s="26">
        <v>0.17910469021956454</v>
      </c>
      <c r="AH755" s="27">
        <v>0.52805247954157286</v>
      </c>
      <c r="AI755" s="27">
        <v>0.81286299439270793</v>
      </c>
      <c r="AJ755" s="27">
        <v>0.75536176978183145</v>
      </c>
      <c r="AK755" s="28" t="s">
        <v>2966</v>
      </c>
      <c r="AL755" s="29">
        <v>4</v>
      </c>
      <c r="AM755" s="29">
        <v>4</v>
      </c>
      <c r="AN755" s="29" t="s">
        <v>48</v>
      </c>
      <c r="AO755" s="47" t="s">
        <v>2041</v>
      </c>
      <c r="AP755" s="28">
        <v>0</v>
      </c>
      <c r="AQ755" s="26">
        <v>1.4999999999999999E-2</v>
      </c>
      <c r="AR755" s="26">
        <v>0</v>
      </c>
    </row>
    <row r="756" spans="1:44" x14ac:dyDescent="0.15">
      <c r="A756">
        <v>636</v>
      </c>
      <c r="B756" s="11">
        <v>240011</v>
      </c>
      <c r="C756" s="32"/>
      <c r="D756" s="32">
        <v>-3.0394532442559901E-3</v>
      </c>
      <c r="E756" s="32">
        <v>127</v>
      </c>
      <c r="F756" s="32">
        <v>2.65626514592418E-2</v>
      </c>
      <c r="G756" s="11"/>
      <c r="H756" s="11"/>
      <c r="I756" s="11"/>
      <c r="J756" s="18" t="s">
        <v>44</v>
      </c>
      <c r="K756" s="18" t="s">
        <v>45</v>
      </c>
      <c r="L756" s="58" t="s">
        <v>274</v>
      </c>
      <c r="M756" s="18">
        <f>[1]!f_prt_stocktonav(B756,"2017/03/31")</f>
        <v>81.943153381347656</v>
      </c>
      <c r="N756" s="20" t="str">
        <f>[1]!f_info_fundmanager(B756)</f>
        <v>夏林锋</v>
      </c>
      <c r="O756" s="21">
        <v>2.441095890410959</v>
      </c>
      <c r="P756" s="34" t="s">
        <v>2967</v>
      </c>
      <c r="Q756" s="34" t="s">
        <v>2968</v>
      </c>
      <c r="R756" s="34" t="s">
        <v>737</v>
      </c>
      <c r="S756" s="34">
        <v>20081007</v>
      </c>
      <c r="T756" s="45">
        <v>0.93656120129999998</v>
      </c>
      <c r="U756" s="46">
        <v>1.0144565959</v>
      </c>
      <c r="V756" s="34" t="s">
        <v>231</v>
      </c>
      <c r="W756" s="34" t="s">
        <v>44</v>
      </c>
      <c r="X756" s="34" t="s">
        <v>45</v>
      </c>
      <c r="Y756" s="34" t="s">
        <v>274</v>
      </c>
      <c r="Z756" s="34"/>
      <c r="AA756" s="34"/>
      <c r="AB756" s="22">
        <v>0.81365547180175779</v>
      </c>
      <c r="AC756" s="23" t="s">
        <v>2969</v>
      </c>
      <c r="AD756" s="24">
        <v>2.2109589041095892</v>
      </c>
      <c r="AE756" s="25">
        <v>7.9085942316656332E-2</v>
      </c>
      <c r="AF756" s="26">
        <v>6.9430019813352395E-2</v>
      </c>
      <c r="AG756" s="26">
        <v>7.5711780610372426E-2</v>
      </c>
      <c r="AH756" s="27">
        <v>0.37169926179075818</v>
      </c>
      <c r="AI756" s="27">
        <v>0.32598215603627845</v>
      </c>
      <c r="AJ756" s="27">
        <v>0.35117655714377127</v>
      </c>
      <c r="AK756" s="28" t="s">
        <v>1459</v>
      </c>
      <c r="AL756" s="29">
        <v>2</v>
      </c>
      <c r="AM756" s="29">
        <v>2</v>
      </c>
      <c r="AN756" s="29" t="s">
        <v>48</v>
      </c>
      <c r="AO756" s="47" t="s">
        <v>739</v>
      </c>
      <c r="AP756" s="28">
        <v>0</v>
      </c>
      <c r="AQ756" s="26">
        <v>1.4999999999999999E-2</v>
      </c>
      <c r="AR756" s="26">
        <v>0</v>
      </c>
    </row>
    <row r="757" spans="1:44" x14ac:dyDescent="0.15">
      <c r="A757">
        <v>827</v>
      </c>
      <c r="B757" s="11">
        <v>180013</v>
      </c>
      <c r="C757" s="32"/>
      <c r="D757" s="32">
        <v>-1.7473870191905101E-3</v>
      </c>
      <c r="E757" s="32">
        <v>100</v>
      </c>
      <c r="F757" s="32">
        <v>0.209582986400315</v>
      </c>
      <c r="G757" s="11"/>
      <c r="H757" s="11"/>
      <c r="I757" s="11"/>
      <c r="J757" s="18" t="s">
        <v>44</v>
      </c>
      <c r="K757" s="18" t="s">
        <v>45</v>
      </c>
      <c r="L757" s="58" t="s">
        <v>274</v>
      </c>
      <c r="M757" s="18">
        <f>[1]!f_prt_stocktonav(B757,"2017/03/31")</f>
        <v>75.783401489257813</v>
      </c>
      <c r="N757" s="20" t="str">
        <f>[1]!f_info_fundmanager(B757)</f>
        <v>倪明</v>
      </c>
      <c r="O757" s="21">
        <v>1.904109589041096</v>
      </c>
      <c r="P757" s="34" t="s">
        <v>2970</v>
      </c>
      <c r="Q757" s="34" t="s">
        <v>2971</v>
      </c>
      <c r="R757" s="34" t="s">
        <v>57</v>
      </c>
      <c r="S757" s="34">
        <v>20080820</v>
      </c>
      <c r="T757" s="45">
        <v>12.2690418224</v>
      </c>
      <c r="U757" s="46">
        <v>13.074713341200001</v>
      </c>
      <c r="V757" s="34" t="s">
        <v>231</v>
      </c>
      <c r="W757" s="34" t="s">
        <v>44</v>
      </c>
      <c r="X757" s="34" t="s">
        <v>45</v>
      </c>
      <c r="Y757" s="34" t="s">
        <v>274</v>
      </c>
      <c r="Z757" s="34"/>
      <c r="AA757" s="34"/>
      <c r="AB757" s="22">
        <v>0.86079421997070316</v>
      </c>
      <c r="AC757" s="23" t="s">
        <v>2835</v>
      </c>
      <c r="AD757" s="24">
        <v>1.6739726027397259</v>
      </c>
      <c r="AE757" s="25">
        <v>0.13100597342982523</v>
      </c>
      <c r="AF757" s="26">
        <v>0.23419219365318475</v>
      </c>
      <c r="AG757" s="26">
        <v>0.16221157783928031</v>
      </c>
      <c r="AH757" s="27">
        <v>0.56569314604442145</v>
      </c>
      <c r="AI757" s="27">
        <v>0.83026323880264641</v>
      </c>
      <c r="AJ757" s="27">
        <v>0.6679025140358601</v>
      </c>
      <c r="AK757" s="28" t="s">
        <v>882</v>
      </c>
      <c r="AL757" s="29">
        <v>5</v>
      </c>
      <c r="AM757" s="29">
        <v>4</v>
      </c>
      <c r="AN757" s="29" t="s">
        <v>48</v>
      </c>
      <c r="AO757" s="47" t="s">
        <v>2972</v>
      </c>
      <c r="AP757" s="28">
        <v>0</v>
      </c>
      <c r="AQ757" s="26">
        <v>1.4999999999999999E-2</v>
      </c>
      <c r="AR757" s="26">
        <v>0</v>
      </c>
    </row>
    <row r="758" spans="1:44" x14ac:dyDescent="0.15">
      <c r="A758">
        <v>631</v>
      </c>
      <c r="B758" s="11">
        <v>481008</v>
      </c>
      <c r="C758" s="32"/>
      <c r="D758" s="32">
        <v>-1.26478798743396E-3</v>
      </c>
      <c r="E758" s="32">
        <v>315</v>
      </c>
      <c r="F758" s="32">
        <v>4.9971642418214501E-2</v>
      </c>
      <c r="G758" s="11"/>
      <c r="H758" s="11"/>
      <c r="I758" s="11"/>
      <c r="J758" s="18" t="s">
        <v>44</v>
      </c>
      <c r="K758" s="18" t="s">
        <v>45</v>
      </c>
      <c r="L758" s="58" t="s">
        <v>65</v>
      </c>
      <c r="M758" s="18">
        <f>[1]!f_prt_stocktonav(B758,"2017/03/31")</f>
        <v>82.054542541503906</v>
      </c>
      <c r="N758" s="20" t="str">
        <f>[1]!f_info_fundmanager(B758)</f>
        <v>胡文彪,王筱苓</v>
      </c>
      <c r="O758" s="21">
        <v>6.0465753424657533</v>
      </c>
      <c r="P758" s="34" t="s">
        <v>2973</v>
      </c>
      <c r="Q758" s="34" t="s">
        <v>2974</v>
      </c>
      <c r="R758" s="34" t="s">
        <v>523</v>
      </c>
      <c r="S758" s="34">
        <v>20080804</v>
      </c>
      <c r="T758" s="45">
        <v>3.4639784158000002</v>
      </c>
      <c r="U758" s="46">
        <v>3.4823979394000002</v>
      </c>
      <c r="V758" s="34" t="s">
        <v>231</v>
      </c>
      <c r="W758" s="34" t="s">
        <v>44</v>
      </c>
      <c r="X758" s="34" t="s">
        <v>45</v>
      </c>
      <c r="Y758" s="34" t="s">
        <v>65</v>
      </c>
      <c r="Z758" s="34"/>
      <c r="AA758" s="34"/>
      <c r="AB758" s="22">
        <v>0.80491165161132816</v>
      </c>
      <c r="AC758" s="23" t="s">
        <v>2975</v>
      </c>
      <c r="AD758" s="24">
        <v>5.816438356164384</v>
      </c>
      <c r="AE758" s="25">
        <v>5.5238286176459761E-2</v>
      </c>
      <c r="AF758" s="26">
        <v>0.13899462342362212</v>
      </c>
      <c r="AG758" s="26">
        <v>8.4579579220597445E-2</v>
      </c>
      <c r="AH758" s="27">
        <v>0.28321333399269216</v>
      </c>
      <c r="AI758" s="27">
        <v>0.60372175889279855</v>
      </c>
      <c r="AJ758" s="27">
        <v>0.40031771246140579</v>
      </c>
      <c r="AK758" s="28" t="s">
        <v>1459</v>
      </c>
      <c r="AL758" s="29">
        <v>2</v>
      </c>
      <c r="AM758" s="29">
        <v>3</v>
      </c>
      <c r="AN758" s="29" t="s">
        <v>48</v>
      </c>
      <c r="AO758" s="47" t="s">
        <v>255</v>
      </c>
      <c r="AP758" s="28">
        <v>0</v>
      </c>
      <c r="AQ758" s="26">
        <v>1.4999999999999999E-2</v>
      </c>
      <c r="AR758" s="26">
        <v>0</v>
      </c>
    </row>
    <row r="759" spans="1:44" x14ac:dyDescent="0.15">
      <c r="A759">
        <v>915</v>
      </c>
      <c r="B759" s="11">
        <v>660001</v>
      </c>
      <c r="C759" s="32"/>
      <c r="D759" s="32">
        <v>-3.3490585617305399E-3</v>
      </c>
      <c r="E759" s="32">
        <v>165</v>
      </c>
      <c r="F759" s="32">
        <v>6.0897895546473003E-3</v>
      </c>
      <c r="G759" s="11"/>
      <c r="H759" s="11"/>
      <c r="I759" s="11"/>
      <c r="J759" s="18" t="s">
        <v>44</v>
      </c>
      <c r="K759" s="19" t="s">
        <v>45</v>
      </c>
      <c r="L759" s="58" t="s">
        <v>274</v>
      </c>
      <c r="M759" s="18">
        <f>[1]!f_prt_stocktonav(B759,"2017/03/31")</f>
        <v>71.7105712890625</v>
      </c>
      <c r="N759" s="20" t="str">
        <f>[1]!f_info_fundmanager(B759)</f>
        <v>郭世凯</v>
      </c>
      <c r="O759" s="21">
        <v>3.1726027397260275</v>
      </c>
      <c r="P759" s="32" t="s">
        <v>2976</v>
      </c>
      <c r="Q759" s="13" t="s">
        <v>2977</v>
      </c>
      <c r="R759" s="13" t="s">
        <v>424</v>
      </c>
      <c r="S759" s="13">
        <v>20080804</v>
      </c>
      <c r="T759" s="14">
        <v>22.493845690200001</v>
      </c>
      <c r="U759" s="15" t="s">
        <v>39</v>
      </c>
      <c r="V759" s="16" t="s">
        <v>40</v>
      </c>
      <c r="W759" s="17" t="s">
        <v>44</v>
      </c>
      <c r="X759" s="17" t="s">
        <v>45</v>
      </c>
      <c r="Y759" s="17" t="s">
        <v>274</v>
      </c>
      <c r="Z759" s="13"/>
      <c r="AA759" s="13"/>
      <c r="AB759" s="22">
        <v>0.70528404235839848</v>
      </c>
      <c r="AC759" s="23" t="s">
        <v>700</v>
      </c>
      <c r="AD759" s="24">
        <v>2.9424657534246577</v>
      </c>
      <c r="AE759" s="25">
        <v>0.15474784942747233</v>
      </c>
      <c r="AF759" s="26">
        <v>0.10585718654727817</v>
      </c>
      <c r="AG759" s="26">
        <v>0.16929786965591531</v>
      </c>
      <c r="AH759" s="27">
        <v>0.62084906653214267</v>
      </c>
      <c r="AI759" s="27">
        <v>0.39172873551518167</v>
      </c>
      <c r="AJ759" s="27">
        <v>0.62708500180996662</v>
      </c>
      <c r="AK759" s="28" t="s">
        <v>2119</v>
      </c>
      <c r="AL759" s="29">
        <v>3</v>
      </c>
      <c r="AM759" s="29">
        <v>3</v>
      </c>
      <c r="AN759" s="29" t="s">
        <v>48</v>
      </c>
      <c r="AO759" s="23" t="s">
        <v>2978</v>
      </c>
      <c r="AP759" s="30">
        <v>0</v>
      </c>
      <c r="AQ759" s="31">
        <v>1.4999999999999999E-2</v>
      </c>
      <c r="AR759" s="31">
        <v>0</v>
      </c>
    </row>
    <row r="760" spans="1:44" x14ac:dyDescent="0.15">
      <c r="A760">
        <v>48</v>
      </c>
      <c r="B760" s="11">
        <v>519089</v>
      </c>
      <c r="C760" s="32"/>
      <c r="D760" s="32">
        <v>-7.0977791878823601E-4</v>
      </c>
      <c r="E760" s="32">
        <v>84</v>
      </c>
      <c r="F760" s="32">
        <v>0.56367573815263705</v>
      </c>
      <c r="G760" s="11"/>
      <c r="H760" s="11"/>
      <c r="I760" s="11"/>
      <c r="J760" s="18" t="s">
        <v>44</v>
      </c>
      <c r="K760" s="18" t="s">
        <v>45</v>
      </c>
      <c r="L760" s="58" t="s">
        <v>274</v>
      </c>
      <c r="M760" s="18">
        <f>[1]!f_prt_stocktonav(B760,"2017/03/31")</f>
        <v>94.337821960449219</v>
      </c>
      <c r="N760" s="20" t="str">
        <f>[1]!f_info_fundmanager(B760)</f>
        <v>付伟</v>
      </c>
      <c r="O760" s="21">
        <v>1.6</v>
      </c>
      <c r="P760" s="34" t="s">
        <v>2979</v>
      </c>
      <c r="Q760" s="34" t="s">
        <v>2980</v>
      </c>
      <c r="R760" s="34" t="s">
        <v>569</v>
      </c>
      <c r="S760" s="34">
        <v>20080725</v>
      </c>
      <c r="T760" s="45">
        <v>3.8996446063999999</v>
      </c>
      <c r="U760" s="46">
        <v>4.0688356564000001</v>
      </c>
      <c r="V760" s="34" t="s">
        <v>201</v>
      </c>
      <c r="W760" s="34" t="s">
        <v>44</v>
      </c>
      <c r="X760" s="34" t="s">
        <v>45</v>
      </c>
      <c r="Y760" s="34" t="s">
        <v>274</v>
      </c>
      <c r="Z760" s="34"/>
      <c r="AA760" s="34"/>
      <c r="AB760" s="22">
        <v>0.79964790344238279</v>
      </c>
      <c r="AC760" s="23" t="s">
        <v>2566</v>
      </c>
      <c r="AD760" s="24">
        <v>1.3698630136986301</v>
      </c>
      <c r="AE760" s="25">
        <v>0.13588298818004207</v>
      </c>
      <c r="AF760" s="26">
        <v>7.914115970935276E-2</v>
      </c>
      <c r="AG760" s="26">
        <v>9.8709691826037518E-2</v>
      </c>
      <c r="AH760" s="27">
        <v>0.55252436604192878</v>
      </c>
      <c r="AI760" s="27">
        <v>0.34454750149094754</v>
      </c>
      <c r="AJ760" s="27">
        <v>0.41734102817725427</v>
      </c>
      <c r="AK760" s="28" t="s">
        <v>726</v>
      </c>
      <c r="AL760" s="29">
        <v>1</v>
      </c>
      <c r="AM760" s="29">
        <v>2</v>
      </c>
      <c r="AN760" s="29" t="s">
        <v>48</v>
      </c>
      <c r="AO760" s="47" t="s">
        <v>310</v>
      </c>
      <c r="AP760" s="28">
        <v>0</v>
      </c>
      <c r="AQ760" s="26">
        <v>1.4999999999999999E-2</v>
      </c>
      <c r="AR760" s="26">
        <v>0</v>
      </c>
    </row>
    <row r="761" spans="1:44" x14ac:dyDescent="0.15">
      <c r="A761">
        <v>164</v>
      </c>
      <c r="B761" s="11">
        <v>460005</v>
      </c>
      <c r="C761" s="32"/>
      <c r="D761" s="32">
        <v>2.74826890643394E-3</v>
      </c>
      <c r="E761" s="32">
        <v>136</v>
      </c>
      <c r="F761" s="32">
        <v>0.12529519531411101</v>
      </c>
      <c r="G761" s="11"/>
      <c r="H761" s="11"/>
      <c r="I761" s="11"/>
      <c r="J761" s="18" t="s">
        <v>44</v>
      </c>
      <c r="K761" s="18" t="s">
        <v>45</v>
      </c>
      <c r="L761" s="58" t="s">
        <v>65</v>
      </c>
      <c r="M761" s="18">
        <f>[1]!f_prt_stocktonav(B761,"2017/03/31")</f>
        <v>92.44891357421875</v>
      </c>
      <c r="N761" s="20" t="str">
        <f>[1]!f_info_fundmanager(B761)</f>
        <v>方纬</v>
      </c>
      <c r="O761" s="21">
        <v>2.6082191780821917</v>
      </c>
      <c r="P761" s="34" t="s">
        <v>2981</v>
      </c>
      <c r="Q761" s="34" t="s">
        <v>2982</v>
      </c>
      <c r="R761" s="34" t="s">
        <v>880</v>
      </c>
      <c r="S761" s="34">
        <v>20080716</v>
      </c>
      <c r="T761" s="45">
        <v>8.8707808440000004</v>
      </c>
      <c r="U761" s="46">
        <v>9.6951913065999999</v>
      </c>
      <c r="V761" s="34" t="s">
        <v>231</v>
      </c>
      <c r="W761" s="34" t="s">
        <v>44</v>
      </c>
      <c r="X761" s="34" t="s">
        <v>45</v>
      </c>
      <c r="Y761" s="34" t="s">
        <v>817</v>
      </c>
      <c r="Z761" s="34"/>
      <c r="AA761" s="34"/>
      <c r="AB761" s="22">
        <v>0.93580924987792968</v>
      </c>
      <c r="AC761" s="23" t="s">
        <v>1280</v>
      </c>
      <c r="AD761" s="24">
        <v>2.3780821917808219</v>
      </c>
      <c r="AE761" s="25">
        <v>0.17926195687245716</v>
      </c>
      <c r="AF761" s="26">
        <v>0.32171780062034272</v>
      </c>
      <c r="AG761" s="26">
        <v>0.22615514423676353</v>
      </c>
      <c r="AH761" s="27">
        <v>0.71851833669359133</v>
      </c>
      <c r="AI761" s="27">
        <v>1.0202225410282011</v>
      </c>
      <c r="AJ761" s="27">
        <v>0.85148582616893709</v>
      </c>
      <c r="AK761" s="28" t="s">
        <v>726</v>
      </c>
      <c r="AL761" s="29">
        <v>5</v>
      </c>
      <c r="AM761" s="29">
        <v>5</v>
      </c>
      <c r="AN761" s="29" t="s">
        <v>48</v>
      </c>
      <c r="AO761" s="47" t="s">
        <v>2790</v>
      </c>
      <c r="AP761" s="28">
        <v>0</v>
      </c>
      <c r="AQ761" s="26">
        <v>1.4999999999999999E-2</v>
      </c>
      <c r="AR761" s="26">
        <v>0</v>
      </c>
    </row>
    <row r="762" spans="1:44" x14ac:dyDescent="0.15">
      <c r="A762">
        <v>406</v>
      </c>
      <c r="B762" s="11">
        <v>270008</v>
      </c>
      <c r="C762" s="32"/>
      <c r="D762" s="32">
        <v>4.7696967243648599E-4</v>
      </c>
      <c r="E762" s="32">
        <v>111</v>
      </c>
      <c r="F762" s="32">
        <v>0.80809092477328104</v>
      </c>
      <c r="G762" s="11"/>
      <c r="H762" s="11"/>
      <c r="I762" s="11"/>
      <c r="J762" s="18" t="s">
        <v>44</v>
      </c>
      <c r="K762" s="18" t="s">
        <v>45</v>
      </c>
      <c r="L762" s="58" t="s">
        <v>274</v>
      </c>
      <c r="M762" s="18">
        <f>[1]!f_prt_stocktonav(B762,"2017/03/31")</f>
        <v>87.446891784667969</v>
      </c>
      <c r="N762" s="20" t="str">
        <f>[1]!f_info_fundmanager(B762)</f>
        <v>吴兴武</v>
      </c>
      <c r="O762" s="21">
        <v>2.117808219178082</v>
      </c>
      <c r="P762" s="34" t="s">
        <v>2983</v>
      </c>
      <c r="Q762" s="34" t="s">
        <v>2984</v>
      </c>
      <c r="R762" s="34" t="s">
        <v>132</v>
      </c>
      <c r="S762" s="34">
        <v>20080716</v>
      </c>
      <c r="T762" s="45">
        <v>13.7670676116</v>
      </c>
      <c r="U762" s="46">
        <v>14.160074402199999</v>
      </c>
      <c r="V762" s="34" t="s">
        <v>231</v>
      </c>
      <c r="W762" s="34" t="s">
        <v>44</v>
      </c>
      <c r="X762" s="34" t="s">
        <v>45</v>
      </c>
      <c r="Y762" s="34" t="s">
        <v>274</v>
      </c>
      <c r="Z762" s="34"/>
      <c r="AA762" s="34"/>
      <c r="AB762" s="22">
        <v>0.89396163940429685</v>
      </c>
      <c r="AC762" s="23" t="s">
        <v>2133</v>
      </c>
      <c r="AD762" s="24">
        <v>1.8876712328767122</v>
      </c>
      <c r="AE762" s="25">
        <v>0.15386112152103149</v>
      </c>
      <c r="AF762" s="26">
        <v>0.12927914700440413</v>
      </c>
      <c r="AG762" s="26">
        <v>0.17472132887373615</v>
      </c>
      <c r="AH762" s="27">
        <v>0.6226303290917593</v>
      </c>
      <c r="AI762" s="27">
        <v>0.46822472601969922</v>
      </c>
      <c r="AJ762" s="27">
        <v>0.65921863886755661</v>
      </c>
      <c r="AK762" s="28" t="s">
        <v>726</v>
      </c>
      <c r="AL762" s="29">
        <v>2</v>
      </c>
      <c r="AM762" s="29">
        <v>3</v>
      </c>
      <c r="AN762" s="29" t="s">
        <v>48</v>
      </c>
      <c r="AO762" s="47" t="s">
        <v>287</v>
      </c>
      <c r="AP762" s="28">
        <v>0</v>
      </c>
      <c r="AQ762" s="26">
        <v>1.4999999999999999E-2</v>
      </c>
      <c r="AR762" s="26">
        <v>0</v>
      </c>
    </row>
    <row r="763" spans="1:44" x14ac:dyDescent="0.15">
      <c r="A763">
        <v>179</v>
      </c>
      <c r="B763" s="11">
        <v>310368</v>
      </c>
      <c r="C763" s="32"/>
      <c r="D763" s="32">
        <v>-3.5743750751463799E-3</v>
      </c>
      <c r="E763" s="32">
        <v>165</v>
      </c>
      <c r="F763" s="32">
        <v>2.5507982357377799E-2</v>
      </c>
      <c r="G763" s="11"/>
      <c r="H763" s="11"/>
      <c r="I763" s="11"/>
      <c r="J763" s="18" t="s">
        <v>44</v>
      </c>
      <c r="K763" s="18" t="s">
        <v>45</v>
      </c>
      <c r="L763" s="58" t="s">
        <v>274</v>
      </c>
      <c r="M763" s="18">
        <f>[1]!f_prt_stocktonav(B763,"2017/03/31")</f>
        <v>92.1248779296875</v>
      </c>
      <c r="N763" s="20" t="str">
        <f>[1]!f_info_fundmanager(B763)</f>
        <v>孙琳</v>
      </c>
      <c r="O763" s="21">
        <v>3.1726027397260275</v>
      </c>
      <c r="P763" s="34" t="s">
        <v>2985</v>
      </c>
      <c r="Q763" s="34" t="s">
        <v>2986</v>
      </c>
      <c r="R763" s="34" t="s">
        <v>2493</v>
      </c>
      <c r="S763" s="34">
        <v>20080704</v>
      </c>
      <c r="T763" s="45">
        <v>0.85140306600000004</v>
      </c>
      <c r="U763" s="46">
        <v>0.51020664709999997</v>
      </c>
      <c r="V763" s="34" t="s">
        <v>201</v>
      </c>
      <c r="W763" s="34" t="s">
        <v>44</v>
      </c>
      <c r="X763" s="34" t="s">
        <v>45</v>
      </c>
      <c r="Y763" s="34" t="s">
        <v>274</v>
      </c>
      <c r="Z763" s="34"/>
      <c r="AA763" s="34"/>
      <c r="AB763" s="22">
        <v>0.90585258483886721</v>
      </c>
      <c r="AC763" s="23" t="s">
        <v>2987</v>
      </c>
      <c r="AD763" s="24">
        <v>2.9424657534246577</v>
      </c>
      <c r="AE763" s="25">
        <v>8.7748622173738688E-2</v>
      </c>
      <c r="AF763" s="26">
        <v>9.0820533959316455E-2</v>
      </c>
      <c r="AG763" s="26">
        <v>9.4367068668119961E-2</v>
      </c>
      <c r="AH763" s="27">
        <v>0.38981806047596912</v>
      </c>
      <c r="AI763" s="27">
        <v>0.34995183426123344</v>
      </c>
      <c r="AJ763" s="27">
        <v>0.40047917450771542</v>
      </c>
      <c r="AK763" s="28" t="s">
        <v>2988</v>
      </c>
      <c r="AL763" s="29">
        <v>1</v>
      </c>
      <c r="AM763" s="29">
        <v>1</v>
      </c>
      <c r="AN763" s="29" t="s">
        <v>48</v>
      </c>
      <c r="AO763" s="47" t="s">
        <v>2989</v>
      </c>
      <c r="AP763" s="28">
        <v>0</v>
      </c>
      <c r="AQ763" s="26">
        <v>1.4999999999999999E-2</v>
      </c>
      <c r="AR763" s="26">
        <v>0</v>
      </c>
    </row>
    <row r="764" spans="1:44" x14ac:dyDescent="0.15">
      <c r="A764">
        <v>565</v>
      </c>
      <c r="B764" s="11">
        <v>450004</v>
      </c>
      <c r="C764" s="32"/>
      <c r="D764" s="32">
        <v>2.10012390393515E-3</v>
      </c>
      <c r="E764" s="32">
        <v>6</v>
      </c>
      <c r="F764" s="32">
        <v>0.48625682867824699</v>
      </c>
      <c r="G764" s="11"/>
      <c r="H764" s="11"/>
      <c r="I764" s="11"/>
      <c r="J764" s="18" t="s">
        <v>44</v>
      </c>
      <c r="K764" s="18" t="s">
        <v>45</v>
      </c>
      <c r="L764" s="58" t="s">
        <v>65</v>
      </c>
      <c r="M764" s="18">
        <f>[1]!f_prt_stocktonav(B764,"2017/03/31")</f>
        <v>83.782402038574219</v>
      </c>
      <c r="N764" s="20" t="str">
        <f>[1]!f_info_fundmanager(B764)</f>
        <v>刘晓</v>
      </c>
      <c r="O764" s="21">
        <v>0.11232876712328767</v>
      </c>
      <c r="P764" s="34" t="s">
        <v>2990</v>
      </c>
      <c r="Q764" s="34" t="s">
        <v>2991</v>
      </c>
      <c r="R764" s="34" t="s">
        <v>742</v>
      </c>
      <c r="S764" s="34">
        <v>20080703</v>
      </c>
      <c r="T764" s="45">
        <v>1.9954203188999999</v>
      </c>
      <c r="U764" s="46">
        <v>3.0227601972000002</v>
      </c>
      <c r="V764" s="34" t="s">
        <v>231</v>
      </c>
      <c r="W764" s="34" t="s">
        <v>44</v>
      </c>
      <c r="X764" s="34" t="s">
        <v>45</v>
      </c>
      <c r="Y764" s="34" t="s">
        <v>274</v>
      </c>
      <c r="Z764" s="34"/>
      <c r="AA764" s="34"/>
      <c r="AB764" s="22">
        <v>0.93448242187499997</v>
      </c>
      <c r="AC764" s="23" t="s">
        <v>743</v>
      </c>
      <c r="AD764" s="24">
        <v>2.043835616438356</v>
      </c>
      <c r="AE764" s="25">
        <v>4.0467000904273354E-2</v>
      </c>
      <c r="AF764" s="26">
        <v>-6.5808690610918763E-2</v>
      </c>
      <c r="AG764" s="26">
        <v>4.5641126882802752E-3</v>
      </c>
      <c r="AH764" s="27">
        <v>0.23572612819756164</v>
      </c>
      <c r="AI764" s="27">
        <v>2.7187159979143782E-2</v>
      </c>
      <c r="AJ764" s="27">
        <v>0.14924271385485005</v>
      </c>
      <c r="AK764" s="28" t="s">
        <v>2992</v>
      </c>
      <c r="AL764" s="29">
        <v>1</v>
      </c>
      <c r="AM764" s="29">
        <v>2</v>
      </c>
      <c r="AN764" s="29" t="s">
        <v>48</v>
      </c>
      <c r="AO764" s="47" t="s">
        <v>2905</v>
      </c>
      <c r="AP764" s="28">
        <v>0</v>
      </c>
      <c r="AQ764" s="26">
        <v>1.4999999999999999E-2</v>
      </c>
      <c r="AR764" s="26">
        <v>0</v>
      </c>
    </row>
    <row r="765" spans="1:44" x14ac:dyDescent="0.15">
      <c r="A765">
        <v>873</v>
      </c>
      <c r="B765" s="11">
        <v>290005</v>
      </c>
      <c r="C765" s="32"/>
      <c r="D765" s="32">
        <v>-1.9065840033898999E-3</v>
      </c>
      <c r="E765" s="32">
        <v>375</v>
      </c>
      <c r="F765" s="32">
        <v>2.7724752179719599E-2</v>
      </c>
      <c r="G765" s="11"/>
      <c r="H765" s="11"/>
      <c r="I765" s="11"/>
      <c r="J765" s="18" t="s">
        <v>44</v>
      </c>
      <c r="K765" s="18" t="s">
        <v>45</v>
      </c>
      <c r="L765" s="58" t="s">
        <v>274</v>
      </c>
      <c r="M765" s="18">
        <f>[1]!f_prt_stocktonav(B765,"2017/03/31")</f>
        <v>73.729904174804687</v>
      </c>
      <c r="N765" s="20" t="str">
        <f>[1]!f_info_fundmanager(B765)</f>
        <v>朱志权</v>
      </c>
      <c r="O765" s="21">
        <v>7.2082191780821914</v>
      </c>
      <c r="P765" s="34" t="s">
        <v>2993</v>
      </c>
      <c r="Q765" s="34" t="s">
        <v>2994</v>
      </c>
      <c r="R765" s="34" t="s">
        <v>889</v>
      </c>
      <c r="S765" s="34">
        <v>20080625</v>
      </c>
      <c r="T765" s="45">
        <v>0.8244029142</v>
      </c>
      <c r="U765" s="46">
        <v>0.89796310759999998</v>
      </c>
      <c r="V765" s="34" t="s">
        <v>231</v>
      </c>
      <c r="W765" s="34" t="s">
        <v>41</v>
      </c>
      <c r="X765" s="34" t="s">
        <v>42</v>
      </c>
      <c r="Y765" s="34" t="s">
        <v>181</v>
      </c>
      <c r="Z765" s="34"/>
      <c r="AA765" s="34"/>
      <c r="AB765" s="22">
        <v>0.69513473510742185</v>
      </c>
      <c r="AC765" s="23" t="s">
        <v>2995</v>
      </c>
      <c r="AD765" s="24">
        <v>6.978082191780822</v>
      </c>
      <c r="AE765" s="25">
        <v>9.856844199979499E-2</v>
      </c>
      <c r="AF765" s="26">
        <v>9.0155210649345965E-2</v>
      </c>
      <c r="AG765" s="26">
        <v>0.13010467059349384</v>
      </c>
      <c r="AH765" s="27">
        <v>0.44934393978076975</v>
      </c>
      <c r="AI765" s="27">
        <v>0.3503061346833275</v>
      </c>
      <c r="AJ765" s="27">
        <v>0.53766714170535956</v>
      </c>
      <c r="AK765" s="28" t="s">
        <v>1964</v>
      </c>
      <c r="AL765" s="29">
        <v>3</v>
      </c>
      <c r="AM765" s="29">
        <v>5</v>
      </c>
      <c r="AN765" s="29" t="s">
        <v>48</v>
      </c>
      <c r="AO765" s="47" t="s">
        <v>2457</v>
      </c>
      <c r="AP765" s="28">
        <v>0</v>
      </c>
      <c r="AQ765" s="26">
        <v>1.4999999999999999E-2</v>
      </c>
      <c r="AR765" s="26">
        <v>0</v>
      </c>
    </row>
    <row r="766" spans="1:44" x14ac:dyDescent="0.15">
      <c r="A766">
        <v>766</v>
      </c>
      <c r="B766" s="11">
        <v>110011</v>
      </c>
      <c r="C766" s="32"/>
      <c r="D766" s="32">
        <v>2.5129011596198201E-3</v>
      </c>
      <c r="E766" s="32">
        <v>235</v>
      </c>
      <c r="F766" s="32">
        <v>1.8225497787178E-2</v>
      </c>
      <c r="G766" s="11"/>
      <c r="H766" s="11"/>
      <c r="I766" s="11"/>
      <c r="J766" s="18" t="s">
        <v>44</v>
      </c>
      <c r="K766" s="18" t="s">
        <v>45</v>
      </c>
      <c r="L766" s="58" t="s">
        <v>65</v>
      </c>
      <c r="M766" s="18">
        <f>[1]!f_prt_stocktonav(B766,"2017/03/31")</f>
        <v>77.649604797363281</v>
      </c>
      <c r="N766" s="20" t="str">
        <f>[1]!f_info_fundmanager(B766)</f>
        <v>张坤</v>
      </c>
      <c r="O766" s="21">
        <v>4.506849315068493</v>
      </c>
      <c r="P766" s="34" t="s">
        <v>2996</v>
      </c>
      <c r="Q766" s="34" t="s">
        <v>2997</v>
      </c>
      <c r="R766" s="34" t="s">
        <v>218</v>
      </c>
      <c r="S766" s="34">
        <v>20080619</v>
      </c>
      <c r="T766" s="45">
        <v>18.816288274000001</v>
      </c>
      <c r="U766" s="46">
        <v>19.960590749600001</v>
      </c>
      <c r="V766" s="34" t="s">
        <v>231</v>
      </c>
      <c r="W766" s="34" t="s">
        <v>44</v>
      </c>
      <c r="X766" s="34" t="s">
        <v>45</v>
      </c>
      <c r="Y766" s="34" t="s">
        <v>65</v>
      </c>
      <c r="Z766" s="34"/>
      <c r="AA766" s="34"/>
      <c r="AB766" s="22">
        <v>0.83551887512207035</v>
      </c>
      <c r="AC766" s="23" t="s">
        <v>2998</v>
      </c>
      <c r="AD766" s="24">
        <v>4.2767123287671236</v>
      </c>
      <c r="AE766" s="25">
        <v>0.13700485260860584</v>
      </c>
      <c r="AF766" s="26">
        <v>0.21424815312815818</v>
      </c>
      <c r="AG766" s="26">
        <v>0.15612659920982708</v>
      </c>
      <c r="AH766" s="27">
        <v>0.64824556239239983</v>
      </c>
      <c r="AI766" s="27">
        <v>1.0043233643372032</v>
      </c>
      <c r="AJ766" s="27">
        <v>0.76956001259177975</v>
      </c>
      <c r="AK766" s="28" t="s">
        <v>2999</v>
      </c>
      <c r="AL766" s="29">
        <v>4</v>
      </c>
      <c r="AM766" s="29">
        <v>5</v>
      </c>
      <c r="AN766" s="29" t="s">
        <v>48</v>
      </c>
      <c r="AO766" s="47" t="s">
        <v>2457</v>
      </c>
      <c r="AP766" s="28">
        <v>0</v>
      </c>
      <c r="AQ766" s="26">
        <v>1.4999999999999999E-2</v>
      </c>
      <c r="AR766" s="26">
        <v>0</v>
      </c>
    </row>
    <row r="767" spans="1:44" x14ac:dyDescent="0.15">
      <c r="A767">
        <v>562</v>
      </c>
      <c r="B767" s="11">
        <v>217010</v>
      </c>
      <c r="C767" s="32"/>
      <c r="D767" s="32">
        <v>-1.08756853103566E-3</v>
      </c>
      <c r="E767" s="32">
        <v>104</v>
      </c>
      <c r="F767" s="32">
        <v>0.42276487830593201</v>
      </c>
      <c r="G767" s="11"/>
      <c r="H767" s="11"/>
      <c r="I767" s="11"/>
      <c r="J767" s="18" t="s">
        <v>44</v>
      </c>
      <c r="K767" s="18" t="s">
        <v>45</v>
      </c>
      <c r="L767" s="58" t="s">
        <v>65</v>
      </c>
      <c r="M767" s="18">
        <f>[1]!f_prt_stocktonav(B767,"2017/03/31")</f>
        <v>83.826423645019531</v>
      </c>
      <c r="N767" s="20" t="str">
        <f>[1]!f_info_fundmanager(B767)</f>
        <v>郭锐</v>
      </c>
      <c r="O767" s="21">
        <v>2</v>
      </c>
      <c r="P767" s="34" t="s">
        <v>3000</v>
      </c>
      <c r="Q767" s="34" t="s">
        <v>3001</v>
      </c>
      <c r="R767" s="34" t="s">
        <v>165</v>
      </c>
      <c r="S767" s="34">
        <v>20080619</v>
      </c>
      <c r="T767" s="45">
        <v>8.2502379757999993</v>
      </c>
      <c r="U767" s="46">
        <v>9.9760072734000005</v>
      </c>
      <c r="V767" s="34" t="s">
        <v>231</v>
      </c>
      <c r="W767" s="34" t="s">
        <v>44</v>
      </c>
      <c r="X767" s="34" t="s">
        <v>45</v>
      </c>
      <c r="Y767" s="34" t="s">
        <v>65</v>
      </c>
      <c r="Z767" s="34"/>
      <c r="AA767" s="34"/>
      <c r="AB767" s="22">
        <v>0.77094337463378904</v>
      </c>
      <c r="AC767" s="23" t="s">
        <v>3002</v>
      </c>
      <c r="AD767" s="24">
        <v>1.7698630136986302</v>
      </c>
      <c r="AE767" s="25">
        <v>9.8813362348070921E-2</v>
      </c>
      <c r="AF767" s="26">
        <v>0.17781024813014512</v>
      </c>
      <c r="AG767" s="26">
        <v>0.14579375712086717</v>
      </c>
      <c r="AH767" s="27">
        <v>0.46659144603023889</v>
      </c>
      <c r="AI767" s="27">
        <v>0.72613675647714171</v>
      </c>
      <c r="AJ767" s="27">
        <v>0.65103866877685745</v>
      </c>
      <c r="AK767" s="28" t="s">
        <v>3003</v>
      </c>
      <c r="AL767" s="29">
        <v>5</v>
      </c>
      <c r="AM767" s="29">
        <v>4</v>
      </c>
      <c r="AN767" s="29" t="s">
        <v>48</v>
      </c>
      <c r="AO767" s="47" t="s">
        <v>334</v>
      </c>
      <c r="AP767" s="28">
        <v>0</v>
      </c>
      <c r="AQ767" s="26">
        <v>1.4999999999999999E-2</v>
      </c>
      <c r="AR767" s="26">
        <v>0</v>
      </c>
    </row>
    <row r="768" spans="1:44" x14ac:dyDescent="0.15">
      <c r="A768">
        <v>658</v>
      </c>
      <c r="B768" s="11">
        <v>202011</v>
      </c>
      <c r="C768" s="32"/>
      <c r="D768" s="32">
        <v>1.93106317994272E-3</v>
      </c>
      <c r="E768" s="32">
        <v>93</v>
      </c>
      <c r="F768" s="32">
        <v>0.247795768989092</v>
      </c>
      <c r="G768" s="11"/>
      <c r="H768" s="11"/>
      <c r="I768" s="11"/>
      <c r="J768" s="18" t="s">
        <v>44</v>
      </c>
      <c r="K768" s="18" t="s">
        <v>45</v>
      </c>
      <c r="L768" s="58" t="s">
        <v>274</v>
      </c>
      <c r="M768" s="18">
        <f>[1]!f_prt_stocktonav(B768,"2017/03/31")</f>
        <v>81.18701171875</v>
      </c>
      <c r="N768" s="20" t="str">
        <f>[1]!f_info_fundmanager(B768)</f>
        <v>罗安安,骆帅</v>
      </c>
      <c r="O768" s="21">
        <v>1.7835616438356163</v>
      </c>
      <c r="P768" s="34" t="s">
        <v>3004</v>
      </c>
      <c r="Q768" s="34" t="s">
        <v>3005</v>
      </c>
      <c r="R768" s="34" t="s">
        <v>284</v>
      </c>
      <c r="S768" s="34">
        <v>20080618</v>
      </c>
      <c r="T768" s="45">
        <v>9.2793200556999995</v>
      </c>
      <c r="U768" s="46">
        <v>9.7491170330999992</v>
      </c>
      <c r="V768" s="34" t="s">
        <v>201</v>
      </c>
      <c r="W768" s="34" t="s">
        <v>44</v>
      </c>
      <c r="X768" s="34" t="s">
        <v>45</v>
      </c>
      <c r="Y768" s="34" t="s">
        <v>274</v>
      </c>
      <c r="Z768" s="34"/>
      <c r="AA768" s="34"/>
      <c r="AB768" s="22">
        <v>0.81036514282226557</v>
      </c>
      <c r="AC768" s="23" t="s">
        <v>3006</v>
      </c>
      <c r="AD768" s="24">
        <v>1.5534246575342465</v>
      </c>
      <c r="AE768" s="25">
        <v>0.15429485263493858</v>
      </c>
      <c r="AF768" s="26">
        <v>0.23230020570477694</v>
      </c>
      <c r="AG768" s="26">
        <v>0.18808341844251664</v>
      </c>
      <c r="AH768" s="27">
        <v>0.66051522787618344</v>
      </c>
      <c r="AI768" s="27">
        <v>0.78691555378703482</v>
      </c>
      <c r="AJ768" s="27">
        <v>0.7426951121248222</v>
      </c>
      <c r="AK768" s="28" t="s">
        <v>726</v>
      </c>
      <c r="AL768" s="29">
        <v>4</v>
      </c>
      <c r="AM768" s="29">
        <v>4</v>
      </c>
      <c r="AN768" s="29" t="s">
        <v>48</v>
      </c>
      <c r="AO768" s="47" t="s">
        <v>3007</v>
      </c>
      <c r="AP768" s="28" t="s">
        <v>3008</v>
      </c>
      <c r="AQ768" s="26">
        <v>1.4999999999999999E-2</v>
      </c>
      <c r="AR768" s="26">
        <v>0</v>
      </c>
    </row>
    <row r="769" spans="1:44" x14ac:dyDescent="0.15">
      <c r="A769">
        <v>808</v>
      </c>
      <c r="B769" s="11">
        <v>80002</v>
      </c>
      <c r="C769" s="32"/>
      <c r="D769" s="32">
        <v>-3.1243529826969901E-5</v>
      </c>
      <c r="E769" s="32">
        <v>79</v>
      </c>
      <c r="F769" s="32">
        <v>0.97410297477997099</v>
      </c>
      <c r="G769" s="11"/>
      <c r="H769" s="11"/>
      <c r="I769" s="11"/>
      <c r="J769" s="18" t="s">
        <v>44</v>
      </c>
      <c r="K769" s="18" t="s">
        <v>45</v>
      </c>
      <c r="L769" s="58" t="s">
        <v>65</v>
      </c>
      <c r="M769" s="18">
        <f>[1]!f_prt_stocktonav(B769,"2017/03/31")</f>
        <v>76.376045227050781</v>
      </c>
      <c r="N769" s="20" t="str">
        <f>[1]!f_info_fundmanager(B769)</f>
        <v>赵宏宇</v>
      </c>
      <c r="O769" s="21">
        <v>1.5178082191780822</v>
      </c>
      <c r="P769" s="34" t="s">
        <v>3009</v>
      </c>
      <c r="Q769" s="34" t="s">
        <v>3010</v>
      </c>
      <c r="R769" s="34" t="s">
        <v>364</v>
      </c>
      <c r="S769" s="34">
        <v>20080604</v>
      </c>
      <c r="T769" s="45">
        <v>1.3446100057999999</v>
      </c>
      <c r="U769" s="46">
        <v>1.5327755590000001</v>
      </c>
      <c r="V769" s="34" t="s">
        <v>231</v>
      </c>
      <c r="W769" s="34" t="s">
        <v>44</v>
      </c>
      <c r="X769" s="34" t="s">
        <v>45</v>
      </c>
      <c r="Y769" s="34" t="s">
        <v>274</v>
      </c>
      <c r="Z769" s="34"/>
      <c r="AA769" s="34"/>
      <c r="AB769" s="22">
        <v>0.74928833007812501</v>
      </c>
      <c r="AC769" s="23" t="s">
        <v>2160</v>
      </c>
      <c r="AD769" s="24">
        <v>1.2876712328767124</v>
      </c>
      <c r="AE769" s="25">
        <v>0.11764527510011401</v>
      </c>
      <c r="AF769" s="26">
        <v>0.15307177101128011</v>
      </c>
      <c r="AG769" s="26">
        <v>0.1398026947421267</v>
      </c>
      <c r="AH769" s="27">
        <v>0.55335060514932299</v>
      </c>
      <c r="AI769" s="27">
        <v>0.58913821849487602</v>
      </c>
      <c r="AJ769" s="27">
        <v>0.60423117012750793</v>
      </c>
      <c r="AK769" s="28" t="s">
        <v>2915</v>
      </c>
      <c r="AL769" s="29">
        <v>4</v>
      </c>
      <c r="AM769" s="29">
        <v>3</v>
      </c>
      <c r="AN769" s="29" t="s">
        <v>48</v>
      </c>
      <c r="AO769" s="47" t="s">
        <v>3011</v>
      </c>
      <c r="AP769" s="28">
        <v>0</v>
      </c>
      <c r="AQ769" s="26">
        <v>1.4999999999999999E-2</v>
      </c>
      <c r="AR769" s="26">
        <v>0</v>
      </c>
    </row>
    <row r="770" spans="1:44" x14ac:dyDescent="0.15">
      <c r="A770">
        <v>960</v>
      </c>
      <c r="B770" s="11">
        <v>550003</v>
      </c>
      <c r="C770" s="32"/>
      <c r="D770" s="32">
        <v>3.1009206702468498E-3</v>
      </c>
      <c r="E770" s="32">
        <v>72</v>
      </c>
      <c r="F770" s="32">
        <v>1.1987523061597199E-2</v>
      </c>
      <c r="G770" s="11"/>
      <c r="H770" s="11"/>
      <c r="I770" s="11"/>
      <c r="J770" s="18" t="s">
        <v>44</v>
      </c>
      <c r="K770" s="18" t="s">
        <v>45</v>
      </c>
      <c r="L770" s="58" t="s">
        <v>65</v>
      </c>
      <c r="M770" s="18">
        <f>[1]!f_prt_stocktonav(B770,"2017/03/31")</f>
        <v>70.141876220703125</v>
      </c>
      <c r="N770" s="20" t="str">
        <f>[1]!f_info_fundmanager(B770)</f>
        <v>吴昊</v>
      </c>
      <c r="O770" s="21">
        <v>1.3671232876712329</v>
      </c>
      <c r="P770" s="34" t="s">
        <v>3012</v>
      </c>
      <c r="Q770" s="34" t="s">
        <v>3013</v>
      </c>
      <c r="R770" s="34" t="s">
        <v>456</v>
      </c>
      <c r="S770" s="34">
        <v>20080604</v>
      </c>
      <c r="T770" s="45">
        <v>1.8821772978</v>
      </c>
      <c r="U770" s="46">
        <v>1.9429684712999999</v>
      </c>
      <c r="V770" s="34" t="s">
        <v>231</v>
      </c>
      <c r="W770" s="34" t="s">
        <v>44</v>
      </c>
      <c r="X770" s="34" t="s">
        <v>45</v>
      </c>
      <c r="Y770" s="34" t="s">
        <v>274</v>
      </c>
      <c r="Z770" s="34"/>
      <c r="AA770" s="34"/>
      <c r="AB770" s="22">
        <v>0.72906684875488281</v>
      </c>
      <c r="AC770" s="23" t="s">
        <v>3014</v>
      </c>
      <c r="AD770" s="24">
        <v>1.6904109589041096</v>
      </c>
      <c r="AE770" s="25">
        <v>0.140268008671526</v>
      </c>
      <c r="AF770" s="26">
        <v>0.17582347091012096</v>
      </c>
      <c r="AG770" s="26">
        <v>0.13907759022189325</v>
      </c>
      <c r="AH770" s="27">
        <v>0.59209814159946361</v>
      </c>
      <c r="AI770" s="27">
        <v>0.61254115533024645</v>
      </c>
      <c r="AJ770" s="27">
        <v>0.55684143783343953</v>
      </c>
      <c r="AK770" s="28" t="s">
        <v>3015</v>
      </c>
      <c r="AL770" s="29">
        <v>2</v>
      </c>
      <c r="AM770" s="29">
        <v>3</v>
      </c>
      <c r="AN770" s="29" t="s">
        <v>48</v>
      </c>
      <c r="AO770" s="47" t="s">
        <v>310</v>
      </c>
      <c r="AP770" s="28">
        <v>0</v>
      </c>
      <c r="AQ770" s="26">
        <v>1.4999999999999999E-2</v>
      </c>
      <c r="AR770" s="26">
        <v>0</v>
      </c>
    </row>
    <row r="771" spans="1:44" x14ac:dyDescent="0.15">
      <c r="A771">
        <v>371</v>
      </c>
      <c r="B771" s="11">
        <v>50010</v>
      </c>
      <c r="C771" s="32"/>
      <c r="D771" s="32">
        <v>-3.1062807866914202E-4</v>
      </c>
      <c r="E771" s="32">
        <v>112</v>
      </c>
      <c r="F771" s="32">
        <v>0.67914252331080305</v>
      </c>
      <c r="G771" s="11"/>
      <c r="H771" s="11"/>
      <c r="I771" s="11"/>
      <c r="J771" s="18" t="s">
        <v>44</v>
      </c>
      <c r="K771" s="18" t="s">
        <v>45</v>
      </c>
      <c r="L771" s="58" t="s">
        <v>354</v>
      </c>
      <c r="M771" s="18">
        <f>[1]!f_prt_stocktonav(B771,"2017/03/31")</f>
        <v>88.073204040527344</v>
      </c>
      <c r="N771" s="20" t="str">
        <f>[1]!f_info_fundmanager(B771)</f>
        <v>黄瑞庆</v>
      </c>
      <c r="O771" s="21">
        <v>2.1397260273972605</v>
      </c>
      <c r="P771" s="34" t="s">
        <v>3016</v>
      </c>
      <c r="Q771" s="34" t="s">
        <v>3017</v>
      </c>
      <c r="R771" s="34" t="s">
        <v>413</v>
      </c>
      <c r="S771" s="34">
        <v>20080528</v>
      </c>
      <c r="T771" s="45">
        <v>2.9523139878000002</v>
      </c>
      <c r="U771" s="46">
        <v>2.9249383624999998</v>
      </c>
      <c r="V771" s="34" t="s">
        <v>231</v>
      </c>
      <c r="W771" s="34" t="s">
        <v>44</v>
      </c>
      <c r="X771" s="34" t="s">
        <v>45</v>
      </c>
      <c r="Y771" s="34" t="s">
        <v>354</v>
      </c>
      <c r="Z771" s="34"/>
      <c r="AA771" s="34"/>
      <c r="AB771" s="22">
        <v>0.88177223205566402</v>
      </c>
      <c r="AC771" s="23" t="s">
        <v>3018</v>
      </c>
      <c r="AD771" s="24">
        <v>1.9095890410958904</v>
      </c>
      <c r="AE771" s="25">
        <v>8.715995274271604E-2</v>
      </c>
      <c r="AF771" s="26">
        <v>0.18596273171753475</v>
      </c>
      <c r="AG771" s="26">
        <v>9.7735956853794104E-2</v>
      </c>
      <c r="AH771" s="27">
        <v>0.41882809012923783</v>
      </c>
      <c r="AI771" s="27">
        <v>0.7712393866405437</v>
      </c>
      <c r="AJ771" s="27">
        <v>0.45787090710732786</v>
      </c>
      <c r="AK771" s="28" t="s">
        <v>110</v>
      </c>
      <c r="AL771" s="29">
        <v>2</v>
      </c>
      <c r="AM771" s="29">
        <v>4</v>
      </c>
      <c r="AN771" s="29" t="s">
        <v>48</v>
      </c>
      <c r="AO771" s="47" t="s">
        <v>417</v>
      </c>
      <c r="AP771" s="28" t="s">
        <v>3019</v>
      </c>
      <c r="AQ771" s="26">
        <v>1.4999999999999999E-2</v>
      </c>
      <c r="AR771" s="26">
        <v>0</v>
      </c>
    </row>
    <row r="772" spans="1:44" x14ac:dyDescent="0.15">
      <c r="A772">
        <v>268</v>
      </c>
      <c r="B772" s="11">
        <v>70013</v>
      </c>
      <c r="C772" s="32"/>
      <c r="D772" s="32">
        <v>-6.6909929858363702E-4</v>
      </c>
      <c r="E772" s="32">
        <v>103</v>
      </c>
      <c r="F772" s="32">
        <v>0.73678190444524405</v>
      </c>
      <c r="G772" s="11"/>
      <c r="H772" s="11"/>
      <c r="I772" s="11"/>
      <c r="J772" s="18" t="s">
        <v>44</v>
      </c>
      <c r="K772" s="19" t="s">
        <v>45</v>
      </c>
      <c r="L772" s="58" t="s">
        <v>65</v>
      </c>
      <c r="M772" s="18">
        <f>[1]!f_prt_stocktonav(B772,"2017/03/31")</f>
        <v>90.074264526367188</v>
      </c>
      <c r="N772" s="20" t="str">
        <f>[1]!f_info_fundmanager(B772)</f>
        <v>陈少平</v>
      </c>
      <c r="O772" s="21">
        <v>1.9753424657534246</v>
      </c>
      <c r="P772" s="32" t="s">
        <v>3020</v>
      </c>
      <c r="Q772" s="13" t="s">
        <v>3021</v>
      </c>
      <c r="R772" s="13" t="s">
        <v>92</v>
      </c>
      <c r="S772" s="13">
        <v>20080527</v>
      </c>
      <c r="T772" s="14">
        <v>46.988294125199999</v>
      </c>
      <c r="U772" s="15" t="s">
        <v>58</v>
      </c>
      <c r="V772" s="16" t="s">
        <v>40</v>
      </c>
      <c r="W772" s="17" t="s">
        <v>44</v>
      </c>
      <c r="X772" s="17" t="s">
        <v>45</v>
      </c>
      <c r="Y772" s="17" t="s">
        <v>274</v>
      </c>
      <c r="Z772" s="13"/>
      <c r="AA772" s="13"/>
      <c r="AB772" s="22">
        <v>0.90169883728027345</v>
      </c>
      <c r="AC772" s="23" t="s">
        <v>104</v>
      </c>
      <c r="AD772" s="24">
        <v>1.7452054794520548</v>
      </c>
      <c r="AE772" s="25">
        <v>0.17518517872744474</v>
      </c>
      <c r="AF772" s="26">
        <v>0.19847248866420109</v>
      </c>
      <c r="AG772" s="26">
        <v>0.20595566457668846</v>
      </c>
      <c r="AH772" s="27">
        <v>0.75669641319393788</v>
      </c>
      <c r="AI772" s="27">
        <v>0.70919947254860882</v>
      </c>
      <c r="AJ772" s="27">
        <v>0.81361602780251341</v>
      </c>
      <c r="AK772" s="28" t="s">
        <v>2607</v>
      </c>
      <c r="AL772" s="29">
        <v>4</v>
      </c>
      <c r="AM772" s="29">
        <v>4</v>
      </c>
      <c r="AN772" s="29" t="s">
        <v>48</v>
      </c>
      <c r="AO772" s="23" t="s">
        <v>2175</v>
      </c>
      <c r="AP772" s="30">
        <v>0</v>
      </c>
      <c r="AQ772" s="31">
        <v>1.4999999999999999E-2</v>
      </c>
      <c r="AR772" s="31">
        <v>0</v>
      </c>
    </row>
    <row r="773" spans="1:44" x14ac:dyDescent="0.15">
      <c r="A773">
        <v>874</v>
      </c>
      <c r="B773" s="11">
        <v>519668</v>
      </c>
      <c r="C773" s="32"/>
      <c r="D773" s="32">
        <v>1.24764923916219E-3</v>
      </c>
      <c r="E773" s="32">
        <v>61</v>
      </c>
      <c r="F773" s="32">
        <v>0.38076117300429502</v>
      </c>
      <c r="G773" s="11"/>
      <c r="H773" s="11"/>
      <c r="I773" s="11"/>
      <c r="J773" s="18" t="s">
        <v>44</v>
      </c>
      <c r="K773" s="18" t="s">
        <v>45</v>
      </c>
      <c r="L773" s="58" t="s">
        <v>65</v>
      </c>
      <c r="M773" s="18">
        <f>[1]!f_prt_stocktonav(B773,"2017/03/31")</f>
        <v>73.708152770996094</v>
      </c>
      <c r="N773" s="20" t="str">
        <f>[1]!f_info_fundmanager(B773)</f>
        <v>祝建辉</v>
      </c>
      <c r="O773" s="21">
        <v>1.1616438356164382</v>
      </c>
      <c r="P773" s="34" t="s">
        <v>3022</v>
      </c>
      <c r="Q773" s="34" t="s">
        <v>3023</v>
      </c>
      <c r="R773" s="34" t="s">
        <v>807</v>
      </c>
      <c r="S773" s="34">
        <v>20080526</v>
      </c>
      <c r="T773" s="45">
        <v>2.6568669924999999</v>
      </c>
      <c r="U773" s="46">
        <v>3.8458009283000001</v>
      </c>
      <c r="V773" s="34" t="s">
        <v>231</v>
      </c>
      <c r="W773" s="34" t="s">
        <v>44</v>
      </c>
      <c r="X773" s="34" t="s">
        <v>45</v>
      </c>
      <c r="Y773" s="34" t="s">
        <v>65</v>
      </c>
      <c r="Z773" s="34"/>
      <c r="AA773" s="34"/>
      <c r="AB773" s="22">
        <v>0.77277465820312496</v>
      </c>
      <c r="AC773" s="23" t="s">
        <v>3024</v>
      </c>
      <c r="AD773" s="24">
        <v>0.93150684931506844</v>
      </c>
      <c r="AE773" s="25">
        <v>0.17073015034476</v>
      </c>
      <c r="AF773" s="26">
        <v>0.18185708725315419</v>
      </c>
      <c r="AG773" s="26">
        <v>0.21585884821137349</v>
      </c>
      <c r="AH773" s="27">
        <v>0.6954285444895798</v>
      </c>
      <c r="AI773" s="27">
        <v>0.63455830171140215</v>
      </c>
      <c r="AJ773" s="27">
        <v>0.7930697090378801</v>
      </c>
      <c r="AK773" s="28" t="s">
        <v>1459</v>
      </c>
      <c r="AL773" s="29">
        <v>4</v>
      </c>
      <c r="AM773" s="29">
        <v>5</v>
      </c>
      <c r="AN773" s="29" t="s">
        <v>48</v>
      </c>
      <c r="AO773" s="47" t="s">
        <v>101</v>
      </c>
      <c r="AP773" s="28">
        <v>0</v>
      </c>
      <c r="AQ773" s="26">
        <v>1.4999999999999999E-2</v>
      </c>
      <c r="AR773" s="26">
        <v>0</v>
      </c>
    </row>
    <row r="774" spans="1:44" x14ac:dyDescent="0.15">
      <c r="A774">
        <v>582</v>
      </c>
      <c r="B774" s="11">
        <v>350005</v>
      </c>
      <c r="C774" s="32"/>
      <c r="D774" s="32">
        <v>-1.1979155068518799E-4</v>
      </c>
      <c r="E774" s="32">
        <v>96</v>
      </c>
      <c r="F774" s="32">
        <v>0.95696527560425904</v>
      </c>
      <c r="G774" s="11"/>
      <c r="H774" s="11"/>
      <c r="I774" s="11"/>
      <c r="J774" s="18" t="s">
        <v>44</v>
      </c>
      <c r="K774" s="18" t="s">
        <v>87</v>
      </c>
      <c r="L774" s="58" t="s">
        <v>65</v>
      </c>
      <c r="M774" s="18">
        <f>[1]!f_prt_stocktonav(B774,"2017/03/31")</f>
        <v>83.264328002929688</v>
      </c>
      <c r="N774" s="20" t="str">
        <f>[1]!f_info_fundmanager(B774)</f>
        <v>胡耀文</v>
      </c>
      <c r="O774" s="21">
        <v>1.8273972602739725</v>
      </c>
      <c r="P774" s="34" t="s">
        <v>3025</v>
      </c>
      <c r="Q774" s="34" t="s">
        <v>3026</v>
      </c>
      <c r="R774" s="34" t="s">
        <v>2466</v>
      </c>
      <c r="S774" s="34">
        <v>20080508</v>
      </c>
      <c r="T774" s="45">
        <v>0.34264228889999998</v>
      </c>
      <c r="U774" s="46">
        <v>0.37347853510000001</v>
      </c>
      <c r="V774" s="34" t="s">
        <v>231</v>
      </c>
      <c r="W774" s="34" t="s">
        <v>41</v>
      </c>
      <c r="X774" s="17" t="s">
        <v>42</v>
      </c>
      <c r="Y774" s="17" t="s">
        <v>181</v>
      </c>
      <c r="Z774" s="34"/>
      <c r="AA774" s="34"/>
      <c r="AB774" s="22">
        <v>0.52279739379882817</v>
      </c>
      <c r="AC774" s="23" t="s">
        <v>3027</v>
      </c>
      <c r="AD774" s="24">
        <v>1.5972602739726027</v>
      </c>
      <c r="AE774" s="25">
        <v>4.7325033750438505E-2</v>
      </c>
      <c r="AF774" s="26">
        <v>4.1086510800824261E-2</v>
      </c>
      <c r="AG774" s="26">
        <v>8.9885990677164518E-2</v>
      </c>
      <c r="AH774" s="27">
        <v>0.25340865339114971</v>
      </c>
      <c r="AI774" s="27">
        <v>0.23616866283313862</v>
      </c>
      <c r="AJ774" s="27">
        <v>0.38706743348049194</v>
      </c>
      <c r="AK774" s="28" t="s">
        <v>3028</v>
      </c>
      <c r="AL774" s="29">
        <v>2</v>
      </c>
      <c r="AM774" s="29">
        <v>2</v>
      </c>
      <c r="AN774" s="29" t="s">
        <v>48</v>
      </c>
      <c r="AO774" s="47" t="s">
        <v>3029</v>
      </c>
      <c r="AP774" s="28">
        <v>0</v>
      </c>
      <c r="AQ774" s="26">
        <v>1.4999999999999999E-2</v>
      </c>
      <c r="AR774" s="26">
        <v>0</v>
      </c>
    </row>
    <row r="775" spans="1:44" x14ac:dyDescent="0.15">
      <c r="A775">
        <v>69</v>
      </c>
      <c r="B775" s="11">
        <v>340007</v>
      </c>
      <c r="C775" s="32"/>
      <c r="D775" s="32">
        <v>-7.0734441473945905E-5</v>
      </c>
      <c r="E775" s="32">
        <v>427</v>
      </c>
      <c r="F775" s="32">
        <v>0.92727344827032498</v>
      </c>
      <c r="G775" s="11"/>
      <c r="H775" s="11"/>
      <c r="I775" s="11"/>
      <c r="J775" s="18" t="s">
        <v>44</v>
      </c>
      <c r="K775" s="18" t="s">
        <v>45</v>
      </c>
      <c r="L775" s="58" t="s">
        <v>65</v>
      </c>
      <c r="M775" s="18">
        <f>[1]!f_prt_stocktonav(B775,"2017/03/31")</f>
        <v>94.075302124023437</v>
      </c>
      <c r="N775" s="20" t="str">
        <f>[1]!f_info_fundmanager(B775)</f>
        <v>傅鹏博</v>
      </c>
      <c r="O775" s="21">
        <v>8.2082191780821923</v>
      </c>
      <c r="P775" s="34" t="s">
        <v>3030</v>
      </c>
      <c r="Q775" s="34" t="s">
        <v>3031</v>
      </c>
      <c r="R775" s="34" t="s">
        <v>2217</v>
      </c>
      <c r="S775" s="34">
        <v>20080430</v>
      </c>
      <c r="T775" s="45">
        <v>57.342276261800002</v>
      </c>
      <c r="U775" s="46">
        <v>66.974021056400005</v>
      </c>
      <c r="V775" s="34" t="s">
        <v>231</v>
      </c>
      <c r="W775" s="34" t="s">
        <v>44</v>
      </c>
      <c r="X775" s="34" t="s">
        <v>45</v>
      </c>
      <c r="Y775" s="34" t="s">
        <v>65</v>
      </c>
      <c r="Z775" s="34"/>
      <c r="AA775" s="34"/>
      <c r="AB775" s="22">
        <v>0.93985359191894535</v>
      </c>
      <c r="AC775" s="23" t="s">
        <v>3032</v>
      </c>
      <c r="AD775" s="24">
        <v>7.978082191780822</v>
      </c>
      <c r="AE775" s="25">
        <v>0.13692259957713726</v>
      </c>
      <c r="AF775" s="26">
        <v>0.21535015394252288</v>
      </c>
      <c r="AG775" s="26">
        <v>0.18770140648289549</v>
      </c>
      <c r="AH775" s="27">
        <v>0.58216778751971399</v>
      </c>
      <c r="AI775" s="27">
        <v>0.71619600098335701</v>
      </c>
      <c r="AJ775" s="27">
        <v>0.72506751308099526</v>
      </c>
      <c r="AK775" s="28" t="s">
        <v>2219</v>
      </c>
      <c r="AL775" s="29">
        <v>4</v>
      </c>
      <c r="AM775" s="29">
        <v>2</v>
      </c>
      <c r="AN775" s="29" t="s">
        <v>48</v>
      </c>
      <c r="AO775" s="47" t="s">
        <v>1002</v>
      </c>
      <c r="AP775" s="28">
        <v>0</v>
      </c>
      <c r="AQ775" s="26">
        <v>1.4999999999999999E-2</v>
      </c>
      <c r="AR775" s="26">
        <v>0</v>
      </c>
    </row>
    <row r="776" spans="1:44" x14ac:dyDescent="0.15">
      <c r="A776">
        <v>301</v>
      </c>
      <c r="B776" s="11">
        <v>580003</v>
      </c>
      <c r="C776" s="32"/>
      <c r="D776" s="32">
        <v>-8.2245284914420698E-4</v>
      </c>
      <c r="E776" s="32">
        <v>96</v>
      </c>
      <c r="F776" s="32">
        <v>0.65039815703246096</v>
      </c>
      <c r="G776" s="11"/>
      <c r="H776" s="11"/>
      <c r="I776" s="11"/>
      <c r="J776" s="18" t="s">
        <v>44</v>
      </c>
      <c r="K776" s="18" t="s">
        <v>45</v>
      </c>
      <c r="L776" s="58" t="s">
        <v>274</v>
      </c>
      <c r="M776" s="18">
        <f>[1]!f_prt_stocktonav(B776,"2017/03/31")</f>
        <v>89.439010620117188</v>
      </c>
      <c r="N776" s="20" t="str">
        <f>[1]!f_info_fundmanager(B776)</f>
        <v>王立立</v>
      </c>
      <c r="O776" s="21">
        <v>1.8410958904109589</v>
      </c>
      <c r="P776" s="34" t="s">
        <v>3033</v>
      </c>
      <c r="Q776" s="34" t="s">
        <v>3034</v>
      </c>
      <c r="R776" s="34" t="s">
        <v>1057</v>
      </c>
      <c r="S776" s="34">
        <v>20080423</v>
      </c>
      <c r="T776" s="45">
        <v>5.5437216750999996</v>
      </c>
      <c r="U776" s="46">
        <v>5.7479816364999996</v>
      </c>
      <c r="V776" s="34" t="s">
        <v>231</v>
      </c>
      <c r="W776" s="34" t="s">
        <v>44</v>
      </c>
      <c r="X776" s="34" t="s">
        <v>45</v>
      </c>
      <c r="Y776" s="34" t="s">
        <v>274</v>
      </c>
      <c r="Z776" s="34"/>
      <c r="AA776" s="34"/>
      <c r="AB776" s="22">
        <v>0.94424415588378907</v>
      </c>
      <c r="AC776" s="23" t="s">
        <v>3035</v>
      </c>
      <c r="AD776" s="24">
        <v>1.6109589041095891</v>
      </c>
      <c r="AE776" s="25">
        <v>-2.0707305095192585E-2</v>
      </c>
      <c r="AF776" s="26">
        <v>0.14226068597727326</v>
      </c>
      <c r="AG776" s="26">
        <v>1.3524179531393621E-2</v>
      </c>
      <c r="AH776" s="27">
        <v>4.1474284534560757E-2</v>
      </c>
      <c r="AI776" s="27">
        <v>0.49642200403763653</v>
      </c>
      <c r="AJ776" s="27">
        <v>0.17161204608900635</v>
      </c>
      <c r="AK776" s="28" t="s">
        <v>2119</v>
      </c>
      <c r="AL776" s="29">
        <v>1</v>
      </c>
      <c r="AM776" s="29">
        <v>1</v>
      </c>
      <c r="AN776" s="29" t="s">
        <v>48</v>
      </c>
      <c r="AO776" s="47" t="s">
        <v>310</v>
      </c>
      <c r="AP776" s="28">
        <v>0</v>
      </c>
      <c r="AQ776" s="26">
        <v>1.4999999999999999E-2</v>
      </c>
      <c r="AR776" s="26">
        <v>0</v>
      </c>
    </row>
    <row r="777" spans="1:44" x14ac:dyDescent="0.15">
      <c r="A777">
        <v>18</v>
      </c>
      <c r="B777" s="11">
        <v>519110</v>
      </c>
      <c r="C777" s="32"/>
      <c r="D777" s="32">
        <v>-1.4954739999017599E-3</v>
      </c>
      <c r="E777" s="32">
        <v>349</v>
      </c>
      <c r="F777" s="32">
        <v>9.1842565637956702E-2</v>
      </c>
      <c r="G777" s="11"/>
      <c r="H777" s="11"/>
      <c r="I777" s="11"/>
      <c r="J777" s="18" t="s">
        <v>44</v>
      </c>
      <c r="K777" s="19" t="s">
        <v>45</v>
      </c>
      <c r="L777" s="58" t="s">
        <v>274</v>
      </c>
      <c r="M777" s="18">
        <f>[1]!f_prt_stocktonav(B777,"2017/03/31")</f>
        <v>94.767753601074219</v>
      </c>
      <c r="N777" s="20" t="str">
        <f>[1]!f_info_fundmanager(B777)</f>
        <v>蒋建伟</v>
      </c>
      <c r="O777" s="21">
        <v>6.6986301369863011</v>
      </c>
      <c r="P777" s="32" t="s">
        <v>3036</v>
      </c>
      <c r="Q777" s="13" t="s">
        <v>3037</v>
      </c>
      <c r="R777" s="13" t="s">
        <v>649</v>
      </c>
      <c r="S777" s="13">
        <v>20080416</v>
      </c>
      <c r="T777" s="14">
        <v>20.630598944799999</v>
      </c>
      <c r="U777" s="15" t="s">
        <v>39</v>
      </c>
      <c r="V777" s="16" t="s">
        <v>40</v>
      </c>
      <c r="W777" s="17" t="s">
        <v>44</v>
      </c>
      <c r="X777" s="17" t="s">
        <v>45</v>
      </c>
      <c r="Y777" s="17" t="s">
        <v>274</v>
      </c>
      <c r="Z777" s="13"/>
      <c r="AA777" s="13"/>
      <c r="AB777" s="22">
        <v>0.94758163452148436</v>
      </c>
      <c r="AC777" s="23" t="s">
        <v>1528</v>
      </c>
      <c r="AD777" s="24">
        <v>6.4684931506849317</v>
      </c>
      <c r="AE777" s="25">
        <v>6.2441717841110522E-2</v>
      </c>
      <c r="AF777" s="26">
        <v>0.20669786925597111</v>
      </c>
      <c r="AG777" s="26">
        <v>0.18652675957617545</v>
      </c>
      <c r="AH777" s="27">
        <v>0.30663624168397502</v>
      </c>
      <c r="AI777" s="27">
        <v>0.63235451045782087</v>
      </c>
      <c r="AJ777" s="27">
        <v>0.63723778249642637</v>
      </c>
      <c r="AK777" s="28" t="s">
        <v>2119</v>
      </c>
      <c r="AL777" s="29">
        <v>3</v>
      </c>
      <c r="AM777" s="29">
        <v>2</v>
      </c>
      <c r="AN777" s="29" t="s">
        <v>48</v>
      </c>
      <c r="AO777" s="23" t="s">
        <v>3038</v>
      </c>
      <c r="AP777" s="30">
        <v>0</v>
      </c>
      <c r="AQ777" s="31">
        <v>1.4999999999999999E-2</v>
      </c>
      <c r="AR777" s="31">
        <v>0</v>
      </c>
    </row>
    <row r="778" spans="1:44" x14ac:dyDescent="0.15">
      <c r="A778">
        <v>207</v>
      </c>
      <c r="B778" s="11">
        <v>213008</v>
      </c>
      <c r="C778" s="32"/>
      <c r="D778" s="32">
        <v>-1.3098673561615099E-3</v>
      </c>
      <c r="E778" s="32">
        <v>13</v>
      </c>
      <c r="F778" s="32">
        <v>0.55958159648996597</v>
      </c>
      <c r="G778" s="11"/>
      <c r="H778" s="11"/>
      <c r="I778" s="11"/>
      <c r="J778" s="18" t="s">
        <v>44</v>
      </c>
      <c r="K778" s="18" t="s">
        <v>45</v>
      </c>
      <c r="L778" s="58" t="s">
        <v>65</v>
      </c>
      <c r="M778" s="18">
        <f>[1]!f_prt_stocktonav(B778,"2017/03/31")</f>
        <v>91.647598266601563</v>
      </c>
      <c r="N778" s="20" t="str">
        <f>[1]!f_info_fundmanager(B778)</f>
        <v>易祚兴</v>
      </c>
      <c r="O778" s="21">
        <v>0.23561643835616439</v>
      </c>
      <c r="P778" s="34" t="s">
        <v>3039</v>
      </c>
      <c r="Q778" s="34" t="s">
        <v>3040</v>
      </c>
      <c r="R778" s="34" t="s">
        <v>402</v>
      </c>
      <c r="S778" s="34">
        <v>20080415</v>
      </c>
      <c r="T778" s="45">
        <v>42.891789668800001</v>
      </c>
      <c r="U778" s="46">
        <v>48.107929028199997</v>
      </c>
      <c r="V778" s="34" t="s">
        <v>231</v>
      </c>
      <c r="W778" s="34" t="s">
        <v>44</v>
      </c>
      <c r="X778" s="34" t="s">
        <v>45</v>
      </c>
      <c r="Y778" s="34" t="s">
        <v>274</v>
      </c>
      <c r="Z778" s="34"/>
      <c r="AA778" s="34"/>
      <c r="AB778" s="22">
        <v>0.94585861206054689</v>
      </c>
      <c r="AC778" s="23" t="s">
        <v>3041</v>
      </c>
      <c r="AD778" s="24">
        <v>6.1753424657534248</v>
      </c>
      <c r="AE778" s="25">
        <v>0.11419699560823669</v>
      </c>
      <c r="AF778" s="26">
        <v>0.21757925136277698</v>
      </c>
      <c r="AG778" s="26">
        <v>0.21119099007198661</v>
      </c>
      <c r="AH778" s="27">
        <v>0.45956196120712212</v>
      </c>
      <c r="AI778" s="27">
        <v>0.65944926071023524</v>
      </c>
      <c r="AJ778" s="27">
        <v>0.69856979015811627</v>
      </c>
      <c r="AK778" s="28" t="s">
        <v>2463</v>
      </c>
      <c r="AL778" s="29">
        <v>5</v>
      </c>
      <c r="AM778" s="29">
        <v>3</v>
      </c>
      <c r="AN778" s="29" t="s">
        <v>48</v>
      </c>
      <c r="AO778" s="47" t="s">
        <v>287</v>
      </c>
      <c r="AP778" s="28" t="s">
        <v>2221</v>
      </c>
      <c r="AQ778" s="26">
        <v>1.4999999999999999E-2</v>
      </c>
      <c r="AR778" s="26">
        <v>0</v>
      </c>
    </row>
    <row r="779" spans="1:44" x14ac:dyDescent="0.15">
      <c r="A779">
        <v>809</v>
      </c>
      <c r="B779" s="11">
        <v>163805</v>
      </c>
      <c r="C779" s="32"/>
      <c r="D779" s="32">
        <v>7.9529803775309899E-4</v>
      </c>
      <c r="E779" s="32">
        <v>96</v>
      </c>
      <c r="F779" s="32">
        <v>0.55829133541613696</v>
      </c>
      <c r="G779" s="11"/>
      <c r="H779" s="11"/>
      <c r="I779" s="11"/>
      <c r="J779" s="18" t="s">
        <v>44</v>
      </c>
      <c r="K779" s="18" t="s">
        <v>45</v>
      </c>
      <c r="L779" s="58" t="s">
        <v>65</v>
      </c>
      <c r="M779" s="18">
        <f>[1]!f_prt_stocktonav(B779,"2017/03/31")</f>
        <v>76.366416931152344</v>
      </c>
      <c r="N779" s="20" t="str">
        <f>[1]!f_info_fundmanager(B779)</f>
        <v>邬炜</v>
      </c>
      <c r="O779" s="21">
        <v>1.8410958904109589</v>
      </c>
      <c r="P779" s="34" t="s">
        <v>3042</v>
      </c>
      <c r="Q779" s="34" t="s">
        <v>3043</v>
      </c>
      <c r="R779" s="34" t="s">
        <v>71</v>
      </c>
      <c r="S779" s="34">
        <v>20080403</v>
      </c>
      <c r="T779" s="45">
        <v>6.6593343035999997</v>
      </c>
      <c r="U779" s="46">
        <v>6.5872648633999997</v>
      </c>
      <c r="V779" s="34" t="s">
        <v>231</v>
      </c>
      <c r="W779" s="34" t="s">
        <v>44</v>
      </c>
      <c r="X779" s="34" t="s">
        <v>45</v>
      </c>
      <c r="Y779" s="34" t="s">
        <v>817</v>
      </c>
      <c r="Z779" s="34"/>
      <c r="AA779" s="34"/>
      <c r="AB779" s="22">
        <v>0.74801399230957033</v>
      </c>
      <c r="AC779" s="23" t="s">
        <v>990</v>
      </c>
      <c r="AD779" s="24">
        <v>1.6109589041095891</v>
      </c>
      <c r="AE779" s="25">
        <v>0.11292386198599334</v>
      </c>
      <c r="AF779" s="26">
        <v>0.21020711472773201</v>
      </c>
      <c r="AG779" s="26">
        <v>0.17540208036520699</v>
      </c>
      <c r="AH779" s="27">
        <v>0.51872095745199487</v>
      </c>
      <c r="AI779" s="27">
        <v>0.77672815702720499</v>
      </c>
      <c r="AJ779" s="27">
        <v>0.71925526203415913</v>
      </c>
      <c r="AK779" s="28" t="s">
        <v>3044</v>
      </c>
      <c r="AL779" s="29">
        <v>4</v>
      </c>
      <c r="AM779" s="29">
        <v>3</v>
      </c>
      <c r="AN779" s="29" t="s">
        <v>48</v>
      </c>
      <c r="AO779" s="47" t="s">
        <v>845</v>
      </c>
      <c r="AP779" s="28">
        <v>0</v>
      </c>
      <c r="AQ779" s="26">
        <v>1.4999999999999999E-2</v>
      </c>
      <c r="AR779" s="26">
        <v>0</v>
      </c>
    </row>
    <row r="780" spans="1:44" x14ac:dyDescent="0.15">
      <c r="A780">
        <v>209</v>
      </c>
      <c r="B780" s="11">
        <v>202009</v>
      </c>
      <c r="C780" s="32"/>
      <c r="D780" s="32">
        <v>-4.6672996712615001E-3</v>
      </c>
      <c r="E780" s="32">
        <v>227</v>
      </c>
      <c r="F780" s="32">
        <v>1.0312241509309999E-5</v>
      </c>
      <c r="G780" s="11"/>
      <c r="H780" s="11"/>
      <c r="I780" s="11"/>
      <c r="J780" s="18" t="s">
        <v>44</v>
      </c>
      <c r="K780" s="18" t="s">
        <v>87</v>
      </c>
      <c r="L780" s="58" t="s">
        <v>274</v>
      </c>
      <c r="M780" s="18">
        <f>[1]!f_prt_stocktonav(B780,"2017/03/31")</f>
        <v>91.6187744140625</v>
      </c>
      <c r="N780" s="20" t="str">
        <f>[1]!f_info_fundmanager(B780)</f>
        <v>张旭</v>
      </c>
      <c r="O780" s="21">
        <v>4.353424657534247</v>
      </c>
      <c r="P780" s="34" t="s">
        <v>3045</v>
      </c>
      <c r="Q780" s="34" t="s">
        <v>3046</v>
      </c>
      <c r="R780" s="34" t="s">
        <v>284</v>
      </c>
      <c r="S780" s="34">
        <v>20080321</v>
      </c>
      <c r="T780" s="45">
        <v>11.6366727462</v>
      </c>
      <c r="U780" s="46">
        <v>14.9263477975</v>
      </c>
      <c r="V780" s="34" t="s">
        <v>231</v>
      </c>
      <c r="W780" s="34" t="s">
        <v>44</v>
      </c>
      <c r="X780" s="34" t="s">
        <v>45</v>
      </c>
      <c r="Y780" s="34" t="s">
        <v>274</v>
      </c>
      <c r="Z780" s="34"/>
      <c r="AA780" s="34"/>
      <c r="AB780" s="22">
        <v>0.83873893737792971</v>
      </c>
      <c r="AC780" s="23" t="s">
        <v>285</v>
      </c>
      <c r="AD780" s="24">
        <v>4.1232876712328768</v>
      </c>
      <c r="AE780" s="25">
        <v>4.5758612081046701E-2</v>
      </c>
      <c r="AF780" s="26">
        <v>0.1973004462204484</v>
      </c>
      <c r="AG780" s="26">
        <v>0.13736855321043917</v>
      </c>
      <c r="AH780" s="27">
        <v>0.25081208795249721</v>
      </c>
      <c r="AI780" s="27">
        <v>0.62374052537168445</v>
      </c>
      <c r="AJ780" s="27">
        <v>0.51795139451492733</v>
      </c>
      <c r="AK780" s="28" t="s">
        <v>3047</v>
      </c>
      <c r="AL780" s="29">
        <v>2</v>
      </c>
      <c r="AM780" s="29">
        <v>3</v>
      </c>
      <c r="AN780" s="29" t="s">
        <v>48</v>
      </c>
      <c r="AO780" s="47" t="s">
        <v>287</v>
      </c>
      <c r="AP780" s="28" t="s">
        <v>1843</v>
      </c>
      <c r="AQ780" s="26">
        <v>1.4999999999999999E-2</v>
      </c>
      <c r="AR780" s="26">
        <v>0</v>
      </c>
    </row>
    <row r="781" spans="1:44" x14ac:dyDescent="0.15">
      <c r="A781">
        <v>362</v>
      </c>
      <c r="B781" s="11">
        <v>121008</v>
      </c>
      <c r="C781" s="32"/>
      <c r="D781" s="32">
        <v>-1.93277917741566E-3</v>
      </c>
      <c r="E781" s="32">
        <v>352</v>
      </c>
      <c r="F781" s="32">
        <v>4.7775311514981002E-4</v>
      </c>
      <c r="G781" s="11"/>
      <c r="H781" s="11"/>
      <c r="I781" s="11"/>
      <c r="J781" s="18" t="s">
        <v>44</v>
      </c>
      <c r="K781" s="18" t="s">
        <v>45</v>
      </c>
      <c r="L781" s="58" t="s">
        <v>65</v>
      </c>
      <c r="M781" s="18">
        <f>[1]!f_prt_stocktonav(B781,"2017/03/31")</f>
        <v>88.300933837890625</v>
      </c>
      <c r="N781" s="20" t="str">
        <f>[1]!f_info_fundmanager(B781)</f>
        <v>綦缚鹏,董晗</v>
      </c>
      <c r="O781" s="21">
        <v>6.7589041095890412</v>
      </c>
      <c r="P781" s="34" t="s">
        <v>3048</v>
      </c>
      <c r="Q781" s="34" t="s">
        <v>3049</v>
      </c>
      <c r="R781" s="34" t="s">
        <v>452</v>
      </c>
      <c r="S781" s="34">
        <v>20080110</v>
      </c>
      <c r="T781" s="45">
        <v>4.5876639783000002</v>
      </c>
      <c r="U781" s="46">
        <v>4.590319322</v>
      </c>
      <c r="V781" s="34" t="s">
        <v>201</v>
      </c>
      <c r="W781" s="34" t="s">
        <v>44</v>
      </c>
      <c r="X781" s="34" t="s">
        <v>45</v>
      </c>
      <c r="Y781" s="34" t="s">
        <v>65</v>
      </c>
      <c r="Z781" s="34"/>
      <c r="AA781" s="34"/>
      <c r="AB781" s="22">
        <v>0.82589569091796877</v>
      </c>
      <c r="AC781" s="23" t="s">
        <v>3050</v>
      </c>
      <c r="AD781" s="24">
        <v>6.5287671232876709</v>
      </c>
      <c r="AE781" s="25">
        <v>1.7641108640564118E-2</v>
      </c>
      <c r="AF781" s="26">
        <v>0.1084439532753585</v>
      </c>
      <c r="AG781" s="26">
        <v>8.8373737795613541E-2</v>
      </c>
      <c r="AH781" s="27">
        <v>0.12866072740989912</v>
      </c>
      <c r="AI781" s="27">
        <v>0.47961696224981926</v>
      </c>
      <c r="AJ781" s="27">
        <v>0.42547681976025908</v>
      </c>
      <c r="AK781" s="28" t="s">
        <v>167</v>
      </c>
      <c r="AL781" s="29">
        <v>3</v>
      </c>
      <c r="AM781" s="29">
        <v>3</v>
      </c>
      <c r="AN781" s="29" t="s">
        <v>48</v>
      </c>
      <c r="AO781" s="47" t="s">
        <v>3051</v>
      </c>
      <c r="AP781" s="28" t="s">
        <v>3052</v>
      </c>
      <c r="AQ781" s="26">
        <v>1.4999999999999999E-2</v>
      </c>
      <c r="AR781" s="26">
        <v>0</v>
      </c>
    </row>
    <row r="782" spans="1:44" x14ac:dyDescent="0.15">
      <c r="A782">
        <v>145</v>
      </c>
      <c r="B782" s="11">
        <v>110029</v>
      </c>
      <c r="C782" s="32"/>
      <c r="D782" s="32">
        <v>-8.3350727548420903E-5</v>
      </c>
      <c r="E782" s="32">
        <v>341</v>
      </c>
      <c r="F782" s="32">
        <v>0.93540141272480903</v>
      </c>
      <c r="G782" s="11"/>
      <c r="H782" s="11"/>
      <c r="I782" s="11"/>
      <c r="J782" s="18" t="s">
        <v>44</v>
      </c>
      <c r="K782" s="18" t="s">
        <v>45</v>
      </c>
      <c r="L782" s="58" t="s">
        <v>65</v>
      </c>
      <c r="M782" s="18">
        <f>[1]!f_prt_stocktonav(B782,"2017/03/31")</f>
        <v>92.861801147460938</v>
      </c>
      <c r="N782" s="20" t="str">
        <f>[1]!f_info_fundmanager(B782)</f>
        <v>宋昆</v>
      </c>
      <c r="O782" s="21">
        <v>6.5561643835616437</v>
      </c>
      <c r="P782" s="34" t="s">
        <v>3053</v>
      </c>
      <c r="Q782" s="34" t="s">
        <v>3054</v>
      </c>
      <c r="R782" s="34" t="s">
        <v>218</v>
      </c>
      <c r="S782" s="34">
        <v>20071218</v>
      </c>
      <c r="T782" s="45">
        <v>60.068636235600003</v>
      </c>
      <c r="U782" s="46">
        <v>68.417992368699998</v>
      </c>
      <c r="V782" s="34" t="s">
        <v>231</v>
      </c>
      <c r="W782" s="34" t="s">
        <v>44</v>
      </c>
      <c r="X782" s="34" t="s">
        <v>45</v>
      </c>
      <c r="Y782" s="34" t="s">
        <v>65</v>
      </c>
      <c r="Z782" s="34"/>
      <c r="AA782" s="34"/>
      <c r="AB782" s="22">
        <v>0.93673049926757812</v>
      </c>
      <c r="AC782" s="23" t="s">
        <v>2053</v>
      </c>
      <c r="AD782" s="24">
        <v>6.3260273972602743</v>
      </c>
      <c r="AE782" s="25">
        <v>3.5864647005814598E-2</v>
      </c>
      <c r="AF782" s="26">
        <v>9.4170984644661448E-2</v>
      </c>
      <c r="AG782" s="26">
        <v>0.15973530200944963</v>
      </c>
      <c r="AH782" s="27">
        <v>0.20581718255296041</v>
      </c>
      <c r="AI782" s="27">
        <v>0.36773532905580547</v>
      </c>
      <c r="AJ782" s="27">
        <v>0.57122794121757314</v>
      </c>
      <c r="AK782" s="28" t="s">
        <v>1934</v>
      </c>
      <c r="AL782" s="29">
        <v>4</v>
      </c>
      <c r="AM782" s="29">
        <v>4</v>
      </c>
      <c r="AN782" s="29" t="s">
        <v>48</v>
      </c>
      <c r="AO782" s="47" t="s">
        <v>2457</v>
      </c>
      <c r="AP782" s="28">
        <v>0</v>
      </c>
      <c r="AQ782" s="26">
        <v>1.4999999999999999E-2</v>
      </c>
      <c r="AR782" s="26">
        <v>0</v>
      </c>
    </row>
    <row r="783" spans="1:44" x14ac:dyDescent="0.15">
      <c r="A783">
        <v>804</v>
      </c>
      <c r="B783" s="11">
        <v>519019</v>
      </c>
      <c r="C783" s="32"/>
      <c r="D783" s="32">
        <v>2.17801957563532E-3</v>
      </c>
      <c r="E783" s="32">
        <v>81</v>
      </c>
      <c r="F783" s="32">
        <v>7.4120560394361698E-2</v>
      </c>
      <c r="G783" s="11"/>
      <c r="H783" s="11"/>
      <c r="I783" s="11"/>
      <c r="J783" s="18" t="s">
        <v>44</v>
      </c>
      <c r="K783" s="18" t="s">
        <v>45</v>
      </c>
      <c r="L783" s="58" t="s">
        <v>65</v>
      </c>
      <c r="M783" s="18">
        <f>[1]!f_prt_stocktonav(B783,"2017/03/31")</f>
        <v>76.461128234863281</v>
      </c>
      <c r="N783" s="20" t="str">
        <f>[1]!f_info_fundmanager(B783)</f>
        <v>徐彦</v>
      </c>
      <c r="O783" s="21">
        <v>1.5424657534246575</v>
      </c>
      <c r="P783" s="34" t="s">
        <v>3055</v>
      </c>
      <c r="Q783" s="34" t="s">
        <v>3056</v>
      </c>
      <c r="R783" s="34" t="s">
        <v>486</v>
      </c>
      <c r="S783" s="34">
        <v>20071211</v>
      </c>
      <c r="T783" s="45">
        <v>16.734910778500002</v>
      </c>
      <c r="U783" s="46">
        <v>17.045062398199999</v>
      </c>
      <c r="V783" s="34" t="s">
        <v>231</v>
      </c>
      <c r="W783" s="34" t="s">
        <v>44</v>
      </c>
      <c r="X783" s="34" t="s">
        <v>45</v>
      </c>
      <c r="Y783" s="34" t="s">
        <v>65</v>
      </c>
      <c r="Z783" s="34"/>
      <c r="AA783" s="34"/>
      <c r="AB783" s="22">
        <v>0.89454689025878908</v>
      </c>
      <c r="AC783" s="23" t="s">
        <v>2549</v>
      </c>
      <c r="AD783" s="24">
        <v>1.3123287671232877</v>
      </c>
      <c r="AE783" s="25">
        <v>1.9922837713341357E-2</v>
      </c>
      <c r="AF783" s="26">
        <v>0.18490186856866142</v>
      </c>
      <c r="AG783" s="26">
        <v>0.10363711674684438</v>
      </c>
      <c r="AH783" s="27">
        <v>0.15268332878457055</v>
      </c>
      <c r="AI783" s="27">
        <v>0.65221655283641722</v>
      </c>
      <c r="AJ783" s="27">
        <v>0.45062312063947713</v>
      </c>
      <c r="AK783" s="28" t="s">
        <v>1707</v>
      </c>
      <c r="AL783" s="29">
        <v>1</v>
      </c>
      <c r="AM783" s="29">
        <v>2</v>
      </c>
      <c r="AN783" s="29" t="s">
        <v>48</v>
      </c>
      <c r="AO783" s="47" t="s">
        <v>1002</v>
      </c>
      <c r="AP783" s="28">
        <v>0</v>
      </c>
      <c r="AQ783" s="26">
        <v>1.4999999999999999E-2</v>
      </c>
      <c r="AR783" s="26">
        <v>0</v>
      </c>
    </row>
    <row r="784" spans="1:44" x14ac:dyDescent="0.15">
      <c r="A784">
        <v>279</v>
      </c>
      <c r="B784" s="11">
        <v>70099</v>
      </c>
      <c r="C784" s="32"/>
      <c r="D784" s="32">
        <v>1.0754154633294301E-3</v>
      </c>
      <c r="E784" s="32">
        <v>136</v>
      </c>
      <c r="F784" s="32">
        <v>0.47975349258516897</v>
      </c>
      <c r="G784" s="11"/>
      <c r="H784" s="11"/>
      <c r="I784" s="11"/>
      <c r="J784" s="18" t="s">
        <v>44</v>
      </c>
      <c r="K784" s="18" t="s">
        <v>45</v>
      </c>
      <c r="L784" s="58" t="s">
        <v>65</v>
      </c>
      <c r="M784" s="18">
        <f>[1]!f_prt_stocktonav(B784,"2017/03/31")</f>
        <v>89.853408813476562</v>
      </c>
      <c r="N784" s="20" t="str">
        <f>[1]!f_info_fundmanager(B784)</f>
        <v>胡涛</v>
      </c>
      <c r="O784" s="21">
        <v>2.6136986301369864</v>
      </c>
      <c r="P784" s="34" t="s">
        <v>3057</v>
      </c>
      <c r="Q784" s="34" t="s">
        <v>3058</v>
      </c>
      <c r="R784" s="34" t="s">
        <v>92</v>
      </c>
      <c r="S784" s="34">
        <v>20071208</v>
      </c>
      <c r="T784" s="45">
        <v>23.195950479699999</v>
      </c>
      <c r="U784" s="46">
        <v>33.424779811299999</v>
      </c>
      <c r="V784" s="34" t="s">
        <v>231</v>
      </c>
      <c r="W784" s="34" t="s">
        <v>44</v>
      </c>
      <c r="X784" s="34" t="s">
        <v>45</v>
      </c>
      <c r="Y784" s="34" t="s">
        <v>65</v>
      </c>
      <c r="Z784" s="34"/>
      <c r="AA784" s="34"/>
      <c r="AB784" s="22">
        <v>0.93929916381835943</v>
      </c>
      <c r="AC784" s="23" t="s">
        <v>3059</v>
      </c>
      <c r="AD784" s="24">
        <v>2.3835616438356166</v>
      </c>
      <c r="AE784" s="25">
        <v>5.1177056160052636E-2</v>
      </c>
      <c r="AF784" s="26">
        <v>0.14824463105271057</v>
      </c>
      <c r="AG784" s="26">
        <v>0.14408842088686535</v>
      </c>
      <c r="AH784" s="27">
        <v>0.27726221574655063</v>
      </c>
      <c r="AI784" s="27">
        <v>0.54113521305756385</v>
      </c>
      <c r="AJ784" s="27">
        <v>0.58139287704503084</v>
      </c>
      <c r="AK784" s="28" t="s">
        <v>2607</v>
      </c>
      <c r="AL784" s="29">
        <v>3</v>
      </c>
      <c r="AM784" s="29">
        <v>4</v>
      </c>
      <c r="AN784" s="29" t="s">
        <v>48</v>
      </c>
      <c r="AO784" s="47" t="s">
        <v>101</v>
      </c>
      <c r="AP784" s="28" t="s">
        <v>2293</v>
      </c>
      <c r="AQ784" s="26">
        <v>1.4999999999999999E-2</v>
      </c>
      <c r="AR784" s="26">
        <v>0</v>
      </c>
    </row>
    <row r="785" spans="1:44" x14ac:dyDescent="0.15">
      <c r="A785">
        <v>292</v>
      </c>
      <c r="B785" s="11">
        <v>160314</v>
      </c>
      <c r="C785" s="32"/>
      <c r="D785" s="32">
        <v>-1.0419906669669301E-3</v>
      </c>
      <c r="E785" s="32">
        <v>272</v>
      </c>
      <c r="F785" s="32">
        <v>7.9148515876369605E-2</v>
      </c>
      <c r="G785" s="11"/>
      <c r="H785" s="11"/>
      <c r="I785" s="11"/>
      <c r="J785" s="18" t="s">
        <v>44</v>
      </c>
      <c r="K785" s="18" t="s">
        <v>45</v>
      </c>
      <c r="L785" s="58" t="s">
        <v>274</v>
      </c>
      <c r="M785" s="18">
        <f>[1]!f_prt_stocktonav(B785,"2017/03/31")</f>
        <v>89.591171264648438</v>
      </c>
      <c r="N785" s="20" t="str">
        <f>[1]!f_info_fundmanager(B785)</f>
        <v>孙彬,佟巍</v>
      </c>
      <c r="O785" s="21">
        <v>5.2191780821917808</v>
      </c>
      <c r="P785" s="34" t="s">
        <v>3060</v>
      </c>
      <c r="Q785" s="34" t="s">
        <v>3061</v>
      </c>
      <c r="R785" s="34" t="s">
        <v>143</v>
      </c>
      <c r="S785" s="34">
        <v>20071122</v>
      </c>
      <c r="T785" s="45">
        <v>28.040027554600002</v>
      </c>
      <c r="U785" s="46">
        <v>32.218991053300002</v>
      </c>
      <c r="V785" s="34" t="s">
        <v>231</v>
      </c>
      <c r="W785" s="34" t="s">
        <v>44</v>
      </c>
      <c r="X785" s="34" t="s">
        <v>45</v>
      </c>
      <c r="Y785" s="34" t="s">
        <v>274</v>
      </c>
      <c r="Z785" s="34"/>
      <c r="AA785" s="34"/>
      <c r="AB785" s="22">
        <v>0.87525901794433592</v>
      </c>
      <c r="AC785" s="23" t="s">
        <v>3062</v>
      </c>
      <c r="AD785" s="24">
        <v>4.9890410958904106</v>
      </c>
      <c r="AE785" s="25">
        <v>5.0250915081629266E-2</v>
      </c>
      <c r="AF785" s="26">
        <v>0.15176152559393574</v>
      </c>
      <c r="AG785" s="26">
        <v>0.14555361154952196</v>
      </c>
      <c r="AH785" s="27">
        <v>0.26348683076765023</v>
      </c>
      <c r="AI785" s="27">
        <v>0.57562768414740317</v>
      </c>
      <c r="AJ785" s="27">
        <v>0.61610164945244827</v>
      </c>
      <c r="AK785" s="28" t="s">
        <v>1459</v>
      </c>
      <c r="AL785" s="29">
        <v>4</v>
      </c>
      <c r="AM785" s="29">
        <v>3</v>
      </c>
      <c r="AN785" s="29" t="s">
        <v>48</v>
      </c>
      <c r="AO785" s="47" t="s">
        <v>592</v>
      </c>
      <c r="AP785" s="28">
        <v>0</v>
      </c>
      <c r="AQ785" s="26">
        <v>1.4999999999999999E-2</v>
      </c>
      <c r="AR785" s="26">
        <v>0</v>
      </c>
    </row>
    <row r="786" spans="1:44" x14ac:dyDescent="0.15">
      <c r="A786">
        <v>698</v>
      </c>
      <c r="B786" s="11">
        <v>202007</v>
      </c>
      <c r="C786" s="32"/>
      <c r="D786" s="32">
        <v>6.0188985359083797E-4</v>
      </c>
      <c r="E786" s="32">
        <v>88</v>
      </c>
      <c r="F786" s="32">
        <v>0.63239588696051596</v>
      </c>
      <c r="G786" s="11"/>
      <c r="H786" s="11"/>
      <c r="I786" s="11"/>
      <c r="J786" s="18" t="s">
        <v>44</v>
      </c>
      <c r="K786" s="18" t="s">
        <v>87</v>
      </c>
      <c r="L786" s="58" t="s">
        <v>65</v>
      </c>
      <c r="M786" s="18">
        <f>[1]!f_prt_stocktonav(B786,"2017/03/31")</f>
        <v>80.07183837890625</v>
      </c>
      <c r="N786" s="20" t="str">
        <f>[1]!f_info_fundmanager(B786)</f>
        <v>蒋秋洁</v>
      </c>
      <c r="O786" s="21">
        <v>1.6876712328767123</v>
      </c>
      <c r="P786" s="34" t="s">
        <v>3063</v>
      </c>
      <c r="Q786" s="34" t="s">
        <v>3064</v>
      </c>
      <c r="R786" s="34" t="s">
        <v>284</v>
      </c>
      <c r="S786" s="34">
        <v>20071109</v>
      </c>
      <c r="T786" s="45">
        <v>20.728114357900001</v>
      </c>
      <c r="U786" s="46">
        <v>21.3836204817</v>
      </c>
      <c r="V786" s="34" t="s">
        <v>201</v>
      </c>
      <c r="W786" s="34" t="s">
        <v>41</v>
      </c>
      <c r="X786" s="34" t="s">
        <v>42</v>
      </c>
      <c r="Y786" s="34" t="s">
        <v>181</v>
      </c>
      <c r="Z786" s="34" t="s">
        <v>3065</v>
      </c>
      <c r="AA786" s="34"/>
      <c r="AB786" s="22">
        <v>0.64243644714355463</v>
      </c>
      <c r="AC786" s="23" t="s">
        <v>1846</v>
      </c>
      <c r="AD786" s="24">
        <v>1.4575342465753425</v>
      </c>
      <c r="AE786" s="25">
        <v>-4.3588106110292735E-2</v>
      </c>
      <c r="AF786" s="26">
        <v>9.9581043975197403E-2</v>
      </c>
      <c r="AG786" s="26">
        <v>6.025022266625446E-2</v>
      </c>
      <c r="AH786" s="27">
        <v>-8.3797879599432024E-2</v>
      </c>
      <c r="AI786" s="27">
        <v>0.44230492498670892</v>
      </c>
      <c r="AJ786" s="27">
        <v>0.29871665953011933</v>
      </c>
      <c r="AK786" s="33" t="s">
        <v>3066</v>
      </c>
      <c r="AL786" s="29">
        <v>1</v>
      </c>
      <c r="AM786" s="29">
        <v>2</v>
      </c>
      <c r="AN786" s="29" t="s">
        <v>48</v>
      </c>
      <c r="AO786" s="47" t="s">
        <v>287</v>
      </c>
      <c r="AP786" s="28" t="s">
        <v>1843</v>
      </c>
      <c r="AQ786" s="26">
        <v>1.4999999999999999E-2</v>
      </c>
      <c r="AR786" s="26">
        <v>0</v>
      </c>
    </row>
    <row r="787" spans="1:44" x14ac:dyDescent="0.15">
      <c r="A787">
        <v>477</v>
      </c>
      <c r="B787" s="11">
        <v>519039</v>
      </c>
      <c r="C787" s="32"/>
      <c r="D787" s="32">
        <v>-4.5185737881351398E-4</v>
      </c>
      <c r="E787" s="32">
        <v>65</v>
      </c>
      <c r="F787" s="32">
        <v>0.629934414991285</v>
      </c>
      <c r="G787" s="11"/>
      <c r="H787" s="11"/>
      <c r="I787" s="11"/>
      <c r="J787" s="18" t="s">
        <v>44</v>
      </c>
      <c r="K787" s="18" t="s">
        <v>87</v>
      </c>
      <c r="L787" s="58" t="s">
        <v>817</v>
      </c>
      <c r="M787" s="18">
        <f>[1]!f_prt_stocktonav(B787,"2017/03/31")</f>
        <v>85.727798461914062</v>
      </c>
      <c r="N787" s="20" t="str">
        <f>[1]!f_info_fundmanager(B787)</f>
        <v>乔林建</v>
      </c>
      <c r="O787" s="21">
        <v>1.2328767123287672</v>
      </c>
      <c r="P787" s="34" t="s">
        <v>3067</v>
      </c>
      <c r="Q787" s="34" t="s">
        <v>3068</v>
      </c>
      <c r="R787" s="34" t="s">
        <v>364</v>
      </c>
      <c r="S787" s="34">
        <v>20071025</v>
      </c>
      <c r="T787" s="45">
        <v>16.498358717799999</v>
      </c>
      <c r="U787" s="46">
        <v>17.495172279399998</v>
      </c>
      <c r="V787" s="34" t="s">
        <v>231</v>
      </c>
      <c r="W787" s="34" t="s">
        <v>44</v>
      </c>
      <c r="X787" s="34" t="s">
        <v>45</v>
      </c>
      <c r="Y787" s="34" t="s">
        <v>817</v>
      </c>
      <c r="Z787" s="34"/>
      <c r="AA787" s="34"/>
      <c r="AB787" s="22">
        <v>0.8766609191894531</v>
      </c>
      <c r="AC787" s="23" t="s">
        <v>3069</v>
      </c>
      <c r="AD787" s="24">
        <v>1.0027397260273974</v>
      </c>
      <c r="AE787" s="25">
        <v>3.2431923075679325E-2</v>
      </c>
      <c r="AF787" s="26">
        <v>0.18722404364131548</v>
      </c>
      <c r="AG787" s="26">
        <v>0.13210966755233033</v>
      </c>
      <c r="AH787" s="27">
        <v>0.18466333337687518</v>
      </c>
      <c r="AI787" s="27">
        <v>0.87037408737948307</v>
      </c>
      <c r="AJ787" s="27">
        <v>0.67351428631110311</v>
      </c>
      <c r="AK787" s="28" t="s">
        <v>726</v>
      </c>
      <c r="AL787" s="29">
        <v>5</v>
      </c>
      <c r="AM787" s="29">
        <v>4</v>
      </c>
      <c r="AN787" s="29" t="s">
        <v>48</v>
      </c>
      <c r="AO787" s="47" t="s">
        <v>3011</v>
      </c>
      <c r="AP787" s="28">
        <v>0</v>
      </c>
      <c r="AQ787" s="26">
        <v>1.4999999999999999E-2</v>
      </c>
      <c r="AR787" s="26">
        <v>0</v>
      </c>
    </row>
    <row r="788" spans="1:44" x14ac:dyDescent="0.15">
      <c r="A788">
        <v>529</v>
      </c>
      <c r="B788" s="11">
        <v>31</v>
      </c>
      <c r="C788" s="32"/>
      <c r="D788" s="32">
        <v>-1.41233357844363E-3</v>
      </c>
      <c r="E788" s="32">
        <v>116</v>
      </c>
      <c r="F788" s="32">
        <v>0.22957094414513199</v>
      </c>
      <c r="G788" s="11"/>
      <c r="H788" s="11"/>
      <c r="I788" s="11"/>
      <c r="J788" s="18" t="s">
        <v>44</v>
      </c>
      <c r="K788" s="18" t="s">
        <v>45</v>
      </c>
      <c r="L788" s="58" t="s">
        <v>65</v>
      </c>
      <c r="M788" s="18">
        <f>[1]!f_prt_stocktonav(B788,"2017/03/31")</f>
        <v>84.604133605957031</v>
      </c>
      <c r="N788" s="20" t="str">
        <f>[1]!f_info_fundmanager(B788)</f>
        <v>赵航</v>
      </c>
      <c r="O788" s="21">
        <v>2.2301369863013698</v>
      </c>
      <c r="P788" s="34" t="s">
        <v>3070</v>
      </c>
      <c r="Q788" s="34" t="s">
        <v>3071</v>
      </c>
      <c r="R788" s="34" t="s">
        <v>143</v>
      </c>
      <c r="S788" s="34">
        <v>20070910</v>
      </c>
      <c r="T788" s="45">
        <v>20.397399271899999</v>
      </c>
      <c r="U788" s="46">
        <v>21.539430080599999</v>
      </c>
      <c r="V788" s="34" t="s">
        <v>231</v>
      </c>
      <c r="W788" s="34" t="s">
        <v>44</v>
      </c>
      <c r="X788" s="34" t="s">
        <v>45</v>
      </c>
      <c r="Y788" s="34" t="s">
        <v>65</v>
      </c>
      <c r="Z788" s="34"/>
      <c r="AA788" s="34"/>
      <c r="AB788" s="22">
        <v>0.87733581542968753</v>
      </c>
      <c r="AC788" s="23" t="s">
        <v>3072</v>
      </c>
      <c r="AD788" s="24">
        <v>2.9726027397260273</v>
      </c>
      <c r="AE788" s="25">
        <v>6.6880175757191074E-2</v>
      </c>
      <c r="AF788" s="26">
        <v>9.8244494941072555E-2</v>
      </c>
      <c r="AG788" s="26">
        <v>0.11494170683511529</v>
      </c>
      <c r="AH788" s="27">
        <v>0.32440734164374202</v>
      </c>
      <c r="AI788" s="27">
        <v>0.43238110956189546</v>
      </c>
      <c r="AJ788" s="27">
        <v>0.53310627167949531</v>
      </c>
      <c r="AK788" s="28" t="s">
        <v>1459</v>
      </c>
      <c r="AL788" s="29">
        <v>4</v>
      </c>
      <c r="AM788" s="29">
        <v>3</v>
      </c>
      <c r="AN788" s="29" t="s">
        <v>48</v>
      </c>
      <c r="AO788" s="47" t="s">
        <v>592</v>
      </c>
      <c r="AP788" s="28">
        <v>0</v>
      </c>
      <c r="AQ788" s="26">
        <v>1.4999999999999999E-2</v>
      </c>
      <c r="AR788" s="26">
        <v>0</v>
      </c>
    </row>
    <row r="789" spans="1:44" x14ac:dyDescent="0.15">
      <c r="A789">
        <v>440</v>
      </c>
      <c r="B789" s="11">
        <v>360007</v>
      </c>
      <c r="C789" s="32"/>
      <c r="D789" s="32">
        <v>3.5554051597488299E-4</v>
      </c>
      <c r="E789" s="32">
        <v>87</v>
      </c>
      <c r="F789" s="32">
        <v>0.74049342029182297</v>
      </c>
      <c r="G789" s="11"/>
      <c r="H789" s="11"/>
      <c r="I789" s="11"/>
      <c r="J789" s="18" t="s">
        <v>44</v>
      </c>
      <c r="K789" s="18" t="s">
        <v>45</v>
      </c>
      <c r="L789" s="58" t="s">
        <v>274</v>
      </c>
      <c r="M789" s="18">
        <f>[1]!f_prt_stocktonav(B789,"2017/03/31")</f>
        <v>86.473312377929688</v>
      </c>
      <c r="N789" s="20" t="str">
        <f>[1]!f_info_fundmanager(B789)</f>
        <v>何奇,王维诚</v>
      </c>
      <c r="O789" s="21">
        <v>1.6602739726027398</v>
      </c>
      <c r="P789" s="34" t="s">
        <v>3073</v>
      </c>
      <c r="Q789" s="34" t="s">
        <v>3074</v>
      </c>
      <c r="R789" s="34" t="s">
        <v>634</v>
      </c>
      <c r="S789" s="34">
        <v>20070824</v>
      </c>
      <c r="T789" s="45">
        <v>27.798812164800001</v>
      </c>
      <c r="U789" s="46">
        <v>29.5804183037</v>
      </c>
      <c r="V789" s="34" t="s">
        <v>231</v>
      </c>
      <c r="W789" s="34" t="s">
        <v>44</v>
      </c>
      <c r="X789" s="34" t="s">
        <v>45</v>
      </c>
      <c r="Y789" s="34" t="s">
        <v>274</v>
      </c>
      <c r="Z789" s="34"/>
      <c r="AA789" s="34"/>
      <c r="AB789" s="22">
        <v>0.89091804504394534</v>
      </c>
      <c r="AC789" s="23" t="s">
        <v>3075</v>
      </c>
      <c r="AD789" s="24">
        <v>1.4301369863013698</v>
      </c>
      <c r="AE789" s="25">
        <v>3.2366332785919827E-2</v>
      </c>
      <c r="AF789" s="26">
        <v>0.21178559973216449</v>
      </c>
      <c r="AG789" s="26">
        <v>0.17031746690594218</v>
      </c>
      <c r="AH789" s="27">
        <v>0.19228171690435172</v>
      </c>
      <c r="AI789" s="27">
        <v>0.8481435511969152</v>
      </c>
      <c r="AJ789" s="27">
        <v>0.74912011501579523</v>
      </c>
      <c r="AK789" s="28" t="s">
        <v>2119</v>
      </c>
      <c r="AL789" s="29">
        <v>4</v>
      </c>
      <c r="AM789" s="29">
        <v>4</v>
      </c>
      <c r="AN789" s="29" t="s">
        <v>48</v>
      </c>
      <c r="AO789" s="47" t="s">
        <v>3076</v>
      </c>
      <c r="AP789" s="28">
        <v>0</v>
      </c>
      <c r="AQ789" s="26">
        <v>1.4999999999999999E-2</v>
      </c>
      <c r="AR789" s="26">
        <v>0</v>
      </c>
    </row>
    <row r="790" spans="1:44" x14ac:dyDescent="0.15">
      <c r="A790">
        <v>132</v>
      </c>
      <c r="B790" s="11">
        <v>590002</v>
      </c>
      <c r="C790" s="32"/>
      <c r="D790" s="32">
        <v>-2.5662383045098399E-3</v>
      </c>
      <c r="E790" s="32">
        <v>67</v>
      </c>
      <c r="F790" s="32">
        <v>8.7281458162544207E-2</v>
      </c>
      <c r="G790" s="11"/>
      <c r="H790" s="11"/>
      <c r="I790" s="11"/>
      <c r="J790" s="18" t="s">
        <v>44</v>
      </c>
      <c r="K790" s="18" t="s">
        <v>45</v>
      </c>
      <c r="L790" s="58" t="s">
        <v>274</v>
      </c>
      <c r="M790" s="18">
        <f>[1]!f_prt_stocktonav(B790,"2017/03/31")</f>
        <v>93.047622680664062</v>
      </c>
      <c r="N790" s="20" t="str">
        <f>[1]!f_info_fundmanager(B790)</f>
        <v>刘田,纪云飞</v>
      </c>
      <c r="O790" s="21">
        <v>1.2712328767123289</v>
      </c>
      <c r="P790" s="34" t="s">
        <v>3077</v>
      </c>
      <c r="Q790" s="34" t="s">
        <v>3078</v>
      </c>
      <c r="R790" s="34" t="s">
        <v>85</v>
      </c>
      <c r="S790" s="34">
        <v>20070817</v>
      </c>
      <c r="T790" s="45">
        <v>70.998833060099997</v>
      </c>
      <c r="U790" s="46">
        <v>77.7621673899</v>
      </c>
      <c r="V790" s="34" t="s">
        <v>231</v>
      </c>
      <c r="W790" s="34" t="s">
        <v>44</v>
      </c>
      <c r="X790" s="34" t="s">
        <v>45</v>
      </c>
      <c r="Y790" s="34" t="s">
        <v>274</v>
      </c>
      <c r="Z790" s="34"/>
      <c r="AA790" s="34"/>
      <c r="AB790" s="22">
        <v>0.88464530944824216</v>
      </c>
      <c r="AC790" s="23" t="s">
        <v>3079</v>
      </c>
      <c r="AD790" s="24">
        <v>5.6356164383561644</v>
      </c>
      <c r="AE790" s="25">
        <v>-3.4184600633788698E-2</v>
      </c>
      <c r="AF790" s="26">
        <v>0.14827919325422489</v>
      </c>
      <c r="AG790" s="26">
        <v>8.976331887910316E-2</v>
      </c>
      <c r="AH790" s="27">
        <v>6.5173643120632638E-4</v>
      </c>
      <c r="AI790" s="27">
        <v>0.51510376780513001</v>
      </c>
      <c r="AJ790" s="27">
        <v>0.38638097230453672</v>
      </c>
      <c r="AK790" s="28" t="s">
        <v>3080</v>
      </c>
      <c r="AL790" s="29">
        <v>2</v>
      </c>
      <c r="AM790" s="29">
        <v>3</v>
      </c>
      <c r="AN790" s="29" t="s">
        <v>48</v>
      </c>
      <c r="AO790" s="47" t="s">
        <v>310</v>
      </c>
      <c r="AP790" s="28">
        <v>0</v>
      </c>
      <c r="AQ790" s="26">
        <v>1.4999999999999999E-2</v>
      </c>
      <c r="AR790" s="26">
        <v>0</v>
      </c>
    </row>
    <row r="791" spans="1:44" x14ac:dyDescent="0.15">
      <c r="A791">
        <v>854</v>
      </c>
      <c r="B791" s="11">
        <v>519694</v>
      </c>
      <c r="C791" s="32"/>
      <c r="D791" s="32">
        <v>-1.45441558350718E-3</v>
      </c>
      <c r="E791" s="32">
        <v>127</v>
      </c>
      <c r="F791" s="32">
        <v>0.20727784859482901</v>
      </c>
      <c r="G791" s="11"/>
      <c r="H791" s="11"/>
      <c r="I791" s="11"/>
      <c r="J791" s="18" t="s">
        <v>44</v>
      </c>
      <c r="K791" s="18" t="s">
        <v>45</v>
      </c>
      <c r="L791" s="58" t="s">
        <v>274</v>
      </c>
      <c r="M791" s="18">
        <f>[1]!f_prt_stocktonav(B791,"2017/03/31")</f>
        <v>74.294715881347656</v>
      </c>
      <c r="N791" s="20" t="str">
        <f>[1]!f_info_fundmanager(B791)</f>
        <v>陈孜铎</v>
      </c>
      <c r="O791" s="21">
        <v>2.441095890410959</v>
      </c>
      <c r="P791" s="34" t="s">
        <v>3081</v>
      </c>
      <c r="Q791" s="34" t="s">
        <v>3082</v>
      </c>
      <c r="R791" s="34" t="s">
        <v>138</v>
      </c>
      <c r="S791" s="34">
        <v>20070808</v>
      </c>
      <c r="T791" s="45">
        <v>25.104528841099999</v>
      </c>
      <c r="U791" s="46">
        <v>25.695754876999999</v>
      </c>
      <c r="V791" s="34" t="s">
        <v>231</v>
      </c>
      <c r="W791" s="34" t="s">
        <v>44</v>
      </c>
      <c r="X791" s="34" t="s">
        <v>45</v>
      </c>
      <c r="Y791" s="34" t="s">
        <v>274</v>
      </c>
      <c r="Z791" s="34"/>
      <c r="AA791" s="34"/>
      <c r="AB791" s="22">
        <v>0.70248611450195309</v>
      </c>
      <c r="AC791" s="23" t="s">
        <v>3083</v>
      </c>
      <c r="AD791" s="24">
        <v>2.2109589041095892</v>
      </c>
      <c r="AE791" s="25">
        <v>4.9604944597034795E-3</v>
      </c>
      <c r="AF791" s="26">
        <v>0.11273264534693128</v>
      </c>
      <c r="AG791" s="26">
        <v>9.867059488483744E-2</v>
      </c>
      <c r="AH791" s="27">
        <v>8.289866257402119E-2</v>
      </c>
      <c r="AI791" s="27">
        <v>0.44588003256020076</v>
      </c>
      <c r="AJ791" s="27">
        <v>0.43785940925078892</v>
      </c>
      <c r="AK791" s="28" t="s">
        <v>3084</v>
      </c>
      <c r="AL791" s="29">
        <v>2</v>
      </c>
      <c r="AM791" s="29">
        <v>3</v>
      </c>
      <c r="AN791" s="29" t="s">
        <v>48</v>
      </c>
      <c r="AO791" s="47" t="s">
        <v>3085</v>
      </c>
      <c r="AP791" s="28" t="s">
        <v>608</v>
      </c>
      <c r="AQ791" s="26">
        <v>1.4999999999999999E-2</v>
      </c>
      <c r="AR791" s="26">
        <v>0</v>
      </c>
    </row>
    <row r="792" spans="1:44" x14ac:dyDescent="0.15">
      <c r="A792">
        <v>585</v>
      </c>
      <c r="B792" s="11">
        <v>200008</v>
      </c>
      <c r="C792" s="32"/>
      <c r="D792" s="32">
        <v>-1.5663128251352401E-4</v>
      </c>
      <c r="E792" s="32">
        <v>197</v>
      </c>
      <c r="F792" s="32">
        <v>0.87033702082125797</v>
      </c>
      <c r="G792" s="11"/>
      <c r="H792" s="11"/>
      <c r="I792" s="11"/>
      <c r="J792" s="18" t="s">
        <v>44</v>
      </c>
      <c r="K792" s="18" t="s">
        <v>45</v>
      </c>
      <c r="L792" s="58" t="s">
        <v>65</v>
      </c>
      <c r="M792" s="18">
        <f>[1]!f_prt_stocktonav(B792,"2017/03/31")</f>
        <v>83.1468505859375</v>
      </c>
      <c r="N792" s="20" t="str">
        <f>[1]!f_info_fundmanager(B792)</f>
        <v>杨建华</v>
      </c>
      <c r="O792" s="21">
        <v>3.7863013698630139</v>
      </c>
      <c r="P792" s="34" t="s">
        <v>3086</v>
      </c>
      <c r="Q792" s="34" t="s">
        <v>3087</v>
      </c>
      <c r="R792" s="34" t="s">
        <v>1172</v>
      </c>
      <c r="S792" s="34">
        <v>20070806</v>
      </c>
      <c r="T792" s="45">
        <v>36.264026291500002</v>
      </c>
      <c r="U792" s="46">
        <v>38.6286070946</v>
      </c>
      <c r="V792" s="34" t="s">
        <v>201</v>
      </c>
      <c r="W792" s="34" t="s">
        <v>44</v>
      </c>
      <c r="X792" s="34" t="s">
        <v>45</v>
      </c>
      <c r="Y792" s="34" t="s">
        <v>65</v>
      </c>
      <c r="Z792" s="34"/>
      <c r="AA792" s="34"/>
      <c r="AB792" s="22">
        <v>0.87255027770996096</v>
      </c>
      <c r="AC792" s="23" t="s">
        <v>3088</v>
      </c>
      <c r="AD792" s="24">
        <v>3.5561643835616437</v>
      </c>
      <c r="AE792" s="25">
        <v>8.525855334894139E-3</v>
      </c>
      <c r="AF792" s="26">
        <v>0.14367694909151507</v>
      </c>
      <c r="AG792" s="26">
        <v>9.9797957537685278E-2</v>
      </c>
      <c r="AH792" s="27">
        <v>0.1005093776732971</v>
      </c>
      <c r="AI792" s="27">
        <v>0.62227928644646824</v>
      </c>
      <c r="AJ792" s="27">
        <v>0.46309296234477182</v>
      </c>
      <c r="AK792" s="28" t="s">
        <v>3089</v>
      </c>
      <c r="AL792" s="29">
        <v>2</v>
      </c>
      <c r="AM792" s="29">
        <v>4</v>
      </c>
      <c r="AN792" s="29" t="s">
        <v>48</v>
      </c>
      <c r="AO792" s="47" t="s">
        <v>2337</v>
      </c>
      <c r="AP792" s="28">
        <v>0</v>
      </c>
      <c r="AQ792" s="26">
        <v>1.4999999999999999E-2</v>
      </c>
      <c r="AR792" s="26">
        <v>0</v>
      </c>
    </row>
    <row r="793" spans="1:44" x14ac:dyDescent="0.15">
      <c r="A793">
        <v>199</v>
      </c>
      <c r="B793" s="11">
        <v>162209</v>
      </c>
      <c r="C793" s="32"/>
      <c r="D793" s="32">
        <v>-3.5598181073433501E-3</v>
      </c>
      <c r="E793" s="32">
        <v>98</v>
      </c>
      <c r="F793" s="32">
        <v>0.11004180761346299</v>
      </c>
      <c r="G793" s="11"/>
      <c r="H793" s="11"/>
      <c r="I793" s="11"/>
      <c r="J793" s="18" t="s">
        <v>44</v>
      </c>
      <c r="K793" s="18" t="s">
        <v>45</v>
      </c>
      <c r="L793" s="58" t="s">
        <v>65</v>
      </c>
      <c r="M793" s="18">
        <f>[1]!f_prt_stocktonav(B793,"2017/03/31")</f>
        <v>91.845710754394531</v>
      </c>
      <c r="N793" s="20" t="str">
        <f>[1]!f_info_fundmanager(B793)</f>
        <v>李坤元</v>
      </c>
      <c r="O793" s="21">
        <v>1.8821917808219177</v>
      </c>
      <c r="P793" s="34" t="s">
        <v>3090</v>
      </c>
      <c r="Q793" s="34" t="s">
        <v>3091</v>
      </c>
      <c r="R793" s="34" t="s">
        <v>263</v>
      </c>
      <c r="S793" s="34">
        <v>20070803</v>
      </c>
      <c r="T793" s="45">
        <v>12.9860656826</v>
      </c>
      <c r="U793" s="46">
        <v>14.251340278400001</v>
      </c>
      <c r="V793" s="34" t="s">
        <v>231</v>
      </c>
      <c r="W793" s="34" t="s">
        <v>44</v>
      </c>
      <c r="X793" s="34" t="s">
        <v>45</v>
      </c>
      <c r="Y793" s="34" t="s">
        <v>65</v>
      </c>
      <c r="Z793" s="34"/>
      <c r="AA793" s="34"/>
      <c r="AB793" s="22">
        <v>0.89980476379394536</v>
      </c>
      <c r="AC793" s="23" t="s">
        <v>3092</v>
      </c>
      <c r="AD793" s="24">
        <v>1.7643835616438357</v>
      </c>
      <c r="AE793" s="25">
        <v>-3.4450347430083905E-2</v>
      </c>
      <c r="AF793" s="26">
        <v>-4.9865360887705767E-2</v>
      </c>
      <c r="AG793" s="26">
        <v>2.4653774800440731E-2</v>
      </c>
      <c r="AH793" s="27">
        <v>-2.8467073741134826E-2</v>
      </c>
      <c r="AI793" s="27">
        <v>-2.2811968735119911E-2</v>
      </c>
      <c r="AJ793" s="27">
        <v>0.18889249506622668</v>
      </c>
      <c r="AK793" s="28" t="s">
        <v>1750</v>
      </c>
      <c r="AL793" s="29">
        <v>1</v>
      </c>
      <c r="AM793" s="29">
        <v>1</v>
      </c>
      <c r="AN793" s="29" t="s">
        <v>48</v>
      </c>
      <c r="AO793" s="47" t="s">
        <v>3093</v>
      </c>
      <c r="AP793" s="28">
        <v>0</v>
      </c>
      <c r="AQ793" s="26">
        <v>1.4999999999999999E-2</v>
      </c>
      <c r="AR793" s="26">
        <v>0</v>
      </c>
    </row>
    <row r="794" spans="1:44" x14ac:dyDescent="0.15">
      <c r="A794">
        <v>313</v>
      </c>
      <c r="B794" s="11">
        <v>40008</v>
      </c>
      <c r="C794" s="32"/>
      <c r="D794" s="32">
        <v>5.1486056209175705E-4</v>
      </c>
      <c r="E794" s="32">
        <v>199</v>
      </c>
      <c r="F794" s="32">
        <v>0.67144771726244401</v>
      </c>
      <c r="G794" s="11"/>
      <c r="H794" s="11"/>
      <c r="I794" s="11"/>
      <c r="J794" s="18" t="s">
        <v>44</v>
      </c>
      <c r="K794" s="18" t="s">
        <v>45</v>
      </c>
      <c r="L794" s="58" t="s">
        <v>65</v>
      </c>
      <c r="M794" s="18">
        <f>[1]!f_prt_stocktonav(B794,"2017/03/31")</f>
        <v>89.223587036132812</v>
      </c>
      <c r="N794" s="20" t="str">
        <f>[1]!f_info_fundmanager(B794)</f>
        <v>杨明</v>
      </c>
      <c r="O794" s="21">
        <v>3.8219178082191783</v>
      </c>
      <c r="P794" s="34" t="s">
        <v>3094</v>
      </c>
      <c r="Q794" s="34" t="s">
        <v>3095</v>
      </c>
      <c r="R794" s="34" t="s">
        <v>63</v>
      </c>
      <c r="S794" s="34">
        <v>20070802</v>
      </c>
      <c r="T794" s="45">
        <v>34.687703579000001</v>
      </c>
      <c r="U794" s="46">
        <v>37.904880652300001</v>
      </c>
      <c r="V794" s="34" t="s">
        <v>231</v>
      </c>
      <c r="W794" s="34" t="s">
        <v>44</v>
      </c>
      <c r="X794" s="34" t="s">
        <v>45</v>
      </c>
      <c r="Y794" s="34" t="s">
        <v>65</v>
      </c>
      <c r="Z794" s="34"/>
      <c r="AA794" s="34"/>
      <c r="AB794" s="22">
        <v>0.89056739807128904</v>
      </c>
      <c r="AC794" s="23" t="s">
        <v>3096</v>
      </c>
      <c r="AD794" s="24">
        <v>3.591780821917808</v>
      </c>
      <c r="AE794" s="25">
        <v>1.1057498466698679E-2</v>
      </c>
      <c r="AF794" s="26">
        <v>0.18512261415766296</v>
      </c>
      <c r="AG794" s="26">
        <v>0.12179781350742026</v>
      </c>
      <c r="AH794" s="27">
        <v>0.10324575311079875</v>
      </c>
      <c r="AI794" s="27">
        <v>0.7251491113134706</v>
      </c>
      <c r="AJ794" s="27">
        <v>0.5471167907883594</v>
      </c>
      <c r="AK794" s="28" t="s">
        <v>3097</v>
      </c>
      <c r="AL794" s="29">
        <v>4</v>
      </c>
      <c r="AM794" s="29">
        <v>3</v>
      </c>
      <c r="AN794" s="29" t="s">
        <v>48</v>
      </c>
      <c r="AO794" s="47" t="s">
        <v>3098</v>
      </c>
      <c r="AP794" s="28" t="s">
        <v>3099</v>
      </c>
      <c r="AQ794" s="26">
        <v>1.4999999999999999E-2</v>
      </c>
      <c r="AR794" s="26">
        <v>0</v>
      </c>
    </row>
    <row r="795" spans="1:44" x14ac:dyDescent="0.15">
      <c r="A795">
        <v>602</v>
      </c>
      <c r="B795" s="11">
        <v>481006</v>
      </c>
      <c r="C795" s="32"/>
      <c r="D795" s="32">
        <v>-4.4097224583805701E-3</v>
      </c>
      <c r="E795" s="32">
        <v>167</v>
      </c>
      <c r="F795" s="32">
        <v>1.5906969256861199E-3</v>
      </c>
      <c r="G795" s="11"/>
      <c r="H795" s="11"/>
      <c r="I795" s="11"/>
      <c r="J795" s="18" t="s">
        <v>44</v>
      </c>
      <c r="K795" s="18" t="s">
        <v>87</v>
      </c>
      <c r="L795" s="58" t="s">
        <v>65</v>
      </c>
      <c r="M795" s="18">
        <f>[1]!f_prt_stocktonav(B795,"2017/03/31")</f>
        <v>82.887054443359375</v>
      </c>
      <c r="N795" s="20" t="str">
        <f>[1]!f_info_fundmanager(B795)</f>
        <v>宋炳珅,杨柯,林念</v>
      </c>
      <c r="O795" s="21">
        <v>3.1945205479452055</v>
      </c>
      <c r="P795" s="34" t="s">
        <v>3100</v>
      </c>
      <c r="Q795" s="34" t="s">
        <v>3101</v>
      </c>
      <c r="R795" s="34" t="s">
        <v>523</v>
      </c>
      <c r="S795" s="34">
        <v>20070718</v>
      </c>
      <c r="T795" s="45">
        <v>5.6653449259000004</v>
      </c>
      <c r="U795" s="46">
        <v>5.9870262465000001</v>
      </c>
      <c r="V795" s="34" t="s">
        <v>231</v>
      </c>
      <c r="W795" s="34" t="s">
        <v>44</v>
      </c>
      <c r="X795" s="34" t="s">
        <v>45</v>
      </c>
      <c r="Y795" s="34" t="s">
        <v>274</v>
      </c>
      <c r="Z795" s="34"/>
      <c r="AA795" s="34"/>
      <c r="AB795" s="22">
        <v>0.87156600952148433</v>
      </c>
      <c r="AC795" s="23" t="s">
        <v>3102</v>
      </c>
      <c r="AD795" s="24">
        <v>2.9643835616438357</v>
      </c>
      <c r="AE795" s="25">
        <v>-2.2927522404844525E-2</v>
      </c>
      <c r="AF795" s="26">
        <v>1.6872969242497371E-2</v>
      </c>
      <c r="AG795" s="26">
        <v>-8.950359150155629E-3</v>
      </c>
      <c r="AH795" s="27">
        <v>-8.5422550334644225E-3</v>
      </c>
      <c r="AI795" s="27">
        <v>0.1943264523841656</v>
      </c>
      <c r="AJ795" s="27">
        <v>5.4656762951501868E-2</v>
      </c>
      <c r="AK795" s="28" t="s">
        <v>3103</v>
      </c>
      <c r="AL795" s="29">
        <v>1</v>
      </c>
      <c r="AM795" s="29">
        <v>1</v>
      </c>
      <c r="AN795" s="29" t="s">
        <v>48</v>
      </c>
      <c r="AO795" s="47" t="s">
        <v>255</v>
      </c>
      <c r="AP795" s="28">
        <v>0</v>
      </c>
      <c r="AQ795" s="26">
        <v>1.4999999999999999E-2</v>
      </c>
      <c r="AR795" s="26">
        <v>0</v>
      </c>
    </row>
    <row r="796" spans="1:44" x14ac:dyDescent="0.15">
      <c r="A796">
        <v>219</v>
      </c>
      <c r="B796" s="11">
        <v>50009</v>
      </c>
      <c r="C796" s="32"/>
      <c r="D796" s="32">
        <v>-3.31115605096313E-3</v>
      </c>
      <c r="E796" s="32">
        <v>219</v>
      </c>
      <c r="F796" s="32">
        <v>1.01928476449736E-3</v>
      </c>
      <c r="G796" s="11"/>
      <c r="H796" s="11"/>
      <c r="I796" s="11"/>
      <c r="J796" s="18" t="s">
        <v>44</v>
      </c>
      <c r="K796" s="18" t="s">
        <v>45</v>
      </c>
      <c r="L796" s="58" t="s">
        <v>65</v>
      </c>
      <c r="M796" s="18">
        <f>[1]!f_prt_stocktonav(B796,"2017/03/31")</f>
        <v>91.453048706054688</v>
      </c>
      <c r="N796" s="20" t="str">
        <f>[1]!f_info_fundmanager(B796)</f>
        <v>曾鹏</v>
      </c>
      <c r="O796" s="21">
        <v>4.2</v>
      </c>
      <c r="P796" s="34" t="s">
        <v>3104</v>
      </c>
      <c r="Q796" s="34" t="s">
        <v>3105</v>
      </c>
      <c r="R796" s="34" t="s">
        <v>413</v>
      </c>
      <c r="S796" s="34">
        <v>20070706</v>
      </c>
      <c r="T796" s="45">
        <v>37.842935445800002</v>
      </c>
      <c r="U796" s="46">
        <v>40.172828758800001</v>
      </c>
      <c r="V796" s="34" t="s">
        <v>231</v>
      </c>
      <c r="W796" s="34" t="s">
        <v>44</v>
      </c>
      <c r="X796" s="34" t="s">
        <v>45</v>
      </c>
      <c r="Y796" s="34" t="s">
        <v>65</v>
      </c>
      <c r="Z796" s="34"/>
      <c r="AA796" s="34"/>
      <c r="AB796" s="22">
        <v>0.88733016967773437</v>
      </c>
      <c r="AC796" s="23" t="s">
        <v>3106</v>
      </c>
      <c r="AD796" s="24">
        <v>3.9698630136986299</v>
      </c>
      <c r="AE796" s="25">
        <v>3.9512212336667574E-5</v>
      </c>
      <c r="AF796" s="26">
        <v>4.7249254925563422E-2</v>
      </c>
      <c r="AG796" s="26">
        <v>3.8847010105262703E-2</v>
      </c>
      <c r="AH796" s="27">
        <v>8.1677179550105394E-2</v>
      </c>
      <c r="AI796" s="27">
        <v>0.24961475976655206</v>
      </c>
      <c r="AJ796" s="27">
        <v>0.22877084681492152</v>
      </c>
      <c r="AK796" s="28" t="s">
        <v>110</v>
      </c>
      <c r="AL796" s="29">
        <v>1</v>
      </c>
      <c r="AM796" s="29">
        <v>3</v>
      </c>
      <c r="AN796" s="29" t="s">
        <v>48</v>
      </c>
      <c r="AO796" s="47" t="s">
        <v>417</v>
      </c>
      <c r="AP796" s="28">
        <v>0</v>
      </c>
      <c r="AQ796" s="26">
        <v>1.4999999999999999E-2</v>
      </c>
      <c r="AR796" s="26">
        <v>0</v>
      </c>
    </row>
    <row r="797" spans="1:44" x14ac:dyDescent="0.15">
      <c r="A797">
        <v>218</v>
      </c>
      <c r="B797" s="11">
        <v>260110</v>
      </c>
      <c r="C797" s="32"/>
      <c r="D797" s="32">
        <v>-1.29606341144163E-3</v>
      </c>
      <c r="E797" s="32">
        <v>127</v>
      </c>
      <c r="F797" s="32">
        <v>0.34462862709855602</v>
      </c>
      <c r="G797" s="11"/>
      <c r="H797" s="11"/>
      <c r="I797" s="11"/>
      <c r="J797" s="18" t="s">
        <v>44</v>
      </c>
      <c r="K797" s="18" t="s">
        <v>45</v>
      </c>
      <c r="L797" s="58" t="s">
        <v>65</v>
      </c>
      <c r="M797" s="18">
        <f>[1]!f_prt_stocktonav(B797,"2017/03/31")</f>
        <v>91.463874816894531</v>
      </c>
      <c r="N797" s="20" t="str">
        <f>[1]!f_info_fundmanager(B797)</f>
        <v>余广</v>
      </c>
      <c r="O797" s="21">
        <v>2.4246575342465753</v>
      </c>
      <c r="P797" s="34" t="s">
        <v>3107</v>
      </c>
      <c r="Q797" s="34" t="s">
        <v>3108</v>
      </c>
      <c r="R797" s="34" t="s">
        <v>353</v>
      </c>
      <c r="S797" s="34">
        <v>20070618</v>
      </c>
      <c r="T797" s="45">
        <v>28.494543421100001</v>
      </c>
      <c r="U797" s="46">
        <v>29.920225995100001</v>
      </c>
      <c r="V797" s="34" t="s">
        <v>231</v>
      </c>
      <c r="W797" s="34" t="s">
        <v>44</v>
      </c>
      <c r="X797" s="34" t="s">
        <v>45</v>
      </c>
      <c r="Y797" s="34" t="s">
        <v>65</v>
      </c>
      <c r="Z797" s="34"/>
      <c r="AA797" s="34"/>
      <c r="AB797" s="22">
        <v>0.86913475036621091</v>
      </c>
      <c r="AC797" s="23" t="s">
        <v>2403</v>
      </c>
      <c r="AD797" s="24">
        <v>2.1945205479452055</v>
      </c>
      <c r="AE797" s="25">
        <v>2.0258190016266608E-2</v>
      </c>
      <c r="AF797" s="26">
        <v>0.11063255163271357</v>
      </c>
      <c r="AG797" s="26">
        <v>0.12434789865149343</v>
      </c>
      <c r="AH797" s="27">
        <v>0.14996817662546263</v>
      </c>
      <c r="AI797" s="27">
        <v>0.46743111533889292</v>
      </c>
      <c r="AJ797" s="27">
        <v>0.53609660613745058</v>
      </c>
      <c r="AK797" s="28" t="s">
        <v>3080</v>
      </c>
      <c r="AL797" s="29">
        <v>3</v>
      </c>
      <c r="AM797" s="29">
        <v>3</v>
      </c>
      <c r="AN797" s="29" t="s">
        <v>48</v>
      </c>
      <c r="AO797" s="47" t="s">
        <v>2920</v>
      </c>
      <c r="AP797" s="28">
        <v>0</v>
      </c>
      <c r="AQ797" s="26">
        <v>1.4999999999999999E-2</v>
      </c>
      <c r="AR797" s="26">
        <v>0</v>
      </c>
    </row>
    <row r="798" spans="1:44" x14ac:dyDescent="0.15">
      <c r="A798">
        <v>771</v>
      </c>
      <c r="B798" s="11">
        <v>240010</v>
      </c>
      <c r="C798" s="32"/>
      <c r="D798" s="32">
        <v>-2.0486266485222802E-3</v>
      </c>
      <c r="E798" s="32">
        <v>142</v>
      </c>
      <c r="F798" s="32">
        <v>3.0818720517180698E-2</v>
      </c>
      <c r="G798" s="11"/>
      <c r="H798" s="11"/>
      <c r="I798" s="11"/>
      <c r="J798" s="18" t="s">
        <v>44</v>
      </c>
      <c r="K798" s="18" t="s">
        <v>45</v>
      </c>
      <c r="L798" s="58" t="s">
        <v>65</v>
      </c>
      <c r="M798" s="18">
        <f>[1]!f_prt_stocktonav(B798,"2017/03/31")</f>
        <v>77.569816589355469</v>
      </c>
      <c r="N798" s="20" t="str">
        <f>[1]!f_info_fundmanager(B798)</f>
        <v>闫旭</v>
      </c>
      <c r="O798" s="21">
        <v>2.7287671232876711</v>
      </c>
      <c r="P798" s="34" t="s">
        <v>3109</v>
      </c>
      <c r="Q798" s="34" t="s">
        <v>3110</v>
      </c>
      <c r="R798" s="34" t="s">
        <v>737</v>
      </c>
      <c r="S798" s="34">
        <v>20070614</v>
      </c>
      <c r="T798" s="45">
        <v>28.0272583926</v>
      </c>
      <c r="U798" s="46">
        <v>30.4426870737</v>
      </c>
      <c r="V798" s="34" t="s">
        <v>201</v>
      </c>
      <c r="W798" s="34" t="s">
        <v>44</v>
      </c>
      <c r="X798" s="34" t="s">
        <v>45</v>
      </c>
      <c r="Y798" s="34" t="s">
        <v>274</v>
      </c>
      <c r="Z798" s="34"/>
      <c r="AA798" s="34"/>
      <c r="AB798" s="22">
        <v>0.76599937438964849</v>
      </c>
      <c r="AC798" s="23" t="s">
        <v>1480</v>
      </c>
      <c r="AD798" s="24">
        <v>2.4986301369863013</v>
      </c>
      <c r="AE798" s="25">
        <v>3.2809417596163071E-2</v>
      </c>
      <c r="AF798" s="26">
        <v>8.9698741693260656E-2</v>
      </c>
      <c r="AG798" s="26">
        <v>0.11580039816868526</v>
      </c>
      <c r="AH798" s="27">
        <v>0.19648385898076792</v>
      </c>
      <c r="AI798" s="27">
        <v>0.3758699764017791</v>
      </c>
      <c r="AJ798" s="27">
        <v>0.4993952134004162</v>
      </c>
      <c r="AK798" s="28" t="s">
        <v>3111</v>
      </c>
      <c r="AL798" s="29">
        <v>3</v>
      </c>
      <c r="AM798" s="29">
        <v>2</v>
      </c>
      <c r="AN798" s="29" t="s">
        <v>48</v>
      </c>
      <c r="AO798" s="47" t="s">
        <v>739</v>
      </c>
      <c r="AP798" s="28">
        <v>0</v>
      </c>
      <c r="AQ798" s="26">
        <v>1.4999999999999999E-2</v>
      </c>
      <c r="AR798" s="26">
        <v>0</v>
      </c>
    </row>
    <row r="799" spans="1:44" x14ac:dyDescent="0.15">
      <c r="A799">
        <v>833</v>
      </c>
      <c r="B799" s="11">
        <v>270007</v>
      </c>
      <c r="C799" s="32"/>
      <c r="D799" s="32">
        <v>-4.4814832975328999E-4</v>
      </c>
      <c r="E799" s="32">
        <v>216</v>
      </c>
      <c r="F799" s="32">
        <v>0.68766585804126101</v>
      </c>
      <c r="G799" s="11"/>
      <c r="H799" s="11"/>
      <c r="I799" s="11"/>
      <c r="J799" s="18" t="s">
        <v>44</v>
      </c>
      <c r="K799" s="18" t="s">
        <v>45</v>
      </c>
      <c r="L799" s="58" t="s">
        <v>65</v>
      </c>
      <c r="M799" s="18">
        <f>[1]!f_prt_stocktonav(B799,"2017/03/31")</f>
        <v>75.572212219238281</v>
      </c>
      <c r="N799" s="20" t="str">
        <f>[1]!f_info_fundmanager(B799)</f>
        <v>程琨,李琛</v>
      </c>
      <c r="O799" s="21">
        <v>4.1506849315068495</v>
      </c>
      <c r="P799" s="34" t="s">
        <v>3112</v>
      </c>
      <c r="Q799" s="34" t="s">
        <v>3113</v>
      </c>
      <c r="R799" s="34" t="s">
        <v>132</v>
      </c>
      <c r="S799" s="34">
        <v>20070613</v>
      </c>
      <c r="T799" s="45">
        <v>30.3301140646</v>
      </c>
      <c r="U799" s="46">
        <v>32.756253695200002</v>
      </c>
      <c r="V799" s="34" t="s">
        <v>231</v>
      </c>
      <c r="W799" s="34" t="s">
        <v>41</v>
      </c>
      <c r="X799" s="34" t="s">
        <v>42</v>
      </c>
      <c r="Y799" s="34" t="s">
        <v>181</v>
      </c>
      <c r="Z799" s="34"/>
      <c r="AA799" s="34"/>
      <c r="AB799" s="22">
        <v>0.50840217590332026</v>
      </c>
      <c r="AC799" s="23" t="s">
        <v>3114</v>
      </c>
      <c r="AD799" s="24">
        <v>3.9205479452054797</v>
      </c>
      <c r="AE799" s="25">
        <v>6.0331915166620398E-3</v>
      </c>
      <c r="AF799" s="26">
        <v>0.1497475757257769</v>
      </c>
      <c r="AG799" s="26">
        <v>0.12236988853092567</v>
      </c>
      <c r="AH799" s="27">
        <v>8.2090846634430115E-2</v>
      </c>
      <c r="AI799" s="27">
        <v>0.69831733161817222</v>
      </c>
      <c r="AJ799" s="27">
        <v>0.59327976729799525</v>
      </c>
      <c r="AK799" s="28" t="s">
        <v>2463</v>
      </c>
      <c r="AL799" s="29">
        <v>5</v>
      </c>
      <c r="AM799" s="29">
        <v>4</v>
      </c>
      <c r="AN799" s="29" t="s">
        <v>48</v>
      </c>
      <c r="AO799" s="47" t="s">
        <v>287</v>
      </c>
      <c r="AP799" s="28" t="s">
        <v>3115</v>
      </c>
      <c r="AQ799" s="26">
        <v>1.4999999999999999E-2</v>
      </c>
      <c r="AR799" s="26">
        <v>0</v>
      </c>
    </row>
    <row r="800" spans="1:44" x14ac:dyDescent="0.15">
      <c r="A800">
        <v>470</v>
      </c>
      <c r="B800" s="11">
        <v>160910</v>
      </c>
      <c r="C800" s="32"/>
      <c r="D800" s="32">
        <v>2.1039425990134102E-3</v>
      </c>
      <c r="E800" s="32">
        <v>32</v>
      </c>
      <c r="F800" s="32">
        <v>0.32874903940058098</v>
      </c>
      <c r="G800" s="11"/>
      <c r="H800" s="11"/>
      <c r="I800" s="11"/>
      <c r="J800" s="18" t="s">
        <v>44</v>
      </c>
      <c r="K800" s="18" t="s">
        <v>45</v>
      </c>
      <c r="L800" s="58" t="s">
        <v>65</v>
      </c>
      <c r="M800" s="18">
        <f>[1]!f_prt_stocktonav(B800,"2017/03/31")</f>
        <v>85.828018188476563</v>
      </c>
      <c r="N800" s="20" t="str">
        <f>[1]!f_info_fundmanager(B800)</f>
        <v>石国武,刘旭</v>
      </c>
      <c r="O800" s="21">
        <v>0.61095890410958908</v>
      </c>
      <c r="P800" s="34" t="s">
        <v>3116</v>
      </c>
      <c r="Q800" s="34" t="s">
        <v>3117</v>
      </c>
      <c r="R800" s="34" t="s">
        <v>486</v>
      </c>
      <c r="S800" s="34">
        <v>20070612</v>
      </c>
      <c r="T800" s="45">
        <v>22.127667083999999</v>
      </c>
      <c r="U800" s="46">
        <v>22.705631594500002</v>
      </c>
      <c r="V800" s="34" t="s">
        <v>231</v>
      </c>
      <c r="W800" s="34" t="s">
        <v>44</v>
      </c>
      <c r="X800" s="34" t="s">
        <v>45</v>
      </c>
      <c r="Y800" s="34" t="s">
        <v>65</v>
      </c>
      <c r="Z800" s="34"/>
      <c r="AA800" s="34"/>
      <c r="AB800" s="22">
        <v>0.7159829711914063</v>
      </c>
      <c r="AC800" s="23" t="s">
        <v>3118</v>
      </c>
      <c r="AD800" s="24">
        <v>0.38082191780821917</v>
      </c>
      <c r="AE800" s="25">
        <v>-7.0937995865461012E-3</v>
      </c>
      <c r="AF800" s="26">
        <v>8.6191387551381352E-2</v>
      </c>
      <c r="AG800" s="26">
        <v>6.7386634286942249E-2</v>
      </c>
      <c r="AH800" s="27">
        <v>5.2987408026162308E-2</v>
      </c>
      <c r="AI800" s="27">
        <v>0.39039781448458943</v>
      </c>
      <c r="AJ800" s="27">
        <v>0.32295504218732546</v>
      </c>
      <c r="AK800" s="28" t="s">
        <v>3119</v>
      </c>
      <c r="AL800" s="29">
        <v>2</v>
      </c>
      <c r="AM800" s="29">
        <v>3</v>
      </c>
      <c r="AN800" s="29" t="s">
        <v>48</v>
      </c>
      <c r="AO800" s="47" t="s">
        <v>1002</v>
      </c>
      <c r="AP800" s="28">
        <v>0</v>
      </c>
      <c r="AQ800" s="26">
        <v>1.4999999999999999E-2</v>
      </c>
      <c r="AR800" s="26">
        <v>0</v>
      </c>
    </row>
    <row r="801" spans="1:44" x14ac:dyDescent="0.15">
      <c r="A801">
        <v>266</v>
      </c>
      <c r="B801" s="11">
        <v>460002</v>
      </c>
      <c r="C801" s="32"/>
      <c r="D801" s="32">
        <v>-2.6932137808988702E-3</v>
      </c>
      <c r="E801" s="32">
        <v>258</v>
      </c>
      <c r="F801" s="32">
        <v>1.07626593917137E-2</v>
      </c>
      <c r="G801" s="11"/>
      <c r="H801" s="11"/>
      <c r="I801" s="11"/>
      <c r="J801" s="18" t="s">
        <v>44</v>
      </c>
      <c r="K801" s="19" t="s">
        <v>45</v>
      </c>
      <c r="L801" s="58" t="s">
        <v>65</v>
      </c>
      <c r="M801" s="18">
        <f>[1]!f_prt_stocktonav(B801,"2017/03/31")</f>
        <v>90.115348815917969</v>
      </c>
      <c r="N801" s="20" t="str">
        <f>[1]!f_info_fundmanager(B801)</f>
        <v>方伦煜</v>
      </c>
      <c r="O801" s="21">
        <v>4.9534246575342467</v>
      </c>
      <c r="P801" s="32" t="s">
        <v>3120</v>
      </c>
      <c r="Q801" s="13" t="s">
        <v>3121</v>
      </c>
      <c r="R801" s="13" t="s">
        <v>880</v>
      </c>
      <c r="S801" s="13">
        <v>20070529</v>
      </c>
      <c r="T801" s="14">
        <v>12.2601756855</v>
      </c>
      <c r="U801" s="15" t="s">
        <v>39</v>
      </c>
      <c r="V801" s="16" t="s">
        <v>40</v>
      </c>
      <c r="W801" s="17" t="s">
        <v>44</v>
      </c>
      <c r="X801" s="17" t="s">
        <v>45</v>
      </c>
      <c r="Y801" s="17" t="s">
        <v>65</v>
      </c>
      <c r="Z801" s="13"/>
      <c r="AA801" s="13"/>
      <c r="AB801" s="22">
        <v>0.8118708038330078</v>
      </c>
      <c r="AC801" s="23" t="s">
        <v>1483</v>
      </c>
      <c r="AD801" s="24">
        <v>4.7232876712328764</v>
      </c>
      <c r="AE801" s="25">
        <v>4.8389097279868176E-2</v>
      </c>
      <c r="AF801" s="26">
        <v>0.18510699294254596</v>
      </c>
      <c r="AG801" s="26">
        <v>0.15133231564872229</v>
      </c>
      <c r="AH801" s="27">
        <v>0.2570656862872962</v>
      </c>
      <c r="AI801" s="27">
        <v>0.66918409366434672</v>
      </c>
      <c r="AJ801" s="27">
        <v>0.59673181544585285</v>
      </c>
      <c r="AK801" s="28" t="s">
        <v>3122</v>
      </c>
      <c r="AL801" s="29">
        <v>5</v>
      </c>
      <c r="AM801" s="29">
        <v>4</v>
      </c>
      <c r="AN801" s="29" t="s">
        <v>48</v>
      </c>
      <c r="AO801" s="23">
        <v>0</v>
      </c>
      <c r="AP801" s="30">
        <v>0</v>
      </c>
      <c r="AQ801" s="31">
        <v>1.4999999999999999E-2</v>
      </c>
      <c r="AR801" s="31">
        <v>0</v>
      </c>
    </row>
    <row r="802" spans="1:44" x14ac:dyDescent="0.15">
      <c r="A802">
        <v>769</v>
      </c>
      <c r="B802" s="11">
        <v>20010</v>
      </c>
      <c r="C802" s="32"/>
      <c r="D802" s="32">
        <v>-1.3793652303607099E-3</v>
      </c>
      <c r="E802" s="32">
        <v>114</v>
      </c>
      <c r="F802" s="32">
        <v>0.267093276758604</v>
      </c>
      <c r="G802" s="11"/>
      <c r="H802" s="11"/>
      <c r="I802" s="11"/>
      <c r="J802" s="18" t="s">
        <v>44</v>
      </c>
      <c r="K802" s="18" t="s">
        <v>45</v>
      </c>
      <c r="L802" s="58" t="s">
        <v>65</v>
      </c>
      <c r="M802" s="18">
        <f>[1]!f_prt_stocktonav(B802,"2017/03/31")</f>
        <v>77.601348876953125</v>
      </c>
      <c r="N802" s="20" t="str">
        <f>[1]!f_info_fundmanager(B802)</f>
        <v>程洲</v>
      </c>
      <c r="O802" s="21">
        <v>2.1780821917808217</v>
      </c>
      <c r="P802" s="34" t="s">
        <v>3123</v>
      </c>
      <c r="Q802" s="34" t="s">
        <v>3124</v>
      </c>
      <c r="R802" s="34" t="s">
        <v>663</v>
      </c>
      <c r="S802" s="34">
        <v>20070518</v>
      </c>
      <c r="T802" s="45">
        <v>15.580769050200001</v>
      </c>
      <c r="U802" s="46">
        <v>15.661167963</v>
      </c>
      <c r="V802" s="34" t="s">
        <v>231</v>
      </c>
      <c r="W802" s="34" t="s">
        <v>44</v>
      </c>
      <c r="X802" s="34" t="s">
        <v>45</v>
      </c>
      <c r="Y802" s="34" t="s">
        <v>65</v>
      </c>
      <c r="Z802" s="34"/>
      <c r="AA802" s="34"/>
      <c r="AB802" s="22">
        <v>0.74798400878906246</v>
      </c>
      <c r="AC802" s="23" t="s">
        <v>3125</v>
      </c>
      <c r="AD802" s="24">
        <v>1.9479452054794522</v>
      </c>
      <c r="AE802" s="25">
        <v>9.4754954183062789E-2</v>
      </c>
      <c r="AF802" s="26">
        <v>0.16860874422622232</v>
      </c>
      <c r="AG802" s="26">
        <v>0.18266489883768641</v>
      </c>
      <c r="AH802" s="27">
        <v>0.42441268014280809</v>
      </c>
      <c r="AI802" s="27">
        <v>0.67247732510332103</v>
      </c>
      <c r="AJ802" s="27">
        <v>0.76823146103912876</v>
      </c>
      <c r="AK802" s="28" t="s">
        <v>1459</v>
      </c>
      <c r="AL802" s="29">
        <v>4</v>
      </c>
      <c r="AM802" s="29">
        <v>2</v>
      </c>
      <c r="AN802" s="29" t="s">
        <v>48</v>
      </c>
      <c r="AO802" s="47" t="s">
        <v>592</v>
      </c>
      <c r="AP802" s="28">
        <v>0</v>
      </c>
      <c r="AQ802" s="26">
        <v>1.4999999999999999E-2</v>
      </c>
      <c r="AR802" s="26">
        <v>0</v>
      </c>
    </row>
    <row r="803" spans="1:44" x14ac:dyDescent="0.15">
      <c r="A803">
        <v>856</v>
      </c>
      <c r="B803" s="11">
        <v>202005</v>
      </c>
      <c r="C803" s="32"/>
      <c r="D803" s="32">
        <v>8.7923314925144095E-4</v>
      </c>
      <c r="E803" s="32">
        <v>66</v>
      </c>
      <c r="F803" s="32">
        <v>0.493324578693351</v>
      </c>
      <c r="G803" s="11"/>
      <c r="H803" s="11"/>
      <c r="I803" s="11"/>
      <c r="J803" s="18" t="s">
        <v>44</v>
      </c>
      <c r="K803" s="18" t="s">
        <v>45</v>
      </c>
      <c r="L803" s="58" t="s">
        <v>354</v>
      </c>
      <c r="M803" s="18">
        <f>[1]!f_prt_stocktonav(B803,"2017/03/31")</f>
        <v>74.237564086914062</v>
      </c>
      <c r="N803" s="20" t="str">
        <f>[1]!f_info_fundmanager(B803)</f>
        <v>黄春逢,张原</v>
      </c>
      <c r="O803" s="21">
        <v>1.252054794520548</v>
      </c>
      <c r="P803" s="34" t="s">
        <v>3126</v>
      </c>
      <c r="Q803" s="34" t="s">
        <v>3127</v>
      </c>
      <c r="R803" s="34" t="s">
        <v>284</v>
      </c>
      <c r="S803" s="34">
        <v>20070514</v>
      </c>
      <c r="T803" s="45">
        <v>36.1041605148</v>
      </c>
      <c r="U803" s="46">
        <v>41.423291943599999</v>
      </c>
      <c r="V803" s="34" t="s">
        <v>231</v>
      </c>
      <c r="W803" s="34" t="s">
        <v>44</v>
      </c>
      <c r="X803" s="34" t="s">
        <v>45</v>
      </c>
      <c r="Y803" s="34" t="s">
        <v>354</v>
      </c>
      <c r="Z803" s="34"/>
      <c r="AA803" s="34"/>
      <c r="AB803" s="22">
        <v>0.71571495056152346</v>
      </c>
      <c r="AC803" s="23" t="s">
        <v>3128</v>
      </c>
      <c r="AD803" s="24">
        <v>1.021917808219178</v>
      </c>
      <c r="AE803" s="25">
        <v>5.8993969258619661E-2</v>
      </c>
      <c r="AF803" s="26">
        <v>0.26206535045142298</v>
      </c>
      <c r="AG803" s="26">
        <v>0.16423704833302685</v>
      </c>
      <c r="AH803" s="27">
        <v>0.29244973861946694</v>
      </c>
      <c r="AI803" s="27">
        <v>1.1176753925319212</v>
      </c>
      <c r="AJ803" s="27">
        <v>0.7708748537750838</v>
      </c>
      <c r="AK803" s="28" t="s">
        <v>726</v>
      </c>
      <c r="AL803" s="29">
        <v>4</v>
      </c>
      <c r="AM803" s="29">
        <v>4</v>
      </c>
      <c r="AN803" s="29" t="s">
        <v>48</v>
      </c>
      <c r="AO803" s="47" t="s">
        <v>287</v>
      </c>
      <c r="AP803" s="28" t="s">
        <v>1843</v>
      </c>
      <c r="AQ803" s="26">
        <v>1.4999999999999999E-2</v>
      </c>
      <c r="AR803" s="26">
        <v>0</v>
      </c>
    </row>
    <row r="804" spans="1:44" x14ac:dyDescent="0.15">
      <c r="A804">
        <v>373</v>
      </c>
      <c r="B804" s="11">
        <v>161610</v>
      </c>
      <c r="C804" s="32"/>
      <c r="D804" s="32">
        <v>-1.4416321011561099E-3</v>
      </c>
      <c r="E804" s="32">
        <v>83</v>
      </c>
      <c r="F804" s="32">
        <v>0.51479219315634495</v>
      </c>
      <c r="G804" s="11"/>
      <c r="H804" s="11"/>
      <c r="I804" s="11"/>
      <c r="J804" s="18" t="s">
        <v>44</v>
      </c>
      <c r="K804" s="18" t="s">
        <v>45</v>
      </c>
      <c r="L804" s="58" t="s">
        <v>274</v>
      </c>
      <c r="M804" s="18">
        <f>[1]!f_prt_stocktonav(B804,"2017/03/31")</f>
        <v>88.02392578125</v>
      </c>
      <c r="N804" s="20" t="str">
        <f>[1]!f_info_fundmanager(B804)</f>
        <v>伍文友,邹曦</v>
      </c>
      <c r="O804" s="21">
        <v>1.5890410958904109</v>
      </c>
      <c r="P804" s="34" t="s">
        <v>3129</v>
      </c>
      <c r="Q804" s="34" t="s">
        <v>3130</v>
      </c>
      <c r="R804" s="34" t="s">
        <v>230</v>
      </c>
      <c r="S804" s="34">
        <v>20070430</v>
      </c>
      <c r="T804" s="45">
        <v>40.754840592000001</v>
      </c>
      <c r="U804" s="46">
        <v>45.4267262937</v>
      </c>
      <c r="V804" s="34" t="s">
        <v>231</v>
      </c>
      <c r="W804" s="34" t="s">
        <v>44</v>
      </c>
      <c r="X804" s="34" t="s">
        <v>45</v>
      </c>
      <c r="Y804" s="34" t="s">
        <v>274</v>
      </c>
      <c r="Z804" s="34"/>
      <c r="AA804" s="34"/>
      <c r="AB804" s="22">
        <v>0.87110183715820311</v>
      </c>
      <c r="AC804" s="23" t="s">
        <v>3131</v>
      </c>
      <c r="AD804" s="24">
        <v>2.0383561643835617</v>
      </c>
      <c r="AE804" s="25">
        <v>1.2879598664846004E-2</v>
      </c>
      <c r="AF804" s="26">
        <v>6.5313416522956746E-2</v>
      </c>
      <c r="AG804" s="26">
        <v>4.0689212543701059E-2</v>
      </c>
      <c r="AH804" s="27">
        <v>0.1462915870980819</v>
      </c>
      <c r="AI804" s="27">
        <v>0.32349515656588901</v>
      </c>
      <c r="AJ804" s="27">
        <v>0.2424550716165067</v>
      </c>
      <c r="AK804" s="28" t="s">
        <v>2888</v>
      </c>
      <c r="AL804" s="29">
        <v>1</v>
      </c>
      <c r="AM804" s="29">
        <v>2</v>
      </c>
      <c r="AN804" s="29" t="s">
        <v>48</v>
      </c>
      <c r="AO804" s="47" t="s">
        <v>82</v>
      </c>
      <c r="AP804" s="28" t="s">
        <v>235</v>
      </c>
      <c r="AQ804" s="26">
        <v>1.4999999999999999E-2</v>
      </c>
      <c r="AR804" s="26">
        <v>0</v>
      </c>
    </row>
    <row r="805" spans="1:44" x14ac:dyDescent="0.15">
      <c r="A805">
        <v>68</v>
      </c>
      <c r="B805" s="11">
        <v>519035</v>
      </c>
      <c r="C805" s="32"/>
      <c r="D805" s="32">
        <v>-1.59299348524534E-3</v>
      </c>
      <c r="E805" s="32">
        <v>457</v>
      </c>
      <c r="F805" s="32">
        <v>5.6645459971200601E-2</v>
      </c>
      <c r="G805" s="11"/>
      <c r="H805" s="11"/>
      <c r="I805" s="11"/>
      <c r="J805" s="18" t="s">
        <v>44</v>
      </c>
      <c r="K805" s="18" t="s">
        <v>87</v>
      </c>
      <c r="L805" s="58" t="s">
        <v>65</v>
      </c>
      <c r="M805" s="18">
        <f>[1]!f_prt_stocktonav(B805,"2017/03/31")</f>
        <v>94.087104797363281</v>
      </c>
      <c r="N805" s="20" t="str">
        <f>[1]!f_info_fundmanager(B805)</f>
        <v>毕天宇</v>
      </c>
      <c r="O805" s="21">
        <v>9.9342465753424651</v>
      </c>
      <c r="P805" s="34" t="s">
        <v>3132</v>
      </c>
      <c r="Q805" s="34" t="s">
        <v>3133</v>
      </c>
      <c r="R805" s="34" t="s">
        <v>396</v>
      </c>
      <c r="S805" s="34">
        <v>20070427</v>
      </c>
      <c r="T805" s="45">
        <v>18.788633617199999</v>
      </c>
      <c r="U805" s="46">
        <v>20.949929080699999</v>
      </c>
      <c r="V805" s="34" t="s">
        <v>201</v>
      </c>
      <c r="W805" s="34" t="s">
        <v>44</v>
      </c>
      <c r="X805" s="34" t="s">
        <v>87</v>
      </c>
      <c r="Y805" s="34" t="s">
        <v>65</v>
      </c>
      <c r="Z805" s="34" t="s">
        <v>3134</v>
      </c>
      <c r="AA805" s="34"/>
      <c r="AB805" s="22">
        <v>0.94229820251464846</v>
      </c>
      <c r="AC805" s="23" t="s">
        <v>3135</v>
      </c>
      <c r="AD805" s="24">
        <v>9.7041095890410958</v>
      </c>
      <c r="AE805" s="25">
        <v>5.9282266568648101E-2</v>
      </c>
      <c r="AF805" s="26">
        <v>0.1626742095281033</v>
      </c>
      <c r="AG805" s="26">
        <v>0.1103715206824447</v>
      </c>
      <c r="AH805" s="27">
        <v>0.29404880475918893</v>
      </c>
      <c r="AI805" s="27">
        <v>0.56642128851416085</v>
      </c>
      <c r="AJ805" s="27">
        <v>0.44632204627750921</v>
      </c>
      <c r="AK805" s="33" t="s">
        <v>3136</v>
      </c>
      <c r="AL805" s="29">
        <v>2</v>
      </c>
      <c r="AM805" s="29">
        <v>3</v>
      </c>
      <c r="AN805" s="29" t="s">
        <v>48</v>
      </c>
      <c r="AO805" s="47" t="s">
        <v>3137</v>
      </c>
      <c r="AP805" s="28" t="s">
        <v>608</v>
      </c>
      <c r="AQ805" s="26">
        <v>1.4999999999999999E-2</v>
      </c>
      <c r="AR805" s="26">
        <v>0</v>
      </c>
    </row>
    <row r="806" spans="1:44" x14ac:dyDescent="0.15">
      <c r="A806">
        <v>906</v>
      </c>
      <c r="B806" s="11">
        <v>160611</v>
      </c>
      <c r="C806" s="32"/>
      <c r="D806" s="32">
        <v>-1.19890222060781E-3</v>
      </c>
      <c r="E806" s="32">
        <v>69</v>
      </c>
      <c r="F806" s="32">
        <v>0.18091184803250299</v>
      </c>
      <c r="G806" s="11"/>
      <c r="H806" s="11"/>
      <c r="I806" s="11"/>
      <c r="J806" s="18" t="s">
        <v>44</v>
      </c>
      <c r="K806" s="18" t="s">
        <v>45</v>
      </c>
      <c r="L806" s="58" t="s">
        <v>274</v>
      </c>
      <c r="M806" s="18">
        <f>[1]!f_prt_stocktonav(B806,"2017/03/31")</f>
        <v>72.246231079101563</v>
      </c>
      <c r="N806" s="20" t="str">
        <f>[1]!f_info_fundmanager(B806)</f>
        <v>胡东健</v>
      </c>
      <c r="O806" s="21">
        <v>1.3232876712328767</v>
      </c>
      <c r="P806" s="34" t="s">
        <v>3138</v>
      </c>
      <c r="Q806" s="34" t="s">
        <v>3139</v>
      </c>
      <c r="R806" s="34" t="s">
        <v>705</v>
      </c>
      <c r="S806" s="34">
        <v>20070425</v>
      </c>
      <c r="T806" s="45">
        <v>12.6669359394</v>
      </c>
      <c r="U806" s="46">
        <v>13.3556213273</v>
      </c>
      <c r="V806" s="34" t="s">
        <v>201</v>
      </c>
      <c r="W806" s="34" t="s">
        <v>41</v>
      </c>
      <c r="X806" s="17" t="s">
        <v>42</v>
      </c>
      <c r="Y806" s="17" t="s">
        <v>181</v>
      </c>
      <c r="Z806" s="34"/>
      <c r="AA806" s="34"/>
      <c r="AB806" s="22">
        <v>0.69071968078613277</v>
      </c>
      <c r="AC806" s="23" t="s">
        <v>3140</v>
      </c>
      <c r="AD806" s="24">
        <v>1.9068493150684931</v>
      </c>
      <c r="AE806" s="25">
        <v>1.1055353729971795E-3</v>
      </c>
      <c r="AF806" s="26">
        <v>2.6400429347624543E-2</v>
      </c>
      <c r="AG806" s="26">
        <v>2.8710923225466312E-2</v>
      </c>
      <c r="AH806" s="27">
        <v>5.592996883442853E-2</v>
      </c>
      <c r="AI806" s="27">
        <v>0.16557690676051812</v>
      </c>
      <c r="AJ806" s="27">
        <v>0.16954186320432804</v>
      </c>
      <c r="AK806" s="28" t="s">
        <v>2966</v>
      </c>
      <c r="AL806" s="29">
        <v>1</v>
      </c>
      <c r="AM806" s="29">
        <v>3</v>
      </c>
      <c r="AN806" s="29" t="s">
        <v>48</v>
      </c>
      <c r="AO806" s="47" t="s">
        <v>2905</v>
      </c>
      <c r="AP806" s="28">
        <v>0</v>
      </c>
      <c r="AQ806" s="26">
        <v>1.4999999999999999E-2</v>
      </c>
      <c r="AR806" s="26">
        <v>0</v>
      </c>
    </row>
    <row r="807" spans="1:44" x14ac:dyDescent="0.15">
      <c r="A807">
        <v>415</v>
      </c>
      <c r="B807" s="11">
        <v>160311</v>
      </c>
      <c r="C807" s="32"/>
      <c r="D807" s="32">
        <v>-3.0223628168884803E-4</v>
      </c>
      <c r="E807" s="32">
        <v>318</v>
      </c>
      <c r="F807" s="32">
        <v>0.50768512372407304</v>
      </c>
      <c r="G807" s="11"/>
      <c r="H807" s="11"/>
      <c r="I807" s="11"/>
      <c r="J807" s="18" t="s">
        <v>44</v>
      </c>
      <c r="K807" s="18" t="s">
        <v>45</v>
      </c>
      <c r="L807" s="58" t="s">
        <v>65</v>
      </c>
      <c r="M807" s="18">
        <f>[1]!f_prt_stocktonav(B807,"2017/03/31")</f>
        <v>87.0411376953125</v>
      </c>
      <c r="N807" s="20" t="str">
        <f>[1]!f_info_fundmanager(B807)</f>
        <v>王怡欢</v>
      </c>
      <c r="O807" s="21">
        <v>6.1068493150684935</v>
      </c>
      <c r="P807" s="34" t="s">
        <v>3141</v>
      </c>
      <c r="Q807" s="34" t="s">
        <v>3142</v>
      </c>
      <c r="R807" s="34" t="s">
        <v>143</v>
      </c>
      <c r="S807" s="34">
        <v>20070424</v>
      </c>
      <c r="T807" s="45">
        <v>41.039872733999999</v>
      </c>
      <c r="U807" s="46">
        <v>43.276726083600003</v>
      </c>
      <c r="V807" s="34" t="s">
        <v>231</v>
      </c>
      <c r="W807" s="34" t="s">
        <v>44</v>
      </c>
      <c r="X807" s="34" t="s">
        <v>45</v>
      </c>
      <c r="Y807" s="34" t="s">
        <v>65</v>
      </c>
      <c r="Z807" s="34"/>
      <c r="AA807" s="34"/>
      <c r="AB807" s="22">
        <v>0.84317977905273434</v>
      </c>
      <c r="AC807" s="23" t="s">
        <v>3143</v>
      </c>
      <c r="AD807" s="24">
        <v>5.8767123287671232</v>
      </c>
      <c r="AE807" s="25">
        <v>6.4364526982325643E-2</v>
      </c>
      <c r="AF807" s="26">
        <v>0.1355884533225955</v>
      </c>
      <c r="AG807" s="26">
        <v>0.12709085759813754</v>
      </c>
      <c r="AH807" s="27">
        <v>0.32457505332091069</v>
      </c>
      <c r="AI807" s="27">
        <v>0.6165686838607175</v>
      </c>
      <c r="AJ807" s="27">
        <v>0.62198221808091747</v>
      </c>
      <c r="AK807" s="28" t="s">
        <v>323</v>
      </c>
      <c r="AL807" s="29">
        <v>3</v>
      </c>
      <c r="AM807" s="29">
        <v>4</v>
      </c>
      <c r="AN807" s="29" t="s">
        <v>48</v>
      </c>
      <c r="AO807" s="47" t="s">
        <v>592</v>
      </c>
      <c r="AP807" s="28">
        <v>0</v>
      </c>
      <c r="AQ807" s="26">
        <v>1.4999999999999999E-2</v>
      </c>
      <c r="AR807" s="26">
        <v>0</v>
      </c>
    </row>
    <row r="808" spans="1:44" x14ac:dyDescent="0.15">
      <c r="A808">
        <v>396</v>
      </c>
      <c r="B808" s="11">
        <v>570001</v>
      </c>
      <c r="C808" s="32"/>
      <c r="D808" s="32">
        <v>6.1657521674771999E-4</v>
      </c>
      <c r="E808" s="32">
        <v>123</v>
      </c>
      <c r="F808" s="32">
        <v>0.59152697942769095</v>
      </c>
      <c r="G808" s="11"/>
      <c r="H808" s="11"/>
      <c r="I808" s="11"/>
      <c r="J808" s="18" t="s">
        <v>44</v>
      </c>
      <c r="K808" s="18" t="s">
        <v>45</v>
      </c>
      <c r="L808" s="58" t="s">
        <v>65</v>
      </c>
      <c r="M808" s="18">
        <f>[1]!f_prt_stocktonav(B808,"2017/03/31")</f>
        <v>87.590133666992188</v>
      </c>
      <c r="N808" s="20" t="str">
        <f>[1]!f_info_fundmanager(B808)</f>
        <v>罗世锋</v>
      </c>
      <c r="O808" s="21">
        <v>2.3479452054794518</v>
      </c>
      <c r="P808" s="34" t="s">
        <v>3144</v>
      </c>
      <c r="Q808" s="34" t="s">
        <v>3145</v>
      </c>
      <c r="R808" s="34" t="s">
        <v>2351</v>
      </c>
      <c r="S808" s="34">
        <v>20070419</v>
      </c>
      <c r="T808" s="45">
        <v>8.5069600116000004</v>
      </c>
      <c r="U808" s="46">
        <v>10.154422764</v>
      </c>
      <c r="V808" s="34" t="s">
        <v>231</v>
      </c>
      <c r="W808" s="34" t="s">
        <v>44</v>
      </c>
      <c r="X808" s="34" t="s">
        <v>45</v>
      </c>
      <c r="Y808" s="34" t="s">
        <v>274</v>
      </c>
      <c r="Z808" s="34"/>
      <c r="AA808" s="34"/>
      <c r="AB808" s="22">
        <v>0.78405258178710935</v>
      </c>
      <c r="AC808" s="23" t="s">
        <v>3146</v>
      </c>
      <c r="AD808" s="24">
        <v>2.1369863013698631</v>
      </c>
      <c r="AE808" s="25">
        <v>2.8241086363402834E-2</v>
      </c>
      <c r="AF808" s="26">
        <v>0.15965295760496612</v>
      </c>
      <c r="AG808" s="26">
        <v>0.10752691023374661</v>
      </c>
      <c r="AH808" s="27">
        <v>0.17581760659024986</v>
      </c>
      <c r="AI808" s="27">
        <v>0.65905697246949058</v>
      </c>
      <c r="AJ808" s="27">
        <v>0.49739763142493798</v>
      </c>
      <c r="AK808" s="28" t="s">
        <v>726</v>
      </c>
      <c r="AL808" s="29">
        <v>3</v>
      </c>
      <c r="AM808" s="29">
        <v>5</v>
      </c>
      <c r="AN808" s="29" t="s">
        <v>48</v>
      </c>
      <c r="AO808" s="47" t="s">
        <v>2672</v>
      </c>
      <c r="AP808" s="28">
        <v>0</v>
      </c>
      <c r="AQ808" s="26">
        <v>1.4999999999999999E-2</v>
      </c>
      <c r="AR808" s="26">
        <v>0</v>
      </c>
    </row>
    <row r="809" spans="1:44" x14ac:dyDescent="0.15">
      <c r="A809">
        <v>100</v>
      </c>
      <c r="B809" s="11">
        <v>377020</v>
      </c>
      <c r="C809" s="32"/>
      <c r="D809" s="32">
        <v>-1.9214005131244799E-3</v>
      </c>
      <c r="E809" s="32">
        <v>119</v>
      </c>
      <c r="F809" s="32">
        <v>0.36176886283749599</v>
      </c>
      <c r="G809" s="11"/>
      <c r="H809" s="11"/>
      <c r="I809" s="11"/>
      <c r="J809" s="18" t="s">
        <v>44</v>
      </c>
      <c r="K809" s="19" t="s">
        <v>45</v>
      </c>
      <c r="L809" s="58" t="s">
        <v>65</v>
      </c>
      <c r="M809" s="18">
        <f>[1]!f_prt_stocktonav(B809,"2017/03/31")</f>
        <v>93.602043151855469</v>
      </c>
      <c r="N809" s="20" t="str">
        <f>[1]!f_info_fundmanager(B809)</f>
        <v>杜猛,刘辉</v>
      </c>
      <c r="O809" s="21">
        <v>2.2821917808219179</v>
      </c>
      <c r="P809" s="32" t="s">
        <v>3147</v>
      </c>
      <c r="Q809" s="13" t="s">
        <v>3148</v>
      </c>
      <c r="R809" s="13" t="s">
        <v>511</v>
      </c>
      <c r="S809" s="13">
        <v>20070413</v>
      </c>
      <c r="T809" s="14">
        <v>23.7105987566</v>
      </c>
      <c r="U809" s="15" t="s">
        <v>39</v>
      </c>
      <c r="V809" s="16" t="s">
        <v>40</v>
      </c>
      <c r="W809" s="17" t="s">
        <v>44</v>
      </c>
      <c r="X809" s="17" t="s">
        <v>45</v>
      </c>
      <c r="Y809" s="17" t="s">
        <v>274</v>
      </c>
      <c r="Z809" s="13"/>
      <c r="AA809" s="13"/>
      <c r="AB809" s="22">
        <v>0.92016418457031246</v>
      </c>
      <c r="AC809" s="23" t="s">
        <v>3149</v>
      </c>
      <c r="AD809" s="24">
        <v>2.0520547945205481</v>
      </c>
      <c r="AE809" s="25">
        <v>3.7842780306932333E-2</v>
      </c>
      <c r="AF809" s="26">
        <v>-3.4570686290773867E-2</v>
      </c>
      <c r="AG809" s="26">
        <v>5.7273384075436029E-2</v>
      </c>
      <c r="AH809" s="27">
        <v>0.21958552998054592</v>
      </c>
      <c r="AI809" s="27">
        <v>7.8932102898489759E-3</v>
      </c>
      <c r="AJ809" s="27">
        <v>0.28854235917034837</v>
      </c>
      <c r="AK809" s="28" t="s">
        <v>1459</v>
      </c>
      <c r="AL809" s="29">
        <v>1</v>
      </c>
      <c r="AM809" s="29">
        <v>2</v>
      </c>
      <c r="AN809" s="29" t="s">
        <v>48</v>
      </c>
      <c r="AO809" s="23" t="s">
        <v>121</v>
      </c>
      <c r="AP809" s="30">
        <v>0</v>
      </c>
      <c r="AQ809" s="31">
        <v>1.4999999999999999E-2</v>
      </c>
      <c r="AR809" s="31">
        <v>0</v>
      </c>
    </row>
    <row r="810" spans="1:44" x14ac:dyDescent="0.15">
      <c r="A810">
        <v>686</v>
      </c>
      <c r="B810" s="11">
        <v>50008</v>
      </c>
      <c r="C810" s="32"/>
      <c r="D810" s="32">
        <v>-4.6302039591751901E-3</v>
      </c>
      <c r="E810" s="32">
        <v>112</v>
      </c>
      <c r="F810" s="32">
        <v>3.2000175919130302E-4</v>
      </c>
      <c r="G810" s="11"/>
      <c r="H810" s="11"/>
      <c r="I810" s="11"/>
      <c r="J810" s="18" t="s">
        <v>44</v>
      </c>
      <c r="K810" s="18" t="s">
        <v>45</v>
      </c>
      <c r="L810" s="58" t="s">
        <v>274</v>
      </c>
      <c r="M810" s="18">
        <f>[1]!f_prt_stocktonav(B810,"2017/03/31")</f>
        <v>80.449188232421875</v>
      </c>
      <c r="N810" s="20" t="str">
        <f>[1]!f_info_fundmanager(B810)</f>
        <v>苏永超,韩茂华</v>
      </c>
      <c r="O810" s="21">
        <v>2.1397260273972605</v>
      </c>
      <c r="P810" s="34" t="s">
        <v>3150</v>
      </c>
      <c r="Q810" s="34" t="s">
        <v>3151</v>
      </c>
      <c r="R810" s="34" t="s">
        <v>413</v>
      </c>
      <c r="S810" s="34">
        <v>20070412</v>
      </c>
      <c r="T810" s="45">
        <v>21.695481348200001</v>
      </c>
      <c r="U810" s="46">
        <v>22.623836842700001</v>
      </c>
      <c r="V810" s="34" t="s">
        <v>201</v>
      </c>
      <c r="W810" s="34" t="s">
        <v>44</v>
      </c>
      <c r="X810" s="34" t="s">
        <v>45</v>
      </c>
      <c r="Y810" s="34" t="s">
        <v>274</v>
      </c>
      <c r="Z810" s="34"/>
      <c r="AA810" s="34"/>
      <c r="AB810" s="22">
        <v>0.81993118286132816</v>
      </c>
      <c r="AC810" s="23" t="s">
        <v>2248</v>
      </c>
      <c r="AD810" s="24">
        <v>1.9095890410958904</v>
      </c>
      <c r="AE810" s="25">
        <v>4.1133230684682331E-2</v>
      </c>
      <c r="AF810" s="26">
        <v>5.089826532529762E-2</v>
      </c>
      <c r="AG810" s="26">
        <v>5.8353030950053952E-2</v>
      </c>
      <c r="AH810" s="27">
        <v>0.22939027893751787</v>
      </c>
      <c r="AI810" s="27">
        <v>0.27029376439194697</v>
      </c>
      <c r="AJ810" s="27">
        <v>0.29175382543577139</v>
      </c>
      <c r="AK810" s="28" t="s">
        <v>110</v>
      </c>
      <c r="AL810" s="29">
        <v>1</v>
      </c>
      <c r="AM810" s="29">
        <v>3</v>
      </c>
      <c r="AN810" s="29" t="s">
        <v>48</v>
      </c>
      <c r="AO810" s="47" t="s">
        <v>209</v>
      </c>
      <c r="AP810" s="28">
        <v>0</v>
      </c>
      <c r="AQ810" s="26">
        <v>1.4999999999999999E-2</v>
      </c>
      <c r="AR810" s="26">
        <v>0</v>
      </c>
    </row>
    <row r="811" spans="1:44" x14ac:dyDescent="0.15">
      <c r="A811">
        <v>663</v>
      </c>
      <c r="B811" s="11">
        <v>519021</v>
      </c>
      <c r="C811" s="32"/>
      <c r="D811" s="32">
        <v>-1.2201854887385201E-3</v>
      </c>
      <c r="E811" s="32">
        <v>457</v>
      </c>
      <c r="F811" s="32">
        <v>0.104667933657331</v>
      </c>
      <c r="G811" s="11"/>
      <c r="H811" s="11"/>
      <c r="I811" s="11"/>
      <c r="J811" s="18" t="s">
        <v>44</v>
      </c>
      <c r="K811" s="18" t="s">
        <v>45</v>
      </c>
      <c r="L811" s="58" t="s">
        <v>65</v>
      </c>
      <c r="M811" s="18">
        <f>[1]!f_prt_stocktonav(B811,"2017/03/31")</f>
        <v>81.083236694335938</v>
      </c>
      <c r="N811" s="20" t="str">
        <f>[1]!f_info_fundmanager(B811)</f>
        <v>邓时锋</v>
      </c>
      <c r="O811" s="21">
        <v>8.9972602739726035</v>
      </c>
      <c r="P811" s="34" t="s">
        <v>3152</v>
      </c>
      <c r="Q811" s="34" t="s">
        <v>3153</v>
      </c>
      <c r="R811" s="34" t="s">
        <v>663</v>
      </c>
      <c r="S811" s="34">
        <v>20070411</v>
      </c>
      <c r="T811" s="45">
        <v>12.0095092885</v>
      </c>
      <c r="U811" s="46">
        <v>15.1058427013</v>
      </c>
      <c r="V811" s="34" t="s">
        <v>201</v>
      </c>
      <c r="W811" s="34" t="s">
        <v>44</v>
      </c>
      <c r="X811" s="34" t="s">
        <v>45</v>
      </c>
      <c r="Y811" s="34" t="s">
        <v>65</v>
      </c>
      <c r="Z811" s="34"/>
      <c r="AA811" s="34"/>
      <c r="AB811" s="22">
        <v>0.83258247375488281</v>
      </c>
      <c r="AC811" s="23" t="s">
        <v>3154</v>
      </c>
      <c r="AD811" s="24">
        <v>8.7671232876712324</v>
      </c>
      <c r="AE811" s="25">
        <v>6.9944085529670241E-2</v>
      </c>
      <c r="AF811" s="26">
        <v>0.12231743083921721</v>
      </c>
      <c r="AG811" s="26">
        <v>0.11717975797673219</v>
      </c>
      <c r="AH811" s="27">
        <v>0.32750725446297807</v>
      </c>
      <c r="AI811" s="27">
        <v>0.48230441000589008</v>
      </c>
      <c r="AJ811" s="27">
        <v>0.48993526183774955</v>
      </c>
      <c r="AK811" s="28" t="s">
        <v>3155</v>
      </c>
      <c r="AL811" s="29">
        <v>4</v>
      </c>
      <c r="AM811" s="29">
        <v>2</v>
      </c>
      <c r="AN811" s="29" t="s">
        <v>48</v>
      </c>
      <c r="AO811" s="47" t="s">
        <v>1002</v>
      </c>
      <c r="AP811" s="28">
        <v>0</v>
      </c>
      <c r="AQ811" s="26">
        <v>1.4999999999999999E-2</v>
      </c>
      <c r="AR811" s="26">
        <v>0</v>
      </c>
    </row>
    <row r="812" spans="1:44" x14ac:dyDescent="0.15">
      <c r="A812">
        <v>78</v>
      </c>
      <c r="B812" s="11">
        <v>40007</v>
      </c>
      <c r="C812" s="32"/>
      <c r="D812" s="32">
        <v>-2.3959486035851798E-3</v>
      </c>
      <c r="E812" s="32">
        <v>214</v>
      </c>
      <c r="F812" s="32">
        <v>6.3919359488711002E-3</v>
      </c>
      <c r="G812" s="11"/>
      <c r="H812" s="11"/>
      <c r="I812" s="11"/>
      <c r="J812" s="18" t="s">
        <v>44</v>
      </c>
      <c r="K812" s="18" t="s">
        <v>45</v>
      </c>
      <c r="L812" s="58" t="s">
        <v>65</v>
      </c>
      <c r="M812" s="18">
        <f>[1]!f_prt_stocktonav(B812,"2017/03/31")</f>
        <v>93.939208984375</v>
      </c>
      <c r="N812" s="20" t="str">
        <f>[1]!f_info_fundmanager(B812)</f>
        <v>吴丰树</v>
      </c>
      <c r="O812" s="21">
        <v>4.1041095890410961</v>
      </c>
      <c r="P812" s="34" t="s">
        <v>3156</v>
      </c>
      <c r="Q812" s="34" t="s">
        <v>3157</v>
      </c>
      <c r="R812" s="34" t="s">
        <v>63</v>
      </c>
      <c r="S812" s="34">
        <v>20070410</v>
      </c>
      <c r="T812" s="45">
        <v>22.978083774400002</v>
      </c>
      <c r="U812" s="46">
        <v>24.3068967518</v>
      </c>
      <c r="V812" s="34" t="s">
        <v>231</v>
      </c>
      <c r="W812" s="34" t="s">
        <v>44</v>
      </c>
      <c r="X812" s="34" t="s">
        <v>45</v>
      </c>
      <c r="Y812" s="34" t="s">
        <v>65</v>
      </c>
      <c r="Z812" s="34"/>
      <c r="AA812" s="34"/>
      <c r="AB812" s="22">
        <v>0.91981758117675783</v>
      </c>
      <c r="AC812" s="23" t="s">
        <v>2700</v>
      </c>
      <c r="AD812" s="24">
        <v>3.8739726027397259</v>
      </c>
      <c r="AE812" s="25">
        <v>4.9389002166824403E-2</v>
      </c>
      <c r="AF812" s="26">
        <v>0.19544415875140331</v>
      </c>
      <c r="AG812" s="26">
        <v>0.11795931295299678</v>
      </c>
      <c r="AH812" s="27">
        <v>0.25952098178535582</v>
      </c>
      <c r="AI812" s="27">
        <v>0.69836338115652918</v>
      </c>
      <c r="AJ812" s="27">
        <v>0.50242826401409046</v>
      </c>
      <c r="AK812" s="28" t="s">
        <v>3158</v>
      </c>
      <c r="AL812" s="29">
        <v>2</v>
      </c>
      <c r="AM812" s="29">
        <v>3</v>
      </c>
      <c r="AN812" s="29" t="s">
        <v>48</v>
      </c>
      <c r="AO812" s="47" t="s">
        <v>3159</v>
      </c>
      <c r="AP812" s="28" t="s">
        <v>3099</v>
      </c>
      <c r="AQ812" s="26">
        <v>1.4999999999999999E-2</v>
      </c>
      <c r="AR812" s="26">
        <v>0</v>
      </c>
    </row>
    <row r="813" spans="1:44" x14ac:dyDescent="0.15">
      <c r="A813">
        <v>661</v>
      </c>
      <c r="B813" s="11">
        <v>540003</v>
      </c>
      <c r="C813" s="32"/>
      <c r="D813" s="32">
        <v>1.5602527687619901E-3</v>
      </c>
      <c r="E813" s="32">
        <v>97</v>
      </c>
      <c r="F813" s="32">
        <v>0.21559171556783299</v>
      </c>
      <c r="G813" s="11"/>
      <c r="H813" s="11"/>
      <c r="I813" s="11"/>
      <c r="J813" s="18" t="s">
        <v>44</v>
      </c>
      <c r="K813" s="18" t="s">
        <v>45</v>
      </c>
      <c r="L813" s="58" t="s">
        <v>274</v>
      </c>
      <c r="M813" s="18">
        <f>[1]!f_prt_stocktonav(B813,"2017/03/31")</f>
        <v>81.163246154785156</v>
      </c>
      <c r="N813" s="20" t="str">
        <f>[1]!f_info_fundmanager(B813)</f>
        <v>郭敏</v>
      </c>
      <c r="O813" s="21">
        <v>1.8575342465753424</v>
      </c>
      <c r="P813" s="34" t="s">
        <v>3160</v>
      </c>
      <c r="Q813" s="34" t="s">
        <v>3161</v>
      </c>
      <c r="R813" s="34" t="s">
        <v>149</v>
      </c>
      <c r="S813" s="34">
        <v>20070409</v>
      </c>
      <c r="T813" s="45">
        <v>9.0754085360999994</v>
      </c>
      <c r="U813" s="46">
        <v>10.1946535294</v>
      </c>
      <c r="V813" s="34" t="s">
        <v>231</v>
      </c>
      <c r="W813" s="34" t="s">
        <v>44</v>
      </c>
      <c r="X813" s="34" t="s">
        <v>45</v>
      </c>
      <c r="Y813" s="34" t="s">
        <v>274</v>
      </c>
      <c r="Z813" s="34"/>
      <c r="AA813" s="34"/>
      <c r="AB813" s="22">
        <v>0.76808441162109375</v>
      </c>
      <c r="AC813" s="23" t="s">
        <v>3162</v>
      </c>
      <c r="AD813" s="24">
        <v>1.6273972602739726</v>
      </c>
      <c r="AE813" s="25">
        <v>9.3639902088952245E-2</v>
      </c>
      <c r="AF813" s="26">
        <v>0.26376912346802039</v>
      </c>
      <c r="AG813" s="26">
        <v>0.17619412291378267</v>
      </c>
      <c r="AH813" s="27">
        <v>0.42331162772996817</v>
      </c>
      <c r="AI813" s="27">
        <v>0.87558272785868352</v>
      </c>
      <c r="AJ813" s="27">
        <v>0.68581320534017132</v>
      </c>
      <c r="AK813" s="28" t="s">
        <v>3163</v>
      </c>
      <c r="AL813" s="29">
        <v>5</v>
      </c>
      <c r="AM813" s="29">
        <v>5</v>
      </c>
      <c r="AN813" s="29" t="s">
        <v>48</v>
      </c>
      <c r="AO813" s="47" t="s">
        <v>410</v>
      </c>
      <c r="AP813" s="28">
        <v>0</v>
      </c>
      <c r="AQ813" s="26">
        <v>1.4999999999999999E-2</v>
      </c>
      <c r="AR813" s="26">
        <v>0</v>
      </c>
    </row>
    <row r="814" spans="1:44" x14ac:dyDescent="0.15">
      <c r="A814">
        <v>812</v>
      </c>
      <c r="B814" s="11">
        <v>519015</v>
      </c>
      <c r="C814" s="32"/>
      <c r="D814" s="32">
        <v>-8.7608347979080804E-4</v>
      </c>
      <c r="E814" s="32">
        <v>51</v>
      </c>
      <c r="F814" s="32">
        <v>0.46562403338802</v>
      </c>
      <c r="G814" s="11"/>
      <c r="H814" s="11"/>
      <c r="I814" s="11"/>
      <c r="J814" s="18" t="s">
        <v>44</v>
      </c>
      <c r="K814" s="18" t="s">
        <v>45</v>
      </c>
      <c r="L814" s="58" t="s">
        <v>65</v>
      </c>
      <c r="M814" s="18">
        <f>[1]!f_prt_stocktonav(B814,"2017/03/31")</f>
        <v>76.171249389648438</v>
      </c>
      <c r="N814" s="20" t="str">
        <f>[1]!f_info_fundmanager(B814)</f>
        <v>王智慧</v>
      </c>
      <c r="O814" s="21">
        <v>0.96986301369863015</v>
      </c>
      <c r="P814" s="34" t="s">
        <v>3164</v>
      </c>
      <c r="Q814" s="34" t="s">
        <v>3165</v>
      </c>
      <c r="R814" s="34" t="s">
        <v>496</v>
      </c>
      <c r="S814" s="34">
        <v>20070409</v>
      </c>
      <c r="T814" s="45">
        <v>5.3765085464000002</v>
      </c>
      <c r="U814" s="46">
        <v>6.4765270999000002</v>
      </c>
      <c r="V814" s="34" t="s">
        <v>201</v>
      </c>
      <c r="W814" s="34" t="s">
        <v>44</v>
      </c>
      <c r="X814" s="34" t="s">
        <v>45</v>
      </c>
      <c r="Y814" s="34" t="s">
        <v>65</v>
      </c>
      <c r="Z814" s="34"/>
      <c r="AA814" s="34"/>
      <c r="AB814" s="22">
        <v>0.72882690429687502</v>
      </c>
      <c r="AC814" s="23" t="s">
        <v>3166</v>
      </c>
      <c r="AD814" s="24">
        <v>0.73972602739726023</v>
      </c>
      <c r="AE814" s="25">
        <v>3.7447412079592457E-2</v>
      </c>
      <c r="AF814" s="26">
        <v>8.4696797500173768E-2</v>
      </c>
      <c r="AG814" s="26">
        <v>6.7934634713242348E-2</v>
      </c>
      <c r="AH814" s="27">
        <v>0.20626291531958985</v>
      </c>
      <c r="AI814" s="27">
        <v>0.40289248033291503</v>
      </c>
      <c r="AJ814" s="27">
        <v>0.35207902111952122</v>
      </c>
      <c r="AK814" s="28" t="s">
        <v>3167</v>
      </c>
      <c r="AL814" s="29">
        <v>2</v>
      </c>
      <c r="AM814" s="29">
        <v>2</v>
      </c>
      <c r="AN814" s="29" t="s">
        <v>48</v>
      </c>
      <c r="AO814" s="47" t="s">
        <v>3168</v>
      </c>
      <c r="AP814" s="28">
        <v>0</v>
      </c>
      <c r="AQ814" s="26">
        <v>1.4999999999999999E-2</v>
      </c>
      <c r="AR814" s="26">
        <v>0</v>
      </c>
    </row>
    <row r="815" spans="1:44" x14ac:dyDescent="0.15">
      <c r="A815">
        <v>321</v>
      </c>
      <c r="B815" s="11">
        <v>110010</v>
      </c>
      <c r="C815" s="32"/>
      <c r="D815" s="32">
        <v>-4.79384551816234E-4</v>
      </c>
      <c r="E815" s="32">
        <v>121</v>
      </c>
      <c r="F815" s="32">
        <v>0.746152194944251</v>
      </c>
      <c r="G815" s="11"/>
      <c r="H815" s="11"/>
      <c r="I815" s="11"/>
      <c r="J815" s="18" t="s">
        <v>44</v>
      </c>
      <c r="K815" s="18" t="s">
        <v>45</v>
      </c>
      <c r="L815" s="58" t="s">
        <v>65</v>
      </c>
      <c r="M815" s="18">
        <f>[1]!f_prt_stocktonav(B815,"2017/03/31")</f>
        <v>89.037467956542969</v>
      </c>
      <c r="N815" s="20" t="str">
        <f>[1]!f_info_fundmanager(B815)</f>
        <v>王义克</v>
      </c>
      <c r="O815" s="21">
        <v>2.3178082191780822</v>
      </c>
      <c r="P815" s="34" t="s">
        <v>3169</v>
      </c>
      <c r="Q815" s="34" t="s">
        <v>3170</v>
      </c>
      <c r="R815" s="34" t="s">
        <v>218</v>
      </c>
      <c r="S815" s="34">
        <v>20070402</v>
      </c>
      <c r="T815" s="45">
        <v>55.261799460900001</v>
      </c>
      <c r="U815" s="46">
        <v>58.110002330699999</v>
      </c>
      <c r="V815" s="34" t="s">
        <v>231</v>
      </c>
      <c r="W815" s="34" t="s">
        <v>44</v>
      </c>
      <c r="X815" s="34" t="s">
        <v>45</v>
      </c>
      <c r="Y815" s="34" t="s">
        <v>274</v>
      </c>
      <c r="Z815" s="34"/>
      <c r="AA815" s="34"/>
      <c r="AB815" s="22">
        <v>0.83892997741699216</v>
      </c>
      <c r="AC815" s="23" t="s">
        <v>3171</v>
      </c>
      <c r="AD815" s="24">
        <v>2.0876712328767124</v>
      </c>
      <c r="AE815" s="25">
        <v>5.6820021582127955E-2</v>
      </c>
      <c r="AF815" s="26">
        <v>7.4942536698455298E-2</v>
      </c>
      <c r="AG815" s="26">
        <v>7.8801347443107295E-2</v>
      </c>
      <c r="AH815" s="27">
        <v>0.28427999158752104</v>
      </c>
      <c r="AI815" s="27">
        <v>0.35534587160821623</v>
      </c>
      <c r="AJ815" s="27">
        <v>0.36291922088141071</v>
      </c>
      <c r="AK815" s="28" t="s">
        <v>882</v>
      </c>
      <c r="AL815" s="29">
        <v>3</v>
      </c>
      <c r="AM815" s="29">
        <v>3</v>
      </c>
      <c r="AN815" s="29" t="s">
        <v>48</v>
      </c>
      <c r="AO815" s="47" t="s">
        <v>2457</v>
      </c>
      <c r="AP815" s="28">
        <v>0</v>
      </c>
      <c r="AQ815" s="26">
        <v>1.4999999999999999E-2</v>
      </c>
      <c r="AR815" s="26">
        <v>0</v>
      </c>
    </row>
    <row r="816" spans="1:44" x14ac:dyDescent="0.15">
      <c r="A816">
        <v>796</v>
      </c>
      <c r="B816" s="11">
        <v>217009</v>
      </c>
      <c r="C816" s="32"/>
      <c r="D816" s="32">
        <v>-2.0102249095821198E-3</v>
      </c>
      <c r="E816" s="32">
        <v>112</v>
      </c>
      <c r="F816" s="32">
        <v>7.6628707766997303E-2</v>
      </c>
      <c r="G816" s="11"/>
      <c r="H816" s="11"/>
      <c r="I816" s="11"/>
      <c r="J816" s="18" t="s">
        <v>44</v>
      </c>
      <c r="K816" s="18" t="s">
        <v>45</v>
      </c>
      <c r="L816" s="58" t="s">
        <v>274</v>
      </c>
      <c r="M816" s="18">
        <f>[1]!f_prt_stocktonav(B816,"2017/03/31")</f>
        <v>76.850753784179688</v>
      </c>
      <c r="N816" s="20" t="str">
        <f>[1]!f_info_fundmanager(B816)</f>
        <v>郭锐</v>
      </c>
      <c r="O816" s="21">
        <v>2.1369863013698631</v>
      </c>
      <c r="P816" s="34" t="s">
        <v>3172</v>
      </c>
      <c r="Q816" s="34" t="s">
        <v>3173</v>
      </c>
      <c r="R816" s="34" t="s">
        <v>165</v>
      </c>
      <c r="S816" s="34">
        <v>20070330</v>
      </c>
      <c r="T816" s="45">
        <v>12.1513339751</v>
      </c>
      <c r="U816" s="46">
        <v>14.0831407951</v>
      </c>
      <c r="V816" s="34" t="s">
        <v>231</v>
      </c>
      <c r="W816" s="34" t="s">
        <v>41</v>
      </c>
      <c r="X816" s="34" t="s">
        <v>42</v>
      </c>
      <c r="Y816" s="34" t="s">
        <v>181</v>
      </c>
      <c r="Z816" s="34"/>
      <c r="AA816" s="34"/>
      <c r="AB816" s="22">
        <v>0.6928811645507813</v>
      </c>
      <c r="AC816" s="23" t="s">
        <v>3002</v>
      </c>
      <c r="AD816" s="24">
        <v>1.9068493150684931</v>
      </c>
      <c r="AE816" s="25">
        <v>1.6871218808934829E-2</v>
      </c>
      <c r="AF816" s="26">
        <v>8.4874812133431732E-2</v>
      </c>
      <c r="AG816" s="26">
        <v>6.3856585891121753E-2</v>
      </c>
      <c r="AH816" s="27">
        <v>0.13657163164587086</v>
      </c>
      <c r="AI816" s="27">
        <v>0.38165425220116111</v>
      </c>
      <c r="AJ816" s="27">
        <v>0.31584388652025946</v>
      </c>
      <c r="AK816" s="28" t="s">
        <v>3174</v>
      </c>
      <c r="AL816" s="29">
        <v>3</v>
      </c>
      <c r="AM816" s="29">
        <v>2</v>
      </c>
      <c r="AN816" s="29" t="s">
        <v>48</v>
      </c>
      <c r="AO816" s="47" t="s">
        <v>334</v>
      </c>
      <c r="AP816" s="28">
        <v>0</v>
      </c>
      <c r="AQ816" s="26">
        <v>1.4999999999999999E-2</v>
      </c>
      <c r="AR816" s="26">
        <v>0</v>
      </c>
    </row>
    <row r="817" spans="1:44" x14ac:dyDescent="0.15">
      <c r="A817">
        <v>347</v>
      </c>
      <c r="B817" s="11">
        <v>450003</v>
      </c>
      <c r="C817" s="32"/>
      <c r="D817" s="32">
        <v>-2.5712453237718702E-3</v>
      </c>
      <c r="E817" s="32">
        <v>162</v>
      </c>
      <c r="F817" s="32">
        <v>9.8058243944383599E-3</v>
      </c>
      <c r="G817" s="11"/>
      <c r="H817" s="11"/>
      <c r="I817" s="11"/>
      <c r="J817" s="18" t="s">
        <v>44</v>
      </c>
      <c r="K817" s="18" t="s">
        <v>45</v>
      </c>
      <c r="L817" s="58" t="s">
        <v>274</v>
      </c>
      <c r="M817" s="18">
        <f>[1]!f_prt_stocktonav(B817,"2017/03/31")</f>
        <v>88.57257080078125</v>
      </c>
      <c r="N817" s="20" t="str">
        <f>[1]!f_info_fundmanager(B817)</f>
        <v>徐荔蓉</v>
      </c>
      <c r="O817" s="21">
        <v>3.106849315068493</v>
      </c>
      <c r="P817" s="34" t="s">
        <v>3175</v>
      </c>
      <c r="Q817" s="34" t="s">
        <v>3176</v>
      </c>
      <c r="R817" s="34" t="s">
        <v>742</v>
      </c>
      <c r="S817" s="34">
        <v>20070322</v>
      </c>
      <c r="T817" s="45">
        <v>13.617598303299999</v>
      </c>
      <c r="U817" s="46">
        <v>14.0518220214</v>
      </c>
      <c r="V817" s="34" t="s">
        <v>231</v>
      </c>
      <c r="W817" s="34" t="s">
        <v>44</v>
      </c>
      <c r="X817" s="34" t="s">
        <v>45</v>
      </c>
      <c r="Y817" s="34" t="s">
        <v>274</v>
      </c>
      <c r="Z817" s="34"/>
      <c r="AA817" s="34"/>
      <c r="AB817" s="22">
        <v>0.73898841857910158</v>
      </c>
      <c r="AC817" s="23" t="s">
        <v>3177</v>
      </c>
      <c r="AD817" s="24">
        <v>2.8767123287671232</v>
      </c>
      <c r="AE817" s="25">
        <v>7.5905223271554911E-2</v>
      </c>
      <c r="AF817" s="26">
        <v>0.12058608724903695</v>
      </c>
      <c r="AG817" s="26">
        <v>9.6499657345790357E-2</v>
      </c>
      <c r="AH817" s="27">
        <v>0.358309617253388</v>
      </c>
      <c r="AI817" s="27">
        <v>0.47039750175134742</v>
      </c>
      <c r="AJ817" s="27">
        <v>0.42634398611632057</v>
      </c>
      <c r="AK817" s="28" t="s">
        <v>3178</v>
      </c>
      <c r="AL817" s="29">
        <v>2</v>
      </c>
      <c r="AM817" s="29">
        <v>4</v>
      </c>
      <c r="AN817" s="29" t="s">
        <v>48</v>
      </c>
      <c r="AO817" s="47" t="s">
        <v>2905</v>
      </c>
      <c r="AP817" s="28">
        <v>0</v>
      </c>
      <c r="AQ817" s="26">
        <v>1.4999999999999999E-2</v>
      </c>
      <c r="AR817" s="26">
        <v>0</v>
      </c>
    </row>
    <row r="818" spans="1:44" x14ac:dyDescent="0.15">
      <c r="A818">
        <v>404</v>
      </c>
      <c r="B818" s="11">
        <v>410003</v>
      </c>
      <c r="C818" s="32"/>
      <c r="D818" s="32">
        <v>-3.4920094537560001E-3</v>
      </c>
      <c r="E818" s="32">
        <v>223</v>
      </c>
      <c r="F818" s="32">
        <v>4.60686921075324E-4</v>
      </c>
      <c r="G818" s="11"/>
      <c r="H818" s="11"/>
      <c r="I818" s="11"/>
      <c r="J818" s="18" t="s">
        <v>44</v>
      </c>
      <c r="K818" s="18" t="s">
        <v>45</v>
      </c>
      <c r="L818" s="58" t="s">
        <v>274</v>
      </c>
      <c r="M818" s="18">
        <f>[1]!f_prt_stocktonav(B818,"2017/03/31")</f>
        <v>87.479110717773438</v>
      </c>
      <c r="N818" s="20" t="str">
        <f>[1]!f_info_fundmanager(B818)</f>
        <v>龚炜,陈启明</v>
      </c>
      <c r="O818" s="21">
        <v>4.2767123287671236</v>
      </c>
      <c r="P818" s="34" t="s">
        <v>3179</v>
      </c>
      <c r="Q818" s="34" t="s">
        <v>3180</v>
      </c>
      <c r="R818" s="34" t="s">
        <v>1000</v>
      </c>
      <c r="S818" s="34">
        <v>20070319</v>
      </c>
      <c r="T818" s="45">
        <v>6.9489064643000003</v>
      </c>
      <c r="U818" s="46">
        <v>8.4975236457999994</v>
      </c>
      <c r="V818" s="34" t="s">
        <v>231</v>
      </c>
      <c r="W818" s="34" t="s">
        <v>44</v>
      </c>
      <c r="X818" s="34" t="s">
        <v>45</v>
      </c>
      <c r="Y818" s="34" t="s">
        <v>274</v>
      </c>
      <c r="Z818" s="34"/>
      <c r="AA818" s="34"/>
      <c r="AB818" s="22">
        <v>0.88868705749511723</v>
      </c>
      <c r="AC818" s="23" t="s">
        <v>3181</v>
      </c>
      <c r="AD818" s="24">
        <v>4.0465753424657533</v>
      </c>
      <c r="AE818" s="25">
        <v>2.0705641745650816E-2</v>
      </c>
      <c r="AF818" s="26">
        <v>0.16337999957653371</v>
      </c>
      <c r="AG818" s="26">
        <v>0.12667526577572397</v>
      </c>
      <c r="AH818" s="27">
        <v>0.16825872654336205</v>
      </c>
      <c r="AI818" s="27">
        <v>0.56695498852723669</v>
      </c>
      <c r="AJ818" s="27">
        <v>0.49487988407311562</v>
      </c>
      <c r="AK818" s="28" t="s">
        <v>3182</v>
      </c>
      <c r="AL818" s="29">
        <v>4</v>
      </c>
      <c r="AM818" s="29">
        <v>2</v>
      </c>
      <c r="AN818" s="29" t="s">
        <v>48</v>
      </c>
      <c r="AO818" s="47" t="s">
        <v>3183</v>
      </c>
      <c r="AP818" s="28">
        <v>0</v>
      </c>
      <c r="AQ818" s="26">
        <v>1.4999999999999999E-2</v>
      </c>
      <c r="AR818" s="26">
        <v>0</v>
      </c>
    </row>
    <row r="819" spans="1:44" x14ac:dyDescent="0.15">
      <c r="A819">
        <v>370</v>
      </c>
      <c r="B819" s="11">
        <v>398021</v>
      </c>
      <c r="C819" s="32"/>
      <c r="D819" s="32">
        <v>-5.3081655737196197E-3</v>
      </c>
      <c r="E819" s="32">
        <v>102</v>
      </c>
      <c r="F819" s="32">
        <v>4.6352304248387897E-2</v>
      </c>
      <c r="G819" s="11"/>
      <c r="H819" s="11"/>
      <c r="I819" s="11"/>
      <c r="J819" s="18" t="s">
        <v>44</v>
      </c>
      <c r="K819" s="18" t="s">
        <v>45</v>
      </c>
      <c r="L819" s="58" t="s">
        <v>65</v>
      </c>
      <c r="M819" s="18">
        <f>[1]!f_prt_stocktonav(B819,"2017/03/31")</f>
        <v>88.08306884765625</v>
      </c>
      <c r="N819" s="20" t="str">
        <f>[1]!f_info_fundmanager(B819)</f>
        <v>姚晨曦</v>
      </c>
      <c r="O819" s="21">
        <v>1.9561643835616438</v>
      </c>
      <c r="P819" s="34" t="s">
        <v>3184</v>
      </c>
      <c r="Q819" s="34" t="s">
        <v>3185</v>
      </c>
      <c r="R819" s="34" t="s">
        <v>505</v>
      </c>
      <c r="S819" s="34">
        <v>20070313</v>
      </c>
      <c r="T819" s="45">
        <v>13.9774392359</v>
      </c>
      <c r="U819" s="46">
        <v>14.783078805100001</v>
      </c>
      <c r="V819" s="34" t="s">
        <v>231</v>
      </c>
      <c r="W819" s="34" t="s">
        <v>44</v>
      </c>
      <c r="X819" s="34" t="s">
        <v>45</v>
      </c>
      <c r="Y819" s="34" t="s">
        <v>274</v>
      </c>
      <c r="Z819" s="34"/>
      <c r="AA819" s="34"/>
      <c r="AB819" s="22">
        <v>0.84295005798339839</v>
      </c>
      <c r="AC819" s="23" t="s">
        <v>2420</v>
      </c>
      <c r="AD819" s="24">
        <v>1.726027397260274</v>
      </c>
      <c r="AE819" s="25">
        <v>-3.0613829727266229E-3</v>
      </c>
      <c r="AF819" s="26">
        <v>2.8472397098499469E-2</v>
      </c>
      <c r="AG819" s="26">
        <v>1.965238440201067E-2</v>
      </c>
      <c r="AH819" s="27">
        <v>6.477940625902022E-2</v>
      </c>
      <c r="AI819" s="27">
        <v>0.20221691840764672</v>
      </c>
      <c r="AJ819" s="27">
        <v>0.15798444132523043</v>
      </c>
      <c r="AK819" s="28" t="s">
        <v>3186</v>
      </c>
      <c r="AL819" s="29">
        <v>1</v>
      </c>
      <c r="AM819" s="29">
        <v>2</v>
      </c>
      <c r="AN819" s="29" t="s">
        <v>48</v>
      </c>
      <c r="AO819" s="47" t="s">
        <v>3187</v>
      </c>
      <c r="AP819" s="28">
        <v>0</v>
      </c>
      <c r="AQ819" s="26">
        <v>1.4999999999999999E-2</v>
      </c>
      <c r="AR819" s="26">
        <v>0</v>
      </c>
    </row>
    <row r="820" spans="1:44" x14ac:dyDescent="0.15">
      <c r="A820">
        <v>317</v>
      </c>
      <c r="B820" s="11">
        <v>519068</v>
      </c>
      <c r="C820" s="32"/>
      <c r="D820" s="32">
        <v>2.1291222623931301E-4</v>
      </c>
      <c r="E820" s="32">
        <v>157</v>
      </c>
      <c r="F820" s="32">
        <v>0.89229378557546601</v>
      </c>
      <c r="G820" s="11"/>
      <c r="H820" s="11"/>
      <c r="I820" s="11"/>
      <c r="J820" s="18" t="s">
        <v>44</v>
      </c>
      <c r="K820" s="18" t="s">
        <v>45</v>
      </c>
      <c r="L820" s="58" t="s">
        <v>65</v>
      </c>
      <c r="M820" s="18">
        <f>[1]!f_prt_stocktonav(B820,"2017/03/31")</f>
        <v>89.167327880859375</v>
      </c>
      <c r="N820" s="20" t="str">
        <f>[1]!f_info_fundmanager(B820)</f>
        <v>雷鸣</v>
      </c>
      <c r="O820" s="21">
        <v>3.0136986301369864</v>
      </c>
      <c r="P820" s="34" t="s">
        <v>3188</v>
      </c>
      <c r="Q820" s="34" t="s">
        <v>3189</v>
      </c>
      <c r="R820" s="34" t="s">
        <v>331</v>
      </c>
      <c r="S820" s="34">
        <v>20070312</v>
      </c>
      <c r="T820" s="45">
        <v>41.248770741199998</v>
      </c>
      <c r="U820" s="46">
        <v>48.682641243900001</v>
      </c>
      <c r="V820" s="34" t="s">
        <v>201</v>
      </c>
      <c r="W820" s="34" t="s">
        <v>44</v>
      </c>
      <c r="X820" s="34" t="s">
        <v>45</v>
      </c>
      <c r="Y820" s="34" t="s">
        <v>274</v>
      </c>
      <c r="Z820" s="34"/>
      <c r="AA820" s="34"/>
      <c r="AB820" s="22">
        <v>0.87342460632324215</v>
      </c>
      <c r="AC820" s="23" t="s">
        <v>3190</v>
      </c>
      <c r="AD820" s="24">
        <v>2.7835616438356166</v>
      </c>
      <c r="AE820" s="25">
        <v>0.11291500383285857</v>
      </c>
      <c r="AF820" s="26">
        <v>0.25104225856599349</v>
      </c>
      <c r="AG820" s="26">
        <v>0.19137412590458069</v>
      </c>
      <c r="AH820" s="27">
        <v>0.48909988564512785</v>
      </c>
      <c r="AI820" s="27">
        <v>0.79663407218364757</v>
      </c>
      <c r="AJ820" s="27">
        <v>0.7235939321057262</v>
      </c>
      <c r="AK820" s="28" t="s">
        <v>1459</v>
      </c>
      <c r="AL820" s="29">
        <v>4</v>
      </c>
      <c r="AM820" s="29">
        <v>4</v>
      </c>
      <c r="AN820" s="29" t="s">
        <v>48</v>
      </c>
      <c r="AO820" s="47" t="s">
        <v>3191</v>
      </c>
      <c r="AP820" s="28" t="s">
        <v>3192</v>
      </c>
      <c r="AQ820" s="26">
        <v>1.4999999999999999E-2</v>
      </c>
      <c r="AR820" s="26">
        <v>0</v>
      </c>
    </row>
    <row r="821" spans="1:44" x14ac:dyDescent="0.15">
      <c r="A821">
        <v>775</v>
      </c>
      <c r="B821" s="11">
        <v>530005</v>
      </c>
      <c r="C821" s="32"/>
      <c r="D821" s="32">
        <v>-1.2353418902409899E-3</v>
      </c>
      <c r="E821" s="32">
        <v>98</v>
      </c>
      <c r="F821" s="32">
        <v>0.23056781673759899</v>
      </c>
      <c r="G821" s="11"/>
      <c r="H821" s="11"/>
      <c r="I821" s="11"/>
      <c r="J821" s="18" t="s">
        <v>44</v>
      </c>
      <c r="K821" s="18" t="s">
        <v>86</v>
      </c>
      <c r="L821" s="58" t="s">
        <v>65</v>
      </c>
      <c r="M821" s="18">
        <f>[1]!f_prt_stocktonav(B821,"2017/03/31")</f>
        <v>77.439407348632812</v>
      </c>
      <c r="N821" s="20" t="str">
        <f>[1]!f_info_fundmanager(B821)</f>
        <v>邱宇航</v>
      </c>
      <c r="O821" s="21">
        <v>1.8657534246575342</v>
      </c>
      <c r="P821" s="34" t="s">
        <v>3193</v>
      </c>
      <c r="Q821" s="34" t="s">
        <v>3194</v>
      </c>
      <c r="R821" s="34" t="s">
        <v>307</v>
      </c>
      <c r="S821" s="34">
        <v>20070301</v>
      </c>
      <c r="T821" s="45">
        <v>23.4602236062</v>
      </c>
      <c r="U821" s="46">
        <v>24.3628764344</v>
      </c>
      <c r="V821" s="34" t="s">
        <v>231</v>
      </c>
      <c r="W821" s="34" t="s">
        <v>44</v>
      </c>
      <c r="X821" s="34" t="s">
        <v>45</v>
      </c>
      <c r="Y821" s="34" t="s">
        <v>65</v>
      </c>
      <c r="Z821" s="34"/>
      <c r="AA821" s="34"/>
      <c r="AB821" s="22">
        <v>0.7295684814453125</v>
      </c>
      <c r="AC821" s="23" t="s">
        <v>2122</v>
      </c>
      <c r="AD821" s="24">
        <v>1.6356164383561644</v>
      </c>
      <c r="AE821" s="25">
        <v>6.7970120476215312E-2</v>
      </c>
      <c r="AF821" s="26">
        <v>0.14016250131185881</v>
      </c>
      <c r="AG821" s="26">
        <v>0.12146993051004795</v>
      </c>
      <c r="AH821" s="27">
        <v>0.32938104144845853</v>
      </c>
      <c r="AI821" s="27">
        <v>0.58416879266321586</v>
      </c>
      <c r="AJ821" s="27">
        <v>0.5646478637679796</v>
      </c>
      <c r="AK821" s="28" t="s">
        <v>3195</v>
      </c>
      <c r="AL821" s="29">
        <v>3</v>
      </c>
      <c r="AM821" s="29">
        <v>4</v>
      </c>
      <c r="AN821" s="29" t="s">
        <v>48</v>
      </c>
      <c r="AO821" s="47" t="s">
        <v>679</v>
      </c>
      <c r="AP821" s="28">
        <v>0</v>
      </c>
      <c r="AQ821" s="26">
        <v>1.4999999999999999E-2</v>
      </c>
      <c r="AR821" s="26">
        <v>0</v>
      </c>
    </row>
    <row r="822" spans="1:44" x14ac:dyDescent="0.15">
      <c r="A822">
        <v>962</v>
      </c>
      <c r="B822" s="11">
        <v>162006</v>
      </c>
      <c r="C822" s="32"/>
      <c r="D822" s="32">
        <v>3.2573612382050801E-3</v>
      </c>
      <c r="E822" s="32">
        <v>30</v>
      </c>
      <c r="F822" s="32">
        <v>8.7395325227426102E-2</v>
      </c>
      <c r="G822" s="11"/>
      <c r="H822" s="11"/>
      <c r="I822" s="11"/>
      <c r="J822" s="18" t="s">
        <v>44</v>
      </c>
      <c r="K822" s="18" t="s">
        <v>45</v>
      </c>
      <c r="L822" s="58" t="s">
        <v>65</v>
      </c>
      <c r="M822" s="18">
        <f>[1]!f_prt_stocktonav(B822,"2017/03/31")</f>
        <v>70.073188781738281</v>
      </c>
      <c r="N822" s="20" t="str">
        <f>[1]!f_info_fundmanager(B822)</f>
        <v>何以广</v>
      </c>
      <c r="O822" s="21">
        <v>0.56438356164383563</v>
      </c>
      <c r="P822" s="34" t="s">
        <v>3196</v>
      </c>
      <c r="Q822" s="34" t="s">
        <v>3197</v>
      </c>
      <c r="R822" s="34" t="s">
        <v>1172</v>
      </c>
      <c r="S822" s="34">
        <v>20070212</v>
      </c>
      <c r="T822" s="45">
        <v>9.2603016461000003</v>
      </c>
      <c r="U822" s="46">
        <v>9.7799365714000004</v>
      </c>
      <c r="V822" s="34" t="s">
        <v>201</v>
      </c>
      <c r="W822" s="34" t="s">
        <v>44</v>
      </c>
      <c r="X822" s="34" t="s">
        <v>45</v>
      </c>
      <c r="Y822" s="34" t="s">
        <v>65</v>
      </c>
      <c r="Z822" s="34"/>
      <c r="AA822" s="34"/>
      <c r="AB822" s="22">
        <v>0.77442764282226562</v>
      </c>
      <c r="AC822" s="23" t="s">
        <v>2577</v>
      </c>
      <c r="AD822" s="24">
        <v>0.33424657534246577</v>
      </c>
      <c r="AE822" s="25">
        <v>4.6163921954850196E-2</v>
      </c>
      <c r="AF822" s="26">
        <v>5.8963653491467927E-2</v>
      </c>
      <c r="AG822" s="26">
        <v>6.6315560353064074E-2</v>
      </c>
      <c r="AH822" s="27">
        <v>0.22810222561043131</v>
      </c>
      <c r="AI822" s="27">
        <v>0.2929306060391777</v>
      </c>
      <c r="AJ822" s="27">
        <v>0.3195790265305492</v>
      </c>
      <c r="AK822" s="28" t="s">
        <v>2966</v>
      </c>
      <c r="AL822" s="29">
        <v>1</v>
      </c>
      <c r="AM822" s="29">
        <v>3</v>
      </c>
      <c r="AN822" s="29" t="s">
        <v>48</v>
      </c>
      <c r="AO822" s="47" t="s">
        <v>3198</v>
      </c>
      <c r="AP822" s="28">
        <v>0</v>
      </c>
      <c r="AQ822" s="26">
        <v>1.4999999999999999E-2</v>
      </c>
      <c r="AR822" s="26">
        <v>0</v>
      </c>
    </row>
    <row r="823" spans="1:44" x14ac:dyDescent="0.15">
      <c r="A823">
        <v>781</v>
      </c>
      <c r="B823" s="11">
        <v>166001</v>
      </c>
      <c r="C823" s="32"/>
      <c r="D823" s="32">
        <v>-1.2251137069750999E-4</v>
      </c>
      <c r="E823" s="32">
        <v>293</v>
      </c>
      <c r="F823" s="32">
        <v>0.87090688870487498</v>
      </c>
      <c r="G823" s="11"/>
      <c r="H823" s="11"/>
      <c r="I823" s="11"/>
      <c r="J823" s="18" t="s">
        <v>44</v>
      </c>
      <c r="K823" s="18" t="s">
        <v>86</v>
      </c>
      <c r="L823" s="58" t="s">
        <v>65</v>
      </c>
      <c r="M823" s="18">
        <f>[1]!f_prt_stocktonav(B823,"2017/03/31")</f>
        <v>77.256942749023438</v>
      </c>
      <c r="N823" s="20" t="str">
        <f>[1]!f_info_fundmanager(B823)</f>
        <v>周蔚文</v>
      </c>
      <c r="O823" s="21">
        <v>5.6273972602739724</v>
      </c>
      <c r="P823" s="34" t="s">
        <v>3199</v>
      </c>
      <c r="Q823" s="34" t="s">
        <v>3200</v>
      </c>
      <c r="R823" s="34" t="s">
        <v>200</v>
      </c>
      <c r="S823" s="34">
        <v>20070129</v>
      </c>
      <c r="T823" s="45">
        <v>38.861233470199998</v>
      </c>
      <c r="U823" s="46">
        <v>41.989394507100002</v>
      </c>
      <c r="V823" s="34" t="s">
        <v>231</v>
      </c>
      <c r="W823" s="34" t="s">
        <v>44</v>
      </c>
      <c r="X823" s="34" t="s">
        <v>45</v>
      </c>
      <c r="Y823" s="34" t="s">
        <v>65</v>
      </c>
      <c r="Z823" s="34"/>
      <c r="AA823" s="34"/>
      <c r="AB823" s="22">
        <v>0.85416664123535158</v>
      </c>
      <c r="AC823" s="23" t="s">
        <v>1512</v>
      </c>
      <c r="AD823" s="24">
        <v>5.397260273972603</v>
      </c>
      <c r="AE823" s="25">
        <v>5.9508458588723778E-2</v>
      </c>
      <c r="AF823" s="26">
        <v>0.26104344114334888</v>
      </c>
      <c r="AG823" s="26">
        <v>0.18836327295215582</v>
      </c>
      <c r="AH823" s="27">
        <v>0.29696312609703784</v>
      </c>
      <c r="AI823" s="27">
        <v>0.93739197679001229</v>
      </c>
      <c r="AJ823" s="27">
        <v>0.77794134836905315</v>
      </c>
      <c r="AK823" s="28" t="s">
        <v>3201</v>
      </c>
      <c r="AL823" s="29">
        <v>5</v>
      </c>
      <c r="AM823" s="29">
        <v>3</v>
      </c>
      <c r="AN823" s="29" t="s">
        <v>48</v>
      </c>
      <c r="AO823" s="47" t="s">
        <v>3202</v>
      </c>
      <c r="AP823" s="28">
        <v>0</v>
      </c>
      <c r="AQ823" s="26">
        <v>1.4999999999999999E-2</v>
      </c>
      <c r="AR823" s="26">
        <v>0</v>
      </c>
    </row>
    <row r="824" spans="1:44" x14ac:dyDescent="0.15">
      <c r="A824">
        <v>286</v>
      </c>
      <c r="B824" s="11">
        <v>257030</v>
      </c>
      <c r="C824" s="32"/>
      <c r="D824" s="32">
        <v>-2.3595657341580201E-4</v>
      </c>
      <c r="E824" s="32">
        <v>101</v>
      </c>
      <c r="F824" s="32">
        <v>0.86738228344582502</v>
      </c>
      <c r="G824" s="11"/>
      <c r="H824" s="11"/>
      <c r="I824" s="11"/>
      <c r="J824" s="18" t="s">
        <v>44</v>
      </c>
      <c r="K824" s="18" t="s">
        <v>45</v>
      </c>
      <c r="L824" s="58" t="s">
        <v>274</v>
      </c>
      <c r="M824" s="18">
        <f>[1]!f_prt_stocktonav(B824,"2017/03/31")</f>
        <v>89.6427001953125</v>
      </c>
      <c r="N824" s="20" t="str">
        <f>[1]!f_info_fundmanager(B824)</f>
        <v>刘斌</v>
      </c>
      <c r="O824" s="21">
        <v>1.9260273972602739</v>
      </c>
      <c r="P824" s="34" t="s">
        <v>3203</v>
      </c>
      <c r="Q824" s="34" t="s">
        <v>3204</v>
      </c>
      <c r="R824" s="34" t="s">
        <v>724</v>
      </c>
      <c r="S824" s="34">
        <v>20070124</v>
      </c>
      <c r="T824" s="45">
        <v>3.1022219323</v>
      </c>
      <c r="U824" s="46">
        <v>3.3079693762</v>
      </c>
      <c r="V824" s="34" t="s">
        <v>201</v>
      </c>
      <c r="W824" s="34" t="s">
        <v>44</v>
      </c>
      <c r="X824" s="34" t="s">
        <v>45</v>
      </c>
      <c r="Y824" s="34" t="s">
        <v>274</v>
      </c>
      <c r="Z824" s="34"/>
      <c r="AA824" s="34"/>
      <c r="AB824" s="22">
        <v>0.89112007141113281</v>
      </c>
      <c r="AC824" s="23" t="s">
        <v>828</v>
      </c>
      <c r="AD824" s="24">
        <v>1.6958904109589041</v>
      </c>
      <c r="AE824" s="25">
        <v>7.648247346700443E-2</v>
      </c>
      <c r="AF824" s="26">
        <v>0.16634634945275661</v>
      </c>
      <c r="AG824" s="26">
        <v>0.14779335849809061</v>
      </c>
      <c r="AH824" s="27">
        <v>0.35628970340999999</v>
      </c>
      <c r="AI824" s="27">
        <v>0.58860077650240239</v>
      </c>
      <c r="AJ824" s="27">
        <v>0.5912013132982491</v>
      </c>
      <c r="AK824" s="28" t="s">
        <v>1948</v>
      </c>
      <c r="AL824" s="29">
        <v>3</v>
      </c>
      <c r="AM824" s="29">
        <v>3</v>
      </c>
      <c r="AN824" s="29" t="s">
        <v>48</v>
      </c>
      <c r="AO824" s="47" t="s">
        <v>3205</v>
      </c>
      <c r="AP824" s="28" t="s">
        <v>2963</v>
      </c>
      <c r="AQ824" s="26">
        <v>1.4999999999999999E-2</v>
      </c>
      <c r="AR824" s="26">
        <v>0</v>
      </c>
    </row>
    <row r="825" spans="1:44" x14ac:dyDescent="0.15">
      <c r="A825">
        <v>478</v>
      </c>
      <c r="B825" s="11">
        <v>213003</v>
      </c>
      <c r="C825" s="32"/>
      <c r="D825" s="32">
        <v>-4.8730765001613998E-3</v>
      </c>
      <c r="E825" s="32">
        <v>24</v>
      </c>
      <c r="F825" s="32">
        <v>1.4439206806404601E-2</v>
      </c>
      <c r="G825" s="11"/>
      <c r="H825" s="11"/>
      <c r="I825" s="11"/>
      <c r="J825" s="18" t="s">
        <v>44</v>
      </c>
      <c r="K825" s="18" t="s">
        <v>45</v>
      </c>
      <c r="L825" s="58" t="s">
        <v>65</v>
      </c>
      <c r="M825" s="18">
        <f>[1]!f_prt_stocktonav(B825,"2017/03/31")</f>
        <v>85.712669372558594</v>
      </c>
      <c r="N825" s="20" t="str">
        <f>[1]!f_info_fundmanager(B825)</f>
        <v>李进,朱建明</v>
      </c>
      <c r="O825" s="21">
        <v>0.45753424657534247</v>
      </c>
      <c r="P825" s="34" t="s">
        <v>3206</v>
      </c>
      <c r="Q825" s="34" t="s">
        <v>3207</v>
      </c>
      <c r="R825" s="34" t="s">
        <v>402</v>
      </c>
      <c r="S825" s="34">
        <v>20070119</v>
      </c>
      <c r="T825" s="45">
        <v>31.405754949599999</v>
      </c>
      <c r="U825" s="46">
        <v>34.552678331000003</v>
      </c>
      <c r="V825" s="34" t="s">
        <v>201</v>
      </c>
      <c r="W825" s="34" t="s">
        <v>44</v>
      </c>
      <c r="X825" s="34" t="s">
        <v>45</v>
      </c>
      <c r="Y825" s="34" t="s">
        <v>274</v>
      </c>
      <c r="Z825" s="34"/>
      <c r="AA825" s="34"/>
      <c r="AB825" s="22">
        <v>0.94296844482421871</v>
      </c>
      <c r="AC825" s="23" t="s">
        <v>3208</v>
      </c>
      <c r="AD825" s="24">
        <v>2.2821917808219179</v>
      </c>
      <c r="AE825" s="25">
        <v>7.4546251962520405E-2</v>
      </c>
      <c r="AF825" s="26">
        <v>0.23825712212498762</v>
      </c>
      <c r="AG825" s="26">
        <v>0.15251479669488144</v>
      </c>
      <c r="AH825" s="27">
        <v>0.34368031023511292</v>
      </c>
      <c r="AI825" s="27">
        <v>0.69465561577146839</v>
      </c>
      <c r="AJ825" s="27">
        <v>0.55329175929631236</v>
      </c>
      <c r="AK825" s="28" t="s">
        <v>3209</v>
      </c>
      <c r="AL825" s="29">
        <v>3</v>
      </c>
      <c r="AM825" s="29">
        <v>3</v>
      </c>
      <c r="AN825" s="29" t="s">
        <v>48</v>
      </c>
      <c r="AO825" s="47" t="s">
        <v>3210</v>
      </c>
      <c r="AP825" s="28">
        <v>0</v>
      </c>
      <c r="AQ825" s="26">
        <v>1.4999999999999999E-2</v>
      </c>
      <c r="AR825" s="26">
        <v>0</v>
      </c>
    </row>
    <row r="826" spans="1:44" x14ac:dyDescent="0.15">
      <c r="A826">
        <v>668</v>
      </c>
      <c r="B826" s="11">
        <v>519017</v>
      </c>
      <c r="C826" s="32"/>
      <c r="D826" s="32">
        <v>-3.5185526931802698E-5</v>
      </c>
      <c r="E826" s="32">
        <v>223</v>
      </c>
      <c r="F826" s="32">
        <v>0.97296236594051999</v>
      </c>
      <c r="G826" s="11"/>
      <c r="H826" s="11"/>
      <c r="I826" s="11"/>
      <c r="J826" s="18" t="s">
        <v>44</v>
      </c>
      <c r="K826" s="18" t="s">
        <v>45</v>
      </c>
      <c r="L826" s="58" t="s">
        <v>65</v>
      </c>
      <c r="M826" s="18">
        <f>[1]!f_prt_stocktonav(B826,"2017/03/31")</f>
        <v>80.901634216308594</v>
      </c>
      <c r="N826" s="20" t="str">
        <f>[1]!f_info_fundmanager(B826)</f>
        <v>孙蓓琳</v>
      </c>
      <c r="O826" s="21">
        <v>4.2849315068493148</v>
      </c>
      <c r="P826" s="34" t="s">
        <v>3211</v>
      </c>
      <c r="Q826" s="34" t="s">
        <v>3212</v>
      </c>
      <c r="R826" s="34" t="s">
        <v>486</v>
      </c>
      <c r="S826" s="34">
        <v>20070116</v>
      </c>
      <c r="T826" s="45">
        <v>12.255865718500001</v>
      </c>
      <c r="U826" s="46">
        <v>12.0718241176</v>
      </c>
      <c r="V826" s="34" t="s">
        <v>201</v>
      </c>
      <c r="W826" s="34" t="s">
        <v>44</v>
      </c>
      <c r="X826" s="34" t="s">
        <v>45</v>
      </c>
      <c r="Y826" s="34" t="s">
        <v>65</v>
      </c>
      <c r="Z826" s="34"/>
      <c r="AA826" s="34"/>
      <c r="AB826" s="22">
        <v>0.8114763641357422</v>
      </c>
      <c r="AC826" s="23" t="s">
        <v>1884</v>
      </c>
      <c r="AD826" s="24">
        <v>4.0547945205479454</v>
      </c>
      <c r="AE826" s="25">
        <v>0.10018544310531328</v>
      </c>
      <c r="AF826" s="26">
        <v>0.24040955724938207</v>
      </c>
      <c r="AG826" s="26">
        <v>0.15573865462472747</v>
      </c>
      <c r="AH826" s="27">
        <v>0.424399915471945</v>
      </c>
      <c r="AI826" s="27">
        <v>0.81764742809643465</v>
      </c>
      <c r="AJ826" s="27">
        <v>0.62955356786742067</v>
      </c>
      <c r="AK826" s="28" t="s">
        <v>2357</v>
      </c>
      <c r="AL826" s="29">
        <v>4</v>
      </c>
      <c r="AM826" s="29">
        <v>3</v>
      </c>
      <c r="AN826" s="29" t="s">
        <v>48</v>
      </c>
      <c r="AO826" s="47" t="s">
        <v>1002</v>
      </c>
      <c r="AP826" s="28">
        <v>0</v>
      </c>
      <c r="AQ826" s="26">
        <v>1.4999999999999999E-2</v>
      </c>
      <c r="AR826" s="26">
        <v>0</v>
      </c>
    </row>
    <row r="827" spans="1:44" x14ac:dyDescent="0.15">
      <c r="A827">
        <v>19</v>
      </c>
      <c r="B827" s="11">
        <v>580002</v>
      </c>
      <c r="C827" s="32"/>
      <c r="D827" s="32">
        <v>-5.2487712702236899E-3</v>
      </c>
      <c r="E827" s="32">
        <v>120</v>
      </c>
      <c r="F827" s="32">
        <v>1.1623995165841801E-3</v>
      </c>
      <c r="G827" s="11"/>
      <c r="H827" s="11"/>
      <c r="I827" s="11"/>
      <c r="J827" s="18" t="s">
        <v>44</v>
      </c>
      <c r="K827" s="18" t="s">
        <v>86</v>
      </c>
      <c r="L827" s="58" t="s">
        <v>274</v>
      </c>
      <c r="M827" s="18">
        <f>[1]!f_prt_stocktonav(B827,"2017/03/31")</f>
        <v>94.760536193847656</v>
      </c>
      <c r="N827" s="20" t="str">
        <f>[1]!f_info_fundmanager(B827)</f>
        <v>戴斌</v>
      </c>
      <c r="O827" s="21">
        <v>2.3013698630136985</v>
      </c>
      <c r="P827" s="34" t="s">
        <v>3213</v>
      </c>
      <c r="Q827" s="34" t="s">
        <v>3214</v>
      </c>
      <c r="R827" s="34" t="s">
        <v>1057</v>
      </c>
      <c r="S827" s="34">
        <v>20061215</v>
      </c>
      <c r="T827" s="45">
        <v>3.9271064098999999</v>
      </c>
      <c r="U827" s="46">
        <v>5.2497252382999999</v>
      </c>
      <c r="V827" s="34" t="s">
        <v>231</v>
      </c>
      <c r="W827" s="34" t="s">
        <v>44</v>
      </c>
      <c r="X827" s="34" t="s">
        <v>45</v>
      </c>
      <c r="Y827" s="34" t="s">
        <v>274</v>
      </c>
      <c r="Z827" s="34"/>
      <c r="AA827" s="34"/>
      <c r="AB827" s="22">
        <v>0.86879692077636717</v>
      </c>
      <c r="AC827" s="23" t="s">
        <v>1058</v>
      </c>
      <c r="AD827" s="24">
        <v>2.0712328767123287</v>
      </c>
      <c r="AE827" s="25">
        <v>5.7306795975471392E-2</v>
      </c>
      <c r="AF827" s="26">
        <v>-2.577982365144238E-2</v>
      </c>
      <c r="AG827" s="26">
        <v>2.5263705460423669E-2</v>
      </c>
      <c r="AH827" s="27">
        <v>0.28813091558156573</v>
      </c>
      <c r="AI827" s="27">
        <v>5.7670470144673809E-2</v>
      </c>
      <c r="AJ827" s="27">
        <v>0.19437771223125591</v>
      </c>
      <c r="AK827" s="28" t="s">
        <v>3215</v>
      </c>
      <c r="AL827" s="29">
        <v>1</v>
      </c>
      <c r="AM827" s="29">
        <v>1</v>
      </c>
      <c r="AN827" s="29" t="s">
        <v>48</v>
      </c>
      <c r="AO827" s="47" t="s">
        <v>310</v>
      </c>
      <c r="AP827" s="28" t="s">
        <v>3216</v>
      </c>
      <c r="AQ827" s="26">
        <v>1.4999999999999999E-2</v>
      </c>
      <c r="AR827" s="26">
        <v>0</v>
      </c>
    </row>
    <row r="828" spans="1:44" x14ac:dyDescent="0.15">
      <c r="A828">
        <v>884</v>
      </c>
      <c r="B828" s="11">
        <v>290004</v>
      </c>
      <c r="C828" s="32"/>
      <c r="D828" s="32">
        <v>3.5296720787371398E-3</v>
      </c>
      <c r="E828" s="32">
        <v>18</v>
      </c>
      <c r="F828" s="32">
        <v>0.498285109284067</v>
      </c>
      <c r="G828" s="11"/>
      <c r="H828" s="11"/>
      <c r="I828" s="11"/>
      <c r="J828" s="18" t="s">
        <v>44</v>
      </c>
      <c r="K828" s="18" t="s">
        <v>86</v>
      </c>
      <c r="L828" s="58" t="s">
        <v>65</v>
      </c>
      <c r="M828" s="18">
        <f>[1]!f_prt_stocktonav(B828,"2017/03/31")</f>
        <v>73.292289733886719</v>
      </c>
      <c r="N828" s="20" t="str">
        <f>[1]!f_info_fundmanager(B828)</f>
        <v>刘杰</v>
      </c>
      <c r="O828" s="21">
        <v>0.32876712328767121</v>
      </c>
      <c r="P828" s="34" t="s">
        <v>3217</v>
      </c>
      <c r="Q828" s="34" t="s">
        <v>3218</v>
      </c>
      <c r="R828" s="34" t="s">
        <v>889</v>
      </c>
      <c r="S828" s="34">
        <v>20061215</v>
      </c>
      <c r="T828" s="45">
        <v>8.6661152038000004</v>
      </c>
      <c r="U828" s="46">
        <v>8.3872710602999998</v>
      </c>
      <c r="V828" s="34" t="s">
        <v>231</v>
      </c>
      <c r="W828" s="34" t="s">
        <v>41</v>
      </c>
      <c r="X828" s="17" t="s">
        <v>42</v>
      </c>
      <c r="Y828" s="17" t="s">
        <v>181</v>
      </c>
      <c r="Z828" s="34"/>
      <c r="AA828" s="34"/>
      <c r="AB828" s="22">
        <v>0.66022903442382808</v>
      </c>
      <c r="AC828" s="23" t="s">
        <v>3219</v>
      </c>
      <c r="AD828" s="24">
        <v>9.8630136986301367E-2</v>
      </c>
      <c r="AE828" s="25">
        <v>5.4070750572760229E-2</v>
      </c>
      <c r="AF828" s="26">
        <v>0.10156163246834371</v>
      </c>
      <c r="AG828" s="26">
        <v>8.5864459408461435E-2</v>
      </c>
      <c r="AH828" s="27">
        <v>0.27776073062784851</v>
      </c>
      <c r="AI828" s="27">
        <v>0.40090562718975881</v>
      </c>
      <c r="AJ828" s="27">
        <v>0.38062133242266233</v>
      </c>
      <c r="AK828" s="28" t="s">
        <v>3220</v>
      </c>
      <c r="AL828" s="29">
        <v>2</v>
      </c>
      <c r="AM828" s="29">
        <v>3</v>
      </c>
      <c r="AN828" s="29" t="s">
        <v>48</v>
      </c>
      <c r="AO828" s="47" t="s">
        <v>101</v>
      </c>
      <c r="AP828" s="28">
        <v>0</v>
      </c>
      <c r="AQ828" s="26">
        <v>1.4999999999999999E-2</v>
      </c>
      <c r="AR828" s="26">
        <v>0</v>
      </c>
    </row>
    <row r="829" spans="1:44" x14ac:dyDescent="0.15">
      <c r="A829">
        <v>174</v>
      </c>
      <c r="B829" s="11">
        <v>70011</v>
      </c>
      <c r="C829" s="32"/>
      <c r="D829" s="32">
        <v>-2.03042439616841E-5</v>
      </c>
      <c r="E829" s="32">
        <v>26</v>
      </c>
      <c r="F829" s="32">
        <v>0.98973832296006004</v>
      </c>
      <c r="G829" s="11"/>
      <c r="H829" s="11"/>
      <c r="I829" s="11"/>
      <c r="J829" s="18" t="s">
        <v>44</v>
      </c>
      <c r="K829" s="18" t="s">
        <v>45</v>
      </c>
      <c r="L829" s="58" t="s">
        <v>65</v>
      </c>
      <c r="M829" s="18">
        <f>[1]!f_prt_stocktonav(B829,"2017/03/31")</f>
        <v>92.261489868164063</v>
      </c>
      <c r="N829" s="20" t="str">
        <f>[1]!f_info_fundmanager(B829)</f>
        <v>谢泽林</v>
      </c>
      <c r="O829" s="21">
        <v>0.49863013698630138</v>
      </c>
      <c r="P829" s="34" t="s">
        <v>3221</v>
      </c>
      <c r="Q829" s="34" t="s">
        <v>3222</v>
      </c>
      <c r="R829" s="34" t="s">
        <v>92</v>
      </c>
      <c r="S829" s="34">
        <v>20061212</v>
      </c>
      <c r="T829" s="45">
        <v>44.102964643200004</v>
      </c>
      <c r="U829" s="46">
        <v>48.0942110035</v>
      </c>
      <c r="V829" s="34" t="s">
        <v>201</v>
      </c>
      <c r="W829" s="34" t="s">
        <v>44</v>
      </c>
      <c r="X829" s="34" t="s">
        <v>45</v>
      </c>
      <c r="Y829" s="34" t="s">
        <v>65</v>
      </c>
      <c r="Z829" s="34"/>
      <c r="AA829" s="34"/>
      <c r="AB829" s="22">
        <v>0.89072128295898434</v>
      </c>
      <c r="AC829" s="23" t="s">
        <v>3223</v>
      </c>
      <c r="AD829" s="24">
        <v>2.7808219178082192</v>
      </c>
      <c r="AE829" s="25">
        <v>8.7843178738217009E-2</v>
      </c>
      <c r="AF829" s="26">
        <v>0.1107659178241196</v>
      </c>
      <c r="AG829" s="26">
        <v>0.11389093881179813</v>
      </c>
      <c r="AH829" s="27">
        <v>0.39655932712130598</v>
      </c>
      <c r="AI829" s="27">
        <v>0.43960749439958147</v>
      </c>
      <c r="AJ829" s="27">
        <v>0.47181990342450059</v>
      </c>
      <c r="AK829" s="28" t="s">
        <v>2463</v>
      </c>
      <c r="AL829" s="29">
        <v>3</v>
      </c>
      <c r="AM829" s="29">
        <v>2</v>
      </c>
      <c r="AN829" s="29" t="s">
        <v>48</v>
      </c>
      <c r="AO829" s="47" t="s">
        <v>334</v>
      </c>
      <c r="AP829" s="28" t="s">
        <v>2293</v>
      </c>
      <c r="AQ829" s="26">
        <v>1.4999999999999999E-2</v>
      </c>
      <c r="AR829" s="26">
        <v>0</v>
      </c>
    </row>
    <row r="830" spans="1:44" x14ac:dyDescent="0.15">
      <c r="A830">
        <v>90</v>
      </c>
      <c r="B830" s="11">
        <v>481004</v>
      </c>
      <c r="C830" s="32"/>
      <c r="D830" s="32">
        <v>-1.24991003142134E-3</v>
      </c>
      <c r="E830" s="32">
        <v>24</v>
      </c>
      <c r="F830" s="32">
        <v>0.45159046429083599</v>
      </c>
      <c r="G830" s="11"/>
      <c r="H830" s="11"/>
      <c r="I830" s="11"/>
      <c r="J830" s="18" t="s">
        <v>44</v>
      </c>
      <c r="K830" s="18" t="s">
        <v>45</v>
      </c>
      <c r="L830" s="58" t="s">
        <v>65</v>
      </c>
      <c r="M830" s="18">
        <f>[1]!f_prt_stocktonav(B830,"2017/03/31")</f>
        <v>93.7420654296875</v>
      </c>
      <c r="N830" s="20" t="str">
        <f>[1]!f_info_fundmanager(B830)</f>
        <v>胡文彪</v>
      </c>
      <c r="O830" s="21">
        <v>0.44931506849315067</v>
      </c>
      <c r="P830" s="34" t="s">
        <v>3224</v>
      </c>
      <c r="Q830" s="34" t="s">
        <v>3225</v>
      </c>
      <c r="R830" s="34" t="s">
        <v>523</v>
      </c>
      <c r="S830" s="34">
        <v>20061206</v>
      </c>
      <c r="T830" s="45">
        <v>14.404809236</v>
      </c>
      <c r="U830" s="46">
        <v>19.2436144779</v>
      </c>
      <c r="V830" s="34" t="s">
        <v>231</v>
      </c>
      <c r="W830" s="34" t="s">
        <v>44</v>
      </c>
      <c r="X830" s="34" t="s">
        <v>45</v>
      </c>
      <c r="Y830" s="34" t="s">
        <v>274</v>
      </c>
      <c r="Z830" s="34"/>
      <c r="AA830" s="34"/>
      <c r="AB830" s="22">
        <v>0.94917617797851561</v>
      </c>
      <c r="AC830" s="23" t="s">
        <v>3226</v>
      </c>
      <c r="AD830" s="24">
        <v>3.7287671232876711</v>
      </c>
      <c r="AE830" s="25">
        <v>5.9381664930298506E-2</v>
      </c>
      <c r="AF830" s="26">
        <v>-1.2144074153341733E-2</v>
      </c>
      <c r="AG830" s="26">
        <v>4.5832357772211063E-2</v>
      </c>
      <c r="AH830" s="27">
        <v>0.29491896147322261</v>
      </c>
      <c r="AI830" s="27">
        <v>0.13304548466602795</v>
      </c>
      <c r="AJ830" s="27">
        <v>0.25640759434305044</v>
      </c>
      <c r="AK830" s="28" t="s">
        <v>1459</v>
      </c>
      <c r="AL830" s="29">
        <v>1</v>
      </c>
      <c r="AM830" s="29">
        <v>1</v>
      </c>
      <c r="AN830" s="29" t="s">
        <v>48</v>
      </c>
      <c r="AO830" s="47" t="s">
        <v>255</v>
      </c>
      <c r="AP830" s="28">
        <v>0</v>
      </c>
      <c r="AQ830" s="26">
        <v>1.4999999999999999E-2</v>
      </c>
      <c r="AR830" s="26">
        <v>0</v>
      </c>
    </row>
    <row r="831" spans="1:44" x14ac:dyDescent="0.15">
      <c r="A831">
        <v>75</v>
      </c>
      <c r="B831" s="11">
        <v>162208</v>
      </c>
      <c r="C831" s="32"/>
      <c r="D831" s="32">
        <v>-4.3499634521506703E-3</v>
      </c>
      <c r="E831" s="32">
        <v>123</v>
      </c>
      <c r="F831" s="32">
        <v>3.51226488580821E-3</v>
      </c>
      <c r="G831" s="11"/>
      <c r="H831" s="11"/>
      <c r="I831" s="11"/>
      <c r="J831" s="18" t="s">
        <v>44</v>
      </c>
      <c r="K831" s="18" t="s">
        <v>45</v>
      </c>
      <c r="L831" s="58" t="s">
        <v>274</v>
      </c>
      <c r="M831" s="18">
        <f>[1]!f_prt_stocktonav(B831,"2017/03/31")</f>
        <v>93.980247497558594</v>
      </c>
      <c r="N831" s="20" t="str">
        <f>[1]!f_info_fundmanager(B831)</f>
        <v>张勋</v>
      </c>
      <c r="O831" s="21">
        <v>2.3589041095890413</v>
      </c>
      <c r="P831" s="34" t="s">
        <v>3227</v>
      </c>
      <c r="Q831" s="34" t="s">
        <v>3228</v>
      </c>
      <c r="R831" s="34" t="s">
        <v>263</v>
      </c>
      <c r="S831" s="34">
        <v>20061201</v>
      </c>
      <c r="T831" s="45">
        <v>5.5402638286999997</v>
      </c>
      <c r="U831" s="46">
        <v>4.6540583649</v>
      </c>
      <c r="V831" s="34" t="s">
        <v>201</v>
      </c>
      <c r="W831" s="34" t="s">
        <v>41</v>
      </c>
      <c r="X831" s="17" t="s">
        <v>42</v>
      </c>
      <c r="Y831" s="17" t="s">
        <v>181</v>
      </c>
      <c r="Z831" s="34"/>
      <c r="AA831" s="34"/>
      <c r="AB831" s="22">
        <v>0.44301830291748046</v>
      </c>
      <c r="AC831" s="23" t="s">
        <v>1734</v>
      </c>
      <c r="AD831" s="24">
        <v>2.128767123287671</v>
      </c>
      <c r="AE831" s="25">
        <v>6.6655544417917101E-2</v>
      </c>
      <c r="AF831" s="26">
        <v>6.2740292369162676E-2</v>
      </c>
      <c r="AG831" s="26">
        <v>9.8778963623508353E-2</v>
      </c>
      <c r="AH831" s="27">
        <v>0.31801332725930359</v>
      </c>
      <c r="AI831" s="27">
        <v>0.29699494894691536</v>
      </c>
      <c r="AJ831" s="27">
        <v>0.41519510680742056</v>
      </c>
      <c r="AK831" s="28" t="s">
        <v>3229</v>
      </c>
      <c r="AL831" s="29">
        <v>2</v>
      </c>
      <c r="AM831" s="29">
        <v>1</v>
      </c>
      <c r="AN831" s="29" t="s">
        <v>48</v>
      </c>
      <c r="AO831" s="47" t="s">
        <v>2582</v>
      </c>
      <c r="AP831" s="28">
        <v>0</v>
      </c>
      <c r="AQ831" s="26">
        <v>1.4999999999999999E-2</v>
      </c>
      <c r="AR831" s="26">
        <v>0</v>
      </c>
    </row>
    <row r="832" spans="1:44" x14ac:dyDescent="0.15">
      <c r="A832">
        <v>180</v>
      </c>
      <c r="B832" s="11">
        <v>519181</v>
      </c>
      <c r="C832" s="32"/>
      <c r="D832" s="32">
        <v>1.16184996277359E-3</v>
      </c>
      <c r="E832" s="32">
        <v>100</v>
      </c>
      <c r="F832" s="32">
        <v>0.50004810975412595</v>
      </c>
      <c r="G832" s="11"/>
      <c r="H832" s="11"/>
      <c r="I832" s="11"/>
      <c r="J832" s="18" t="s">
        <v>44</v>
      </c>
      <c r="K832" s="18" t="s">
        <v>45</v>
      </c>
      <c r="L832" s="58" t="s">
        <v>65</v>
      </c>
      <c r="M832" s="18">
        <f>[1]!f_prt_stocktonav(B832,"2017/03/31")</f>
        <v>92.103660583496094</v>
      </c>
      <c r="N832" s="20" t="str">
        <f>[1]!f_info_fundmanager(B832)</f>
        <v>莫海波</v>
      </c>
      <c r="O832" s="21">
        <v>1.904109589041096</v>
      </c>
      <c r="P832" s="34" t="s">
        <v>3230</v>
      </c>
      <c r="Q832" s="34" t="s">
        <v>3231</v>
      </c>
      <c r="R832" s="34" t="s">
        <v>718</v>
      </c>
      <c r="S832" s="34">
        <v>20061130</v>
      </c>
      <c r="T832" s="45">
        <v>15.5855271184</v>
      </c>
      <c r="U832" s="46">
        <v>14.8622457772</v>
      </c>
      <c r="V832" s="34" t="s">
        <v>231</v>
      </c>
      <c r="W832" s="34" t="s">
        <v>44</v>
      </c>
      <c r="X832" s="34" t="s">
        <v>45</v>
      </c>
      <c r="Y832" s="34" t="s">
        <v>65</v>
      </c>
      <c r="Z832" s="34"/>
      <c r="AA832" s="34"/>
      <c r="AB832" s="22">
        <v>0.93987274169921875</v>
      </c>
      <c r="AC832" s="23" t="s">
        <v>719</v>
      </c>
      <c r="AD832" s="24">
        <v>1.6739726027397259</v>
      </c>
      <c r="AE832" s="25">
        <v>6.7404137756440274E-2</v>
      </c>
      <c r="AF832" s="26">
        <v>0.16878221342864319</v>
      </c>
      <c r="AG832" s="26">
        <v>0.14025855398054965</v>
      </c>
      <c r="AH832" s="27">
        <v>0.32536428562541969</v>
      </c>
      <c r="AI832" s="27">
        <v>0.66504248608771033</v>
      </c>
      <c r="AJ832" s="27">
        <v>0.60255284215684968</v>
      </c>
      <c r="AK832" s="28" t="s">
        <v>3232</v>
      </c>
      <c r="AL832" s="29">
        <v>5</v>
      </c>
      <c r="AM832" s="29">
        <v>4</v>
      </c>
      <c r="AN832" s="29" t="s">
        <v>48</v>
      </c>
      <c r="AO832" s="47" t="s">
        <v>3233</v>
      </c>
      <c r="AP832" s="28" t="s">
        <v>3234</v>
      </c>
      <c r="AQ832" s="26">
        <v>1.4999999999999999E-2</v>
      </c>
      <c r="AR832" s="26">
        <v>0</v>
      </c>
    </row>
    <row r="833" spans="1:44" x14ac:dyDescent="0.15">
      <c r="A833">
        <v>823</v>
      </c>
      <c r="B833" s="11">
        <v>550002</v>
      </c>
      <c r="C833" s="32"/>
      <c r="D833" s="32">
        <v>-9.1615328084149698E-6</v>
      </c>
      <c r="E833" s="32">
        <v>96</v>
      </c>
      <c r="F833" s="32">
        <v>0.99376569295420103</v>
      </c>
      <c r="G833" s="11"/>
      <c r="H833" s="11"/>
      <c r="I833" s="11"/>
      <c r="J833" s="18" t="s">
        <v>44</v>
      </c>
      <c r="K833" s="18" t="s">
        <v>45</v>
      </c>
      <c r="L833" s="58" t="s">
        <v>274</v>
      </c>
      <c r="M833" s="18">
        <f>[1]!f_prt_stocktonav(B833,"2017/03/31")</f>
        <v>75.832595825195313</v>
      </c>
      <c r="N833" s="20" t="str">
        <f>[1]!f_info_fundmanager(B833)</f>
        <v>王睿</v>
      </c>
      <c r="O833" s="21">
        <v>1.8410958904109589</v>
      </c>
      <c r="P833" s="34" t="s">
        <v>3235</v>
      </c>
      <c r="Q833" s="34" t="s">
        <v>3236</v>
      </c>
      <c r="R833" s="34" t="s">
        <v>456</v>
      </c>
      <c r="S833" s="34">
        <v>20061127</v>
      </c>
      <c r="T833" s="45">
        <v>12.665174007299999</v>
      </c>
      <c r="U833" s="46">
        <v>15.913940071000001</v>
      </c>
      <c r="V833" s="34" t="s">
        <v>231</v>
      </c>
      <c r="W833" s="34" t="s">
        <v>44</v>
      </c>
      <c r="X833" s="34" t="s">
        <v>45</v>
      </c>
      <c r="Y833" s="34" t="s">
        <v>274</v>
      </c>
      <c r="Z833" s="34"/>
      <c r="AA833" s="34"/>
      <c r="AB833" s="22">
        <v>0.81048583984375</v>
      </c>
      <c r="AC833" s="23" t="s">
        <v>3237</v>
      </c>
      <c r="AD833" s="24">
        <v>1.6109589041095891</v>
      </c>
      <c r="AE833" s="25">
        <v>0.13045731716210152</v>
      </c>
      <c r="AF833" s="26">
        <v>0.15428034288503101</v>
      </c>
      <c r="AG833" s="26">
        <v>0.14104771108533565</v>
      </c>
      <c r="AH833" s="27">
        <v>0.52506478669358181</v>
      </c>
      <c r="AI833" s="27">
        <v>0.54441830943098302</v>
      </c>
      <c r="AJ833" s="27">
        <v>0.55904562075852471</v>
      </c>
      <c r="AK833" s="28" t="s">
        <v>3238</v>
      </c>
      <c r="AL833" s="29">
        <v>3</v>
      </c>
      <c r="AM833" s="29">
        <v>4</v>
      </c>
      <c r="AN833" s="29" t="s">
        <v>48</v>
      </c>
      <c r="AO833" s="47" t="s">
        <v>310</v>
      </c>
      <c r="AP833" s="28">
        <v>0</v>
      </c>
      <c r="AQ833" s="26">
        <v>1.4999999999999999E-2</v>
      </c>
      <c r="AR833" s="26">
        <v>0</v>
      </c>
    </row>
    <row r="834" spans="1:44" x14ac:dyDescent="0.15">
      <c r="A834">
        <v>103</v>
      </c>
      <c r="B834" s="11">
        <v>21</v>
      </c>
      <c r="C834" s="32"/>
      <c r="D834" s="32">
        <v>-2.6077842244514099E-3</v>
      </c>
      <c r="E834" s="32">
        <v>203</v>
      </c>
      <c r="F834" s="32">
        <v>1.69484918955637E-3</v>
      </c>
      <c r="G834" s="11"/>
      <c r="H834" s="11"/>
      <c r="I834" s="11"/>
      <c r="J834" s="18" t="s">
        <v>44</v>
      </c>
      <c r="K834" s="18" t="s">
        <v>86</v>
      </c>
      <c r="L834" s="58" t="s">
        <v>65</v>
      </c>
      <c r="M834" s="18">
        <f>[1]!f_prt_stocktonav(B834,"2017/03/31")</f>
        <v>93.573143005371094</v>
      </c>
      <c r="N834" s="20" t="str">
        <f>[1]!f_info_fundmanager(B834)</f>
        <v>刘平,孙轶佳,郑晓辉</v>
      </c>
      <c r="O834" s="21">
        <v>3.893150684931507</v>
      </c>
      <c r="P834" s="34" t="s">
        <v>3239</v>
      </c>
      <c r="Q834" s="34" t="s">
        <v>3240</v>
      </c>
      <c r="R834" s="34" t="s">
        <v>143</v>
      </c>
      <c r="S834" s="34">
        <v>20061124</v>
      </c>
      <c r="T834" s="45">
        <v>64.634743495799995</v>
      </c>
      <c r="U834" s="46">
        <v>68.525631286899994</v>
      </c>
      <c r="V834" s="34" t="s">
        <v>201</v>
      </c>
      <c r="W834" s="34" t="s">
        <v>44</v>
      </c>
      <c r="X834" s="34" t="s">
        <v>45</v>
      </c>
      <c r="Y834" s="34" t="s">
        <v>65</v>
      </c>
      <c r="Z834" s="34"/>
      <c r="AA834" s="34"/>
      <c r="AB834" s="22">
        <v>0.88352470397949223</v>
      </c>
      <c r="AC834" s="23" t="s">
        <v>3241</v>
      </c>
      <c r="AD834" s="24">
        <v>3.6630136986301371</v>
      </c>
      <c r="AE834" s="25">
        <v>0.123566879430554</v>
      </c>
      <c r="AF834" s="26">
        <v>8.2731029526745825E-2</v>
      </c>
      <c r="AG834" s="26">
        <v>7.7136766240347709E-2</v>
      </c>
      <c r="AH834" s="27">
        <v>0.51575454690037814</v>
      </c>
      <c r="AI834" s="27">
        <v>0.36737501756953694</v>
      </c>
      <c r="AJ834" s="27">
        <v>0.36151935513121203</v>
      </c>
      <c r="AK834" s="28" t="s">
        <v>3242</v>
      </c>
      <c r="AL834" s="29">
        <v>2</v>
      </c>
      <c r="AM834" s="29">
        <v>3</v>
      </c>
      <c r="AN834" s="29" t="s">
        <v>48</v>
      </c>
      <c r="AO834" s="47" t="s">
        <v>592</v>
      </c>
      <c r="AP834" s="28">
        <v>0</v>
      </c>
      <c r="AQ834" s="26">
        <v>1.4999999999999999E-2</v>
      </c>
      <c r="AR834" s="26">
        <v>0</v>
      </c>
    </row>
    <row r="835" spans="1:44" x14ac:dyDescent="0.15">
      <c r="A835">
        <v>715</v>
      </c>
      <c r="B835" s="11">
        <v>320005</v>
      </c>
      <c r="C835" s="32"/>
      <c r="D835" s="32">
        <v>-1.82050432853025E-3</v>
      </c>
      <c r="E835" s="32">
        <v>315</v>
      </c>
      <c r="F835" s="32">
        <v>9.2106666104667498E-4</v>
      </c>
      <c r="G835" s="11"/>
      <c r="H835" s="11"/>
      <c r="I835" s="11"/>
      <c r="J835" s="18" t="s">
        <v>44</v>
      </c>
      <c r="K835" s="18" t="s">
        <v>86</v>
      </c>
      <c r="L835" s="58" t="s">
        <v>65</v>
      </c>
      <c r="M835" s="18">
        <f>[1]!f_prt_stocktonav(B835,"2017/03/31")</f>
        <v>79.597297668457031</v>
      </c>
      <c r="N835" s="20" t="str">
        <f>[1]!f_info_fundmanager(B835)</f>
        <v>刘红辉</v>
      </c>
      <c r="O835" s="21">
        <v>6.043835616438356</v>
      </c>
      <c r="P835" s="34" t="s">
        <v>3243</v>
      </c>
      <c r="Q835" s="34" t="s">
        <v>3244</v>
      </c>
      <c r="R835" s="34" t="s">
        <v>955</v>
      </c>
      <c r="S835" s="34">
        <v>20061121</v>
      </c>
      <c r="T835" s="45">
        <v>23.419319340800001</v>
      </c>
      <c r="U835" s="46">
        <v>25.443466912600002</v>
      </c>
      <c r="V835" s="34" t="s">
        <v>231</v>
      </c>
      <c r="W835" s="34" t="s">
        <v>44</v>
      </c>
      <c r="X835" s="34" t="s">
        <v>45</v>
      </c>
      <c r="Y835" s="34" t="s">
        <v>65</v>
      </c>
      <c r="Z835" s="34"/>
      <c r="AA835" s="34"/>
      <c r="AB835" s="22">
        <v>0.83743072509765626</v>
      </c>
      <c r="AC835" s="23" t="s">
        <v>3245</v>
      </c>
      <c r="AD835" s="24">
        <v>5.8136986301369866</v>
      </c>
      <c r="AE835" s="25">
        <v>8.812191379009772E-2</v>
      </c>
      <c r="AF835" s="26">
        <v>0.16553736456189938</v>
      </c>
      <c r="AG835" s="26">
        <v>9.1008880955972593E-2</v>
      </c>
      <c r="AH835" s="27">
        <v>0.40908251952043861</v>
      </c>
      <c r="AI835" s="27">
        <v>0.73435942157925183</v>
      </c>
      <c r="AJ835" s="27">
        <v>0.45576999464961682</v>
      </c>
      <c r="AK835" s="28" t="s">
        <v>3201</v>
      </c>
      <c r="AL835" s="29">
        <v>3</v>
      </c>
      <c r="AM835" s="29">
        <v>3</v>
      </c>
      <c r="AN835" s="29" t="s">
        <v>48</v>
      </c>
      <c r="AO835" s="47" t="s">
        <v>2920</v>
      </c>
      <c r="AP835" s="28">
        <v>0</v>
      </c>
      <c r="AQ835" s="26">
        <v>1.4999999999999999E-2</v>
      </c>
      <c r="AR835" s="26">
        <v>0</v>
      </c>
    </row>
    <row r="836" spans="1:44" x14ac:dyDescent="0.15">
      <c r="A836">
        <v>872</v>
      </c>
      <c r="B836" s="11">
        <v>560002</v>
      </c>
      <c r="C836" s="32"/>
      <c r="D836" s="32">
        <v>-2.8511789903199402E-4</v>
      </c>
      <c r="E836" s="32">
        <v>92</v>
      </c>
      <c r="F836" s="32">
        <v>0.86806580266661104</v>
      </c>
      <c r="G836" s="11"/>
      <c r="H836" s="11"/>
      <c r="I836" s="11"/>
      <c r="J836" s="18" t="s">
        <v>44</v>
      </c>
      <c r="K836" s="18" t="s">
        <v>45</v>
      </c>
      <c r="L836" s="58" t="s">
        <v>274</v>
      </c>
      <c r="M836" s="18">
        <f>[1]!f_prt_stocktonav(B836,"2017/03/31")</f>
        <v>73.740928649902344</v>
      </c>
      <c r="N836" s="20" t="str">
        <f>[1]!f_info_fundmanager(B836)</f>
        <v>吕伟</v>
      </c>
      <c r="O836" s="21">
        <v>1.7671232876712328</v>
      </c>
      <c r="P836" s="34" t="s">
        <v>3246</v>
      </c>
      <c r="Q836" s="34" t="s">
        <v>3247</v>
      </c>
      <c r="R836" s="34" t="s">
        <v>2263</v>
      </c>
      <c r="S836" s="34">
        <v>20061121</v>
      </c>
      <c r="T836" s="45">
        <v>4.3982014388000001</v>
      </c>
      <c r="U836" s="46">
        <v>4.8801556092</v>
      </c>
      <c r="V836" s="34" t="s">
        <v>201</v>
      </c>
      <c r="W836" s="34" t="s">
        <v>44</v>
      </c>
      <c r="X836" s="34" t="s">
        <v>45</v>
      </c>
      <c r="Y836" s="34" t="s">
        <v>274</v>
      </c>
      <c r="Z836" s="34"/>
      <c r="AA836" s="34"/>
      <c r="AB836" s="22">
        <v>0.79785690307617185</v>
      </c>
      <c r="AC836" s="23" t="s">
        <v>2264</v>
      </c>
      <c r="AD836" s="24">
        <v>1.536986301369863</v>
      </c>
      <c r="AE836" s="25">
        <v>1.5637310808181093E-2</v>
      </c>
      <c r="AF836" s="26">
        <v>-3.7926060963575647E-3</v>
      </c>
      <c r="AG836" s="26">
        <v>-1.6595097381686186E-2</v>
      </c>
      <c r="AH836" s="27">
        <v>0.13796421367409104</v>
      </c>
      <c r="AI836" s="27">
        <v>9.6990615532115673E-2</v>
      </c>
      <c r="AJ836" s="27">
        <v>1.730610124895899E-2</v>
      </c>
      <c r="AK836" s="28" t="s">
        <v>1900</v>
      </c>
      <c r="AL836" s="29">
        <v>1</v>
      </c>
      <c r="AM836" s="29">
        <v>1</v>
      </c>
      <c r="AN836" s="29" t="s">
        <v>48</v>
      </c>
      <c r="AO836" s="47" t="s">
        <v>715</v>
      </c>
      <c r="AP836" s="28">
        <v>0</v>
      </c>
      <c r="AQ836" s="26">
        <v>1.4999999999999999E-2</v>
      </c>
      <c r="AR836" s="26">
        <v>0</v>
      </c>
    </row>
    <row r="837" spans="1:44" x14ac:dyDescent="0.15">
      <c r="A837">
        <v>503</v>
      </c>
      <c r="B837" s="11">
        <v>202003</v>
      </c>
      <c r="C837" s="32"/>
      <c r="D837" s="32">
        <v>-2.8118274209250799E-4</v>
      </c>
      <c r="E837" s="32">
        <v>319</v>
      </c>
      <c r="F837" s="32">
        <v>0.72453214496674501</v>
      </c>
      <c r="G837" s="11"/>
      <c r="H837" s="11"/>
      <c r="I837" s="11"/>
      <c r="J837" s="18" t="s">
        <v>44</v>
      </c>
      <c r="K837" s="19" t="s">
        <v>45</v>
      </c>
      <c r="L837" s="58" t="s">
        <v>65</v>
      </c>
      <c r="M837" s="18">
        <f>[1]!f_prt_stocktonav(B837,"2017/03/31")</f>
        <v>85.217887878417969</v>
      </c>
      <c r="N837" s="20" t="str">
        <f>[1]!f_info_fundmanager(B837)</f>
        <v>史博,骆帅</v>
      </c>
      <c r="O837" s="21">
        <v>6.1205479452054794</v>
      </c>
      <c r="P837" s="32" t="s">
        <v>3248</v>
      </c>
      <c r="Q837" s="13" t="s">
        <v>3249</v>
      </c>
      <c r="R837" s="13" t="s">
        <v>284</v>
      </c>
      <c r="S837" s="13">
        <v>20061116</v>
      </c>
      <c r="T837" s="14">
        <v>40.068398647099997</v>
      </c>
      <c r="U837" s="15" t="s">
        <v>39</v>
      </c>
      <c r="V837" s="16" t="s">
        <v>40</v>
      </c>
      <c r="W837" s="17" t="s">
        <v>44</v>
      </c>
      <c r="X837" s="17" t="s">
        <v>45</v>
      </c>
      <c r="Y837" s="17" t="s">
        <v>65</v>
      </c>
      <c r="Z837" s="13"/>
      <c r="AA837" s="13"/>
      <c r="AB837" s="22">
        <v>0.77768974304199223</v>
      </c>
      <c r="AC837" s="23" t="s">
        <v>3250</v>
      </c>
      <c r="AD837" s="24">
        <v>5.8904109589041092</v>
      </c>
      <c r="AE837" s="25">
        <v>0.13315372543508253</v>
      </c>
      <c r="AF837" s="26">
        <v>0.14674875583992741</v>
      </c>
      <c r="AG837" s="26">
        <v>0.13178789795828671</v>
      </c>
      <c r="AH837" s="27">
        <v>0.53482521820230189</v>
      </c>
      <c r="AI837" s="27">
        <v>0.52960640016029503</v>
      </c>
      <c r="AJ837" s="27">
        <v>0.53310358126044144</v>
      </c>
      <c r="AK837" s="28" t="s">
        <v>726</v>
      </c>
      <c r="AL837" s="29">
        <v>3</v>
      </c>
      <c r="AM837" s="29">
        <v>3</v>
      </c>
      <c r="AN837" s="29" t="s">
        <v>48</v>
      </c>
      <c r="AO837" s="23" t="s">
        <v>3251</v>
      </c>
      <c r="AP837" s="30">
        <v>0</v>
      </c>
      <c r="AQ837" s="31">
        <v>1.4999999999999999E-2</v>
      </c>
      <c r="AR837" s="31">
        <v>0</v>
      </c>
    </row>
    <row r="838" spans="1:44" x14ac:dyDescent="0.15">
      <c r="A838">
        <v>76</v>
      </c>
      <c r="B838" s="11">
        <v>180012</v>
      </c>
      <c r="C838" s="32"/>
      <c r="D838" s="32">
        <v>5.6814492306716201E-4</v>
      </c>
      <c r="E838" s="32">
        <v>179</v>
      </c>
      <c r="F838" s="32">
        <v>0.60140745394487105</v>
      </c>
      <c r="G838" s="11"/>
      <c r="H838" s="11"/>
      <c r="I838" s="11"/>
      <c r="J838" s="18" t="s">
        <v>44</v>
      </c>
      <c r="K838" s="18" t="s">
        <v>87</v>
      </c>
      <c r="L838" s="58" t="s">
        <v>65</v>
      </c>
      <c r="M838" s="18">
        <f>[1]!f_prt_stocktonav(B838,"2017/03/31")</f>
        <v>93.977043151855469</v>
      </c>
      <c r="N838" s="20" t="str">
        <f>[1]!f_info_fundmanager(B838)</f>
        <v>周可彦</v>
      </c>
      <c r="O838" s="21">
        <v>3.441095890410959</v>
      </c>
      <c r="P838" s="34" t="s">
        <v>3252</v>
      </c>
      <c r="Q838" s="34" t="s">
        <v>3253</v>
      </c>
      <c r="R838" s="34" t="s">
        <v>57</v>
      </c>
      <c r="S838" s="34">
        <v>20061116</v>
      </c>
      <c r="T838" s="45">
        <v>32.816804014600002</v>
      </c>
      <c r="U838" s="46">
        <v>31.7887132599</v>
      </c>
      <c r="V838" s="34" t="s">
        <v>201</v>
      </c>
      <c r="W838" s="34" t="s">
        <v>44</v>
      </c>
      <c r="X838" s="34" t="s">
        <v>87</v>
      </c>
      <c r="Y838" s="34" t="s">
        <v>65</v>
      </c>
      <c r="Z838" s="34" t="s">
        <v>3254</v>
      </c>
      <c r="AA838" s="34"/>
      <c r="AB838" s="22">
        <v>0.84400772094726562</v>
      </c>
      <c r="AC838" s="23" t="s">
        <v>303</v>
      </c>
      <c r="AD838" s="24">
        <v>3.2109589041095892</v>
      </c>
      <c r="AE838" s="25">
        <v>0.14074133913921028</v>
      </c>
      <c r="AF838" s="26">
        <v>0.20456778775819884</v>
      </c>
      <c r="AG838" s="26">
        <v>0.13824579509452439</v>
      </c>
      <c r="AH838" s="27">
        <v>0.59407544214879604</v>
      </c>
      <c r="AI838" s="27">
        <v>0.83728602692517484</v>
      </c>
      <c r="AJ838" s="27">
        <v>0.62942312065572026</v>
      </c>
      <c r="AK838" s="33" t="s">
        <v>110</v>
      </c>
      <c r="AL838" s="29">
        <v>3</v>
      </c>
      <c r="AM838" s="29">
        <v>3</v>
      </c>
      <c r="AN838" s="29" t="s">
        <v>48</v>
      </c>
      <c r="AO838" s="47" t="s">
        <v>3255</v>
      </c>
      <c r="AP838" s="28">
        <v>0</v>
      </c>
      <c r="AQ838" s="26">
        <v>1.4999999999999999E-2</v>
      </c>
      <c r="AR838" s="26">
        <v>0</v>
      </c>
    </row>
    <row r="839" spans="1:44" x14ac:dyDescent="0.15">
      <c r="A839">
        <v>762</v>
      </c>
      <c r="B839" s="11">
        <v>121005</v>
      </c>
      <c r="C839" s="32"/>
      <c r="D839" s="32">
        <v>-1.57628048659532E-3</v>
      </c>
      <c r="E839" s="32">
        <v>107</v>
      </c>
      <c r="F839" s="32">
        <v>0.27280210135533101</v>
      </c>
      <c r="G839" s="11"/>
      <c r="H839" s="11"/>
      <c r="I839" s="11"/>
      <c r="J839" s="18" t="s">
        <v>44</v>
      </c>
      <c r="K839" s="18" t="s">
        <v>45</v>
      </c>
      <c r="L839" s="58" t="s">
        <v>274</v>
      </c>
      <c r="M839" s="18">
        <f>[1]!f_prt_stocktonav(B839,"2017/03/31")</f>
        <v>77.805458068847656</v>
      </c>
      <c r="N839" s="20" t="str">
        <f>[1]!f_info_fundmanager(B839)</f>
        <v>董晗,孙文龙</v>
      </c>
      <c r="O839" s="21">
        <v>2.0493150684931507</v>
      </c>
      <c r="P839" s="34" t="s">
        <v>3256</v>
      </c>
      <c r="Q839" s="34" t="s">
        <v>3257</v>
      </c>
      <c r="R839" s="34" t="s">
        <v>452</v>
      </c>
      <c r="S839" s="34">
        <v>20061115</v>
      </c>
      <c r="T839" s="45">
        <v>11.0190183766</v>
      </c>
      <c r="U839" s="46">
        <v>11.2417600355</v>
      </c>
      <c r="V839" s="34" t="s">
        <v>201</v>
      </c>
      <c r="W839" s="34" t="s">
        <v>44</v>
      </c>
      <c r="X839" s="34" t="s">
        <v>45</v>
      </c>
      <c r="Y839" s="34" t="s">
        <v>274</v>
      </c>
      <c r="Z839" s="34"/>
      <c r="AA839" s="34"/>
      <c r="AB839" s="22">
        <v>0.81979774475097655</v>
      </c>
      <c r="AC839" s="23" t="s">
        <v>3258</v>
      </c>
      <c r="AD839" s="24">
        <v>1.8191780821917809</v>
      </c>
      <c r="AE839" s="25">
        <v>0.12871031062420268</v>
      </c>
      <c r="AF839" s="26">
        <v>0.13646229180000846</v>
      </c>
      <c r="AG839" s="26">
        <v>0.1017290288194781</v>
      </c>
      <c r="AH839" s="27">
        <v>0.5241873511968056</v>
      </c>
      <c r="AI839" s="27">
        <v>0.50581173040036953</v>
      </c>
      <c r="AJ839" s="27">
        <v>0.4464947477010679</v>
      </c>
      <c r="AK839" s="28" t="s">
        <v>167</v>
      </c>
      <c r="AL839" s="29">
        <v>2</v>
      </c>
      <c r="AM839" s="29">
        <v>3</v>
      </c>
      <c r="AN839" s="29" t="s">
        <v>48</v>
      </c>
      <c r="AO839" s="47" t="s">
        <v>3051</v>
      </c>
      <c r="AP839" s="28" t="s">
        <v>3259</v>
      </c>
      <c r="AQ839" s="26">
        <v>1.4999999999999999E-2</v>
      </c>
      <c r="AR839" s="26">
        <v>0</v>
      </c>
    </row>
    <row r="840" spans="1:44" x14ac:dyDescent="0.15">
      <c r="A840">
        <v>573</v>
      </c>
      <c r="B840" s="11">
        <v>100026</v>
      </c>
      <c r="C840" s="32"/>
      <c r="D840" s="32">
        <v>-1.5570677092192401E-4</v>
      </c>
      <c r="E840" s="32">
        <v>103</v>
      </c>
      <c r="F840" s="32">
        <v>0.93016815005209796</v>
      </c>
      <c r="G840" s="11"/>
      <c r="H840" s="11"/>
      <c r="I840" s="11"/>
      <c r="J840" s="18" t="s">
        <v>44</v>
      </c>
      <c r="K840" s="18" t="s">
        <v>45</v>
      </c>
      <c r="L840" s="58" t="s">
        <v>65</v>
      </c>
      <c r="M840" s="18">
        <f>[1]!f_prt_stocktonav(B840,"2017/03/31")</f>
        <v>83.4998779296875</v>
      </c>
      <c r="N840" s="20" t="str">
        <f>[1]!f_info_fundmanager(B840)</f>
        <v>汪鸣,杨栋,张啸伟</v>
      </c>
      <c r="O840" s="21">
        <v>1.9616438356164383</v>
      </c>
      <c r="P840" s="34" t="s">
        <v>3260</v>
      </c>
      <c r="Q840" s="34" t="s">
        <v>3261</v>
      </c>
      <c r="R840" s="34" t="s">
        <v>396</v>
      </c>
      <c r="S840" s="34">
        <v>20061115</v>
      </c>
      <c r="T840" s="45">
        <v>25.005054079099999</v>
      </c>
      <c r="U840" s="46">
        <v>31.264580700500002</v>
      </c>
      <c r="V840" s="34" t="s">
        <v>201</v>
      </c>
      <c r="W840" s="34" t="s">
        <v>44</v>
      </c>
      <c r="X840" s="34" t="s">
        <v>45</v>
      </c>
      <c r="Y840" s="34" t="s">
        <v>274</v>
      </c>
      <c r="Z840" s="34"/>
      <c r="AA840" s="34"/>
      <c r="AB840" s="22">
        <v>0.85395637512207034</v>
      </c>
      <c r="AC840" s="23" t="s">
        <v>3262</v>
      </c>
      <c r="AD840" s="24">
        <v>1.7315068493150685</v>
      </c>
      <c r="AE840" s="25">
        <v>0.17419407252494978</v>
      </c>
      <c r="AF840" s="26">
        <v>0.24711851126072748</v>
      </c>
      <c r="AG840" s="26">
        <v>0.2231663942438844</v>
      </c>
      <c r="AH840" s="27">
        <v>0.66316988790922737</v>
      </c>
      <c r="AI840" s="27">
        <v>0.78534908568077366</v>
      </c>
      <c r="AJ840" s="27">
        <v>0.77431633301807734</v>
      </c>
      <c r="AK840" s="28" t="s">
        <v>3136</v>
      </c>
      <c r="AL840" s="29">
        <v>5</v>
      </c>
      <c r="AM840" s="29">
        <v>3</v>
      </c>
      <c r="AN840" s="29" t="s">
        <v>48</v>
      </c>
      <c r="AO840" s="47" t="s">
        <v>1854</v>
      </c>
      <c r="AP840" s="28" t="s">
        <v>608</v>
      </c>
      <c r="AQ840" s="26">
        <v>1.4999999999999999E-2</v>
      </c>
      <c r="AR840" s="26">
        <v>0</v>
      </c>
    </row>
    <row r="841" spans="1:44" x14ac:dyDescent="0.15">
      <c r="A841">
        <v>961</v>
      </c>
      <c r="B841" s="11">
        <v>161609</v>
      </c>
      <c r="C841" s="32"/>
      <c r="D841" s="32">
        <v>-2.5084034322588301E-3</v>
      </c>
      <c r="E841" s="32">
        <v>91</v>
      </c>
      <c r="F841" s="32">
        <v>0.101845861392415</v>
      </c>
      <c r="G841" s="11"/>
      <c r="H841" s="11"/>
      <c r="I841" s="11"/>
      <c r="J841" s="18" t="s">
        <v>44</v>
      </c>
      <c r="K841" s="18" t="s">
        <v>45</v>
      </c>
      <c r="L841" s="58" t="s">
        <v>274</v>
      </c>
      <c r="M841" s="18">
        <f>[1]!f_prt_stocktonav(B841,"2017/03/31")</f>
        <v>70.110733032226562</v>
      </c>
      <c r="N841" s="20" t="str">
        <f>[1]!f_info_fundmanager(B841)</f>
        <v>朱丹</v>
      </c>
      <c r="O841" s="21">
        <v>1.7424657534246575</v>
      </c>
      <c r="P841" s="34" t="s">
        <v>3263</v>
      </c>
      <c r="Q841" s="34" t="s">
        <v>3264</v>
      </c>
      <c r="R841" s="34" t="s">
        <v>230</v>
      </c>
      <c r="S841" s="34">
        <v>20061115</v>
      </c>
      <c r="T841" s="45">
        <v>11.359825044700001</v>
      </c>
      <c r="U841" s="46">
        <v>14.033065581000001</v>
      </c>
      <c r="V841" s="34" t="s">
        <v>231</v>
      </c>
      <c r="W841" s="34" t="s">
        <v>44</v>
      </c>
      <c r="X841" s="34" t="s">
        <v>45</v>
      </c>
      <c r="Y841" s="34" t="s">
        <v>274</v>
      </c>
      <c r="Z841" s="34"/>
      <c r="AA841" s="34"/>
      <c r="AB841" s="22">
        <v>0.86755279541015629</v>
      </c>
      <c r="AC841" s="23" t="s">
        <v>3265</v>
      </c>
      <c r="AD841" s="24">
        <v>1.5123287671232877</v>
      </c>
      <c r="AE841" s="25">
        <v>9.2196682128436347E-2</v>
      </c>
      <c r="AF841" s="26">
        <v>0.14582691261866843</v>
      </c>
      <c r="AG841" s="26">
        <v>0.13378515088812004</v>
      </c>
      <c r="AH841" s="27">
        <v>0.39578504089549599</v>
      </c>
      <c r="AI841" s="27">
        <v>0.52182345026003119</v>
      </c>
      <c r="AJ841" s="27">
        <v>0.51246157503951983</v>
      </c>
      <c r="AK841" s="28" t="s">
        <v>167</v>
      </c>
      <c r="AL841" s="29">
        <v>2</v>
      </c>
      <c r="AM841" s="29">
        <v>2</v>
      </c>
      <c r="AN841" s="29" t="s">
        <v>48</v>
      </c>
      <c r="AO841" s="47" t="s">
        <v>3266</v>
      </c>
      <c r="AP841" s="28" t="s">
        <v>235</v>
      </c>
      <c r="AQ841" s="26">
        <v>1.4999999999999999E-2</v>
      </c>
      <c r="AR841" s="26">
        <v>0</v>
      </c>
    </row>
    <row r="842" spans="1:44" x14ac:dyDescent="0.15">
      <c r="A842">
        <v>724</v>
      </c>
      <c r="B842" s="11">
        <v>519993</v>
      </c>
      <c r="C842" s="32"/>
      <c r="D842" s="32">
        <v>4.8254333312573001E-4</v>
      </c>
      <c r="E842" s="32">
        <v>107</v>
      </c>
      <c r="F842" s="32">
        <v>0.71429237506111698</v>
      </c>
      <c r="G842" s="11"/>
      <c r="H842" s="11"/>
      <c r="I842" s="11"/>
      <c r="J842" s="18" t="s">
        <v>44</v>
      </c>
      <c r="K842" s="18" t="s">
        <v>45</v>
      </c>
      <c r="L842" s="58" t="s">
        <v>274</v>
      </c>
      <c r="M842" s="18">
        <f>[1]!f_prt_stocktonav(B842,"2017/03/31")</f>
        <v>79.35797119140625</v>
      </c>
      <c r="N842" s="20" t="str">
        <f>[1]!f_info_fundmanager(B842)</f>
        <v>叶松</v>
      </c>
      <c r="O842" s="21">
        <v>2.0520547945205481</v>
      </c>
      <c r="P842" s="34" t="s">
        <v>3267</v>
      </c>
      <c r="Q842" s="34" t="s">
        <v>3268</v>
      </c>
      <c r="R842" s="34" t="s">
        <v>206</v>
      </c>
      <c r="S842" s="34">
        <v>20061109</v>
      </c>
      <c r="T842" s="45">
        <v>14.178035685199999</v>
      </c>
      <c r="U842" s="46">
        <v>13.6595098392</v>
      </c>
      <c r="V842" s="34" t="s">
        <v>201</v>
      </c>
      <c r="W842" s="34" t="s">
        <v>44</v>
      </c>
      <c r="X842" s="34" t="s">
        <v>45</v>
      </c>
      <c r="Y842" s="34" t="s">
        <v>274</v>
      </c>
      <c r="Z842" s="34"/>
      <c r="AA842" s="34"/>
      <c r="AB842" s="22">
        <v>0.78088142395019533</v>
      </c>
      <c r="AC842" s="23" t="s">
        <v>207</v>
      </c>
      <c r="AD842" s="24">
        <v>1.821917808219178</v>
      </c>
      <c r="AE842" s="25">
        <v>0.13153019915555597</v>
      </c>
      <c r="AF842" s="26">
        <v>0.26685012151312582</v>
      </c>
      <c r="AG842" s="26">
        <v>0.19695418458806557</v>
      </c>
      <c r="AH842" s="27">
        <v>0.53070393567978047</v>
      </c>
      <c r="AI842" s="27">
        <v>0.82993661278091868</v>
      </c>
      <c r="AJ842" s="27">
        <v>0.7300425798008412</v>
      </c>
      <c r="AK842" s="28" t="s">
        <v>882</v>
      </c>
      <c r="AL842" s="29">
        <v>5</v>
      </c>
      <c r="AM842" s="29">
        <v>4</v>
      </c>
      <c r="AN842" s="29" t="s">
        <v>48</v>
      </c>
      <c r="AO842" s="47" t="s">
        <v>209</v>
      </c>
      <c r="AP842" s="28" t="s">
        <v>608</v>
      </c>
      <c r="AQ842" s="26">
        <v>1.4999999999999999E-2</v>
      </c>
      <c r="AR842" s="26">
        <v>0</v>
      </c>
    </row>
    <row r="843" spans="1:44" x14ac:dyDescent="0.15">
      <c r="A843">
        <v>828</v>
      </c>
      <c r="B843" s="11">
        <v>240009</v>
      </c>
      <c r="C843" s="32"/>
      <c r="D843" s="32">
        <v>-2.1088655494750398E-3</v>
      </c>
      <c r="E843" s="32">
        <v>99</v>
      </c>
      <c r="F843" s="32">
        <v>0.12766197439702601</v>
      </c>
      <c r="G843" s="11"/>
      <c r="H843" s="11"/>
      <c r="I843" s="11"/>
      <c r="J843" s="18" t="s">
        <v>44</v>
      </c>
      <c r="K843" s="18" t="s">
        <v>45</v>
      </c>
      <c r="L843" s="58" t="s">
        <v>274</v>
      </c>
      <c r="M843" s="18">
        <f>[1]!f_prt_stocktonav(B843,"2017/03/31")</f>
        <v>75.759246826171875</v>
      </c>
      <c r="N843" s="20" t="str">
        <f>[1]!f_info_fundmanager(B843)</f>
        <v>季鹏</v>
      </c>
      <c r="O843" s="21">
        <v>1.9013698630136986</v>
      </c>
      <c r="P843" s="34" t="s">
        <v>3269</v>
      </c>
      <c r="Q843" s="34" t="s">
        <v>3270</v>
      </c>
      <c r="R843" s="34" t="s">
        <v>737</v>
      </c>
      <c r="S843" s="34">
        <v>20061107</v>
      </c>
      <c r="T843" s="45">
        <v>12.998402734600001</v>
      </c>
      <c r="U843" s="46">
        <v>15.1416759547</v>
      </c>
      <c r="V843" s="34" t="s">
        <v>231</v>
      </c>
      <c r="W843" s="34" t="s">
        <v>44</v>
      </c>
      <c r="X843" s="34" t="s">
        <v>45</v>
      </c>
      <c r="Y843" s="34" t="s">
        <v>274</v>
      </c>
      <c r="Z843" s="34"/>
      <c r="AA843" s="34"/>
      <c r="AB843" s="22">
        <v>0.71281295776367193</v>
      </c>
      <c r="AC843" s="23" t="s">
        <v>3271</v>
      </c>
      <c r="AD843" s="24">
        <v>1.6712328767123288</v>
      </c>
      <c r="AE843" s="25">
        <v>0.13131535736162747</v>
      </c>
      <c r="AF843" s="26">
        <v>0.17020978795039318</v>
      </c>
      <c r="AG843" s="26">
        <v>0.18790784297893182</v>
      </c>
      <c r="AH843" s="27">
        <v>0.52229885820585975</v>
      </c>
      <c r="AI843" s="27">
        <v>0.57013770326653179</v>
      </c>
      <c r="AJ843" s="27">
        <v>0.68483331936729952</v>
      </c>
      <c r="AK843" s="28" t="s">
        <v>3272</v>
      </c>
      <c r="AL843" s="29">
        <v>5</v>
      </c>
      <c r="AM843" s="29">
        <v>3</v>
      </c>
      <c r="AN843" s="29" t="s">
        <v>48</v>
      </c>
      <c r="AO843" s="47" t="s">
        <v>739</v>
      </c>
      <c r="AP843" s="28">
        <v>0</v>
      </c>
      <c r="AQ843" s="26">
        <v>1.4999999999999999E-2</v>
      </c>
      <c r="AR843" s="26">
        <v>0</v>
      </c>
    </row>
    <row r="844" spans="1:44" x14ac:dyDescent="0.15">
      <c r="A844">
        <v>651</v>
      </c>
      <c r="B844" s="11">
        <v>519692</v>
      </c>
      <c r="C844" s="32"/>
      <c r="D844" s="32">
        <v>-3.8136090883791598E-3</v>
      </c>
      <c r="E844" s="32">
        <v>106</v>
      </c>
      <c r="F844" s="32">
        <v>4.8626681672390799E-3</v>
      </c>
      <c r="G844" s="11"/>
      <c r="H844" s="11"/>
      <c r="I844" s="11"/>
      <c r="J844" s="18" t="s">
        <v>44</v>
      </c>
      <c r="K844" s="18" t="s">
        <v>45</v>
      </c>
      <c r="L844" s="58" t="s">
        <v>274</v>
      </c>
      <c r="M844" s="18">
        <f>[1]!f_prt_stocktonav(B844,"2017/03/31")</f>
        <v>81.371170043945313</v>
      </c>
      <c r="N844" s="20" t="str">
        <f>[1]!f_info_fundmanager(B844)</f>
        <v>王少成</v>
      </c>
      <c r="O844" s="21">
        <v>2.021917808219178</v>
      </c>
      <c r="P844" s="34" t="s">
        <v>3273</v>
      </c>
      <c r="Q844" s="34" t="s">
        <v>3274</v>
      </c>
      <c r="R844" s="34" t="s">
        <v>138</v>
      </c>
      <c r="S844" s="34">
        <v>20061023</v>
      </c>
      <c r="T844" s="45">
        <v>37.635545801900001</v>
      </c>
      <c r="U844" s="46">
        <v>36.304108181700002</v>
      </c>
      <c r="V844" s="34" t="s">
        <v>231</v>
      </c>
      <c r="W844" s="34" t="s">
        <v>44</v>
      </c>
      <c r="X844" s="34" t="s">
        <v>45</v>
      </c>
      <c r="Y844" s="34" t="s">
        <v>274</v>
      </c>
      <c r="Z844" s="34"/>
      <c r="AA844" s="34"/>
      <c r="AB844" s="22">
        <v>0.83243125915527338</v>
      </c>
      <c r="AC844" s="23" t="s">
        <v>2128</v>
      </c>
      <c r="AD844" s="24">
        <v>1.7917808219178082</v>
      </c>
      <c r="AE844" s="25">
        <v>0.18307892684360971</v>
      </c>
      <c r="AF844" s="26">
        <v>0.1629546434818403</v>
      </c>
      <c r="AG844" s="26">
        <v>0.17319049894953742</v>
      </c>
      <c r="AH844" s="27">
        <v>0.70544990856881806</v>
      </c>
      <c r="AI844" s="27">
        <v>0.5746919333822037</v>
      </c>
      <c r="AJ844" s="27">
        <v>0.66865399279599269</v>
      </c>
      <c r="AK844" s="28" t="s">
        <v>3275</v>
      </c>
      <c r="AL844" s="29">
        <v>3</v>
      </c>
      <c r="AM844" s="29">
        <v>2</v>
      </c>
      <c r="AN844" s="29" t="s">
        <v>48</v>
      </c>
      <c r="AO844" s="47" t="s">
        <v>3276</v>
      </c>
      <c r="AP844" s="28" t="s">
        <v>608</v>
      </c>
      <c r="AQ844" s="26">
        <v>1.4999999999999999E-2</v>
      </c>
      <c r="AR844" s="26">
        <v>0</v>
      </c>
    </row>
    <row r="845" spans="1:44" x14ac:dyDescent="0.15">
      <c r="A845">
        <v>678</v>
      </c>
      <c r="B845" s="11">
        <v>163804</v>
      </c>
      <c r="C845" s="32"/>
      <c r="D845" s="32">
        <v>-1.0382883486631E-3</v>
      </c>
      <c r="E845" s="32">
        <v>457</v>
      </c>
      <c r="F845" s="32">
        <v>0.12889478865197701</v>
      </c>
      <c r="G845" s="11"/>
      <c r="H845" s="11"/>
      <c r="I845" s="11"/>
      <c r="J845" s="18" t="s">
        <v>44</v>
      </c>
      <c r="K845" s="18" t="s">
        <v>45</v>
      </c>
      <c r="L845" s="58" t="s">
        <v>274</v>
      </c>
      <c r="M845" s="18">
        <f>[1]!f_prt_stocktonav(B845,"2017/03/31")</f>
        <v>80.667587280273438</v>
      </c>
      <c r="N845" s="20" t="str">
        <f>[1]!f_info_fundmanager(B845)</f>
        <v>陈军</v>
      </c>
      <c r="O845" s="21">
        <v>10.476712328767123</v>
      </c>
      <c r="P845" s="34" t="s">
        <v>3277</v>
      </c>
      <c r="Q845" s="34" t="s">
        <v>3278</v>
      </c>
      <c r="R845" s="34" t="s">
        <v>71</v>
      </c>
      <c r="S845" s="34">
        <v>20061011</v>
      </c>
      <c r="T845" s="45">
        <v>16.330713767599999</v>
      </c>
      <c r="U845" s="46">
        <v>17.785427777300001</v>
      </c>
      <c r="V845" s="34" t="s">
        <v>201</v>
      </c>
      <c r="W845" s="34" t="s">
        <v>44</v>
      </c>
      <c r="X845" s="34" t="s">
        <v>45</v>
      </c>
      <c r="Y845" s="34" t="s">
        <v>274</v>
      </c>
      <c r="Z845" s="34"/>
      <c r="AA845" s="34"/>
      <c r="AB845" s="22">
        <v>0.72615730285644531</v>
      </c>
      <c r="AC845" s="23" t="s">
        <v>3279</v>
      </c>
      <c r="AD845" s="24">
        <v>10.246575342465754</v>
      </c>
      <c r="AE845" s="25">
        <v>0.14681726748677981</v>
      </c>
      <c r="AF845" s="26">
        <v>0.14614940383367814</v>
      </c>
      <c r="AG845" s="26">
        <v>0.17500513857967182</v>
      </c>
      <c r="AH845" s="27">
        <v>0.64170905304520154</v>
      </c>
      <c r="AI845" s="27">
        <v>0.55800953184451418</v>
      </c>
      <c r="AJ845" s="27">
        <v>0.7329632123626435</v>
      </c>
      <c r="AK845" s="28" t="s">
        <v>3280</v>
      </c>
      <c r="AL845" s="29">
        <v>5</v>
      </c>
      <c r="AM845" s="29">
        <v>3</v>
      </c>
      <c r="AN845" s="29" t="s">
        <v>48</v>
      </c>
      <c r="AO845" s="47" t="s">
        <v>3281</v>
      </c>
      <c r="AP845" s="28">
        <v>0</v>
      </c>
      <c r="AQ845" s="26">
        <v>1.4999999999999999E-2</v>
      </c>
      <c r="AR845" s="26">
        <v>0</v>
      </c>
    </row>
    <row r="846" spans="1:44" x14ac:dyDescent="0.15">
      <c r="A846">
        <v>950</v>
      </c>
      <c r="B846" s="11">
        <v>260109</v>
      </c>
      <c r="C846" s="32"/>
      <c r="D846" s="32">
        <v>-1.0727219999395301E-3</v>
      </c>
      <c r="E846" s="32">
        <v>344</v>
      </c>
      <c r="F846" s="32">
        <v>0.31767147587636102</v>
      </c>
      <c r="G846" s="11"/>
      <c r="H846" s="11"/>
      <c r="I846" s="11"/>
      <c r="J846" s="18" t="s">
        <v>44</v>
      </c>
      <c r="K846" s="18" t="s">
        <v>45</v>
      </c>
      <c r="L846" s="58" t="s">
        <v>65</v>
      </c>
      <c r="M846" s="18">
        <f>[1]!f_prt_stocktonav(B846,"2017/03/31")</f>
        <v>70.302139282226562</v>
      </c>
      <c r="N846" s="20" t="str">
        <f>[1]!f_info_fundmanager(B846)</f>
        <v>杨鹏</v>
      </c>
      <c r="O846" s="21">
        <v>6.6136986301369864</v>
      </c>
      <c r="P846" s="34" t="s">
        <v>3282</v>
      </c>
      <c r="Q846" s="34" t="s">
        <v>3283</v>
      </c>
      <c r="R846" s="34" t="s">
        <v>353</v>
      </c>
      <c r="S846" s="34">
        <v>20061011</v>
      </c>
      <c r="T846" s="45">
        <v>20.0726410151</v>
      </c>
      <c r="U846" s="46">
        <v>21.178676889199998</v>
      </c>
      <c r="V846" s="34" t="s">
        <v>231</v>
      </c>
      <c r="W846" s="34" t="s">
        <v>44</v>
      </c>
      <c r="X846" s="34" t="s">
        <v>45</v>
      </c>
      <c r="Y846" s="34" t="s">
        <v>65</v>
      </c>
      <c r="Z846" s="34"/>
      <c r="AA846" s="34"/>
      <c r="AB846" s="22">
        <v>0.73494285583496088</v>
      </c>
      <c r="AC846" s="23" t="s">
        <v>2559</v>
      </c>
      <c r="AD846" s="24">
        <v>6.3835616438356162</v>
      </c>
      <c r="AE846" s="25">
        <v>0.15149882399301706</v>
      </c>
      <c r="AF846" s="26">
        <v>5.3457270970171944E-3</v>
      </c>
      <c r="AG846" s="26">
        <v>0.11714571506702276</v>
      </c>
      <c r="AH846" s="27">
        <v>0.59815568640289885</v>
      </c>
      <c r="AI846" s="27">
        <v>0.10951087687012552</v>
      </c>
      <c r="AJ846" s="27">
        <v>0.49933866730099974</v>
      </c>
      <c r="AK846" s="28" t="s">
        <v>3284</v>
      </c>
      <c r="AL846" s="29">
        <v>3</v>
      </c>
      <c r="AM846" s="29">
        <v>3</v>
      </c>
      <c r="AN846" s="29" t="s">
        <v>48</v>
      </c>
      <c r="AO846" s="47" t="s">
        <v>2920</v>
      </c>
      <c r="AP846" s="28">
        <v>0</v>
      </c>
      <c r="AQ846" s="26">
        <v>1.4999999999999999E-2</v>
      </c>
      <c r="AR846" s="26">
        <v>0</v>
      </c>
    </row>
    <row r="847" spans="1:44" x14ac:dyDescent="0.15">
      <c r="A847">
        <v>868</v>
      </c>
      <c r="B847" s="11">
        <v>20009</v>
      </c>
      <c r="C847" s="32"/>
      <c r="D847" s="32">
        <v>1.79154935628863E-3</v>
      </c>
      <c r="E847" s="32">
        <v>39</v>
      </c>
      <c r="F847" s="32">
        <v>0.22373848489074399</v>
      </c>
      <c r="G847" s="11"/>
      <c r="H847" s="11"/>
      <c r="I847" s="11"/>
      <c r="J847" s="18" t="s">
        <v>44</v>
      </c>
      <c r="K847" s="18" t="s">
        <v>45</v>
      </c>
      <c r="L847" s="58" t="s">
        <v>65</v>
      </c>
      <c r="M847" s="18">
        <f>[1]!f_prt_stocktonav(B847,"2017/03/31")</f>
        <v>73.865554809570313</v>
      </c>
      <c r="N847" s="20" t="str">
        <f>[1]!f_info_fundmanager(B847)</f>
        <v>饶玉涵</v>
      </c>
      <c r="O847" s="21">
        <v>0.73698630136986298</v>
      </c>
      <c r="P847" s="34" t="s">
        <v>3285</v>
      </c>
      <c r="Q847" s="34" t="s">
        <v>3286</v>
      </c>
      <c r="R847" s="34" t="s">
        <v>663</v>
      </c>
      <c r="S847" s="34">
        <v>20060929</v>
      </c>
      <c r="T847" s="45">
        <v>5.3459286595000002</v>
      </c>
      <c r="U847" s="46">
        <v>5.5276111345999999</v>
      </c>
      <c r="V847" s="34" t="s">
        <v>231</v>
      </c>
      <c r="W847" s="34" t="s">
        <v>44</v>
      </c>
      <c r="X847" s="34" t="s">
        <v>45</v>
      </c>
      <c r="Y847" s="34" t="s">
        <v>65</v>
      </c>
      <c r="Z847" s="34"/>
      <c r="AA847" s="34"/>
      <c r="AB847" s="22">
        <v>0.72738685607910158</v>
      </c>
      <c r="AC847" s="23" t="s">
        <v>3287</v>
      </c>
      <c r="AD847" s="24">
        <v>0.50684931506849318</v>
      </c>
      <c r="AE847" s="25">
        <v>0.1259490377809398</v>
      </c>
      <c r="AF847" s="26">
        <v>0.17536174871227028</v>
      </c>
      <c r="AG847" s="26">
        <v>0.1279089990901805</v>
      </c>
      <c r="AH847" s="27">
        <v>0.54060147016582205</v>
      </c>
      <c r="AI847" s="27">
        <v>0.74966090708706123</v>
      </c>
      <c r="AJ847" s="27">
        <v>0.58386257842722566</v>
      </c>
      <c r="AK847" s="28" t="s">
        <v>3288</v>
      </c>
      <c r="AL847" s="29">
        <v>4</v>
      </c>
      <c r="AM847" s="29">
        <v>4</v>
      </c>
      <c r="AN847" s="29" t="s">
        <v>48</v>
      </c>
      <c r="AO847" s="47" t="s">
        <v>1002</v>
      </c>
      <c r="AP847" s="28">
        <v>0</v>
      </c>
      <c r="AQ847" s="26">
        <v>1.4999999999999999E-2</v>
      </c>
      <c r="AR847" s="26">
        <v>0</v>
      </c>
    </row>
    <row r="848" spans="1:44" x14ac:dyDescent="0.15">
      <c r="A848">
        <v>95</v>
      </c>
      <c r="B848" s="11">
        <v>590001</v>
      </c>
      <c r="C848" s="32"/>
      <c r="D848" s="32">
        <v>-3.9900388001691597E-3</v>
      </c>
      <c r="E848" s="32">
        <v>111</v>
      </c>
      <c r="F848" s="32">
        <v>6.5469652033085897E-3</v>
      </c>
      <c r="G848" s="11"/>
      <c r="H848" s="11"/>
      <c r="I848" s="11"/>
      <c r="J848" s="18" t="s">
        <v>44</v>
      </c>
      <c r="K848" s="18" t="s">
        <v>45</v>
      </c>
      <c r="L848" s="58" t="s">
        <v>274</v>
      </c>
      <c r="M848" s="18">
        <f>[1]!f_prt_stocktonav(B848,"2017/03/31")</f>
        <v>93.678916931152344</v>
      </c>
      <c r="N848" s="20" t="str">
        <f>[1]!f_info_fundmanager(B848)</f>
        <v>刘涛,纪云飞</v>
      </c>
      <c r="O848" s="21">
        <v>2.128767123287671</v>
      </c>
      <c r="P848" s="34" t="s">
        <v>3289</v>
      </c>
      <c r="Q848" s="34" t="s">
        <v>3290</v>
      </c>
      <c r="R848" s="34" t="s">
        <v>85</v>
      </c>
      <c r="S848" s="34">
        <v>20060928</v>
      </c>
      <c r="T848" s="45">
        <v>32.9554297034</v>
      </c>
      <c r="U848" s="46">
        <v>35.381298049100003</v>
      </c>
      <c r="V848" s="34" t="s">
        <v>201</v>
      </c>
      <c r="W848" s="34" t="s">
        <v>44</v>
      </c>
      <c r="X848" s="34" t="s">
        <v>45</v>
      </c>
      <c r="Y848" s="34" t="s">
        <v>274</v>
      </c>
      <c r="Z848" s="34"/>
      <c r="AA848" s="34"/>
      <c r="AB848" s="22">
        <v>0.79286087036132813</v>
      </c>
      <c r="AC848" s="23" t="s">
        <v>3291</v>
      </c>
      <c r="AD848" s="24">
        <v>1.8986301369863015</v>
      </c>
      <c r="AE848" s="25">
        <v>9.6720107362159524E-2</v>
      </c>
      <c r="AF848" s="26">
        <v>6.981019333982541E-2</v>
      </c>
      <c r="AG848" s="26">
        <v>5.9681451991583145E-2</v>
      </c>
      <c r="AH848" s="27">
        <v>0.40092927149785296</v>
      </c>
      <c r="AI848" s="27">
        <v>0.3389956565404999</v>
      </c>
      <c r="AJ848" s="27">
        <v>0.2967509894207459</v>
      </c>
      <c r="AK848" s="28" t="s">
        <v>3080</v>
      </c>
      <c r="AL848" s="29">
        <v>1</v>
      </c>
      <c r="AM848" s="29">
        <v>2</v>
      </c>
      <c r="AN848" s="29" t="s">
        <v>48</v>
      </c>
      <c r="AO848" s="47" t="s">
        <v>310</v>
      </c>
      <c r="AP848" s="28">
        <v>0</v>
      </c>
      <c r="AQ848" s="26">
        <v>1.4999999999999999E-2</v>
      </c>
      <c r="AR848" s="26">
        <v>0</v>
      </c>
    </row>
    <row r="849" spans="1:44" x14ac:dyDescent="0.15">
      <c r="A849">
        <v>521</v>
      </c>
      <c r="B849" s="11">
        <v>540002</v>
      </c>
      <c r="C849" s="32"/>
      <c r="D849" s="32">
        <v>5.1284096563770096E-4</v>
      </c>
      <c r="E849" s="32">
        <v>48</v>
      </c>
      <c r="F849" s="32">
        <v>0.67785132895959299</v>
      </c>
      <c r="G849" s="11"/>
      <c r="H849" s="11"/>
      <c r="I849" s="11"/>
      <c r="J849" s="18" t="s">
        <v>44</v>
      </c>
      <c r="K849" s="18" t="s">
        <v>45</v>
      </c>
      <c r="L849" s="58" t="s">
        <v>65</v>
      </c>
      <c r="M849" s="18">
        <f>[1]!f_prt_stocktonav(B849,"2017/03/31")</f>
        <v>84.908576965332031</v>
      </c>
      <c r="N849" s="20" t="str">
        <f>[1]!f_info_fundmanager(B849)</f>
        <v>曹庆</v>
      </c>
      <c r="O849" s="21">
        <v>0.9178082191780822</v>
      </c>
      <c r="P849" s="34" t="s">
        <v>3292</v>
      </c>
      <c r="Q849" s="34" t="s">
        <v>3293</v>
      </c>
      <c r="R849" s="34" t="s">
        <v>149</v>
      </c>
      <c r="S849" s="34">
        <v>20060927</v>
      </c>
      <c r="T849" s="45">
        <v>5.2128300358999997</v>
      </c>
      <c r="U849" s="46">
        <v>5.1049514319</v>
      </c>
      <c r="V849" s="34" t="s">
        <v>231</v>
      </c>
      <c r="W849" s="34" t="s">
        <v>44</v>
      </c>
      <c r="X849" s="34" t="s">
        <v>45</v>
      </c>
      <c r="Y849" s="34" t="s">
        <v>65</v>
      </c>
      <c r="Z849" s="34"/>
      <c r="AA849" s="34"/>
      <c r="AB849" s="22">
        <v>0.91778671264648437</v>
      </c>
      <c r="AC849" s="23" t="s">
        <v>3294</v>
      </c>
      <c r="AD849" s="24">
        <v>0.68767123287671228</v>
      </c>
      <c r="AE849" s="25">
        <v>0.16095168374462454</v>
      </c>
      <c r="AF849" s="26">
        <v>0.22263383567782724</v>
      </c>
      <c r="AG849" s="26">
        <v>0.18147796412717951</v>
      </c>
      <c r="AH849" s="27">
        <v>0.6468356313460556</v>
      </c>
      <c r="AI849" s="27">
        <v>0.78116214183391397</v>
      </c>
      <c r="AJ849" s="27">
        <v>0.71975182553491157</v>
      </c>
      <c r="AK849" s="28" t="s">
        <v>3295</v>
      </c>
      <c r="AL849" s="29">
        <v>4</v>
      </c>
      <c r="AM849" s="29">
        <v>5</v>
      </c>
      <c r="AN849" s="29" t="s">
        <v>48</v>
      </c>
      <c r="AO849" s="47" t="s">
        <v>410</v>
      </c>
      <c r="AP849" s="28">
        <v>0</v>
      </c>
      <c r="AQ849" s="26">
        <v>1.4999999999999999E-2</v>
      </c>
      <c r="AR849" s="26">
        <v>0</v>
      </c>
    </row>
    <row r="850" spans="1:44" x14ac:dyDescent="0.15">
      <c r="A850">
        <v>888</v>
      </c>
      <c r="B850" s="11">
        <v>50201</v>
      </c>
      <c r="C850" s="32"/>
      <c r="D850" s="32">
        <v>5.47433977169419E-4</v>
      </c>
      <c r="E850" s="32">
        <v>23</v>
      </c>
      <c r="F850" s="32">
        <v>0.81212559796598704</v>
      </c>
      <c r="G850" s="11"/>
      <c r="H850" s="11"/>
      <c r="I850" s="11"/>
      <c r="J850" s="18" t="s">
        <v>44</v>
      </c>
      <c r="K850" s="18" t="s">
        <v>45</v>
      </c>
      <c r="L850" s="58" t="s">
        <v>65</v>
      </c>
      <c r="M850" s="18">
        <f>[1]!f_prt_stocktonav(B850,"2017/03/31")</f>
        <v>73.173309326171875</v>
      </c>
      <c r="N850" s="20" t="str">
        <f>[1]!f_info_fundmanager(B850)</f>
        <v>周志超</v>
      </c>
      <c r="O850" s="21">
        <v>0.43287671232876712</v>
      </c>
      <c r="P850" s="34" t="s">
        <v>3296</v>
      </c>
      <c r="Q850" s="34" t="s">
        <v>3297</v>
      </c>
      <c r="R850" s="34" t="s">
        <v>413</v>
      </c>
      <c r="S850" s="34">
        <v>20060927</v>
      </c>
      <c r="T850" s="45">
        <v>18.5482320377</v>
      </c>
      <c r="U850" s="46">
        <v>18.738405912800001</v>
      </c>
      <c r="V850" s="34" t="s">
        <v>231</v>
      </c>
      <c r="W850" s="34" t="s">
        <v>44</v>
      </c>
      <c r="X850" s="34" t="s">
        <v>45</v>
      </c>
      <c r="Y850" s="34" t="s">
        <v>65</v>
      </c>
      <c r="Z850" s="34"/>
      <c r="AA850" s="34"/>
      <c r="AB850" s="22">
        <v>0.71256523132324223</v>
      </c>
      <c r="AC850" s="23" t="s">
        <v>3298</v>
      </c>
      <c r="AD850" s="24">
        <v>0.20273972602739726</v>
      </c>
      <c r="AE850" s="25">
        <v>6.7613451713534278E-2</v>
      </c>
      <c r="AF850" s="26">
        <v>4.0806648501142906E-2</v>
      </c>
      <c r="AG850" s="26">
        <v>7.2014642532962636E-3</v>
      </c>
      <c r="AH850" s="27">
        <v>0.34571556000745068</v>
      </c>
      <c r="AI850" s="27">
        <v>0.23895976838813149</v>
      </c>
      <c r="AJ850" s="27">
        <v>5.4766440491193079E-2</v>
      </c>
      <c r="AK850" s="28" t="s">
        <v>1659</v>
      </c>
      <c r="AL850" s="29">
        <v>1</v>
      </c>
      <c r="AM850" s="29">
        <v>2</v>
      </c>
      <c r="AN850" s="29" t="s">
        <v>48</v>
      </c>
      <c r="AO850" s="47" t="s">
        <v>3299</v>
      </c>
      <c r="AP850" s="28" t="s">
        <v>3300</v>
      </c>
      <c r="AQ850" s="26">
        <v>1.4999999999999999E-2</v>
      </c>
      <c r="AR850" s="26">
        <v>0</v>
      </c>
    </row>
    <row r="851" spans="1:44" x14ac:dyDescent="0.15">
      <c r="A851">
        <v>148</v>
      </c>
      <c r="B851" s="11">
        <v>340006</v>
      </c>
      <c r="C851" s="32"/>
      <c r="D851" s="32">
        <v>-9.1152699007733496E-4</v>
      </c>
      <c r="E851" s="32">
        <v>65</v>
      </c>
      <c r="F851" s="32">
        <v>0.49081172707764598</v>
      </c>
      <c r="G851" s="11"/>
      <c r="H851" s="11"/>
      <c r="I851" s="11"/>
      <c r="J851" s="18" t="s">
        <v>44</v>
      </c>
      <c r="K851" s="18" t="s">
        <v>45</v>
      </c>
      <c r="L851" s="58" t="s">
        <v>274</v>
      </c>
      <c r="M851" s="18">
        <f>[1]!f_prt_stocktonav(B851,"2017/03/31")</f>
        <v>92.833595275878906</v>
      </c>
      <c r="N851" s="20" t="str">
        <f>[1]!f_info_fundmanager(B851)</f>
        <v>吴圣涛</v>
      </c>
      <c r="O851" s="21">
        <v>1.2493150684931507</v>
      </c>
      <c r="P851" s="34" t="s">
        <v>3301</v>
      </c>
      <c r="Q851" s="34" t="s">
        <v>3302</v>
      </c>
      <c r="R851" s="34" t="s">
        <v>2217</v>
      </c>
      <c r="S851" s="34">
        <v>20060920</v>
      </c>
      <c r="T851" s="45">
        <v>30.119267827200002</v>
      </c>
      <c r="U851" s="46">
        <v>33.327901738800001</v>
      </c>
      <c r="V851" s="34" t="s">
        <v>231</v>
      </c>
      <c r="W851" s="34" t="s">
        <v>44</v>
      </c>
      <c r="X851" s="34" t="s">
        <v>45</v>
      </c>
      <c r="Y851" s="34" t="s">
        <v>274</v>
      </c>
      <c r="Z851" s="34"/>
      <c r="AA851" s="34"/>
      <c r="AB851" s="22">
        <v>0.93267799377441407</v>
      </c>
      <c r="AC851" s="23" t="s">
        <v>3303</v>
      </c>
      <c r="AD851" s="24">
        <v>1.0191780821917809</v>
      </c>
      <c r="AE851" s="25">
        <v>0.19612033303034651</v>
      </c>
      <c r="AF851" s="26">
        <v>0.17116888483564494</v>
      </c>
      <c r="AG851" s="26">
        <v>0.14704095834710773</v>
      </c>
      <c r="AH851" s="27">
        <v>0.80768052134262747</v>
      </c>
      <c r="AI851" s="27">
        <v>0.65228390010252335</v>
      </c>
      <c r="AJ851" s="27">
        <v>0.64420458579728801</v>
      </c>
      <c r="AK851" s="28" t="s">
        <v>3304</v>
      </c>
      <c r="AL851" s="29">
        <v>4</v>
      </c>
      <c r="AM851" s="29">
        <v>2</v>
      </c>
      <c r="AN851" s="29" t="s">
        <v>48</v>
      </c>
      <c r="AO851" s="47" t="s">
        <v>3305</v>
      </c>
      <c r="AP851" s="28">
        <v>0</v>
      </c>
      <c r="AQ851" s="26">
        <v>1.4999999999999999E-2</v>
      </c>
      <c r="AR851" s="26">
        <v>0</v>
      </c>
    </row>
    <row r="852" spans="1:44" x14ac:dyDescent="0.15">
      <c r="A852">
        <v>917</v>
      </c>
      <c r="B852" s="11">
        <v>378010</v>
      </c>
      <c r="C852" s="32"/>
      <c r="D852" s="32">
        <v>4.5425688976333698E-3</v>
      </c>
      <c r="E852" s="32">
        <v>11</v>
      </c>
      <c r="F852" s="32">
        <v>0.286860360306949</v>
      </c>
      <c r="G852" s="11"/>
      <c r="H852" s="11"/>
      <c r="I852" s="11"/>
      <c r="J852" s="18" t="s">
        <v>44</v>
      </c>
      <c r="K852" s="19" t="s">
        <v>45</v>
      </c>
      <c r="L852" s="58" t="s">
        <v>65</v>
      </c>
      <c r="M852" s="18">
        <f>[1]!f_prt_stocktonav(B852,"2017/03/31")</f>
        <v>71.677291870117188</v>
      </c>
      <c r="N852" s="20" t="str">
        <f>[1]!f_info_fundmanager(B852)</f>
        <v>张一甫</v>
      </c>
      <c r="O852" s="21">
        <v>0.20273972602739726</v>
      </c>
      <c r="P852" s="32" t="s">
        <v>3306</v>
      </c>
      <c r="Q852" s="13" t="s">
        <v>3307</v>
      </c>
      <c r="R852" s="13" t="s">
        <v>511</v>
      </c>
      <c r="S852" s="13">
        <v>20060920</v>
      </c>
      <c r="T852" s="14">
        <v>8.5367239551999994</v>
      </c>
      <c r="U852" s="15" t="s">
        <v>79</v>
      </c>
      <c r="V852" s="16" t="s">
        <v>40</v>
      </c>
      <c r="W852" s="17" t="s">
        <v>44</v>
      </c>
      <c r="X852" s="17" t="s">
        <v>45</v>
      </c>
      <c r="Y852" s="17" t="s">
        <v>274</v>
      </c>
      <c r="Z852" s="13"/>
      <c r="AA852" s="13"/>
      <c r="AB852" s="22">
        <v>0.77121902465820313</v>
      </c>
      <c r="AC852" s="23" t="s">
        <v>3308</v>
      </c>
      <c r="AD852" s="24">
        <v>1.9945205479452055</v>
      </c>
      <c r="AE852" s="25">
        <v>5.0480256643499644E-2</v>
      </c>
      <c r="AF852" s="26">
        <v>-9.9011882517529445E-2</v>
      </c>
      <c r="AG852" s="26">
        <v>-2.3262856157726386E-3</v>
      </c>
      <c r="AH852" s="27">
        <v>0.26539211422241116</v>
      </c>
      <c r="AI852" s="27">
        <v>-0.16946024750569369</v>
      </c>
      <c r="AJ852" s="27">
        <v>8.945458234818042E-2</v>
      </c>
      <c r="AK852" s="28" t="s">
        <v>1934</v>
      </c>
      <c r="AL852" s="29">
        <v>1</v>
      </c>
      <c r="AM852" s="29">
        <v>1</v>
      </c>
      <c r="AN852" s="29" t="s">
        <v>48</v>
      </c>
      <c r="AO852" s="23" t="s">
        <v>3309</v>
      </c>
      <c r="AP852" s="30">
        <v>0</v>
      </c>
      <c r="AQ852" s="31">
        <v>1.4999999999999999E-2</v>
      </c>
      <c r="AR852" s="31">
        <v>0</v>
      </c>
    </row>
    <row r="853" spans="1:44" x14ac:dyDescent="0.15">
      <c r="A853">
        <v>787</v>
      </c>
      <c r="B853" s="11">
        <v>360006</v>
      </c>
      <c r="C853" s="32"/>
      <c r="D853" s="32">
        <v>-3.0085512536992599E-3</v>
      </c>
      <c r="E853" s="32">
        <v>213</v>
      </c>
      <c r="F853" s="32">
        <v>7.6676533769932703E-4</v>
      </c>
      <c r="G853" s="11"/>
      <c r="H853" s="11"/>
      <c r="I853" s="11"/>
      <c r="J853" s="18" t="s">
        <v>44</v>
      </c>
      <c r="K853" s="18" t="s">
        <v>45</v>
      </c>
      <c r="L853" s="58" t="s">
        <v>274</v>
      </c>
      <c r="M853" s="18">
        <f>[1]!f_prt_stocktonav(B853,"2017/03/31")</f>
        <v>77.164421081542969</v>
      </c>
      <c r="N853" s="20" t="str">
        <f>[1]!f_info_fundmanager(B853)</f>
        <v>魏晓雪</v>
      </c>
      <c r="O853" s="21">
        <v>4.087671232876712</v>
      </c>
      <c r="P853" s="34" t="s">
        <v>3310</v>
      </c>
      <c r="Q853" s="34" t="s">
        <v>3311</v>
      </c>
      <c r="R853" s="34" t="s">
        <v>634</v>
      </c>
      <c r="S853" s="34">
        <v>20060914</v>
      </c>
      <c r="T853" s="45">
        <v>2.3340941421000001</v>
      </c>
      <c r="U853" s="46">
        <v>2.6614839461000002</v>
      </c>
      <c r="V853" s="34" t="s">
        <v>201</v>
      </c>
      <c r="W853" s="34" t="s">
        <v>44</v>
      </c>
      <c r="X853" s="34" t="s">
        <v>45</v>
      </c>
      <c r="Y853" s="34" t="s">
        <v>274</v>
      </c>
      <c r="Z853" s="34"/>
      <c r="AA853" s="34"/>
      <c r="AB853" s="22">
        <v>0.8396810913085937</v>
      </c>
      <c r="AC853" s="23" t="s">
        <v>3312</v>
      </c>
      <c r="AD853" s="24">
        <v>3.8575342465753426</v>
      </c>
      <c r="AE853" s="25">
        <v>0.1285630457416187</v>
      </c>
      <c r="AF853" s="26">
        <v>0.13397789051237763</v>
      </c>
      <c r="AG853" s="26">
        <v>0.10036729632864061</v>
      </c>
      <c r="AH853" s="27">
        <v>0.51744225002627542</v>
      </c>
      <c r="AI853" s="27">
        <v>0.51197685301731721</v>
      </c>
      <c r="AJ853" s="27">
        <v>0.44014361071887226</v>
      </c>
      <c r="AK853" s="28" t="s">
        <v>3313</v>
      </c>
      <c r="AL853" s="29">
        <v>2</v>
      </c>
      <c r="AM853" s="29">
        <v>2</v>
      </c>
      <c r="AN853" s="29" t="s">
        <v>48</v>
      </c>
      <c r="AO853" s="47" t="s">
        <v>3076</v>
      </c>
      <c r="AP853" s="28">
        <v>0</v>
      </c>
      <c r="AQ853" s="26">
        <v>1.4999999999999999E-2</v>
      </c>
      <c r="AR853" s="26">
        <v>0</v>
      </c>
    </row>
    <row r="854" spans="1:44" x14ac:dyDescent="0.15">
      <c r="A854">
        <v>819</v>
      </c>
      <c r="B854" s="11">
        <v>530003</v>
      </c>
      <c r="C854" s="32"/>
      <c r="D854" s="32">
        <v>2.4395201167901E-4</v>
      </c>
      <c r="E854" s="32">
        <v>267</v>
      </c>
      <c r="F854" s="32">
        <v>0.78168489501279703</v>
      </c>
      <c r="G854" s="11"/>
      <c r="H854" s="11"/>
      <c r="I854" s="11"/>
      <c r="J854" s="18" t="s">
        <v>44</v>
      </c>
      <c r="K854" s="19" t="s">
        <v>45</v>
      </c>
      <c r="L854" s="58" t="s">
        <v>65</v>
      </c>
      <c r="M854" s="18">
        <f>[1]!f_prt_stocktonav(B854,"2017/03/31")</f>
        <v>75.92962646484375</v>
      </c>
      <c r="N854" s="20" t="str">
        <f>[1]!f_info_fundmanager(B854)</f>
        <v>姚锦</v>
      </c>
      <c r="O854" s="21">
        <v>5.1205479452054794</v>
      </c>
      <c r="P854" s="32" t="s">
        <v>3314</v>
      </c>
      <c r="Q854" s="13" t="s">
        <v>3315</v>
      </c>
      <c r="R854" s="13" t="s">
        <v>307</v>
      </c>
      <c r="S854" s="13">
        <v>20060908</v>
      </c>
      <c r="T854" s="14">
        <v>23.179484353300001</v>
      </c>
      <c r="U854" s="15" t="s">
        <v>79</v>
      </c>
      <c r="V854" s="16" t="s">
        <v>40</v>
      </c>
      <c r="W854" s="17" t="s">
        <v>44</v>
      </c>
      <c r="X854" s="17" t="s">
        <v>45</v>
      </c>
      <c r="Y854" s="17" t="s">
        <v>65</v>
      </c>
      <c r="Z854" s="13"/>
      <c r="AA854" s="13"/>
      <c r="AB854" s="22">
        <v>0.81787979125976562</v>
      </c>
      <c r="AC854" s="23" t="s">
        <v>3316</v>
      </c>
      <c r="AD854" s="24">
        <v>4.8904109589041092</v>
      </c>
      <c r="AE854" s="25">
        <v>0.14014651934430034</v>
      </c>
      <c r="AF854" s="26">
        <v>0.24296313119749002</v>
      </c>
      <c r="AG854" s="26">
        <v>0.1752617038713471</v>
      </c>
      <c r="AH854" s="27">
        <v>0.58431150057869652</v>
      </c>
      <c r="AI854" s="27">
        <v>0.89739160184149036</v>
      </c>
      <c r="AJ854" s="27">
        <v>0.73954662690648376</v>
      </c>
      <c r="AK854" s="28" t="s">
        <v>3317</v>
      </c>
      <c r="AL854" s="29">
        <v>5</v>
      </c>
      <c r="AM854" s="29">
        <v>4</v>
      </c>
      <c r="AN854" s="29" t="s">
        <v>48</v>
      </c>
      <c r="AO854" s="23" t="s">
        <v>3318</v>
      </c>
      <c r="AP854" s="30">
        <v>0</v>
      </c>
      <c r="AQ854" s="31">
        <v>1.4999999999999999E-2</v>
      </c>
      <c r="AR854" s="31">
        <v>0</v>
      </c>
    </row>
    <row r="855" spans="1:44" x14ac:dyDescent="0.15">
      <c r="A855">
        <v>632</v>
      </c>
      <c r="B855" s="11">
        <v>40005</v>
      </c>
      <c r="C855" s="32"/>
      <c r="D855" s="32">
        <v>-3.3485522369886898E-3</v>
      </c>
      <c r="E855" s="32">
        <v>75</v>
      </c>
      <c r="F855" s="32">
        <v>1.8169261360188999E-2</v>
      </c>
      <c r="G855" s="11"/>
      <c r="H855" s="11"/>
      <c r="I855" s="11"/>
      <c r="J855" s="18" t="s">
        <v>44</v>
      </c>
      <c r="K855" s="18" t="s">
        <v>45</v>
      </c>
      <c r="L855" s="58" t="s">
        <v>337</v>
      </c>
      <c r="M855" s="18">
        <f>[1]!f_prt_stocktonav(B855,"2017/03/31")</f>
        <v>82.01165771484375</v>
      </c>
      <c r="N855" s="20" t="str">
        <f>[1]!f_info_fundmanager(B855)</f>
        <v>王春</v>
      </c>
      <c r="O855" s="21">
        <v>1.4246575342465753</v>
      </c>
      <c r="P855" s="34" t="s">
        <v>3319</v>
      </c>
      <c r="Q855" s="34" t="s">
        <v>3320</v>
      </c>
      <c r="R855" s="34" t="s">
        <v>63</v>
      </c>
      <c r="S855" s="34">
        <v>20060906</v>
      </c>
      <c r="T855" s="45">
        <v>21.744630533900001</v>
      </c>
      <c r="U855" s="46">
        <v>24.1170404099</v>
      </c>
      <c r="V855" s="34" t="s">
        <v>201</v>
      </c>
      <c r="W855" s="34" t="s">
        <v>44</v>
      </c>
      <c r="X855" s="34" t="s">
        <v>45</v>
      </c>
      <c r="Y855" s="34" t="s">
        <v>274</v>
      </c>
      <c r="Z855" s="34"/>
      <c r="AA855" s="34"/>
      <c r="AB855" s="22">
        <v>0.80942314147949224</v>
      </c>
      <c r="AC855" s="23" t="s">
        <v>3321</v>
      </c>
      <c r="AD855" s="24">
        <v>1.1945205479452055</v>
      </c>
      <c r="AE855" s="25">
        <v>0.14859066624345996</v>
      </c>
      <c r="AF855" s="26">
        <v>9.7146124121641572E-2</v>
      </c>
      <c r="AG855" s="26">
        <v>0.10161455841905574</v>
      </c>
      <c r="AH855" s="27">
        <v>0.61486887100225285</v>
      </c>
      <c r="AI855" s="27">
        <v>0.42393502892984397</v>
      </c>
      <c r="AJ855" s="27">
        <v>0.45605374254360609</v>
      </c>
      <c r="AK855" s="28" t="s">
        <v>3322</v>
      </c>
      <c r="AL855" s="29">
        <v>4</v>
      </c>
      <c r="AM855" s="29">
        <v>3</v>
      </c>
      <c r="AN855" s="29" t="s">
        <v>48</v>
      </c>
      <c r="AO855" s="47" t="s">
        <v>3323</v>
      </c>
      <c r="AP855" s="28" t="s">
        <v>3324</v>
      </c>
      <c r="AQ855" s="26">
        <v>1.4999999999999999E-2</v>
      </c>
      <c r="AR855" s="26">
        <v>0</v>
      </c>
    </row>
    <row r="856" spans="1:44" x14ac:dyDescent="0.15">
      <c r="A856">
        <v>380</v>
      </c>
      <c r="B856" s="11">
        <v>112002</v>
      </c>
      <c r="C856" s="32"/>
      <c r="D856" s="32">
        <v>-5.3035911495274701E-3</v>
      </c>
      <c r="E856" s="32">
        <v>6</v>
      </c>
      <c r="F856" s="32">
        <v>0.315449045453157</v>
      </c>
      <c r="G856" s="11"/>
      <c r="H856" s="11"/>
      <c r="I856" s="11"/>
      <c r="J856" s="18" t="s">
        <v>44</v>
      </c>
      <c r="K856" s="18" t="s">
        <v>45</v>
      </c>
      <c r="L856" s="58" t="s">
        <v>65</v>
      </c>
      <c r="M856" s="18">
        <f>[1]!f_prt_stocktonav(B856,"2017/03/31")</f>
        <v>87.944389343261719</v>
      </c>
      <c r="N856" s="20" t="str">
        <f>[1]!f_info_fundmanager(B856)</f>
        <v>梁裕宁</v>
      </c>
      <c r="O856" s="21">
        <v>0.11506849315068493</v>
      </c>
      <c r="P856" s="34" t="s">
        <v>3325</v>
      </c>
      <c r="Q856" s="34" t="s">
        <v>3326</v>
      </c>
      <c r="R856" s="34" t="s">
        <v>218</v>
      </c>
      <c r="S856" s="34">
        <v>20060816</v>
      </c>
      <c r="T856" s="45">
        <v>12.528068602899999</v>
      </c>
      <c r="U856" s="46">
        <v>13.1994667989</v>
      </c>
      <c r="V856" s="34" t="s">
        <v>201</v>
      </c>
      <c r="W856" s="34" t="s">
        <v>44</v>
      </c>
      <c r="X856" s="34" t="s">
        <v>45</v>
      </c>
      <c r="Y856" s="34" t="s">
        <v>65</v>
      </c>
      <c r="Z856" s="34"/>
      <c r="AA856" s="34"/>
      <c r="AB856" s="22">
        <v>0.90308120727539065</v>
      </c>
      <c r="AC856" s="23" t="s">
        <v>3327</v>
      </c>
      <c r="AD856" s="24">
        <v>1.4986301369863013</v>
      </c>
      <c r="AE856" s="25">
        <v>0.10471636354417591</v>
      </c>
      <c r="AF856" s="26">
        <v>-1.5675855649876613E-2</v>
      </c>
      <c r="AG856" s="26">
        <v>4.0001502762992303E-2</v>
      </c>
      <c r="AH856" s="27">
        <v>0.46680829697779386</v>
      </c>
      <c r="AI856" s="27">
        <v>2.0162036468350478E-2</v>
      </c>
      <c r="AJ856" s="27">
        <v>0.22339309162422785</v>
      </c>
      <c r="AK856" s="28" t="s">
        <v>3328</v>
      </c>
      <c r="AL856" s="29">
        <v>3</v>
      </c>
      <c r="AM856" s="29">
        <v>3</v>
      </c>
      <c r="AN856" s="29" t="s">
        <v>48</v>
      </c>
      <c r="AO856" s="47" t="s">
        <v>3168</v>
      </c>
      <c r="AP856" s="28">
        <v>0</v>
      </c>
      <c r="AQ856" s="26">
        <v>1.4999999999999999E-2</v>
      </c>
      <c r="AR856" s="26">
        <v>0</v>
      </c>
    </row>
    <row r="857" spans="1:44" x14ac:dyDescent="0.15">
      <c r="A857">
        <v>125</v>
      </c>
      <c r="B857" s="11">
        <v>519029</v>
      </c>
      <c r="C857" s="32"/>
      <c r="D857" s="32">
        <v>-5.3229955419405199E-3</v>
      </c>
      <c r="E857" s="32">
        <v>112</v>
      </c>
      <c r="F857" s="32">
        <v>2.5291607965633898E-3</v>
      </c>
      <c r="G857" s="11"/>
      <c r="H857" s="11"/>
      <c r="I857" s="11"/>
      <c r="J857" s="18" t="s">
        <v>44</v>
      </c>
      <c r="K857" s="18" t="s">
        <v>86</v>
      </c>
      <c r="L857" s="58" t="s">
        <v>274</v>
      </c>
      <c r="M857" s="18">
        <f>[1]!f_prt_stocktonav(B857,"2017/03/31")</f>
        <v>93.156211853027344</v>
      </c>
      <c r="N857" s="20" t="str">
        <f>[1]!f_info_fundmanager(B857)</f>
        <v>彭海伟</v>
      </c>
      <c r="O857" s="21">
        <v>2.1397260273972605</v>
      </c>
      <c r="P857" s="34" t="s">
        <v>3329</v>
      </c>
      <c r="Q857" s="34" t="s">
        <v>3330</v>
      </c>
      <c r="R857" s="34" t="s">
        <v>143</v>
      </c>
      <c r="S857" s="34">
        <v>20060809</v>
      </c>
      <c r="T857" s="45">
        <v>17.6075159263</v>
      </c>
      <c r="U857" s="46">
        <v>18.3878451243</v>
      </c>
      <c r="V857" s="34" t="s">
        <v>201</v>
      </c>
      <c r="W857" s="34" t="s">
        <v>44</v>
      </c>
      <c r="X857" s="34" t="s">
        <v>45</v>
      </c>
      <c r="Y857" s="34" t="s">
        <v>274</v>
      </c>
      <c r="Z857" s="34"/>
      <c r="AA857" s="34"/>
      <c r="AB857" s="22">
        <v>0.93442085266113284</v>
      </c>
      <c r="AC857" s="23" t="s">
        <v>586</v>
      </c>
      <c r="AD857" s="24">
        <v>1.9095890410958904</v>
      </c>
      <c r="AE857" s="25">
        <v>0.11323768301447812</v>
      </c>
      <c r="AF857" s="26">
        <v>4.7771006542985273E-2</v>
      </c>
      <c r="AG857" s="26">
        <v>8.6150830100578654E-2</v>
      </c>
      <c r="AH857" s="27">
        <v>0.46697356126592604</v>
      </c>
      <c r="AI857" s="27">
        <v>0.27394823236707783</v>
      </c>
      <c r="AJ857" s="27">
        <v>0.37700894147757363</v>
      </c>
      <c r="AK857" s="28" t="s">
        <v>3331</v>
      </c>
      <c r="AL857" s="29">
        <v>2</v>
      </c>
      <c r="AM857" s="29">
        <v>1</v>
      </c>
      <c r="AN857" s="29" t="s">
        <v>48</v>
      </c>
      <c r="AO857" s="47" t="s">
        <v>3332</v>
      </c>
      <c r="AP857" s="28">
        <v>0</v>
      </c>
      <c r="AQ857" s="26">
        <v>1.4999999999999999E-2</v>
      </c>
      <c r="AR857" s="26">
        <v>0</v>
      </c>
    </row>
    <row r="858" spans="1:44" x14ac:dyDescent="0.15">
      <c r="A858">
        <v>299</v>
      </c>
      <c r="B858" s="11">
        <v>519018</v>
      </c>
      <c r="C858" s="32"/>
      <c r="D858" s="32">
        <v>-1.5697416474417801E-4</v>
      </c>
      <c r="E858" s="32">
        <v>32</v>
      </c>
      <c r="F858" s="32">
        <v>0.915199852313066</v>
      </c>
      <c r="G858" s="11"/>
      <c r="H858" s="11"/>
      <c r="I858" s="11"/>
      <c r="J858" s="18" t="s">
        <v>44</v>
      </c>
      <c r="K858" s="18" t="s">
        <v>45</v>
      </c>
      <c r="L858" s="58" t="s">
        <v>65</v>
      </c>
      <c r="M858" s="18">
        <f>[1]!f_prt_stocktonav(B858,"2017/03/31")</f>
        <v>89.47412109375</v>
      </c>
      <c r="N858" s="20" t="str">
        <f>[1]!f_info_fundmanager(B858)</f>
        <v>佘中强</v>
      </c>
      <c r="O858" s="21">
        <v>0.6</v>
      </c>
      <c r="P858" s="34" t="s">
        <v>3333</v>
      </c>
      <c r="Q858" s="34" t="s">
        <v>3334</v>
      </c>
      <c r="R858" s="34" t="s">
        <v>331</v>
      </c>
      <c r="S858" s="34">
        <v>20060807</v>
      </c>
      <c r="T858" s="45">
        <v>50.611430754499999</v>
      </c>
      <c r="U858" s="46">
        <v>54.458610630199999</v>
      </c>
      <c r="V858" s="34" t="s">
        <v>201</v>
      </c>
      <c r="W858" s="34" t="s">
        <v>44</v>
      </c>
      <c r="X858" s="34" t="s">
        <v>45</v>
      </c>
      <c r="Y858" s="34" t="s">
        <v>65</v>
      </c>
      <c r="Z858" s="34"/>
      <c r="AA858" s="34"/>
      <c r="AB858" s="22">
        <v>0.87381294250488284</v>
      </c>
      <c r="AC858" s="23" t="s">
        <v>3335</v>
      </c>
      <c r="AD858" s="24">
        <v>0.36986301369863012</v>
      </c>
      <c r="AE858" s="25">
        <v>0.12378000674284095</v>
      </c>
      <c r="AF858" s="26">
        <v>0.11820469662071066</v>
      </c>
      <c r="AG858" s="26">
        <v>0.10466095049675372</v>
      </c>
      <c r="AH858" s="27">
        <v>0.50756292480533316</v>
      </c>
      <c r="AI858" s="27">
        <v>0.43606065646537945</v>
      </c>
      <c r="AJ858" s="27">
        <v>0.4351875133067773</v>
      </c>
      <c r="AK858" s="28" t="s">
        <v>1459</v>
      </c>
      <c r="AL858" s="29">
        <v>2</v>
      </c>
      <c r="AM858" s="29">
        <v>2</v>
      </c>
      <c r="AN858" s="29" t="s">
        <v>48</v>
      </c>
      <c r="AO858" s="47" t="s">
        <v>334</v>
      </c>
      <c r="AP858" s="28" t="s">
        <v>3192</v>
      </c>
      <c r="AQ858" s="26">
        <v>1.4999999999999999E-2</v>
      </c>
      <c r="AR858" s="26">
        <v>0</v>
      </c>
    </row>
    <row r="859" spans="1:44" x14ac:dyDescent="0.15">
      <c r="A859">
        <v>953</v>
      </c>
      <c r="B859" s="11">
        <v>202002</v>
      </c>
      <c r="C859" s="32"/>
      <c r="D859" s="32">
        <v>-1.4501076039228401E-3</v>
      </c>
      <c r="E859" s="32">
        <v>227</v>
      </c>
      <c r="F859" s="32">
        <v>5.27283947982932E-2</v>
      </c>
      <c r="G859" s="11"/>
      <c r="H859" s="11"/>
      <c r="I859" s="11"/>
      <c r="J859" s="18" t="s">
        <v>44</v>
      </c>
      <c r="K859" s="18" t="s">
        <v>45</v>
      </c>
      <c r="L859" s="58" t="s">
        <v>65</v>
      </c>
      <c r="M859" s="18">
        <f>[1]!f_prt_stocktonav(B859,"2017/03/31")</f>
        <v>70.271644592285156</v>
      </c>
      <c r="N859" s="20" t="str">
        <f>[1]!f_info_fundmanager(B859)</f>
        <v>应帅</v>
      </c>
      <c r="O859" s="21">
        <v>4.353424657534247</v>
      </c>
      <c r="P859" s="34" t="s">
        <v>3336</v>
      </c>
      <c r="Q859" s="34" t="s">
        <v>3337</v>
      </c>
      <c r="R859" s="34" t="s">
        <v>284</v>
      </c>
      <c r="S859" s="34">
        <v>20060725</v>
      </c>
      <c r="T859" s="45">
        <v>18.266844214199999</v>
      </c>
      <c r="U859" s="46">
        <v>18.804662049200001</v>
      </c>
      <c r="V859" s="34" t="s">
        <v>201</v>
      </c>
      <c r="W859" s="34" t="s">
        <v>41</v>
      </c>
      <c r="X859" s="34" t="s">
        <v>42</v>
      </c>
      <c r="Y859" s="34" t="s">
        <v>181</v>
      </c>
      <c r="Z859" s="34"/>
      <c r="AA859" s="34"/>
      <c r="AB859" s="22">
        <v>0.68404029846191405</v>
      </c>
      <c r="AC859" s="23" t="s">
        <v>562</v>
      </c>
      <c r="AD859" s="24">
        <v>4.1232876712328768</v>
      </c>
      <c r="AE859" s="25">
        <v>8.9406810151796842E-2</v>
      </c>
      <c r="AF859" s="26">
        <v>0.15041246328449986</v>
      </c>
      <c r="AG859" s="26">
        <v>9.7360426639171008E-2</v>
      </c>
      <c r="AH859" s="27">
        <v>0.42349526372064472</v>
      </c>
      <c r="AI859" s="27">
        <v>0.60952356655695572</v>
      </c>
      <c r="AJ859" s="27">
        <v>0.45887324488983566</v>
      </c>
      <c r="AK859" s="28" t="s">
        <v>3338</v>
      </c>
      <c r="AL859" s="29">
        <v>3</v>
      </c>
      <c r="AM859" s="29">
        <v>2</v>
      </c>
      <c r="AN859" s="29" t="s">
        <v>48</v>
      </c>
      <c r="AO859" s="47" t="s">
        <v>3168</v>
      </c>
      <c r="AP859" s="28">
        <v>0</v>
      </c>
      <c r="AQ859" s="26">
        <v>1.4999999999999999E-2</v>
      </c>
      <c r="AR859" s="26">
        <v>0</v>
      </c>
    </row>
    <row r="860" spans="1:44" x14ac:dyDescent="0.15">
      <c r="A860">
        <v>703</v>
      </c>
      <c r="B860" s="11">
        <v>160607</v>
      </c>
      <c r="C860" s="32"/>
      <c r="D860" s="32">
        <v>7.3301136173839997E-4</v>
      </c>
      <c r="E860" s="32">
        <v>95</v>
      </c>
      <c r="F860" s="32">
        <v>0.56355529684644501</v>
      </c>
      <c r="G860" s="11"/>
      <c r="H860" s="11"/>
      <c r="I860" s="11"/>
      <c r="J860" s="18" t="s">
        <v>44</v>
      </c>
      <c r="K860" s="18" t="s">
        <v>45</v>
      </c>
      <c r="L860" s="58" t="s">
        <v>65</v>
      </c>
      <c r="M860" s="18">
        <f>[1]!f_prt_stocktonav(B860,"2017/03/31")</f>
        <v>79.963645935058594</v>
      </c>
      <c r="N860" s="20" t="str">
        <f>[1]!f_info_fundmanager(B860)</f>
        <v>谢书英</v>
      </c>
      <c r="O860" s="21">
        <v>1.8082191780821917</v>
      </c>
      <c r="P860" s="34" t="s">
        <v>3339</v>
      </c>
      <c r="Q860" s="34" t="s">
        <v>3340</v>
      </c>
      <c r="R860" s="34" t="s">
        <v>705</v>
      </c>
      <c r="S860" s="34">
        <v>20060718</v>
      </c>
      <c r="T860" s="45">
        <v>18.546764185600001</v>
      </c>
      <c r="U860" s="46">
        <v>19.759103551799999</v>
      </c>
      <c r="V860" s="34" t="s">
        <v>201</v>
      </c>
      <c r="W860" s="34" t="s">
        <v>44</v>
      </c>
      <c r="X860" s="34" t="s">
        <v>45</v>
      </c>
      <c r="Y860" s="34" t="s">
        <v>274</v>
      </c>
      <c r="Z860" s="34"/>
      <c r="AA860" s="34"/>
      <c r="AB860" s="22">
        <v>0.9019434356689453</v>
      </c>
      <c r="AC860" s="23" t="s">
        <v>706</v>
      </c>
      <c r="AD860" s="24">
        <v>1.5780821917808219</v>
      </c>
      <c r="AE860" s="25">
        <v>0.14669569826029871</v>
      </c>
      <c r="AF860" s="26">
        <v>0.17367367298597602</v>
      </c>
      <c r="AG860" s="26">
        <v>0.12509977810820194</v>
      </c>
      <c r="AH860" s="27">
        <v>0.61742748869959918</v>
      </c>
      <c r="AI860" s="27">
        <v>0.70681520537040443</v>
      </c>
      <c r="AJ860" s="27">
        <v>0.56727131389428909</v>
      </c>
      <c r="AK860" s="28" t="s">
        <v>1302</v>
      </c>
      <c r="AL860" s="29">
        <v>3</v>
      </c>
      <c r="AM860" s="29">
        <v>4</v>
      </c>
      <c r="AN860" s="29" t="s">
        <v>48</v>
      </c>
      <c r="AO860" s="47" t="s">
        <v>3341</v>
      </c>
      <c r="AP860" s="28">
        <v>0</v>
      </c>
      <c r="AQ860" s="26">
        <v>1.4999999999999999E-2</v>
      </c>
      <c r="AR860" s="26">
        <v>0</v>
      </c>
    </row>
    <row r="861" spans="1:44" x14ac:dyDescent="0.15">
      <c r="A861">
        <v>930</v>
      </c>
      <c r="B861" s="11">
        <v>483003</v>
      </c>
      <c r="C861" s="32"/>
      <c r="D861" s="32">
        <v>-3.1928263550638201E-3</v>
      </c>
      <c r="E861" s="32">
        <v>185</v>
      </c>
      <c r="F861" s="32">
        <v>3.6084947053002399E-3</v>
      </c>
      <c r="G861" s="11"/>
      <c r="H861" s="11"/>
      <c r="I861" s="11"/>
      <c r="J861" s="18" t="s">
        <v>44</v>
      </c>
      <c r="K861" s="18" t="s">
        <v>45</v>
      </c>
      <c r="L861" s="58" t="s">
        <v>274</v>
      </c>
      <c r="M861" s="18">
        <f>[1]!f_prt_stocktonav(B861,"2017/03/31")</f>
        <v>71.165229797363281</v>
      </c>
      <c r="N861" s="20" t="str">
        <f>[1]!f_info_fundmanager(B861)</f>
        <v>黄安乐,胡文彪</v>
      </c>
      <c r="O861" s="21">
        <v>3.5534246575342467</v>
      </c>
      <c r="P861" s="34" t="s">
        <v>3342</v>
      </c>
      <c r="Q861" s="34" t="s">
        <v>3343</v>
      </c>
      <c r="R861" s="34" t="s">
        <v>523</v>
      </c>
      <c r="S861" s="34">
        <v>20060713</v>
      </c>
      <c r="T861" s="45">
        <v>18.665524521399998</v>
      </c>
      <c r="U861" s="46">
        <v>20.387760930199999</v>
      </c>
      <c r="V861" s="34" t="s">
        <v>201</v>
      </c>
      <c r="W861" s="34" t="s">
        <v>44</v>
      </c>
      <c r="X861" s="34" t="s">
        <v>45</v>
      </c>
      <c r="Y861" s="34" t="s">
        <v>274</v>
      </c>
      <c r="Z861" s="34"/>
      <c r="AA861" s="34"/>
      <c r="AB861" s="22">
        <v>0.71424072265625005</v>
      </c>
      <c r="AC861" s="23" t="s">
        <v>3344</v>
      </c>
      <c r="AD861" s="24">
        <v>3.3232876712328765</v>
      </c>
      <c r="AE861" s="25">
        <v>6.0920784423083019E-2</v>
      </c>
      <c r="AF861" s="26">
        <v>0.10516114864527371</v>
      </c>
      <c r="AG861" s="26">
        <v>2.4978976021948762E-2</v>
      </c>
      <c r="AH861" s="27">
        <v>0.30268783312231323</v>
      </c>
      <c r="AI861" s="27">
        <v>0.42747844868005819</v>
      </c>
      <c r="AJ861" s="27">
        <v>0.17406777754765704</v>
      </c>
      <c r="AK861" s="28" t="s">
        <v>3345</v>
      </c>
      <c r="AL861" s="29">
        <v>1</v>
      </c>
      <c r="AM861" s="29">
        <v>2</v>
      </c>
      <c r="AN861" s="29" t="s">
        <v>48</v>
      </c>
      <c r="AO861" s="47" t="s">
        <v>679</v>
      </c>
      <c r="AP861" s="28">
        <v>0</v>
      </c>
      <c r="AQ861" s="26">
        <v>1.4999999999999999E-2</v>
      </c>
      <c r="AR861" s="26">
        <v>0</v>
      </c>
    </row>
    <row r="862" spans="1:44" x14ac:dyDescent="0.15">
      <c r="A862">
        <v>516</v>
      </c>
      <c r="B862" s="11">
        <v>260108</v>
      </c>
      <c r="C862" s="32"/>
      <c r="D862" s="32">
        <v>4.75898889933562E-4</v>
      </c>
      <c r="E862" s="32">
        <v>103</v>
      </c>
      <c r="F862" s="32">
        <v>0.78607800828388297</v>
      </c>
      <c r="G862" s="11"/>
      <c r="H862" s="11"/>
      <c r="I862" s="11"/>
      <c r="J862" s="18" t="s">
        <v>44</v>
      </c>
      <c r="K862" s="18" t="s">
        <v>45</v>
      </c>
      <c r="L862" s="58" t="s">
        <v>65</v>
      </c>
      <c r="M862" s="18">
        <f>[1]!f_prt_stocktonav(B862,"2017/03/31")</f>
        <v>84.94049072265625</v>
      </c>
      <c r="N862" s="20" t="str">
        <f>[1]!f_info_fundmanager(B862)</f>
        <v>刘彦春</v>
      </c>
      <c r="O862" s="21">
        <v>1.978082191780822</v>
      </c>
      <c r="P862" s="34" t="s">
        <v>3346</v>
      </c>
      <c r="Q862" s="34" t="s">
        <v>3347</v>
      </c>
      <c r="R862" s="34" t="s">
        <v>353</v>
      </c>
      <c r="S862" s="34">
        <v>20060628</v>
      </c>
      <c r="T862" s="45">
        <v>9.9184532904000005</v>
      </c>
      <c r="U862" s="46">
        <v>10.517828977700001</v>
      </c>
      <c r="V862" s="34" t="s">
        <v>1219</v>
      </c>
      <c r="W862" s="34" t="s">
        <v>44</v>
      </c>
      <c r="X862" s="34" t="s">
        <v>45</v>
      </c>
      <c r="Y862" s="34" t="s">
        <v>274</v>
      </c>
      <c r="Z862" s="34"/>
      <c r="AA862" s="34"/>
      <c r="AB862" s="22">
        <v>0.86169555664062503</v>
      </c>
      <c r="AC862" s="23" t="s">
        <v>3348</v>
      </c>
      <c r="AD862" s="24">
        <v>1.747945205479452</v>
      </c>
      <c r="AE862" s="25">
        <v>7.4556478443097873E-2</v>
      </c>
      <c r="AF862" s="26">
        <v>7.642850199191642E-2</v>
      </c>
      <c r="AG862" s="26">
        <v>6.9771206603194802E-2</v>
      </c>
      <c r="AH862" s="27">
        <v>0.34957588945116008</v>
      </c>
      <c r="AI862" s="27">
        <v>0.35379032679713818</v>
      </c>
      <c r="AJ862" s="27">
        <v>0.33560214605741456</v>
      </c>
      <c r="AK862" s="28" t="s">
        <v>3349</v>
      </c>
      <c r="AL862" s="29">
        <v>2</v>
      </c>
      <c r="AM862" s="29">
        <v>2</v>
      </c>
      <c r="AN862" s="29" t="s">
        <v>48</v>
      </c>
      <c r="AO862" s="47" t="s">
        <v>2905</v>
      </c>
      <c r="AP862" s="28">
        <v>0</v>
      </c>
      <c r="AQ862" s="26">
        <v>1.4999999999999999E-2</v>
      </c>
      <c r="AR862" s="26">
        <v>0</v>
      </c>
    </row>
    <row r="863" spans="1:44" x14ac:dyDescent="0.15">
      <c r="A863">
        <v>821</v>
      </c>
      <c r="B863" s="11">
        <v>240008</v>
      </c>
      <c r="C863" s="32"/>
      <c r="D863" s="32">
        <v>-2.1239611805623799E-3</v>
      </c>
      <c r="E863" s="32">
        <v>111</v>
      </c>
      <c r="F863" s="32">
        <v>4.15049281958133E-2</v>
      </c>
      <c r="G863" s="11"/>
      <c r="H863" s="11"/>
      <c r="I863" s="11"/>
      <c r="J863" s="18" t="s">
        <v>44</v>
      </c>
      <c r="K863" s="18" t="s">
        <v>87</v>
      </c>
      <c r="L863" s="58" t="s">
        <v>337</v>
      </c>
      <c r="M863" s="18">
        <f>[1]!f_prt_stocktonav(B863,"2017/03/31")</f>
        <v>75.8604736328125</v>
      </c>
      <c r="N863" s="20" t="str">
        <f>[1]!f_info_fundmanager(B863)</f>
        <v>毛文博,闫旭</v>
      </c>
      <c r="O863" s="21">
        <v>2.117808219178082</v>
      </c>
      <c r="P863" s="34" t="s">
        <v>3350</v>
      </c>
      <c r="Q863" s="34" t="s">
        <v>3351</v>
      </c>
      <c r="R863" s="34" t="s">
        <v>737</v>
      </c>
      <c r="S863" s="34">
        <v>20060615</v>
      </c>
      <c r="T863" s="45">
        <v>15.7553118096</v>
      </c>
      <c r="U863" s="46">
        <v>16.867694192199998</v>
      </c>
      <c r="V863" s="34" t="s">
        <v>1219</v>
      </c>
      <c r="W863" s="34" t="s">
        <v>44</v>
      </c>
      <c r="X863" s="34" t="s">
        <v>45</v>
      </c>
      <c r="Y863" s="34" t="s">
        <v>65</v>
      </c>
      <c r="Z863" s="34"/>
      <c r="AA863" s="34"/>
      <c r="AB863" s="22">
        <v>0.79826309204101564</v>
      </c>
      <c r="AC863" s="23" t="s">
        <v>3352</v>
      </c>
      <c r="AD863" s="24">
        <v>1.8876712328767122</v>
      </c>
      <c r="AE863" s="25">
        <v>0.17980507722686201</v>
      </c>
      <c r="AF863" s="26">
        <v>0.12252312872602245</v>
      </c>
      <c r="AG863" s="26">
        <v>0.17562685111895918</v>
      </c>
      <c r="AH863" s="27">
        <v>0.69002134024532413</v>
      </c>
      <c r="AI863" s="27">
        <v>0.46484165076259149</v>
      </c>
      <c r="AJ863" s="27">
        <v>0.69790481375462121</v>
      </c>
      <c r="AK863" s="28" t="s">
        <v>3353</v>
      </c>
      <c r="AL863" s="29">
        <v>5</v>
      </c>
      <c r="AM863" s="29">
        <v>1</v>
      </c>
      <c r="AN863" s="29" t="s">
        <v>48</v>
      </c>
      <c r="AO863" s="47" t="s">
        <v>739</v>
      </c>
      <c r="AP863" s="28">
        <v>0</v>
      </c>
      <c r="AQ863" s="26">
        <v>1.4999999999999999E-2</v>
      </c>
      <c r="AR863" s="26">
        <v>0</v>
      </c>
    </row>
    <row r="864" spans="1:44" x14ac:dyDescent="0.15">
      <c r="A864">
        <v>531</v>
      </c>
      <c r="B864" s="11">
        <v>519690</v>
      </c>
      <c r="C864" s="32"/>
      <c r="D864" s="32">
        <v>3.9419554302951899E-4</v>
      </c>
      <c r="E864" s="32">
        <v>172</v>
      </c>
      <c r="F864" s="32">
        <v>0.80172301646782795</v>
      </c>
      <c r="G864" s="11"/>
      <c r="H864" s="11"/>
      <c r="I864" s="11"/>
      <c r="J864" s="18" t="s">
        <v>44</v>
      </c>
      <c r="K864" s="19" t="s">
        <v>45</v>
      </c>
      <c r="L864" s="58" t="s">
        <v>65</v>
      </c>
      <c r="M864" s="18">
        <f>[1]!f_prt_stocktonav(B864,"2017/03/31")</f>
        <v>84.575927734375</v>
      </c>
      <c r="N864" s="20" t="str">
        <f>[1]!f_info_fundmanager(B864)</f>
        <v>唐倩</v>
      </c>
      <c r="O864" s="21">
        <v>3.3013698630136985</v>
      </c>
      <c r="P864" s="32" t="s">
        <v>3354</v>
      </c>
      <c r="Q864" s="13" t="s">
        <v>3355</v>
      </c>
      <c r="R864" s="13" t="s">
        <v>138</v>
      </c>
      <c r="S864" s="13">
        <v>20060614</v>
      </c>
      <c r="T864" s="14">
        <v>20.442384926399999</v>
      </c>
      <c r="U864" s="15" t="s">
        <v>39</v>
      </c>
      <c r="V864" s="16" t="s">
        <v>40</v>
      </c>
      <c r="W864" s="17" t="s">
        <v>44</v>
      </c>
      <c r="X864" s="17" t="s">
        <v>45</v>
      </c>
      <c r="Y864" s="17" t="s">
        <v>65</v>
      </c>
      <c r="Z864" s="13"/>
      <c r="AA864" s="13"/>
      <c r="AB864" s="22">
        <v>0.77201675415039062</v>
      </c>
      <c r="AC864" s="23" t="s">
        <v>3356</v>
      </c>
      <c r="AD864" s="24">
        <v>3.0712328767123287</v>
      </c>
      <c r="AE864" s="25">
        <v>0.14405507353219194</v>
      </c>
      <c r="AF864" s="26">
        <v>0.13239571465572841</v>
      </c>
      <c r="AG864" s="26">
        <v>0.10215809217355654</v>
      </c>
      <c r="AH864" s="27">
        <v>0.58709236740205739</v>
      </c>
      <c r="AI864" s="27">
        <v>0.51312049417165417</v>
      </c>
      <c r="AJ864" s="27">
        <v>0.45367703043943564</v>
      </c>
      <c r="AK864" s="28" t="s">
        <v>3357</v>
      </c>
      <c r="AL864" s="29">
        <v>3</v>
      </c>
      <c r="AM864" s="29">
        <v>3</v>
      </c>
      <c r="AN864" s="29" t="s">
        <v>48</v>
      </c>
      <c r="AO864" s="23">
        <v>0</v>
      </c>
      <c r="AP864" s="30">
        <v>0</v>
      </c>
      <c r="AQ864" s="31">
        <v>1.4999999999999999E-2</v>
      </c>
      <c r="AR864" s="31">
        <v>0</v>
      </c>
    </row>
    <row r="865" spans="1:44" x14ac:dyDescent="0.15">
      <c r="A865">
        <v>446</v>
      </c>
      <c r="B865" s="11">
        <v>450002</v>
      </c>
      <c r="C865" s="32"/>
      <c r="D865" s="32">
        <v>7.1854508980838297E-4</v>
      </c>
      <c r="E865" s="32">
        <v>119</v>
      </c>
      <c r="F865" s="32">
        <v>0.57766055225785595</v>
      </c>
      <c r="G865" s="11"/>
      <c r="H865" s="11"/>
      <c r="I865" s="11"/>
      <c r="J865" s="18" t="s">
        <v>44</v>
      </c>
      <c r="K865" s="18" t="s">
        <v>45</v>
      </c>
      <c r="L865" s="58" t="s">
        <v>65</v>
      </c>
      <c r="M865" s="18">
        <f>[1]!f_prt_stocktonav(B865,"2017/03/31")</f>
        <v>86.394119262695313</v>
      </c>
      <c r="N865" s="20" t="str">
        <f>[1]!f_info_fundmanager(B865)</f>
        <v>赵晓东</v>
      </c>
      <c r="O865" s="21">
        <v>2.2821917808219179</v>
      </c>
      <c r="P865" s="34" t="s">
        <v>3358</v>
      </c>
      <c r="Q865" s="34" t="s">
        <v>3359</v>
      </c>
      <c r="R865" s="34" t="s">
        <v>742</v>
      </c>
      <c r="S865" s="34">
        <v>20060614</v>
      </c>
      <c r="T865" s="45">
        <v>22.8361538815</v>
      </c>
      <c r="U865" s="46">
        <v>24.375911933299999</v>
      </c>
      <c r="V865" s="34" t="s">
        <v>231</v>
      </c>
      <c r="W865" s="34" t="s">
        <v>44</v>
      </c>
      <c r="X865" s="34" t="s">
        <v>45</v>
      </c>
      <c r="Y865" s="34" t="s">
        <v>65</v>
      </c>
      <c r="Z865" s="34"/>
      <c r="AA865" s="34"/>
      <c r="AB865" s="22">
        <v>0.85086227416992188</v>
      </c>
      <c r="AC865" s="23" t="s">
        <v>2617</v>
      </c>
      <c r="AD865" s="24">
        <v>2.0520547945205481</v>
      </c>
      <c r="AE865" s="25">
        <v>0.17462256225438888</v>
      </c>
      <c r="AF865" s="26">
        <v>0.16211765770084785</v>
      </c>
      <c r="AG865" s="26">
        <v>0.13096591976217575</v>
      </c>
      <c r="AH865" s="27">
        <v>0.72959925187364538</v>
      </c>
      <c r="AI865" s="27">
        <v>0.63383577110948364</v>
      </c>
      <c r="AJ865" s="27">
        <v>0.58046578250459768</v>
      </c>
      <c r="AK865" s="28" t="s">
        <v>3360</v>
      </c>
      <c r="AL865" s="29">
        <v>3</v>
      </c>
      <c r="AM865" s="29">
        <v>4</v>
      </c>
      <c r="AN865" s="29" t="s">
        <v>48</v>
      </c>
      <c r="AO865" s="47" t="s">
        <v>2905</v>
      </c>
      <c r="AP865" s="28">
        <v>0</v>
      </c>
      <c r="AQ865" s="26">
        <v>1.4999999999999999E-2</v>
      </c>
      <c r="AR865" s="26">
        <v>0</v>
      </c>
    </row>
    <row r="866" spans="1:44" x14ac:dyDescent="0.15">
      <c r="A866">
        <v>481</v>
      </c>
      <c r="B866" s="11">
        <v>110009</v>
      </c>
      <c r="C866" s="32"/>
      <c r="D866" s="32">
        <v>-2.0861641823357699E-3</v>
      </c>
      <c r="E866" s="32">
        <v>169</v>
      </c>
      <c r="F866" s="32">
        <v>9.77288075065601E-2</v>
      </c>
      <c r="G866" s="11"/>
      <c r="H866" s="11"/>
      <c r="I866" s="11"/>
      <c r="J866" s="18" t="s">
        <v>44</v>
      </c>
      <c r="K866" s="18" t="s">
        <v>45</v>
      </c>
      <c r="L866" s="58" t="s">
        <v>274</v>
      </c>
      <c r="M866" s="18">
        <f>[1]!f_prt_stocktonav(B866,"2017/03/31")</f>
        <v>85.66680908203125</v>
      </c>
      <c r="N866" s="20" t="str">
        <f>[1]!f_info_fundmanager(B866)</f>
        <v>郑希</v>
      </c>
      <c r="O866" s="21">
        <v>3.2438356164383562</v>
      </c>
      <c r="P866" s="34" t="s">
        <v>3361</v>
      </c>
      <c r="Q866" s="34" t="s">
        <v>3362</v>
      </c>
      <c r="R866" s="34" t="s">
        <v>218</v>
      </c>
      <c r="S866" s="34">
        <v>20060613</v>
      </c>
      <c r="T866" s="45">
        <v>27.976026157500002</v>
      </c>
      <c r="U866" s="46">
        <v>30.310945991600001</v>
      </c>
      <c r="V866" s="34" t="s">
        <v>231</v>
      </c>
      <c r="W866" s="34" t="s">
        <v>44</v>
      </c>
      <c r="X866" s="34" t="s">
        <v>45</v>
      </c>
      <c r="Y866" s="34" t="s">
        <v>274</v>
      </c>
      <c r="Z866" s="34"/>
      <c r="AA866" s="34"/>
      <c r="AB866" s="22">
        <v>0.85193183898925784</v>
      </c>
      <c r="AC866" s="23" t="s">
        <v>3363</v>
      </c>
      <c r="AD866" s="24">
        <v>3.0136986301369864</v>
      </c>
      <c r="AE866" s="25">
        <v>0.13034298827273405</v>
      </c>
      <c r="AF866" s="26">
        <v>0.14270661542768526</v>
      </c>
      <c r="AG866" s="26">
        <v>8.9239839889091233E-2</v>
      </c>
      <c r="AH866" s="27">
        <v>0.53439657738089053</v>
      </c>
      <c r="AI866" s="27">
        <v>0.52248336347829083</v>
      </c>
      <c r="AJ866" s="27">
        <v>0.39453834781814084</v>
      </c>
      <c r="AK866" s="28" t="s">
        <v>726</v>
      </c>
      <c r="AL866" s="29">
        <v>1</v>
      </c>
      <c r="AM866" s="29">
        <v>3</v>
      </c>
      <c r="AN866" s="29" t="s">
        <v>48</v>
      </c>
      <c r="AO866" s="47" t="s">
        <v>2457</v>
      </c>
      <c r="AP866" s="28">
        <v>0</v>
      </c>
      <c r="AQ866" s="26">
        <v>1.4999999999999999E-2</v>
      </c>
      <c r="AR866" s="26">
        <v>0</v>
      </c>
    </row>
    <row r="867" spans="1:44" x14ac:dyDescent="0.15">
      <c r="A867">
        <v>754</v>
      </c>
      <c r="B867" s="11">
        <v>180010</v>
      </c>
      <c r="C867" s="32"/>
      <c r="D867" s="32">
        <v>4.5541304243032297E-6</v>
      </c>
      <c r="E867" s="32">
        <v>38</v>
      </c>
      <c r="F867" s="32">
        <v>0.99638570611225996</v>
      </c>
      <c r="G867" s="11"/>
      <c r="H867" s="11"/>
      <c r="I867" s="11"/>
      <c r="J867" s="18" t="s">
        <v>44</v>
      </c>
      <c r="K867" s="18" t="s">
        <v>45</v>
      </c>
      <c r="L867" s="58" t="s">
        <v>65</v>
      </c>
      <c r="M867" s="18">
        <f>[1]!f_prt_stocktonav(B867,"2017/03/31")</f>
        <v>78.165451049804687</v>
      </c>
      <c r="N867" s="20" t="str">
        <f>[1]!f_info_fundmanager(B867)</f>
        <v>王华,贲兴振</v>
      </c>
      <c r="O867" s="21">
        <v>0.72876712328767124</v>
      </c>
      <c r="P867" s="34" t="s">
        <v>3364</v>
      </c>
      <c r="Q867" s="34" t="s">
        <v>3365</v>
      </c>
      <c r="R867" s="34" t="s">
        <v>57</v>
      </c>
      <c r="S867" s="34">
        <v>20060609</v>
      </c>
      <c r="T867" s="45">
        <v>27.404167323300001</v>
      </c>
      <c r="U867" s="46">
        <v>27.8248454951</v>
      </c>
      <c r="V867" s="34" t="s">
        <v>231</v>
      </c>
      <c r="W867" s="34" t="s">
        <v>44</v>
      </c>
      <c r="X867" s="34" t="s">
        <v>45</v>
      </c>
      <c r="Y867" s="34" t="s">
        <v>65</v>
      </c>
      <c r="Z867" s="34"/>
      <c r="AA867" s="34"/>
      <c r="AB867" s="22">
        <v>0.72959014892578122</v>
      </c>
      <c r="AC867" s="23" t="s">
        <v>3366</v>
      </c>
      <c r="AD867" s="24">
        <v>0.49863013698630138</v>
      </c>
      <c r="AE867" s="25">
        <v>0.15402747947824702</v>
      </c>
      <c r="AF867" s="26">
        <v>0.1114470139288577</v>
      </c>
      <c r="AG867" s="26">
        <v>0.13168037833655166</v>
      </c>
      <c r="AH867" s="27">
        <v>0.63619553068043833</v>
      </c>
      <c r="AI867" s="27">
        <v>0.48227256951975483</v>
      </c>
      <c r="AJ867" s="27">
        <v>0.58831116601483591</v>
      </c>
      <c r="AK867" s="28" t="s">
        <v>110</v>
      </c>
      <c r="AL867" s="29">
        <v>4</v>
      </c>
      <c r="AM867" s="29">
        <v>3</v>
      </c>
      <c r="AN867" s="29" t="s">
        <v>48</v>
      </c>
      <c r="AO867" s="47" t="s">
        <v>2297</v>
      </c>
      <c r="AP867" s="28">
        <v>0</v>
      </c>
      <c r="AQ867" s="26">
        <v>1.4999999999999999E-2</v>
      </c>
      <c r="AR867" s="26">
        <v>0</v>
      </c>
    </row>
    <row r="868" spans="1:44" x14ac:dyDescent="0.15">
      <c r="A868">
        <v>367</v>
      </c>
      <c r="B868" s="11">
        <v>270006</v>
      </c>
      <c r="C868" s="32"/>
      <c r="D868" s="32">
        <v>-3.2869014628078E-3</v>
      </c>
      <c r="E868" s="32">
        <v>159</v>
      </c>
      <c r="F868" s="32">
        <v>5.1752046438507601E-3</v>
      </c>
      <c r="G868" s="11"/>
      <c r="H868" s="11"/>
      <c r="I868" s="11"/>
      <c r="J868" s="18" t="s">
        <v>44</v>
      </c>
      <c r="K868" s="18" t="s">
        <v>45</v>
      </c>
      <c r="L868" s="58" t="s">
        <v>274</v>
      </c>
      <c r="M868" s="18">
        <f>[1]!f_prt_stocktonav(B868,"2017/03/31")</f>
        <v>88.144523620605469</v>
      </c>
      <c r="N868" s="20" t="str">
        <f>[1]!f_info_fundmanager(B868)</f>
        <v>李巍,王小松</v>
      </c>
      <c r="O868" s="21">
        <v>3.0410958904109591</v>
      </c>
      <c r="P868" s="34" t="s">
        <v>3367</v>
      </c>
      <c r="Q868" s="34" t="s">
        <v>3368</v>
      </c>
      <c r="R868" s="34" t="s">
        <v>132</v>
      </c>
      <c r="S868" s="34">
        <v>20060517</v>
      </c>
      <c r="T868" s="45">
        <v>40.526319802099998</v>
      </c>
      <c r="U868" s="46">
        <v>43.2548149685</v>
      </c>
      <c r="V868" s="34" t="s">
        <v>231</v>
      </c>
      <c r="W868" s="34" t="s">
        <v>44</v>
      </c>
      <c r="X868" s="34" t="s">
        <v>45</v>
      </c>
      <c r="Y868" s="34" t="s">
        <v>274</v>
      </c>
      <c r="Z868" s="34"/>
      <c r="AA868" s="34"/>
      <c r="AB868" s="22">
        <v>0.90013725280761714</v>
      </c>
      <c r="AC868" s="23" t="s">
        <v>687</v>
      </c>
      <c r="AD868" s="24">
        <v>2.8109589041095893</v>
      </c>
      <c r="AE868" s="25">
        <v>0.13408529500412425</v>
      </c>
      <c r="AF868" s="26">
        <v>9.6806248493586336E-2</v>
      </c>
      <c r="AG868" s="26">
        <v>8.4833051631685516E-2</v>
      </c>
      <c r="AH868" s="27">
        <v>0.53943065070882679</v>
      </c>
      <c r="AI868" s="27">
        <v>0.39224723289558133</v>
      </c>
      <c r="AJ868" s="27">
        <v>0.3778770991979391</v>
      </c>
      <c r="AK868" s="28" t="s">
        <v>2119</v>
      </c>
      <c r="AL868" s="29">
        <v>2</v>
      </c>
      <c r="AM868" s="29">
        <v>2</v>
      </c>
      <c r="AN868" s="29" t="s">
        <v>48</v>
      </c>
      <c r="AO868" s="47" t="s">
        <v>287</v>
      </c>
      <c r="AP868" s="28" t="s">
        <v>3115</v>
      </c>
      <c r="AQ868" s="26">
        <v>1.4999999999999999E-2</v>
      </c>
      <c r="AR868" s="26">
        <v>0</v>
      </c>
    </row>
    <row r="869" spans="1:44" x14ac:dyDescent="0.15">
      <c r="A869">
        <v>555</v>
      </c>
      <c r="B869" s="11">
        <v>519994</v>
      </c>
      <c r="C869" s="32"/>
      <c r="D869" s="32">
        <v>-2.20017848541977E-3</v>
      </c>
      <c r="E869" s="32">
        <v>38</v>
      </c>
      <c r="F869" s="32">
        <v>4.21234738129782E-2</v>
      </c>
      <c r="G869" s="11"/>
      <c r="H869" s="11"/>
      <c r="I869" s="11"/>
      <c r="J869" s="18" t="s">
        <v>44</v>
      </c>
      <c r="K869" s="18" t="s">
        <v>45</v>
      </c>
      <c r="L869" s="58" t="s">
        <v>274</v>
      </c>
      <c r="M869" s="18">
        <f>[1]!f_prt_stocktonav(B869,"2017/03/31")</f>
        <v>83.928123474121094</v>
      </c>
      <c r="N869" s="20" t="str">
        <f>[1]!f_info_fundmanager(B869)</f>
        <v>常松</v>
      </c>
      <c r="O869" s="21">
        <v>0.71232876712328763</v>
      </c>
      <c r="P869" s="34" t="s">
        <v>3369</v>
      </c>
      <c r="Q869" s="34" t="s">
        <v>3370</v>
      </c>
      <c r="R869" s="34" t="s">
        <v>206</v>
      </c>
      <c r="S869" s="34">
        <v>20060430</v>
      </c>
      <c r="T869" s="45">
        <v>21.3512717471</v>
      </c>
      <c r="U869" s="46">
        <v>23.122975288599999</v>
      </c>
      <c r="V869" s="34" t="s">
        <v>231</v>
      </c>
      <c r="W869" s="34" t="s">
        <v>44</v>
      </c>
      <c r="X869" s="34" t="s">
        <v>45</v>
      </c>
      <c r="Y869" s="34" t="s">
        <v>65</v>
      </c>
      <c r="Z869" s="34"/>
      <c r="AA869" s="34"/>
      <c r="AB869" s="22">
        <v>0.86438407897949221</v>
      </c>
      <c r="AC869" s="23" t="s">
        <v>3371</v>
      </c>
      <c r="AD869" s="24">
        <v>0.48219178082191783</v>
      </c>
      <c r="AE869" s="25">
        <v>0.11084014254535803</v>
      </c>
      <c r="AF869" s="26">
        <v>0.22686190384681892</v>
      </c>
      <c r="AG869" s="26">
        <v>0.1040915210340243</v>
      </c>
      <c r="AH869" s="27">
        <v>0.45846129566613425</v>
      </c>
      <c r="AI869" s="27">
        <v>0.76736294076939349</v>
      </c>
      <c r="AJ869" s="27">
        <v>0.44173163176996599</v>
      </c>
      <c r="AK869" s="28" t="s">
        <v>3372</v>
      </c>
      <c r="AL869" s="29">
        <v>1</v>
      </c>
      <c r="AM869" s="29">
        <v>3</v>
      </c>
      <c r="AN869" s="29" t="s">
        <v>48</v>
      </c>
      <c r="AO869" s="47" t="s">
        <v>209</v>
      </c>
      <c r="AP869" s="28" t="s">
        <v>3373</v>
      </c>
      <c r="AQ869" s="26">
        <v>1.4999999999999999E-2</v>
      </c>
      <c r="AR869" s="26">
        <v>0</v>
      </c>
    </row>
    <row r="870" spans="1:44" x14ac:dyDescent="0.15">
      <c r="A870">
        <v>739</v>
      </c>
      <c r="B870" s="11">
        <v>550001</v>
      </c>
      <c r="C870" s="32"/>
      <c r="D870" s="32">
        <v>-1.56226508576871E-3</v>
      </c>
      <c r="E870" s="32">
        <v>357</v>
      </c>
      <c r="F870" s="32">
        <v>3.6553359183321997E-2</v>
      </c>
      <c r="G870" s="11"/>
      <c r="H870" s="11"/>
      <c r="I870" s="11"/>
      <c r="J870" s="18" t="s">
        <v>44</v>
      </c>
      <c r="K870" s="18" t="s">
        <v>45</v>
      </c>
      <c r="L870" s="58" t="s">
        <v>65</v>
      </c>
      <c r="M870" s="18">
        <f>[1]!f_prt_stocktonav(B870,"2017/03/31")</f>
        <v>78.797554016113281</v>
      </c>
      <c r="N870" s="20" t="str">
        <f>[1]!f_info_fundmanager(B870)</f>
        <v>闾志刚</v>
      </c>
      <c r="O870" s="21">
        <v>6.8547945205479452</v>
      </c>
      <c r="P870" s="34" t="s">
        <v>3374</v>
      </c>
      <c r="Q870" s="34" t="s">
        <v>3375</v>
      </c>
      <c r="R870" s="34" t="s">
        <v>456</v>
      </c>
      <c r="S870" s="34">
        <v>20060429</v>
      </c>
      <c r="T870" s="45">
        <v>15.8948087331</v>
      </c>
      <c r="U870" s="46">
        <v>15.396823508800001</v>
      </c>
      <c r="V870" s="34" t="s">
        <v>231</v>
      </c>
      <c r="W870" s="34" t="s">
        <v>41</v>
      </c>
      <c r="X870" s="34" t="s">
        <v>42</v>
      </c>
      <c r="Y870" s="34" t="s">
        <v>181</v>
      </c>
      <c r="Z870" s="34"/>
      <c r="AA870" s="34"/>
      <c r="AB870" s="22">
        <v>0.5065226364135742</v>
      </c>
      <c r="AC870" s="23" t="s">
        <v>3376</v>
      </c>
      <c r="AD870" s="24">
        <v>6.624657534246575</v>
      </c>
      <c r="AE870" s="25">
        <v>0.13166388122320138</v>
      </c>
      <c r="AF870" s="26">
        <v>0.1817591295168772</v>
      </c>
      <c r="AG870" s="26">
        <v>0.13478905898650684</v>
      </c>
      <c r="AH870" s="27">
        <v>0.55845563945999888</v>
      </c>
      <c r="AI870" s="27">
        <v>0.64680617267793805</v>
      </c>
      <c r="AJ870" s="27">
        <v>0.55328209243002036</v>
      </c>
      <c r="AK870" s="28" t="s">
        <v>3377</v>
      </c>
      <c r="AL870" s="29">
        <v>5</v>
      </c>
      <c r="AM870" s="29">
        <v>3</v>
      </c>
      <c r="AN870" s="29" t="s">
        <v>48</v>
      </c>
      <c r="AO870" s="47" t="s">
        <v>3378</v>
      </c>
      <c r="AP870" s="28" t="s">
        <v>608</v>
      </c>
      <c r="AQ870" s="26">
        <v>1.4999999999999999E-2</v>
      </c>
      <c r="AR870" s="26">
        <v>0</v>
      </c>
    </row>
    <row r="871" spans="1:44" x14ac:dyDescent="0.15">
      <c r="A871">
        <v>186</v>
      </c>
      <c r="B871" s="11">
        <v>121003</v>
      </c>
      <c r="C871" s="32"/>
      <c r="D871" s="32">
        <v>-5.2702645936673204E-3</v>
      </c>
      <c r="E871" s="32">
        <v>71</v>
      </c>
      <c r="F871" s="32">
        <v>6.4947921726680503E-4</v>
      </c>
      <c r="G871" s="11"/>
      <c r="H871" s="11"/>
      <c r="I871" s="11"/>
      <c r="J871" s="18" t="s">
        <v>44</v>
      </c>
      <c r="K871" s="18" t="s">
        <v>45</v>
      </c>
      <c r="L871" s="58" t="s">
        <v>274</v>
      </c>
      <c r="M871" s="18">
        <f>[1]!f_prt_stocktonav(B871,"2017/03/31")</f>
        <v>92.019050598144531</v>
      </c>
      <c r="N871" s="20" t="str">
        <f>[1]!f_info_fundmanager(B871)</f>
        <v>于雷</v>
      </c>
      <c r="O871" s="21">
        <v>1.3589041095890411</v>
      </c>
      <c r="P871" s="34" t="s">
        <v>3379</v>
      </c>
      <c r="Q871" s="34" t="s">
        <v>3380</v>
      </c>
      <c r="R871" s="34" t="s">
        <v>452</v>
      </c>
      <c r="S871" s="34">
        <v>20060419</v>
      </c>
      <c r="T871" s="45">
        <v>11.482489360500001</v>
      </c>
      <c r="U871" s="46">
        <v>12.2008638539</v>
      </c>
      <c r="V871" s="34" t="s">
        <v>231</v>
      </c>
      <c r="W871" s="34" t="s">
        <v>44</v>
      </c>
      <c r="X871" s="34" t="s">
        <v>45</v>
      </c>
      <c r="Y871" s="34" t="s">
        <v>274</v>
      </c>
      <c r="Z871" s="34"/>
      <c r="AA871" s="34"/>
      <c r="AB871" s="22">
        <v>0.87064949035644534</v>
      </c>
      <c r="AC871" s="23" t="s">
        <v>3381</v>
      </c>
      <c r="AD871" s="24">
        <v>1.1287671232876713</v>
      </c>
      <c r="AE871" s="25">
        <v>7.3209115793633872E-2</v>
      </c>
      <c r="AF871" s="26">
        <v>1.1739959465847605E-2</v>
      </c>
      <c r="AG871" s="26">
        <v>1.400248812582805E-2</v>
      </c>
      <c r="AH871" s="27">
        <v>0.34343131767270851</v>
      </c>
      <c r="AI871" s="27">
        <v>0.14383486564648601</v>
      </c>
      <c r="AJ871" s="27">
        <v>0.12950250849877079</v>
      </c>
      <c r="AK871" s="28" t="s">
        <v>3382</v>
      </c>
      <c r="AL871" s="29">
        <v>1</v>
      </c>
      <c r="AM871" s="29">
        <v>2</v>
      </c>
      <c r="AN871" s="29" t="s">
        <v>48</v>
      </c>
      <c r="AO871" s="47" t="s">
        <v>3051</v>
      </c>
      <c r="AP871" s="28">
        <v>0</v>
      </c>
      <c r="AQ871" s="26">
        <v>1.4999999999999999E-2</v>
      </c>
      <c r="AR871" s="26">
        <v>0</v>
      </c>
    </row>
    <row r="872" spans="1:44" x14ac:dyDescent="0.15">
      <c r="A872">
        <v>817</v>
      </c>
      <c r="B872" s="11">
        <v>200006</v>
      </c>
      <c r="C872" s="32"/>
      <c r="D872" s="32">
        <v>-1.4100636830552399E-4</v>
      </c>
      <c r="E872" s="32">
        <v>62</v>
      </c>
      <c r="F872" s="32">
        <v>0.94652424184991002</v>
      </c>
      <c r="G872" s="11"/>
      <c r="H872" s="11"/>
      <c r="I872" s="11"/>
      <c r="J872" s="18" t="s">
        <v>44</v>
      </c>
      <c r="K872" s="18" t="s">
        <v>45</v>
      </c>
      <c r="L872" s="58" t="s">
        <v>65</v>
      </c>
      <c r="M872" s="18">
        <f>[1]!f_prt_stocktonav(B872,"2017/03/31")</f>
        <v>76.007583618164062</v>
      </c>
      <c r="N872" s="20" t="str">
        <f>[1]!f_info_fundmanager(B872)</f>
        <v>郑帮强</v>
      </c>
      <c r="O872" s="21">
        <v>1.1917808219178083</v>
      </c>
      <c r="P872" s="34" t="s">
        <v>3383</v>
      </c>
      <c r="Q872" s="34" t="s">
        <v>3384</v>
      </c>
      <c r="R872" s="34" t="s">
        <v>1172</v>
      </c>
      <c r="S872" s="34">
        <v>20060406</v>
      </c>
      <c r="T872" s="45">
        <v>10.0160091894</v>
      </c>
      <c r="U872" s="46">
        <v>13.4691909484</v>
      </c>
      <c r="V872" s="34" t="s">
        <v>231</v>
      </c>
      <c r="W872" s="34" t="s">
        <v>44</v>
      </c>
      <c r="X872" s="34" t="s">
        <v>45</v>
      </c>
      <c r="Y872" s="34" t="s">
        <v>65</v>
      </c>
      <c r="Z872" s="34"/>
      <c r="AA872" s="34"/>
      <c r="AB872" s="22">
        <v>0.85241134643554684</v>
      </c>
      <c r="AC872" s="23" t="s">
        <v>2336</v>
      </c>
      <c r="AD872" s="24">
        <v>0.9616438356164384</v>
      </c>
      <c r="AE872" s="25">
        <v>9.7307518108252791E-2</v>
      </c>
      <c r="AF872" s="26">
        <v>3.0968895625464787E-2</v>
      </c>
      <c r="AG872" s="26">
        <v>3.0044652329199506E-2</v>
      </c>
      <c r="AH872" s="27">
        <v>0.43975426911964061</v>
      </c>
      <c r="AI872" s="27">
        <v>0.19452712001140765</v>
      </c>
      <c r="AJ872" s="27">
        <v>0.18281891646448775</v>
      </c>
      <c r="AK872" s="28" t="s">
        <v>3385</v>
      </c>
      <c r="AL872" s="29">
        <v>1</v>
      </c>
      <c r="AM872" s="29">
        <v>3</v>
      </c>
      <c r="AN872" s="29" t="s">
        <v>48</v>
      </c>
      <c r="AO872" s="47" t="s">
        <v>3386</v>
      </c>
      <c r="AP872" s="28">
        <v>0</v>
      </c>
      <c r="AQ872" s="26">
        <v>1.4999999999999999E-2</v>
      </c>
      <c r="AR872" s="26">
        <v>0</v>
      </c>
    </row>
    <row r="873" spans="1:44" x14ac:dyDescent="0.15">
      <c r="A873">
        <v>342</v>
      </c>
      <c r="B873" s="11">
        <v>163803</v>
      </c>
      <c r="C873" s="32"/>
      <c r="D873" s="32">
        <v>-3.31658842980922E-3</v>
      </c>
      <c r="E873" s="32">
        <v>186</v>
      </c>
      <c r="F873" s="32">
        <v>1.99191603005597E-2</v>
      </c>
      <c r="G873" s="11"/>
      <c r="H873" s="11"/>
      <c r="I873" s="11"/>
      <c r="J873" s="18" t="s">
        <v>44</v>
      </c>
      <c r="K873" s="18" t="s">
        <v>45</v>
      </c>
      <c r="L873" s="58" t="s">
        <v>65</v>
      </c>
      <c r="M873" s="18">
        <f>[1]!f_prt_stocktonav(B873,"2017/03/31")</f>
        <v>88.65655517578125</v>
      </c>
      <c r="N873" s="20" t="str">
        <f>[1]!f_info_fundmanager(B873)</f>
        <v>辜岚</v>
      </c>
      <c r="O873" s="21">
        <v>3.5726027397260274</v>
      </c>
      <c r="P873" s="34" t="s">
        <v>3387</v>
      </c>
      <c r="Q873" s="34" t="s">
        <v>3388</v>
      </c>
      <c r="R873" s="34" t="s">
        <v>71</v>
      </c>
      <c r="S873" s="34">
        <v>20060317</v>
      </c>
      <c r="T873" s="45">
        <v>21.1316932778</v>
      </c>
      <c r="U873" s="46">
        <v>22.2042305455</v>
      </c>
      <c r="V873" s="34" t="s">
        <v>231</v>
      </c>
      <c r="W873" s="34" t="s">
        <v>44</v>
      </c>
      <c r="X873" s="34" t="s">
        <v>45</v>
      </c>
      <c r="Y873" s="34" t="s">
        <v>65</v>
      </c>
      <c r="Z873" s="34"/>
      <c r="AA873" s="34"/>
      <c r="AB873" s="22">
        <v>0.82199661254882816</v>
      </c>
      <c r="AC873" s="23" t="s">
        <v>1449</v>
      </c>
      <c r="AD873" s="24">
        <v>3.3424657534246576</v>
      </c>
      <c r="AE873" s="25">
        <v>0.1429344530039578</v>
      </c>
      <c r="AF873" s="26">
        <v>0.1107570891750347</v>
      </c>
      <c r="AG873" s="26">
        <v>0.10259483739774167</v>
      </c>
      <c r="AH873" s="27">
        <v>0.5754259746710122</v>
      </c>
      <c r="AI873" s="27">
        <v>0.41359225891008161</v>
      </c>
      <c r="AJ873" s="27">
        <v>0.43716670458386558</v>
      </c>
      <c r="AK873" s="28" t="s">
        <v>3389</v>
      </c>
      <c r="AL873" s="29">
        <v>2</v>
      </c>
      <c r="AM873" s="29">
        <v>3</v>
      </c>
      <c r="AN873" s="29" t="s">
        <v>48</v>
      </c>
      <c r="AO873" s="47" t="s">
        <v>3390</v>
      </c>
      <c r="AP873" s="28">
        <v>0</v>
      </c>
      <c r="AQ873" s="26">
        <v>1.4999999999999999E-2</v>
      </c>
      <c r="AR873" s="26">
        <v>0</v>
      </c>
    </row>
    <row r="874" spans="1:44" x14ac:dyDescent="0.15">
      <c r="A874">
        <v>278</v>
      </c>
      <c r="B874" s="11">
        <v>162607</v>
      </c>
      <c r="C874" s="32"/>
      <c r="D874" s="32">
        <v>1.8040139193789999E-3</v>
      </c>
      <c r="E874" s="32">
        <v>74</v>
      </c>
      <c r="F874" s="32">
        <v>0.22942653904358101</v>
      </c>
      <c r="G874" s="11"/>
      <c r="H874" s="11"/>
      <c r="I874" s="11"/>
      <c r="J874" s="18" t="s">
        <v>44</v>
      </c>
      <c r="K874" s="18" t="s">
        <v>45</v>
      </c>
      <c r="L874" s="58" t="s">
        <v>274</v>
      </c>
      <c r="M874" s="18">
        <f>[1]!f_prt_stocktonav(B874,"2017/03/31")</f>
        <v>89.867774963378906</v>
      </c>
      <c r="N874" s="20" t="str">
        <f>[1]!f_info_fundmanager(B874)</f>
        <v>杨锐文</v>
      </c>
      <c r="O874" s="21">
        <v>1.4219178082191781</v>
      </c>
      <c r="P874" s="34" t="s">
        <v>3391</v>
      </c>
      <c r="Q874" s="34" t="s">
        <v>3392</v>
      </c>
      <c r="R874" s="34" t="s">
        <v>353</v>
      </c>
      <c r="S874" s="34">
        <v>20060126</v>
      </c>
      <c r="T874" s="45">
        <v>14.9167965376</v>
      </c>
      <c r="U874" s="46">
        <v>14.5887051593</v>
      </c>
      <c r="V874" s="34" t="s">
        <v>231</v>
      </c>
      <c r="W874" s="34" t="s">
        <v>44</v>
      </c>
      <c r="X874" s="34" t="s">
        <v>45</v>
      </c>
      <c r="Y874" s="34" t="s">
        <v>274</v>
      </c>
      <c r="Z874" s="34"/>
      <c r="AA874" s="34"/>
      <c r="AB874" s="22">
        <v>0.84637832641601563</v>
      </c>
      <c r="AC874" s="23" t="s">
        <v>581</v>
      </c>
      <c r="AD874" s="24">
        <v>1.1917808219178083</v>
      </c>
      <c r="AE874" s="25">
        <v>0.13224620159239953</v>
      </c>
      <c r="AF874" s="26">
        <v>9.486180231883079E-2</v>
      </c>
      <c r="AG874" s="26">
        <v>8.7721417575342672E-2</v>
      </c>
      <c r="AH874" s="27">
        <v>0.52659479175779422</v>
      </c>
      <c r="AI874" s="27">
        <v>0.3854654965971725</v>
      </c>
      <c r="AJ874" s="27">
        <v>0.38462372284000845</v>
      </c>
      <c r="AK874" s="28" t="s">
        <v>3393</v>
      </c>
      <c r="AL874" s="29">
        <v>1</v>
      </c>
      <c r="AM874" s="29">
        <v>2</v>
      </c>
      <c r="AN874" s="29" t="s">
        <v>48</v>
      </c>
      <c r="AO874" s="47" t="s">
        <v>3394</v>
      </c>
      <c r="AP874" s="28">
        <v>0</v>
      </c>
      <c r="AQ874" s="26">
        <v>1.4999999999999999E-2</v>
      </c>
      <c r="AR874" s="26">
        <v>0</v>
      </c>
    </row>
    <row r="875" spans="1:44" x14ac:dyDescent="0.15">
      <c r="A875">
        <v>141</v>
      </c>
      <c r="B875" s="11">
        <v>163503</v>
      </c>
      <c r="C875" s="32"/>
      <c r="D875" s="32">
        <v>-3.9790191203982698E-3</v>
      </c>
      <c r="E875" s="32">
        <v>96</v>
      </c>
      <c r="F875" s="32">
        <v>2.0264297212598498E-2</v>
      </c>
      <c r="G875" s="11"/>
      <c r="H875" s="11"/>
      <c r="I875" s="11"/>
      <c r="J875" s="18" t="s">
        <v>44</v>
      </c>
      <c r="K875" s="18" t="s">
        <v>45</v>
      </c>
      <c r="L875" s="58" t="s">
        <v>65</v>
      </c>
      <c r="M875" s="18">
        <f>[1]!f_prt_stocktonav(B875,"2017/03/31")</f>
        <v>92.898162841796875</v>
      </c>
      <c r="N875" s="20" t="str">
        <f>[1]!f_info_fundmanager(B875)</f>
        <v>许家涵</v>
      </c>
      <c r="O875" s="21">
        <v>1.8301369863013699</v>
      </c>
      <c r="P875" s="34" t="s">
        <v>3395</v>
      </c>
      <c r="Q875" s="34" t="s">
        <v>3396</v>
      </c>
      <c r="R875" s="34" t="s">
        <v>2466</v>
      </c>
      <c r="S875" s="34">
        <v>20060120</v>
      </c>
      <c r="T875" s="45">
        <v>6.4085512348</v>
      </c>
      <c r="U875" s="46">
        <v>6.5004258983999996</v>
      </c>
      <c r="V875" s="34" t="s">
        <v>231</v>
      </c>
      <c r="W875" s="34" t="s">
        <v>44</v>
      </c>
      <c r="X875" s="34" t="s">
        <v>45</v>
      </c>
      <c r="Y875" s="34" t="s">
        <v>65</v>
      </c>
      <c r="Z875" s="34"/>
      <c r="AA875" s="34"/>
      <c r="AB875" s="22">
        <v>0.76387626647949214</v>
      </c>
      <c r="AC875" s="23" t="s">
        <v>3397</v>
      </c>
      <c r="AD875" s="24">
        <v>1.6</v>
      </c>
      <c r="AE875" s="25">
        <v>9.8424952433189508E-2</v>
      </c>
      <c r="AF875" s="26">
        <v>3.5328725155431728E-2</v>
      </c>
      <c r="AG875" s="26">
        <v>7.6109347060808297E-2</v>
      </c>
      <c r="AH875" s="27">
        <v>0.43363407631555645</v>
      </c>
      <c r="AI875" s="27">
        <v>0.21258833212349618</v>
      </c>
      <c r="AJ875" s="27">
        <v>0.35637018075221055</v>
      </c>
      <c r="AK875" s="28" t="s">
        <v>3398</v>
      </c>
      <c r="AL875" s="29">
        <v>2</v>
      </c>
      <c r="AM875" s="29">
        <v>4</v>
      </c>
      <c r="AN875" s="29" t="s">
        <v>48</v>
      </c>
      <c r="AO875" s="47" t="s">
        <v>3029</v>
      </c>
      <c r="AP875" s="28">
        <v>0</v>
      </c>
      <c r="AQ875" s="26">
        <v>1.2000000476837159E-2</v>
      </c>
      <c r="AR875" s="26">
        <v>0</v>
      </c>
    </row>
    <row r="876" spans="1:44" x14ac:dyDescent="0.15">
      <c r="A876">
        <v>474</v>
      </c>
      <c r="B876" s="11">
        <v>400003</v>
      </c>
      <c r="C876" s="32"/>
      <c r="D876" s="32">
        <v>4.57822423876541E-5</v>
      </c>
      <c r="E876" s="32">
        <v>86</v>
      </c>
      <c r="F876" s="32">
        <v>0.96514858429815897</v>
      </c>
      <c r="G876" s="11"/>
      <c r="H876" s="11"/>
      <c r="I876" s="11"/>
      <c r="J876" s="18" t="s">
        <v>44</v>
      </c>
      <c r="K876" s="18" t="s">
        <v>45</v>
      </c>
      <c r="L876" s="58" t="s">
        <v>274</v>
      </c>
      <c r="M876" s="18">
        <f>[1]!f_prt_stocktonav(B876,"2017/03/31")</f>
        <v>85.767265319824219</v>
      </c>
      <c r="N876" s="20" t="str">
        <f>[1]!f_info_fundmanager(B876)</f>
        <v>朱晓栋</v>
      </c>
      <c r="O876" s="21">
        <v>1.6356164383561644</v>
      </c>
      <c r="P876" s="34" t="s">
        <v>3399</v>
      </c>
      <c r="Q876" s="34" t="s">
        <v>3400</v>
      </c>
      <c r="R876" s="34" t="s">
        <v>252</v>
      </c>
      <c r="S876" s="34">
        <v>20060111</v>
      </c>
      <c r="T876" s="45">
        <v>30.567494453599998</v>
      </c>
      <c r="U876" s="46">
        <v>33.126652794999998</v>
      </c>
      <c r="V876" s="34" t="s">
        <v>231</v>
      </c>
      <c r="W876" s="34" t="s">
        <v>44</v>
      </c>
      <c r="X876" s="34" t="s">
        <v>45</v>
      </c>
      <c r="Y876" s="34" t="s">
        <v>274</v>
      </c>
      <c r="Z876" s="34"/>
      <c r="AA876" s="34"/>
      <c r="AB876" s="22">
        <v>0.86768157958984371</v>
      </c>
      <c r="AC876" s="23" t="s">
        <v>3401</v>
      </c>
      <c r="AD876" s="24">
        <v>1.6794520547945206</v>
      </c>
      <c r="AE876" s="25">
        <v>0.20101704461308056</v>
      </c>
      <c r="AF876" s="26">
        <v>0.17298350771662285</v>
      </c>
      <c r="AG876" s="26">
        <v>0.13189866235512837</v>
      </c>
      <c r="AH876" s="27">
        <v>0.74324648223311074</v>
      </c>
      <c r="AI876" s="27">
        <v>0.62013190559262388</v>
      </c>
      <c r="AJ876" s="27">
        <v>0.54162710859886065</v>
      </c>
      <c r="AK876" s="28" t="s">
        <v>3402</v>
      </c>
      <c r="AL876" s="29">
        <v>4</v>
      </c>
      <c r="AM876" s="29">
        <v>3</v>
      </c>
      <c r="AN876" s="29" t="s">
        <v>48</v>
      </c>
      <c r="AO876" s="47" t="s">
        <v>427</v>
      </c>
      <c r="AP876" s="28" t="s">
        <v>2293</v>
      </c>
      <c r="AQ876" s="26">
        <v>1.4999999999999999E-2</v>
      </c>
      <c r="AR876" s="26">
        <v>0</v>
      </c>
    </row>
    <row r="877" spans="1:44" x14ac:dyDescent="0.15">
      <c r="A877">
        <v>198</v>
      </c>
      <c r="B877" s="11">
        <v>257020</v>
      </c>
      <c r="C877" s="32"/>
      <c r="D877" s="32">
        <v>-1.21013092907118E-4</v>
      </c>
      <c r="E877" s="32">
        <v>391</v>
      </c>
      <c r="F877" s="32">
        <v>0.86739112762543202</v>
      </c>
      <c r="G877" s="11"/>
      <c r="H877" s="11"/>
      <c r="I877" s="11"/>
      <c r="J877" s="18" t="s">
        <v>44</v>
      </c>
      <c r="K877" s="18" t="s">
        <v>45</v>
      </c>
      <c r="L877" s="58" t="s">
        <v>65</v>
      </c>
      <c r="M877" s="18">
        <f>[1]!f_prt_stocktonav(B877,"2017/03/31")</f>
        <v>91.853553771972656</v>
      </c>
      <c r="N877" s="20" t="str">
        <f>[1]!f_info_fundmanager(B877)</f>
        <v>魏东</v>
      </c>
      <c r="O877" s="21">
        <v>7.5041095890410956</v>
      </c>
      <c r="P877" s="34" t="s">
        <v>3403</v>
      </c>
      <c r="Q877" s="34" t="s">
        <v>3404</v>
      </c>
      <c r="R877" s="34" t="s">
        <v>724</v>
      </c>
      <c r="S877" s="34">
        <v>20051228</v>
      </c>
      <c r="T877" s="45">
        <v>14.4048219612</v>
      </c>
      <c r="U877" s="46">
        <v>25.276802916299999</v>
      </c>
      <c r="V877" s="34" t="s">
        <v>231</v>
      </c>
      <c r="W877" s="34" t="s">
        <v>44</v>
      </c>
      <c r="X877" s="34" t="s">
        <v>45</v>
      </c>
      <c r="Y877" s="34" t="s">
        <v>65</v>
      </c>
      <c r="Z877" s="34"/>
      <c r="AA877" s="34"/>
      <c r="AB877" s="22">
        <v>0.97771408081054689</v>
      </c>
      <c r="AC877" s="23" t="s">
        <v>3405</v>
      </c>
      <c r="AD877" s="24">
        <v>7.2739726027397262</v>
      </c>
      <c r="AE877" s="25">
        <v>0.1818854642654717</v>
      </c>
      <c r="AF877" s="26">
        <v>0.17927956741937945</v>
      </c>
      <c r="AG877" s="26">
        <v>0.18585438530871534</v>
      </c>
      <c r="AH877" s="27">
        <v>0.67815322791051902</v>
      </c>
      <c r="AI877" s="27">
        <v>0.66171365020699502</v>
      </c>
      <c r="AJ877" s="27">
        <v>0.74333354118951933</v>
      </c>
      <c r="AK877" s="28" t="s">
        <v>3066</v>
      </c>
      <c r="AL877" s="29">
        <v>4</v>
      </c>
      <c r="AM877" s="29">
        <v>4</v>
      </c>
      <c r="AN877" s="29" t="s">
        <v>48</v>
      </c>
      <c r="AO877" s="47" t="s">
        <v>2809</v>
      </c>
      <c r="AP877" s="28" t="s">
        <v>2963</v>
      </c>
      <c r="AQ877" s="26">
        <v>1.4999999999999999E-2</v>
      </c>
      <c r="AR877" s="26">
        <v>0</v>
      </c>
    </row>
    <row r="878" spans="1:44" x14ac:dyDescent="0.15">
      <c r="A878">
        <v>795</v>
      </c>
      <c r="B878" s="11">
        <v>270005</v>
      </c>
      <c r="C878" s="32"/>
      <c r="D878" s="32">
        <v>-1.5486218873480399E-3</v>
      </c>
      <c r="E878" s="32">
        <v>457</v>
      </c>
      <c r="F878" s="32">
        <v>2.7310324099397602E-2</v>
      </c>
      <c r="G878" s="11"/>
      <c r="H878" s="11"/>
      <c r="I878" s="11"/>
      <c r="J878" s="18" t="s">
        <v>44</v>
      </c>
      <c r="K878" s="18" t="s">
        <v>45</v>
      </c>
      <c r="L878" s="58" t="s">
        <v>65</v>
      </c>
      <c r="M878" s="18">
        <f>[1]!f_prt_stocktonav(B878,"2017/03/31")</f>
        <v>76.859855651855469</v>
      </c>
      <c r="N878" s="20" t="str">
        <f>[1]!f_info_fundmanager(B878)</f>
        <v>易阳方</v>
      </c>
      <c r="O878" s="21">
        <v>11.276712328767124</v>
      </c>
      <c r="P878" s="34" t="s">
        <v>3406</v>
      </c>
      <c r="Q878" s="34" t="s">
        <v>3407</v>
      </c>
      <c r="R878" s="34" t="s">
        <v>132</v>
      </c>
      <c r="S878" s="34">
        <v>20051223</v>
      </c>
      <c r="T878" s="45">
        <v>73.946973207200003</v>
      </c>
      <c r="U878" s="46">
        <v>80.673517275099996</v>
      </c>
      <c r="V878" s="34" t="s">
        <v>231</v>
      </c>
      <c r="W878" s="34" t="s">
        <v>41</v>
      </c>
      <c r="X878" s="34" t="s">
        <v>42</v>
      </c>
      <c r="Y878" s="34" t="s">
        <v>181</v>
      </c>
      <c r="Z878" s="34"/>
      <c r="AA878" s="34"/>
      <c r="AB878" s="22">
        <v>0.6427206420898437</v>
      </c>
      <c r="AC878" s="23" t="s">
        <v>760</v>
      </c>
      <c r="AD878" s="24">
        <v>11.046575342465754</v>
      </c>
      <c r="AE878" s="25">
        <v>0.16585710620729355</v>
      </c>
      <c r="AF878" s="26">
        <v>9.4389088716454447E-2</v>
      </c>
      <c r="AG878" s="26">
        <v>8.1345477452086742E-2</v>
      </c>
      <c r="AH878" s="27">
        <v>0.63747496317030017</v>
      </c>
      <c r="AI878" s="27">
        <v>0.39582051377999888</v>
      </c>
      <c r="AJ878" s="27">
        <v>0.37302060274039844</v>
      </c>
      <c r="AK878" s="28" t="s">
        <v>957</v>
      </c>
      <c r="AL878" s="29">
        <v>2</v>
      </c>
      <c r="AM878" s="29">
        <v>3</v>
      </c>
      <c r="AN878" s="29" t="s">
        <v>48</v>
      </c>
      <c r="AO878" s="47" t="s">
        <v>287</v>
      </c>
      <c r="AP878" s="28" t="s">
        <v>3115</v>
      </c>
      <c r="AQ878" s="26">
        <v>1.4999999999999999E-2</v>
      </c>
      <c r="AR878" s="26">
        <v>0</v>
      </c>
    </row>
    <row r="879" spans="1:44" x14ac:dyDescent="0.15">
      <c r="A879">
        <v>377</v>
      </c>
      <c r="B879" s="11">
        <v>320003</v>
      </c>
      <c r="C879" s="32"/>
      <c r="D879" s="32">
        <v>-1.9822081217418198E-3</v>
      </c>
      <c r="E879" s="32">
        <v>457</v>
      </c>
      <c r="F879" s="32">
        <v>4.9711496216129099E-5</v>
      </c>
      <c r="G879" s="11"/>
      <c r="H879" s="11"/>
      <c r="I879" s="11"/>
      <c r="J879" s="18" t="s">
        <v>44</v>
      </c>
      <c r="K879" s="18" t="s">
        <v>86</v>
      </c>
      <c r="L879" s="58" t="s">
        <v>274</v>
      </c>
      <c r="M879" s="18">
        <f>[1]!f_prt_stocktonav(B879,"2017/03/31")</f>
        <v>87.980522155761719</v>
      </c>
      <c r="N879" s="20" t="str">
        <f>[1]!f_info_fundmanager(B879)</f>
        <v>杨谷</v>
      </c>
      <c r="O879" s="21">
        <v>10.780821917808218</v>
      </c>
      <c r="P879" s="34" t="s">
        <v>3408</v>
      </c>
      <c r="Q879" s="34" t="s">
        <v>3409</v>
      </c>
      <c r="R879" s="34" t="s">
        <v>955</v>
      </c>
      <c r="S879" s="34">
        <v>20051219</v>
      </c>
      <c r="T879" s="45">
        <v>41.131115725599997</v>
      </c>
      <c r="U879" s="46">
        <v>42.902705245100002</v>
      </c>
      <c r="V879" s="34" t="s">
        <v>231</v>
      </c>
      <c r="W879" s="34" t="s">
        <v>44</v>
      </c>
      <c r="X879" s="34" t="s">
        <v>45</v>
      </c>
      <c r="Y879" s="34" t="s">
        <v>274</v>
      </c>
      <c r="Z879" s="34"/>
      <c r="AA879" s="34"/>
      <c r="AB879" s="22">
        <v>0.79554191589355472</v>
      </c>
      <c r="AC879" s="23" t="s">
        <v>3410</v>
      </c>
      <c r="AD879" s="24">
        <v>10.550684931506849</v>
      </c>
      <c r="AE879" s="25">
        <v>0.15591090470020164</v>
      </c>
      <c r="AF879" s="26">
        <v>0.15327019337642378</v>
      </c>
      <c r="AG879" s="26">
        <v>0.10720670174731219</v>
      </c>
      <c r="AH879" s="27">
        <v>0.643613791140911</v>
      </c>
      <c r="AI879" s="27">
        <v>0.59645580000538934</v>
      </c>
      <c r="AJ879" s="27">
        <v>0.47898051732264668</v>
      </c>
      <c r="AK879" s="28" t="s">
        <v>3201</v>
      </c>
      <c r="AL879" s="29">
        <v>3</v>
      </c>
      <c r="AM879" s="29">
        <v>2</v>
      </c>
      <c r="AN879" s="29" t="s">
        <v>48</v>
      </c>
      <c r="AO879" s="47" t="s">
        <v>3411</v>
      </c>
      <c r="AP879" s="28">
        <v>0</v>
      </c>
      <c r="AQ879" s="26">
        <v>1.4999999999999999E-2</v>
      </c>
      <c r="AR879" s="26">
        <v>0</v>
      </c>
    </row>
    <row r="880" spans="1:44" x14ac:dyDescent="0.15">
      <c r="A880">
        <v>919</v>
      </c>
      <c r="B880" s="11">
        <v>530001</v>
      </c>
      <c r="C880" s="32"/>
      <c r="D880" s="32">
        <v>0</v>
      </c>
      <c r="E880" s="32">
        <v>0</v>
      </c>
      <c r="F880" s="32">
        <v>0</v>
      </c>
      <c r="G880" s="11"/>
      <c r="H880" s="11"/>
      <c r="I880" s="11"/>
      <c r="J880" s="18" t="s">
        <v>44</v>
      </c>
      <c r="K880" s="18" t="s">
        <v>45</v>
      </c>
      <c r="L880" s="58">
        <v>0</v>
      </c>
      <c r="M880" s="18">
        <f>[1]!f_prt_stocktonav(B880,"2017/03/31")</f>
        <v>71.666061401367188</v>
      </c>
      <c r="N880" s="20" t="str">
        <f>[1]!f_info_fundmanager(B880)</f>
        <v>陶灿</v>
      </c>
      <c r="O880" s="21">
        <v>2.4657534246575342E-2</v>
      </c>
      <c r="P880" s="34" t="s">
        <v>3412</v>
      </c>
      <c r="Q880" s="34" t="s">
        <v>3413</v>
      </c>
      <c r="R880" s="34" t="s">
        <v>307</v>
      </c>
      <c r="S880" s="34">
        <v>20051201</v>
      </c>
      <c r="T880" s="45">
        <v>10.763426640600001</v>
      </c>
      <c r="U880" s="46">
        <v>11.703909832200001</v>
      </c>
      <c r="V880" s="34" t="s">
        <v>231</v>
      </c>
      <c r="W880" s="34" t="s">
        <v>44</v>
      </c>
      <c r="X880" s="34" t="s">
        <v>45</v>
      </c>
      <c r="Y880" s="34" t="s">
        <v>65</v>
      </c>
      <c r="Z880" s="34"/>
      <c r="AA880" s="34"/>
      <c r="AB880" s="22">
        <v>0.78413246154785154</v>
      </c>
      <c r="AC880" s="23" t="s">
        <v>1809</v>
      </c>
      <c r="AD880" s="24">
        <v>5.2438356164383562</v>
      </c>
      <c r="AE880" s="25">
        <v>0.13949769682287627</v>
      </c>
      <c r="AF880" s="26">
        <v>0.11950574868475596</v>
      </c>
      <c r="AG880" s="26">
        <v>0.10405149519556932</v>
      </c>
      <c r="AH880" s="27">
        <v>0.59608288595766012</v>
      </c>
      <c r="AI880" s="27">
        <v>0.48739000412125821</v>
      </c>
      <c r="AJ880" s="27">
        <v>0.47317485541781901</v>
      </c>
      <c r="AK880" s="28" t="s">
        <v>3414</v>
      </c>
      <c r="AL880" s="29">
        <v>3</v>
      </c>
      <c r="AM880" s="29">
        <v>3</v>
      </c>
      <c r="AN880" s="29" t="s">
        <v>48</v>
      </c>
      <c r="AO880" s="47" t="s">
        <v>3415</v>
      </c>
      <c r="AP880" s="28">
        <v>0</v>
      </c>
      <c r="AQ880" s="26">
        <v>1.4999999999999999E-2</v>
      </c>
      <c r="AR880" s="26">
        <v>0</v>
      </c>
    </row>
    <row r="881" spans="1:44" x14ac:dyDescent="0.15">
      <c r="A881">
        <v>618</v>
      </c>
      <c r="B881" s="11">
        <v>288002</v>
      </c>
      <c r="C881" s="32"/>
      <c r="D881" s="32">
        <v>-2.5530675027197401E-4</v>
      </c>
      <c r="E881" s="32">
        <v>425</v>
      </c>
      <c r="F881" s="32">
        <v>0.559117716859308</v>
      </c>
      <c r="G881" s="11"/>
      <c r="H881" s="11"/>
      <c r="I881" s="11"/>
      <c r="J881" s="18" t="s">
        <v>44</v>
      </c>
      <c r="K881" s="18" t="s">
        <v>45</v>
      </c>
      <c r="L881" s="58" t="s">
        <v>65</v>
      </c>
      <c r="M881" s="18">
        <f>[1]!f_prt_stocktonav(B881,"2017/03/31")</f>
        <v>82.402236938476562</v>
      </c>
      <c r="N881" s="20" t="str">
        <f>[1]!f_info_fundmanager(B881)</f>
        <v>郑煜</v>
      </c>
      <c r="O881" s="21">
        <v>8.1561643835616433</v>
      </c>
      <c r="P881" s="34" t="s">
        <v>3416</v>
      </c>
      <c r="Q881" s="34" t="s">
        <v>3417</v>
      </c>
      <c r="R881" s="34" t="s">
        <v>143</v>
      </c>
      <c r="S881" s="34">
        <v>20051117</v>
      </c>
      <c r="T881" s="45">
        <v>30.774011697700001</v>
      </c>
      <c r="U881" s="46">
        <v>33.165217446100002</v>
      </c>
      <c r="V881" s="34" t="s">
        <v>231</v>
      </c>
      <c r="W881" s="34" t="s">
        <v>44</v>
      </c>
      <c r="X881" s="34" t="s">
        <v>45</v>
      </c>
      <c r="Y881" s="34" t="s">
        <v>65</v>
      </c>
      <c r="Z881" s="34"/>
      <c r="AA881" s="34"/>
      <c r="AB881" s="22">
        <v>0.8178993225097656</v>
      </c>
      <c r="AC881" s="23" t="s">
        <v>258</v>
      </c>
      <c r="AD881" s="24">
        <v>7.9260273972602739</v>
      </c>
      <c r="AE881" s="25">
        <v>0.23066564588566263</v>
      </c>
      <c r="AF881" s="26">
        <v>0.1993275225433542</v>
      </c>
      <c r="AG881" s="26">
        <v>0.15401614762175142</v>
      </c>
      <c r="AH881" s="27">
        <v>0.93813976120205633</v>
      </c>
      <c r="AI881" s="27">
        <v>0.79062080058484829</v>
      </c>
      <c r="AJ881" s="27">
        <v>0.68823881352281213</v>
      </c>
      <c r="AK881" s="28" t="s">
        <v>3418</v>
      </c>
      <c r="AL881" s="29">
        <v>4</v>
      </c>
      <c r="AM881" s="29">
        <v>4</v>
      </c>
      <c r="AN881" s="29" t="s">
        <v>48</v>
      </c>
      <c r="AO881" s="47" t="s">
        <v>3419</v>
      </c>
      <c r="AP881" s="28">
        <v>0</v>
      </c>
      <c r="AQ881" s="26">
        <v>1.4999999999999999E-2</v>
      </c>
      <c r="AR881" s="26">
        <v>0</v>
      </c>
    </row>
    <row r="882" spans="1:44" x14ac:dyDescent="0.15">
      <c r="A882">
        <v>54</v>
      </c>
      <c r="B882" s="11">
        <v>161005</v>
      </c>
      <c r="C882" s="32"/>
      <c r="D882" s="32">
        <v>-6.4307740006005597E-4</v>
      </c>
      <c r="E882" s="32">
        <v>457</v>
      </c>
      <c r="F882" s="32">
        <v>0.34164345638645699</v>
      </c>
      <c r="G882" s="11"/>
      <c r="H882" s="11"/>
      <c r="I882" s="11"/>
      <c r="J882" s="18" t="s">
        <v>44</v>
      </c>
      <c r="K882" s="18" t="s">
        <v>45</v>
      </c>
      <c r="L882" s="58" t="s">
        <v>65</v>
      </c>
      <c r="M882" s="18">
        <f>[1]!f_prt_stocktonav(B882,"2017/03/31")</f>
        <v>94.258323669433594</v>
      </c>
      <c r="N882" s="20" t="str">
        <f>[1]!f_info_fundmanager(B882)</f>
        <v>朱少醒</v>
      </c>
      <c r="O882" s="21">
        <v>11.378082191780821</v>
      </c>
      <c r="P882" s="34" t="s">
        <v>3420</v>
      </c>
      <c r="Q882" s="34" t="s">
        <v>3421</v>
      </c>
      <c r="R882" s="34" t="s">
        <v>396</v>
      </c>
      <c r="S882" s="34">
        <v>20051116</v>
      </c>
      <c r="T882" s="45">
        <v>36.280854793000003</v>
      </c>
      <c r="U882" s="46">
        <v>37.139525434500001</v>
      </c>
      <c r="V882" s="34" t="s">
        <v>231</v>
      </c>
      <c r="W882" s="34" t="s">
        <v>44</v>
      </c>
      <c r="X882" s="34" t="s">
        <v>45</v>
      </c>
      <c r="Y882" s="34" t="s">
        <v>65</v>
      </c>
      <c r="Z882" s="34"/>
      <c r="AA882" s="34"/>
      <c r="AB882" s="22">
        <v>0.955418701171875</v>
      </c>
      <c r="AC882" s="23" t="s">
        <v>3422</v>
      </c>
      <c r="AD882" s="24">
        <v>11.147945205479452</v>
      </c>
      <c r="AE882" s="25">
        <v>0.21787121264567033</v>
      </c>
      <c r="AF882" s="26">
        <v>0.21483546205931714</v>
      </c>
      <c r="AG882" s="26">
        <v>0.1762410201993807</v>
      </c>
      <c r="AH882" s="27">
        <v>0.8244511301805707</v>
      </c>
      <c r="AI882" s="27">
        <v>0.7346722610183648</v>
      </c>
      <c r="AJ882" s="27">
        <v>0.68256328663388721</v>
      </c>
      <c r="AK882" s="28" t="s">
        <v>3423</v>
      </c>
      <c r="AL882" s="29">
        <v>5</v>
      </c>
      <c r="AM882" s="29">
        <v>3</v>
      </c>
      <c r="AN882" s="29" t="s">
        <v>48</v>
      </c>
      <c r="AO882" s="47" t="s">
        <v>3424</v>
      </c>
      <c r="AP882" s="28" t="s">
        <v>608</v>
      </c>
      <c r="AQ882" s="26">
        <v>1.4999999999999999E-2</v>
      </c>
      <c r="AR882" s="26">
        <v>0</v>
      </c>
    </row>
    <row r="883" spans="1:44" x14ac:dyDescent="0.15">
      <c r="A883">
        <v>452</v>
      </c>
      <c r="B883" s="11">
        <v>163402</v>
      </c>
      <c r="C883" s="32"/>
      <c r="D883" s="32">
        <v>7.8053253178059798E-4</v>
      </c>
      <c r="E883" s="32">
        <v>179</v>
      </c>
      <c r="F883" s="32">
        <v>0.29145425352663901</v>
      </c>
      <c r="G883" s="11"/>
      <c r="H883" s="11"/>
      <c r="I883" s="11"/>
      <c r="J883" s="18" t="s">
        <v>44</v>
      </c>
      <c r="K883" s="18" t="s">
        <v>45</v>
      </c>
      <c r="L883" s="58" t="s">
        <v>65</v>
      </c>
      <c r="M883" s="18">
        <f>[1]!f_prt_stocktonav(B883,"2017/03/31")</f>
        <v>86.21929931640625</v>
      </c>
      <c r="N883" s="20" t="str">
        <f>[1]!f_info_fundmanager(B883)</f>
        <v>董承非,邹欣</v>
      </c>
      <c r="O883" s="21">
        <v>3.4246575342465753</v>
      </c>
      <c r="P883" s="34" t="s">
        <v>3425</v>
      </c>
      <c r="Q883" s="34" t="s">
        <v>3426</v>
      </c>
      <c r="R883" s="34" t="s">
        <v>2217</v>
      </c>
      <c r="S883" s="34">
        <v>20051103</v>
      </c>
      <c r="T883" s="45">
        <v>69.238483624099999</v>
      </c>
      <c r="U883" s="46">
        <v>70.644358054700007</v>
      </c>
      <c r="V883" s="34" t="s">
        <v>231</v>
      </c>
      <c r="W883" s="34" t="s">
        <v>44</v>
      </c>
      <c r="X883" s="34" t="s">
        <v>45</v>
      </c>
      <c r="Y883" s="34" t="s">
        <v>65</v>
      </c>
      <c r="Z883" s="34"/>
      <c r="AA883" s="34"/>
      <c r="AB883" s="22">
        <v>0.79116271972656249</v>
      </c>
      <c r="AC883" s="23" t="s">
        <v>3427</v>
      </c>
      <c r="AD883" s="24">
        <v>3.1945205479452055</v>
      </c>
      <c r="AE883" s="25">
        <v>0.24632835417427135</v>
      </c>
      <c r="AF883" s="26">
        <v>0.24220255689518111</v>
      </c>
      <c r="AG883" s="26">
        <v>0.16902474058183947</v>
      </c>
      <c r="AH883" s="27">
        <v>1.125750819156355</v>
      </c>
      <c r="AI883" s="27">
        <v>1.1867449381038397</v>
      </c>
      <c r="AJ883" s="27">
        <v>0.91131275982969906</v>
      </c>
      <c r="AK883" s="28" t="s">
        <v>2909</v>
      </c>
      <c r="AL883" s="29">
        <v>5</v>
      </c>
      <c r="AM883" s="29">
        <v>5</v>
      </c>
      <c r="AN883" s="29" t="s">
        <v>48</v>
      </c>
      <c r="AO883" s="47" t="s">
        <v>3428</v>
      </c>
      <c r="AP883" s="28" t="s">
        <v>3429</v>
      </c>
      <c r="AQ883" s="26">
        <v>1.4999999999999999E-2</v>
      </c>
      <c r="AR883" s="26">
        <v>0</v>
      </c>
    </row>
    <row r="884" spans="1:44" x14ac:dyDescent="0.15">
      <c r="A884">
        <v>587</v>
      </c>
      <c r="B884" s="11">
        <v>377010</v>
      </c>
      <c r="C884" s="32"/>
      <c r="D884" s="32">
        <v>3.2156443351373499E-3</v>
      </c>
      <c r="E884" s="32">
        <v>80</v>
      </c>
      <c r="F884" s="32">
        <v>4.6551120821932503E-2</v>
      </c>
      <c r="G884" s="11"/>
      <c r="H884" s="11"/>
      <c r="I884" s="11"/>
      <c r="J884" s="18" t="s">
        <v>44</v>
      </c>
      <c r="K884" s="19" t="s">
        <v>64</v>
      </c>
      <c r="L884" s="58" t="s">
        <v>817</v>
      </c>
      <c r="M884" s="18">
        <f>[1]!f_prt_stocktonav(B884,"2017/03/31")</f>
        <v>83.082855224609375</v>
      </c>
      <c r="N884" s="20" t="str">
        <f>[1]!f_info_fundmanager(B884)</f>
        <v>李博</v>
      </c>
      <c r="O884" s="21">
        <v>1.5342465753424657</v>
      </c>
      <c r="P884" s="32" t="s">
        <v>3430</v>
      </c>
      <c r="Q884" s="13" t="s">
        <v>3431</v>
      </c>
      <c r="R884" s="13" t="s">
        <v>511</v>
      </c>
      <c r="S884" s="13">
        <v>20051011</v>
      </c>
      <c r="T884" s="14">
        <v>19.654056864800001</v>
      </c>
      <c r="U884" s="15" t="s">
        <v>39</v>
      </c>
      <c r="V884" s="16" t="s">
        <v>40</v>
      </c>
      <c r="W884" s="17" t="s">
        <v>44</v>
      </c>
      <c r="X884" s="17" t="s">
        <v>64</v>
      </c>
      <c r="Y884" s="17" t="s">
        <v>65</v>
      </c>
      <c r="Z884" s="13"/>
      <c r="AA884" s="13"/>
      <c r="AB884" s="22">
        <v>0.73086395263671877</v>
      </c>
      <c r="AC884" s="23" t="s">
        <v>1419</v>
      </c>
      <c r="AD884" s="24">
        <v>1.3041095890410959</v>
      </c>
      <c r="AE884" s="25">
        <v>0.15846237598895851</v>
      </c>
      <c r="AF884" s="26">
        <v>0.10659826979816733</v>
      </c>
      <c r="AG884" s="26">
        <v>6.8562306633976E-2</v>
      </c>
      <c r="AH884" s="27">
        <v>0.62454150224081462</v>
      </c>
      <c r="AI884" s="27">
        <v>0.42482343334854172</v>
      </c>
      <c r="AJ884" s="27">
        <v>0.32552383220968895</v>
      </c>
      <c r="AK884" s="28" t="s">
        <v>1934</v>
      </c>
      <c r="AL884" s="29">
        <v>1</v>
      </c>
      <c r="AM884" s="29">
        <v>2</v>
      </c>
      <c r="AN884" s="29" t="s">
        <v>48</v>
      </c>
      <c r="AO884" s="23" t="s">
        <v>3432</v>
      </c>
      <c r="AP884" s="30">
        <v>0</v>
      </c>
      <c r="AQ884" s="31">
        <v>1.4999999999999999E-2</v>
      </c>
      <c r="AR884" s="31">
        <v>0</v>
      </c>
    </row>
    <row r="885" spans="1:44" x14ac:dyDescent="0.15">
      <c r="A885">
        <v>862</v>
      </c>
      <c r="B885" s="11">
        <v>420001</v>
      </c>
      <c r="C885" s="32"/>
      <c r="D885" s="32">
        <v>-2.7617740032376201E-3</v>
      </c>
      <c r="E885" s="32">
        <v>219</v>
      </c>
      <c r="F885" s="32">
        <v>5.33576845082602E-3</v>
      </c>
      <c r="G885" s="11"/>
      <c r="H885" s="11"/>
      <c r="I885" s="11"/>
      <c r="J885" s="18" t="s">
        <v>44</v>
      </c>
      <c r="K885" s="18" t="s">
        <v>45</v>
      </c>
      <c r="L885" s="58" t="s">
        <v>274</v>
      </c>
      <c r="M885" s="18">
        <f>[1]!f_prt_stocktonav(B885,"2017/03/31")</f>
        <v>74.017120361328125</v>
      </c>
      <c r="N885" s="20" t="str">
        <f>[1]!f_info_fundmanager(B885)</f>
        <v>钱文成,程桯,姜晓丽</v>
      </c>
      <c r="O885" s="21">
        <v>4.2054794520547949</v>
      </c>
      <c r="P885" s="34" t="s">
        <v>3433</v>
      </c>
      <c r="Q885" s="34" t="s">
        <v>3434</v>
      </c>
      <c r="R885" s="34" t="s">
        <v>1215</v>
      </c>
      <c r="S885" s="34">
        <v>20051008</v>
      </c>
      <c r="T885" s="45">
        <v>12.753056838399999</v>
      </c>
      <c r="U885" s="46">
        <v>14.458922615600001</v>
      </c>
      <c r="V885" s="34" t="s">
        <v>231</v>
      </c>
      <c r="W885" s="34" t="s">
        <v>44</v>
      </c>
      <c r="X885" s="34" t="s">
        <v>45</v>
      </c>
      <c r="Y885" s="34" t="s">
        <v>274</v>
      </c>
      <c r="Z885" s="34"/>
      <c r="AA885" s="34"/>
      <c r="AB885" s="22">
        <v>0.72397956848144529</v>
      </c>
      <c r="AC885" s="23" t="s">
        <v>3435</v>
      </c>
      <c r="AD885" s="24">
        <v>3.9753424657534246</v>
      </c>
      <c r="AE885" s="25">
        <v>6.281883603868188E-2</v>
      </c>
      <c r="AF885" s="26">
        <v>9.452029879362378E-2</v>
      </c>
      <c r="AG885" s="26">
        <v>3.3185448334051681E-2</v>
      </c>
      <c r="AH885" s="27">
        <v>0.30977018172453841</v>
      </c>
      <c r="AI885" s="27">
        <v>0.39835817684928398</v>
      </c>
      <c r="AJ885" s="27">
        <v>0.19912121498606355</v>
      </c>
      <c r="AK885" s="28" t="s">
        <v>3436</v>
      </c>
      <c r="AL885" s="29">
        <v>1</v>
      </c>
      <c r="AM885" s="29">
        <v>2</v>
      </c>
      <c r="AN885" s="29" t="s">
        <v>48</v>
      </c>
      <c r="AO885" s="47" t="s">
        <v>3437</v>
      </c>
      <c r="AP885" s="28">
        <v>0</v>
      </c>
      <c r="AQ885" s="26">
        <v>1.4999999999999999E-2</v>
      </c>
      <c r="AR885" s="26">
        <v>0</v>
      </c>
    </row>
    <row r="886" spans="1:44" x14ac:dyDescent="0.15">
      <c r="A886">
        <v>414</v>
      </c>
      <c r="B886" s="11">
        <v>519001</v>
      </c>
      <c r="C886" s="32"/>
      <c r="D886" s="32">
        <v>-1.38842434390495E-3</v>
      </c>
      <c r="E886" s="32">
        <v>287</v>
      </c>
      <c r="F886" s="32">
        <v>6.4579858161415593E-2</v>
      </c>
      <c r="G886" s="11"/>
      <c r="H886" s="11"/>
      <c r="I886" s="11"/>
      <c r="J886" s="18" t="s">
        <v>44</v>
      </c>
      <c r="K886" s="18" t="s">
        <v>45</v>
      </c>
      <c r="L886" s="58" t="s">
        <v>65</v>
      </c>
      <c r="M886" s="18">
        <f>[1]!f_prt_stocktonav(B886,"2017/03/31")</f>
        <v>87.076019287109375</v>
      </c>
      <c r="N886" s="20" t="str">
        <f>[1]!f_info_fundmanager(B886)</f>
        <v>倪明</v>
      </c>
      <c r="O886" s="21">
        <v>5.515068493150685</v>
      </c>
      <c r="P886" s="34" t="s">
        <v>3438</v>
      </c>
      <c r="Q886" s="34" t="s">
        <v>3439</v>
      </c>
      <c r="R886" s="34" t="s">
        <v>57</v>
      </c>
      <c r="S886" s="34">
        <v>20050927</v>
      </c>
      <c r="T886" s="45">
        <v>50.888589452600002</v>
      </c>
      <c r="U886" s="46">
        <v>54.880255091400002</v>
      </c>
      <c r="V886" s="34" t="s">
        <v>231</v>
      </c>
      <c r="W886" s="34" t="s">
        <v>44</v>
      </c>
      <c r="X886" s="34" t="s">
        <v>45</v>
      </c>
      <c r="Y886" s="34" t="s">
        <v>65</v>
      </c>
      <c r="Z886" s="34"/>
      <c r="AA886" s="34"/>
      <c r="AB886" s="22">
        <v>0.85016578674316401</v>
      </c>
      <c r="AC886" s="23" t="s">
        <v>2835</v>
      </c>
      <c r="AD886" s="24">
        <v>5.2849315068493148</v>
      </c>
      <c r="AE886" s="25">
        <v>0.19738061532096562</v>
      </c>
      <c r="AF886" s="26">
        <v>0.14052468638668603</v>
      </c>
      <c r="AG886" s="26">
        <v>0.11892748908425066</v>
      </c>
      <c r="AH886" s="27">
        <v>0.75545124108903328</v>
      </c>
      <c r="AI886" s="27">
        <v>0.54803536983910495</v>
      </c>
      <c r="AJ886" s="27">
        <v>0.52312989199520532</v>
      </c>
      <c r="AK886" s="28" t="s">
        <v>110</v>
      </c>
      <c r="AL886" s="29">
        <v>3</v>
      </c>
      <c r="AM886" s="29">
        <v>3</v>
      </c>
      <c r="AN886" s="29" t="s">
        <v>48</v>
      </c>
      <c r="AO886" s="47" t="s">
        <v>3440</v>
      </c>
      <c r="AP886" s="28">
        <v>0</v>
      </c>
      <c r="AQ886" s="26">
        <v>1.4999999999999999E-2</v>
      </c>
      <c r="AR886" s="26">
        <v>0</v>
      </c>
    </row>
    <row r="887" spans="1:44" x14ac:dyDescent="0.15">
      <c r="A887">
        <v>443</v>
      </c>
      <c r="B887" s="11">
        <v>163302</v>
      </c>
      <c r="C887" s="32"/>
      <c r="D887" s="32">
        <v>-3.7265816160409401E-3</v>
      </c>
      <c r="E887" s="32">
        <v>114</v>
      </c>
      <c r="F887" s="32">
        <v>4.7971405523221398E-2</v>
      </c>
      <c r="G887" s="11"/>
      <c r="H887" s="11"/>
      <c r="I887" s="11"/>
      <c r="J887" s="18" t="s">
        <v>44</v>
      </c>
      <c r="K887" s="18" t="s">
        <v>45</v>
      </c>
      <c r="L887" s="58" t="s">
        <v>65</v>
      </c>
      <c r="M887" s="18">
        <f>[1]!f_prt_stocktonav(B887,"2017/03/31")</f>
        <v>86.421653747558594</v>
      </c>
      <c r="N887" s="20" t="str">
        <f>[1]!f_info_fundmanager(B887)</f>
        <v>王大鹏,徐达</v>
      </c>
      <c r="O887" s="21">
        <v>2.1890410958904107</v>
      </c>
      <c r="P887" s="34" t="s">
        <v>3441</v>
      </c>
      <c r="Q887" s="34" t="s">
        <v>3442</v>
      </c>
      <c r="R887" s="34" t="s">
        <v>378</v>
      </c>
      <c r="S887" s="34">
        <v>20050927</v>
      </c>
      <c r="T887" s="45">
        <v>7.8553426134000004</v>
      </c>
      <c r="U887" s="46">
        <v>7.7642402000999997</v>
      </c>
      <c r="V887" s="34" t="s">
        <v>231</v>
      </c>
      <c r="W887" s="34" t="s">
        <v>44</v>
      </c>
      <c r="X887" s="34" t="s">
        <v>45</v>
      </c>
      <c r="Y887" s="34" t="s">
        <v>65</v>
      </c>
      <c r="Z887" s="34"/>
      <c r="AA887" s="34"/>
      <c r="AB887" s="22">
        <v>0.79084838867187501</v>
      </c>
      <c r="AC887" s="23" t="s">
        <v>3443</v>
      </c>
      <c r="AD887" s="24">
        <v>1.9589041095890412</v>
      </c>
      <c r="AE887" s="25">
        <v>0.19733373313276537</v>
      </c>
      <c r="AF887" s="26">
        <v>0.10390496102317437</v>
      </c>
      <c r="AG887" s="26">
        <v>8.31744858865575E-2</v>
      </c>
      <c r="AH887" s="27">
        <v>0.77082470318889984</v>
      </c>
      <c r="AI887" s="27">
        <v>0.41475546716304357</v>
      </c>
      <c r="AJ887" s="27">
        <v>0.37948789944581007</v>
      </c>
      <c r="AK887" s="28" t="s">
        <v>3444</v>
      </c>
      <c r="AL887" s="29">
        <v>2</v>
      </c>
      <c r="AM887" s="29">
        <v>1</v>
      </c>
      <c r="AN887" s="29" t="s">
        <v>48</v>
      </c>
      <c r="AO887" s="47" t="s">
        <v>2368</v>
      </c>
      <c r="AP887" s="28">
        <v>0</v>
      </c>
      <c r="AQ887" s="26">
        <v>1.4999999999999999E-2</v>
      </c>
      <c r="AR887" s="26">
        <v>0</v>
      </c>
    </row>
    <row r="888" spans="1:44" x14ac:dyDescent="0.15">
      <c r="A888">
        <v>269</v>
      </c>
      <c r="B888" s="11">
        <v>481001</v>
      </c>
      <c r="C888" s="32"/>
      <c r="D888" s="32">
        <v>-3.3938323366742998E-3</v>
      </c>
      <c r="E888" s="32">
        <v>160</v>
      </c>
      <c r="F888" s="32">
        <v>1.7621620656829099E-3</v>
      </c>
      <c r="G888" s="11"/>
      <c r="H888" s="11"/>
      <c r="I888" s="11"/>
      <c r="J888" s="18" t="s">
        <v>44</v>
      </c>
      <c r="K888" s="18" t="s">
        <v>45</v>
      </c>
      <c r="L888" s="58" t="s">
        <v>65</v>
      </c>
      <c r="M888" s="18">
        <f>[1]!f_prt_stocktonav(B888,"2017/03/31")</f>
        <v>90.068824768066406</v>
      </c>
      <c r="N888" s="20" t="str">
        <f>[1]!f_info_fundmanager(B888)</f>
        <v>何肖颉</v>
      </c>
      <c r="O888" s="21">
        <v>3.0712328767123287</v>
      </c>
      <c r="P888" s="34" t="s">
        <v>3445</v>
      </c>
      <c r="Q888" s="34" t="s">
        <v>3446</v>
      </c>
      <c r="R888" s="34" t="s">
        <v>523</v>
      </c>
      <c r="S888" s="34">
        <v>20050831</v>
      </c>
      <c r="T888" s="45">
        <v>42.084073288399999</v>
      </c>
      <c r="U888" s="46">
        <v>43.305950850999999</v>
      </c>
      <c r="V888" s="34" t="s">
        <v>231</v>
      </c>
      <c r="W888" s="34" t="s">
        <v>44</v>
      </c>
      <c r="X888" s="34" t="s">
        <v>45</v>
      </c>
      <c r="Y888" s="34" t="s">
        <v>274</v>
      </c>
      <c r="Z888" s="34"/>
      <c r="AA888" s="34"/>
      <c r="AB888" s="22">
        <v>0.90307235717773438</v>
      </c>
      <c r="AC888" s="23" t="s">
        <v>3447</v>
      </c>
      <c r="AD888" s="24">
        <v>2.9643835616438357</v>
      </c>
      <c r="AE888" s="25">
        <v>0.16891307770694031</v>
      </c>
      <c r="AF888" s="26">
        <v>9.8909897192304364E-2</v>
      </c>
      <c r="AG888" s="26">
        <v>9.699195399892592E-2</v>
      </c>
      <c r="AH888" s="27">
        <v>0.67510451044519459</v>
      </c>
      <c r="AI888" s="27">
        <v>0.43191384065145455</v>
      </c>
      <c r="AJ888" s="27">
        <v>0.42316898851175949</v>
      </c>
      <c r="AK888" s="28" t="s">
        <v>2966</v>
      </c>
      <c r="AL888" s="29">
        <v>2</v>
      </c>
      <c r="AM888" s="29">
        <v>2</v>
      </c>
      <c r="AN888" s="29" t="s">
        <v>48</v>
      </c>
      <c r="AO888" s="47" t="s">
        <v>679</v>
      </c>
      <c r="AP888" s="28">
        <v>0</v>
      </c>
      <c r="AQ888" s="26">
        <v>1.4999999999999999E-2</v>
      </c>
      <c r="AR888" s="26">
        <v>0</v>
      </c>
    </row>
    <row r="889" spans="1:44" x14ac:dyDescent="0.15">
      <c r="A889">
        <v>283</v>
      </c>
      <c r="B889" s="11">
        <v>519008</v>
      </c>
      <c r="C889" s="32"/>
      <c r="D889" s="32">
        <v>-5.4514030318682705E-4</v>
      </c>
      <c r="E889" s="32">
        <v>372</v>
      </c>
      <c r="F889" s="32">
        <v>0.44688304763744302</v>
      </c>
      <c r="G889" s="11"/>
      <c r="H889" s="11"/>
      <c r="I889" s="11"/>
      <c r="J889" s="18" t="s">
        <v>44</v>
      </c>
      <c r="K889" s="18" t="s">
        <v>45</v>
      </c>
      <c r="L889" s="58" t="s">
        <v>65</v>
      </c>
      <c r="M889" s="18">
        <f>[1]!f_prt_stocktonav(B889,"2017/03/31")</f>
        <v>89.749351501464844</v>
      </c>
      <c r="N889" s="20" t="str">
        <f>[1]!f_info_fundmanager(B889)</f>
        <v>王栩</v>
      </c>
      <c r="O889" s="21">
        <v>7.1534246575342468</v>
      </c>
      <c r="P889" s="34" t="s">
        <v>3448</v>
      </c>
      <c r="Q889" s="34" t="s">
        <v>3449</v>
      </c>
      <c r="R889" s="34" t="s">
        <v>331</v>
      </c>
      <c r="S889" s="34">
        <v>20050825</v>
      </c>
      <c r="T889" s="45">
        <v>16.347381473999999</v>
      </c>
      <c r="U889" s="46">
        <v>17.380423109700001</v>
      </c>
      <c r="V889" s="34" t="s">
        <v>231</v>
      </c>
      <c r="W889" s="34" t="s">
        <v>44</v>
      </c>
      <c r="X889" s="34" t="s">
        <v>45</v>
      </c>
      <c r="Y889" s="34" t="s">
        <v>65</v>
      </c>
      <c r="Z889" s="34"/>
      <c r="AA889" s="34"/>
      <c r="AB889" s="22">
        <v>0.89817443847656253</v>
      </c>
      <c r="AC889" s="23" t="s">
        <v>2116</v>
      </c>
      <c r="AD889" s="24">
        <v>6.9232876712328766</v>
      </c>
      <c r="AE889" s="25">
        <v>0.21178958876244836</v>
      </c>
      <c r="AF889" s="26">
        <v>0.16936707368236714</v>
      </c>
      <c r="AG889" s="26">
        <v>0.15884133343567175</v>
      </c>
      <c r="AH889" s="27">
        <v>0.8194748940219182</v>
      </c>
      <c r="AI889" s="27">
        <v>0.60231679562243678</v>
      </c>
      <c r="AJ889" s="27">
        <v>0.62709908340104781</v>
      </c>
      <c r="AK889" s="28" t="s">
        <v>882</v>
      </c>
      <c r="AL889" s="29">
        <v>5</v>
      </c>
      <c r="AM889" s="29">
        <v>2</v>
      </c>
      <c r="AN889" s="29" t="s">
        <v>48</v>
      </c>
      <c r="AO889" s="47" t="s">
        <v>334</v>
      </c>
      <c r="AP889" s="28" t="s">
        <v>3192</v>
      </c>
      <c r="AQ889" s="26">
        <v>1.4999999999999999E-2</v>
      </c>
      <c r="AR889" s="26">
        <v>0</v>
      </c>
    </row>
    <row r="890" spans="1:44" x14ac:dyDescent="0.15">
      <c r="A890">
        <v>42</v>
      </c>
      <c r="B890" s="11">
        <v>519005</v>
      </c>
      <c r="C890" s="32"/>
      <c r="D890" s="32">
        <v>-3.57302894570319E-3</v>
      </c>
      <c r="E890" s="32">
        <v>119</v>
      </c>
      <c r="F890" s="32">
        <v>6.0809077342749901E-2</v>
      </c>
      <c r="G890" s="11"/>
      <c r="H890" s="11"/>
      <c r="I890" s="11"/>
      <c r="J890" s="18" t="s">
        <v>44</v>
      </c>
      <c r="K890" s="18" t="s">
        <v>45</v>
      </c>
      <c r="L890" s="58" t="s">
        <v>65</v>
      </c>
      <c r="M890" s="18">
        <f>[1]!f_prt_stocktonav(B890,"2017/03/31")</f>
        <v>94.389984130859375</v>
      </c>
      <c r="N890" s="20" t="str">
        <f>[1]!f_info_fundmanager(B890)</f>
        <v>黄峰,吕越超</v>
      </c>
      <c r="O890" s="21">
        <v>2.2876712328767121</v>
      </c>
      <c r="P890" s="34" t="s">
        <v>3450</v>
      </c>
      <c r="Q890" s="34" t="s">
        <v>3451</v>
      </c>
      <c r="R890" s="34" t="s">
        <v>496</v>
      </c>
      <c r="S890" s="34">
        <v>20050729</v>
      </c>
      <c r="T890" s="45">
        <v>9.6425454743000003</v>
      </c>
      <c r="U890" s="46">
        <v>10.5730080866</v>
      </c>
      <c r="V890" s="34" t="s">
        <v>231</v>
      </c>
      <c r="W890" s="34" t="s">
        <v>44</v>
      </c>
      <c r="X890" s="34" t="s">
        <v>45</v>
      </c>
      <c r="Y890" s="34" t="s">
        <v>65</v>
      </c>
      <c r="Z890" s="34"/>
      <c r="AA890" s="34"/>
      <c r="AB890" s="22">
        <v>0.88655143737792974</v>
      </c>
      <c r="AC890" s="23" t="s">
        <v>3452</v>
      </c>
      <c r="AD890" s="24">
        <v>2.0575342465753423</v>
      </c>
      <c r="AE890" s="25">
        <v>8.5150406397135323E-2</v>
      </c>
      <c r="AF890" s="26">
        <v>-1.3584025215319206E-2</v>
      </c>
      <c r="AG890" s="26">
        <v>7.4954856533078207E-3</v>
      </c>
      <c r="AH890" s="27">
        <v>0.38420159436365742</v>
      </c>
      <c r="AI890" s="27">
        <v>4.3094070030218104E-2</v>
      </c>
      <c r="AJ890" s="27">
        <v>0.10669657686353257</v>
      </c>
      <c r="AK890" s="28" t="s">
        <v>2037</v>
      </c>
      <c r="AL890" s="29">
        <v>1</v>
      </c>
      <c r="AM890" s="29">
        <v>2</v>
      </c>
      <c r="AN890" s="29" t="s">
        <v>48</v>
      </c>
      <c r="AO890" s="47" t="s">
        <v>2790</v>
      </c>
      <c r="AP890" s="28">
        <v>0</v>
      </c>
      <c r="AQ890" s="26">
        <v>1.4999999999999999E-2</v>
      </c>
      <c r="AR890" s="26">
        <v>0</v>
      </c>
    </row>
    <row r="891" spans="1:44" x14ac:dyDescent="0.15">
      <c r="A891">
        <v>16</v>
      </c>
      <c r="B891" s="11">
        <v>161903</v>
      </c>
      <c r="C891" s="32"/>
      <c r="D891" s="32">
        <v>-2.9570321132130602E-4</v>
      </c>
      <c r="E891" s="32">
        <v>54</v>
      </c>
      <c r="F891" s="32">
        <v>0.81635690852158704</v>
      </c>
      <c r="G891" s="11"/>
      <c r="H891" s="11"/>
      <c r="I891" s="11"/>
      <c r="J891" s="18" t="s">
        <v>44</v>
      </c>
      <c r="K891" s="18" t="s">
        <v>45</v>
      </c>
      <c r="L891" s="58" t="s">
        <v>65</v>
      </c>
      <c r="M891" s="18">
        <f>[1]!f_prt_stocktonav(B891,"2017/03/31")</f>
        <v>94.78924560546875</v>
      </c>
      <c r="N891" s="20" t="str">
        <f>[1]!f_info_fundmanager(B891)</f>
        <v>孙远慧</v>
      </c>
      <c r="O891" s="21">
        <v>1.021917808219178</v>
      </c>
      <c r="P891" s="34" t="s">
        <v>3453</v>
      </c>
      <c r="Q891" s="34" t="s">
        <v>3454</v>
      </c>
      <c r="R891" s="34" t="s">
        <v>718</v>
      </c>
      <c r="S891" s="34">
        <v>20050715</v>
      </c>
      <c r="T891" s="45">
        <v>1.7108779383999999</v>
      </c>
      <c r="U891" s="46">
        <v>3.5589021124000002</v>
      </c>
      <c r="V891" s="34" t="s">
        <v>231</v>
      </c>
      <c r="W891" s="34" t="s">
        <v>44</v>
      </c>
      <c r="X891" s="34" t="s">
        <v>45</v>
      </c>
      <c r="Y891" s="34" t="s">
        <v>65</v>
      </c>
      <c r="Z891" s="34"/>
      <c r="AA891" s="34"/>
      <c r="AB891" s="22">
        <v>0.93484649658203123</v>
      </c>
      <c r="AC891" s="23" t="s">
        <v>3455</v>
      </c>
      <c r="AD891" s="24">
        <v>0.79178082191780819</v>
      </c>
      <c r="AE891" s="25">
        <v>0.11054046763433689</v>
      </c>
      <c r="AF891" s="26">
        <v>0.22685598673720045</v>
      </c>
      <c r="AG891" s="26">
        <v>0.12015613992543406</v>
      </c>
      <c r="AH891" s="27">
        <v>0.48756748124922139</v>
      </c>
      <c r="AI891" s="27">
        <v>0.78363992872156185</v>
      </c>
      <c r="AJ891" s="27">
        <v>0.5232341047163821</v>
      </c>
      <c r="AK891" s="28" t="s">
        <v>1459</v>
      </c>
      <c r="AL891" s="29">
        <v>1</v>
      </c>
      <c r="AM891" s="29">
        <v>3</v>
      </c>
      <c r="AN891" s="29" t="s">
        <v>48</v>
      </c>
      <c r="AO891" s="47" t="s">
        <v>3456</v>
      </c>
      <c r="AP891" s="28">
        <v>0</v>
      </c>
      <c r="AQ891" s="26">
        <v>1.2999999523162841E-2</v>
      </c>
      <c r="AR891" s="26">
        <v>0</v>
      </c>
    </row>
    <row r="892" spans="1:44" x14ac:dyDescent="0.15">
      <c r="A892">
        <v>439</v>
      </c>
      <c r="B892" s="11">
        <v>160106</v>
      </c>
      <c r="C892" s="32"/>
      <c r="D892" s="32">
        <v>-8.4694360393051797E-4</v>
      </c>
      <c r="E892" s="32">
        <v>319</v>
      </c>
      <c r="F892" s="32">
        <v>0.25784063441055899</v>
      </c>
      <c r="G892" s="11"/>
      <c r="H892" s="11"/>
      <c r="I892" s="11"/>
      <c r="J892" s="18" t="s">
        <v>44</v>
      </c>
      <c r="K892" s="18" t="s">
        <v>45</v>
      </c>
      <c r="L892" s="58" t="s">
        <v>65</v>
      </c>
      <c r="M892" s="18">
        <f>[1]!f_prt_stocktonav(B892,"2017/03/31")</f>
        <v>86.483924865722656</v>
      </c>
      <c r="N892" s="20" t="str">
        <f>[1]!f_info_fundmanager(B892)</f>
        <v>张原</v>
      </c>
      <c r="O892" s="21">
        <v>6.1205479452054794</v>
      </c>
      <c r="P892" s="34" t="s">
        <v>3457</v>
      </c>
      <c r="Q892" s="34" t="s">
        <v>3458</v>
      </c>
      <c r="R892" s="34" t="s">
        <v>284</v>
      </c>
      <c r="S892" s="34">
        <v>20050713</v>
      </c>
      <c r="T892" s="45">
        <v>18.689411618600001</v>
      </c>
      <c r="U892" s="46">
        <v>19.067273223099999</v>
      </c>
      <c r="V892" s="34" t="s">
        <v>231</v>
      </c>
      <c r="W892" s="34" t="s">
        <v>44</v>
      </c>
      <c r="X892" s="34" t="s">
        <v>45</v>
      </c>
      <c r="Y892" s="34" t="s">
        <v>65</v>
      </c>
      <c r="Z892" s="34"/>
      <c r="AA892" s="34"/>
      <c r="AB892" s="22">
        <v>0.87996276855468747</v>
      </c>
      <c r="AC892" s="23" t="s">
        <v>3459</v>
      </c>
      <c r="AD892" s="24">
        <v>5.8904109589041092</v>
      </c>
      <c r="AE892" s="25">
        <v>0.17857312609631015</v>
      </c>
      <c r="AF892" s="26">
        <v>0.15736739590512783</v>
      </c>
      <c r="AG892" s="26">
        <v>0.15646304281575785</v>
      </c>
      <c r="AH892" s="27">
        <v>0.69118756039649587</v>
      </c>
      <c r="AI892" s="27">
        <v>0.56938626761790545</v>
      </c>
      <c r="AJ892" s="27">
        <v>0.62087480503906323</v>
      </c>
      <c r="AK892" s="28" t="s">
        <v>3460</v>
      </c>
      <c r="AL892" s="29">
        <v>3</v>
      </c>
      <c r="AM892" s="29">
        <v>3</v>
      </c>
      <c r="AN892" s="29" t="s">
        <v>48</v>
      </c>
      <c r="AO892" s="47" t="s">
        <v>3461</v>
      </c>
      <c r="AP892" s="28" t="s">
        <v>3462</v>
      </c>
      <c r="AQ892" s="26">
        <v>1.4999999999999999E-2</v>
      </c>
      <c r="AR892" s="26">
        <v>0</v>
      </c>
    </row>
    <row r="893" spans="1:44" x14ac:dyDescent="0.15">
      <c r="A893">
        <v>695</v>
      </c>
      <c r="B893" s="11">
        <v>2011</v>
      </c>
      <c r="C893" s="32"/>
      <c r="D893" s="32">
        <v>-1.41052831160761E-3</v>
      </c>
      <c r="E893" s="32">
        <v>323</v>
      </c>
      <c r="F893" s="32">
        <v>3.62352989834732E-3</v>
      </c>
      <c r="G893" s="11"/>
      <c r="H893" s="11"/>
      <c r="I893" s="11"/>
      <c r="J893" s="18" t="s">
        <v>44</v>
      </c>
      <c r="K893" s="18" t="s">
        <v>45</v>
      </c>
      <c r="L893" s="58" t="s">
        <v>274</v>
      </c>
      <c r="M893" s="18">
        <f>[1]!f_prt_stocktonav(B893,"2017/03/31")</f>
        <v>80.118133544921875</v>
      </c>
      <c r="N893" s="20" t="str">
        <f>[1]!f_info_fundmanager(B893)</f>
        <v>赵航,陈虎,蔡向阳,孙萌</v>
      </c>
      <c r="O893" s="21">
        <v>6.2027397260273975</v>
      </c>
      <c r="P893" s="34" t="s">
        <v>3463</v>
      </c>
      <c r="Q893" s="34" t="s">
        <v>3464</v>
      </c>
      <c r="R893" s="34" t="s">
        <v>143</v>
      </c>
      <c r="S893" s="34">
        <v>20050630</v>
      </c>
      <c r="T893" s="45">
        <v>110.8145974454</v>
      </c>
      <c r="U893" s="46">
        <v>115.479976712</v>
      </c>
      <c r="V893" s="34" t="s">
        <v>231</v>
      </c>
      <c r="W893" s="34" t="s">
        <v>44</v>
      </c>
      <c r="X893" s="34" t="s">
        <v>45</v>
      </c>
      <c r="Y893" s="34" t="s">
        <v>274</v>
      </c>
      <c r="Z893" s="34"/>
      <c r="AA893" s="34"/>
      <c r="AB893" s="22">
        <v>0.76618003845214844</v>
      </c>
      <c r="AC893" s="23" t="s">
        <v>3465</v>
      </c>
      <c r="AD893" s="24">
        <v>5.9726027397260273</v>
      </c>
      <c r="AE893" s="25">
        <v>0.21002303142568746</v>
      </c>
      <c r="AF893" s="26">
        <v>0.14519949663542597</v>
      </c>
      <c r="AG893" s="26">
        <v>0.11581621209370718</v>
      </c>
      <c r="AH893" s="27">
        <v>0.84792003457773424</v>
      </c>
      <c r="AI893" s="27">
        <v>0.57140120208107437</v>
      </c>
      <c r="AJ893" s="27">
        <v>0.51717272130583158</v>
      </c>
      <c r="AK893" s="28" t="s">
        <v>3466</v>
      </c>
      <c r="AL893" s="29">
        <v>4</v>
      </c>
      <c r="AM893" s="29">
        <v>3</v>
      </c>
      <c r="AN893" s="29" t="s">
        <v>48</v>
      </c>
      <c r="AO893" s="47" t="s">
        <v>3332</v>
      </c>
      <c r="AP893" s="28" t="s">
        <v>3467</v>
      </c>
      <c r="AQ893" s="26">
        <v>1.4999999999999999E-2</v>
      </c>
      <c r="AR893" s="26">
        <v>0</v>
      </c>
    </row>
    <row r="894" spans="1:44" x14ac:dyDescent="0.15">
      <c r="A894">
        <v>177</v>
      </c>
      <c r="B894" s="11">
        <v>398011</v>
      </c>
      <c r="C894" s="32"/>
      <c r="D894" s="32">
        <v>-7.3412111812400397E-3</v>
      </c>
      <c r="E894" s="32">
        <v>124</v>
      </c>
      <c r="F894" s="32">
        <v>2.9310730051033599E-4</v>
      </c>
      <c r="G894" s="11"/>
      <c r="H894" s="11"/>
      <c r="I894" s="11"/>
      <c r="J894" s="18" t="s">
        <v>44</v>
      </c>
      <c r="K894" s="18" t="s">
        <v>87</v>
      </c>
      <c r="L894" s="58" t="s">
        <v>274</v>
      </c>
      <c r="M894" s="18">
        <f>[1]!f_prt_stocktonav(B894,"2017/03/31")</f>
        <v>92.179351806640625</v>
      </c>
      <c r="N894" s="20" t="str">
        <f>[1]!f_info_fundmanager(B894)</f>
        <v>邱红丽</v>
      </c>
      <c r="O894" s="21">
        <v>2.3671232876712329</v>
      </c>
      <c r="P894" s="34" t="s">
        <v>3468</v>
      </c>
      <c r="Q894" s="34" t="s">
        <v>3469</v>
      </c>
      <c r="R894" s="34" t="s">
        <v>505</v>
      </c>
      <c r="S894" s="34">
        <v>20050616</v>
      </c>
      <c r="T894" s="45">
        <v>4.2664921832999996</v>
      </c>
      <c r="U894" s="46">
        <v>4.6109247688000004</v>
      </c>
      <c r="V894" s="34" t="s">
        <v>231</v>
      </c>
      <c r="W894" s="34" t="s">
        <v>44</v>
      </c>
      <c r="X894" s="34" t="s">
        <v>45</v>
      </c>
      <c r="Y894" s="34" t="s">
        <v>274</v>
      </c>
      <c r="Z894" s="34"/>
      <c r="AA894" s="34"/>
      <c r="AB894" s="22">
        <v>0.75212844848632809</v>
      </c>
      <c r="AC894" s="23" t="s">
        <v>862</v>
      </c>
      <c r="AD894" s="24">
        <v>2.1369863013698631</v>
      </c>
      <c r="AE894" s="25">
        <v>6.8665478696856352E-2</v>
      </c>
      <c r="AF894" s="26">
        <v>-8.5037941125924443E-2</v>
      </c>
      <c r="AG894" s="26">
        <v>-2.9096164714076833E-2</v>
      </c>
      <c r="AH894" s="27">
        <v>0.32674734485779688</v>
      </c>
      <c r="AI894" s="27">
        <v>-9.9819577049103297E-2</v>
      </c>
      <c r="AJ894" s="27">
        <v>1.3064954617967844E-2</v>
      </c>
      <c r="AK894" s="28" t="s">
        <v>3470</v>
      </c>
      <c r="AL894" s="29">
        <v>1</v>
      </c>
      <c r="AM894" s="29">
        <v>1</v>
      </c>
      <c r="AN894" s="29" t="s">
        <v>48</v>
      </c>
      <c r="AO894" s="47" t="s">
        <v>3471</v>
      </c>
      <c r="AP894" s="28" t="s">
        <v>3472</v>
      </c>
      <c r="AQ894" s="26">
        <v>1.4999999999999999E-2</v>
      </c>
      <c r="AR894" s="26">
        <v>0</v>
      </c>
    </row>
    <row r="895" spans="1:44" x14ac:dyDescent="0.15">
      <c r="A895">
        <v>378</v>
      </c>
      <c r="B895" s="11">
        <v>460001</v>
      </c>
      <c r="C895" s="32"/>
      <c r="D895" s="32">
        <v>-2.3787488319076599E-3</v>
      </c>
      <c r="E895" s="32">
        <v>185</v>
      </c>
      <c r="F895" s="32">
        <v>6.6759438333020199E-2</v>
      </c>
      <c r="G895" s="11"/>
      <c r="H895" s="11"/>
      <c r="I895" s="11"/>
      <c r="J895" s="18" t="s">
        <v>44</v>
      </c>
      <c r="K895" s="18" t="s">
        <v>45</v>
      </c>
      <c r="L895" s="58" t="s">
        <v>274</v>
      </c>
      <c r="M895" s="18">
        <f>[1]!f_prt_stocktonav(B895,"2017/03/31")</f>
        <v>87.96405029296875</v>
      </c>
      <c r="N895" s="20" t="str">
        <f>[1]!f_info_fundmanager(B895)</f>
        <v>张慧</v>
      </c>
      <c r="O895" s="21">
        <v>3.5397260273972604</v>
      </c>
      <c r="P895" s="34" t="s">
        <v>3473</v>
      </c>
      <c r="Q895" s="34" t="s">
        <v>3474</v>
      </c>
      <c r="R895" s="34" t="s">
        <v>880</v>
      </c>
      <c r="S895" s="34">
        <v>20050427</v>
      </c>
      <c r="T895" s="45">
        <v>15.822567450199999</v>
      </c>
      <c r="U895" s="46">
        <v>18.1726016611</v>
      </c>
      <c r="V895" s="34" t="s">
        <v>231</v>
      </c>
      <c r="W895" s="34" t="s">
        <v>44</v>
      </c>
      <c r="X895" s="34" t="s">
        <v>45</v>
      </c>
      <c r="Y895" s="34" t="s">
        <v>274</v>
      </c>
      <c r="Z895" s="34"/>
      <c r="AA895" s="34"/>
      <c r="AB895" s="22">
        <v>0.89328704833984374</v>
      </c>
      <c r="AC895" s="23" t="s">
        <v>1589</v>
      </c>
      <c r="AD895" s="24">
        <v>3.3095890410958906</v>
      </c>
      <c r="AE895" s="25">
        <v>0.13752821279557637</v>
      </c>
      <c r="AF895" s="26">
        <v>7.7913285437575475E-2</v>
      </c>
      <c r="AG895" s="26">
        <v>8.2689111793478501E-2</v>
      </c>
      <c r="AH895" s="27">
        <v>0.57081245041791262</v>
      </c>
      <c r="AI895" s="27">
        <v>0.34532421576968947</v>
      </c>
      <c r="AJ895" s="27">
        <v>0.37544410648189114</v>
      </c>
      <c r="AK895" s="28" t="s">
        <v>3475</v>
      </c>
      <c r="AL895" s="29">
        <v>2</v>
      </c>
      <c r="AM895" s="29">
        <v>3</v>
      </c>
      <c r="AN895" s="29" t="s">
        <v>48</v>
      </c>
      <c r="AO895" s="47" t="s">
        <v>2790</v>
      </c>
      <c r="AP895" s="28">
        <v>0</v>
      </c>
      <c r="AQ895" s="26">
        <v>1.4999999999999999E-2</v>
      </c>
      <c r="AR895" s="26">
        <v>0</v>
      </c>
    </row>
    <row r="896" spans="1:44" x14ac:dyDescent="0.15">
      <c r="A896">
        <v>564</v>
      </c>
      <c r="B896" s="11">
        <v>100022</v>
      </c>
      <c r="C896" s="32"/>
      <c r="D896" s="32">
        <v>2.5220229233264102E-3</v>
      </c>
      <c r="E896" s="32">
        <v>61</v>
      </c>
      <c r="F896" s="32">
        <v>0.193216042221868</v>
      </c>
      <c r="G896" s="11"/>
      <c r="H896" s="11"/>
      <c r="I896" s="11"/>
      <c r="J896" s="18" t="s">
        <v>44</v>
      </c>
      <c r="K896" s="18" t="s">
        <v>45</v>
      </c>
      <c r="L896" s="58" t="s">
        <v>817</v>
      </c>
      <c r="M896" s="18">
        <f>[1]!f_prt_stocktonav(B896,"2017/03/31")</f>
        <v>83.804672241210938</v>
      </c>
      <c r="N896" s="20" t="str">
        <f>[1]!f_info_fundmanager(B896)</f>
        <v>厉叶淼</v>
      </c>
      <c r="O896" s="21">
        <v>1.1589041095890411</v>
      </c>
      <c r="P896" s="34" t="s">
        <v>3476</v>
      </c>
      <c r="Q896" s="34" t="s">
        <v>3477</v>
      </c>
      <c r="R896" s="34" t="s">
        <v>396</v>
      </c>
      <c r="S896" s="34">
        <v>20050405</v>
      </c>
      <c r="T896" s="45">
        <v>18.834240820200002</v>
      </c>
      <c r="U896" s="46">
        <v>23.462806861200001</v>
      </c>
      <c r="V896" s="34" t="s">
        <v>231</v>
      </c>
      <c r="W896" s="34" t="s">
        <v>44</v>
      </c>
      <c r="X896" s="34" t="s">
        <v>45</v>
      </c>
      <c r="Y896" s="34" t="s">
        <v>65</v>
      </c>
      <c r="Z896" s="34"/>
      <c r="AA896" s="34"/>
      <c r="AB896" s="22">
        <v>0.84503334045410161</v>
      </c>
      <c r="AC896" s="23" t="s">
        <v>3478</v>
      </c>
      <c r="AD896" s="24">
        <v>0.92876712328767119</v>
      </c>
      <c r="AE896" s="25">
        <v>0.1820387011837914</v>
      </c>
      <c r="AF896" s="26">
        <v>0.14405930430758551</v>
      </c>
      <c r="AG896" s="26">
        <v>0.12978373979072266</v>
      </c>
      <c r="AH896" s="27">
        <v>0.71141948347622808</v>
      </c>
      <c r="AI896" s="27">
        <v>0.553896030140278</v>
      </c>
      <c r="AJ896" s="27">
        <v>0.54346952210299926</v>
      </c>
      <c r="AK896" s="28" t="s">
        <v>3479</v>
      </c>
      <c r="AL896" s="29">
        <v>3</v>
      </c>
      <c r="AM896" s="29">
        <v>3</v>
      </c>
      <c r="AN896" s="29" t="s">
        <v>48</v>
      </c>
      <c r="AO896" s="47" t="s">
        <v>2095</v>
      </c>
      <c r="AP896" s="28" t="s">
        <v>608</v>
      </c>
      <c r="AQ896" s="26">
        <v>1.4999999999999999E-2</v>
      </c>
      <c r="AR896" s="26">
        <v>0</v>
      </c>
    </row>
    <row r="897" spans="1:44" x14ac:dyDescent="0.15">
      <c r="A897">
        <v>401</v>
      </c>
      <c r="B897" s="11">
        <v>162605</v>
      </c>
      <c r="C897" s="32"/>
      <c r="D897" s="32">
        <v>2.4586167842872799E-3</v>
      </c>
      <c r="E897" s="32">
        <v>90</v>
      </c>
      <c r="F897" s="32">
        <v>0.13654284389215601</v>
      </c>
      <c r="G897" s="11"/>
      <c r="H897" s="11"/>
      <c r="I897" s="11"/>
      <c r="J897" s="18" t="s">
        <v>44</v>
      </c>
      <c r="K897" s="18" t="s">
        <v>45</v>
      </c>
      <c r="L897" s="58" t="s">
        <v>65</v>
      </c>
      <c r="M897" s="18">
        <f>[1]!f_prt_stocktonav(B897,"2017/03/31")</f>
        <v>87.522537231445313</v>
      </c>
      <c r="N897" s="20" t="str">
        <f>[1]!f_info_fundmanager(B897)</f>
        <v>刘彦春</v>
      </c>
      <c r="O897" s="21">
        <v>1.726027397260274</v>
      </c>
      <c r="P897" s="34" t="s">
        <v>3480</v>
      </c>
      <c r="Q897" s="34" t="s">
        <v>3481</v>
      </c>
      <c r="R897" s="34" t="s">
        <v>353</v>
      </c>
      <c r="S897" s="34">
        <v>20050316</v>
      </c>
      <c r="T897" s="45">
        <v>16.399855309700001</v>
      </c>
      <c r="U897" s="46">
        <v>19.1030715578</v>
      </c>
      <c r="V897" s="34" t="s">
        <v>231</v>
      </c>
      <c r="W897" s="34" t="s">
        <v>44</v>
      </c>
      <c r="X897" s="34" t="s">
        <v>45</v>
      </c>
      <c r="Y897" s="34" t="s">
        <v>274</v>
      </c>
      <c r="Z897" s="34"/>
      <c r="AA897" s="34"/>
      <c r="AB897" s="22">
        <v>0.88895874023437504</v>
      </c>
      <c r="AC897" s="23" t="s">
        <v>3348</v>
      </c>
      <c r="AD897" s="24">
        <v>1.4958904109589042</v>
      </c>
      <c r="AE897" s="25">
        <v>0.16346248492079418</v>
      </c>
      <c r="AF897" s="26">
        <v>0.13102713552825773</v>
      </c>
      <c r="AG897" s="26">
        <v>0.13739763855830245</v>
      </c>
      <c r="AH897" s="27">
        <v>0.66838460668082889</v>
      </c>
      <c r="AI897" s="27">
        <v>0.50918470358366086</v>
      </c>
      <c r="AJ897" s="27">
        <v>0.56276962245909723</v>
      </c>
      <c r="AK897" s="28" t="s">
        <v>3482</v>
      </c>
      <c r="AL897" s="29">
        <v>2</v>
      </c>
      <c r="AM897" s="29">
        <v>2</v>
      </c>
      <c r="AN897" s="29" t="s">
        <v>48</v>
      </c>
      <c r="AO897" s="47" t="s">
        <v>3483</v>
      </c>
      <c r="AP897" s="28" t="s">
        <v>3484</v>
      </c>
      <c r="AQ897" s="26">
        <v>1.4999999999999999E-2</v>
      </c>
      <c r="AR897" s="26">
        <v>0</v>
      </c>
    </row>
    <row r="898" spans="1:44" x14ac:dyDescent="0.15">
      <c r="A898">
        <v>335</v>
      </c>
      <c r="B898" s="11">
        <v>213002</v>
      </c>
      <c r="C898" s="32"/>
      <c r="D898" s="32">
        <v>-4.3419297736539504E-3</v>
      </c>
      <c r="E898" s="32">
        <v>150</v>
      </c>
      <c r="F898" s="32">
        <v>1.44703317932477E-3</v>
      </c>
      <c r="G898" s="11"/>
      <c r="H898" s="11"/>
      <c r="I898" s="11"/>
      <c r="J898" s="18" t="s">
        <v>44</v>
      </c>
      <c r="K898" s="18" t="s">
        <v>45</v>
      </c>
      <c r="L898" s="58" t="s">
        <v>274</v>
      </c>
      <c r="M898" s="18">
        <f>[1]!f_prt_stocktonav(B898,"2017/03/31")</f>
        <v>88.746208190917969</v>
      </c>
      <c r="N898" s="20" t="str">
        <f>[1]!f_info_fundmanager(B898)</f>
        <v>盖俊龙</v>
      </c>
      <c r="O898" s="21">
        <v>2.8767123287671232</v>
      </c>
      <c r="P898" s="34" t="s">
        <v>3485</v>
      </c>
      <c r="Q898" s="34" t="s">
        <v>3486</v>
      </c>
      <c r="R898" s="34" t="s">
        <v>402</v>
      </c>
      <c r="S898" s="34">
        <v>20050308</v>
      </c>
      <c r="T898" s="45">
        <v>15.0118365127</v>
      </c>
      <c r="U898" s="46">
        <v>15.6851782955</v>
      </c>
      <c r="V898" s="34" t="s">
        <v>231</v>
      </c>
      <c r="W898" s="34" t="s">
        <v>44</v>
      </c>
      <c r="X898" s="34" t="s">
        <v>45</v>
      </c>
      <c r="Y898" s="34" t="s">
        <v>274</v>
      </c>
      <c r="Z898" s="34"/>
      <c r="AA898" s="34"/>
      <c r="AB898" s="22">
        <v>0.89474220275878902</v>
      </c>
      <c r="AC898" s="23" t="s">
        <v>873</v>
      </c>
      <c r="AD898" s="24">
        <v>2.6465753424657534</v>
      </c>
      <c r="AE898" s="25">
        <v>8.3859960909886677E-2</v>
      </c>
      <c r="AF898" s="26">
        <v>0.12864031098409412</v>
      </c>
      <c r="AG898" s="26">
        <v>0.11164518551772161</v>
      </c>
      <c r="AH898" s="27">
        <v>0.37591441838254386</v>
      </c>
      <c r="AI898" s="27">
        <v>0.49046469030889822</v>
      </c>
      <c r="AJ898" s="27">
        <v>0.45124950051928769</v>
      </c>
      <c r="AK898" s="28" t="s">
        <v>3487</v>
      </c>
      <c r="AL898" s="29">
        <v>1</v>
      </c>
      <c r="AM898" s="29">
        <v>3</v>
      </c>
      <c r="AN898" s="29" t="s">
        <v>48</v>
      </c>
      <c r="AO898" s="47" t="s">
        <v>3488</v>
      </c>
      <c r="AP898" s="28">
        <v>0</v>
      </c>
      <c r="AQ898" s="26">
        <v>1.4999999999999999E-2</v>
      </c>
      <c r="AR898" s="26">
        <v>0</v>
      </c>
    </row>
    <row r="899" spans="1:44" x14ac:dyDescent="0.15">
      <c r="A899">
        <v>768</v>
      </c>
      <c r="B899" s="11">
        <v>410001</v>
      </c>
      <c r="C899" s="32"/>
      <c r="D899" s="32">
        <v>-2.9036811339116101E-3</v>
      </c>
      <c r="E899" s="32">
        <v>223</v>
      </c>
      <c r="F899" s="32">
        <v>1.21961950361693E-2</v>
      </c>
      <c r="G899" s="11"/>
      <c r="H899" s="11"/>
      <c r="I899" s="11"/>
      <c r="J899" s="18" t="s">
        <v>44</v>
      </c>
      <c r="K899" s="18" t="s">
        <v>45</v>
      </c>
      <c r="L899" s="58" t="s">
        <v>274</v>
      </c>
      <c r="M899" s="18">
        <f>[1]!f_prt_stocktonav(B899,"2017/03/31")</f>
        <v>77.601615905761719</v>
      </c>
      <c r="N899" s="20" t="str">
        <f>[1]!f_info_fundmanager(B899)</f>
        <v>陈启明,龚炜</v>
      </c>
      <c r="O899" s="21">
        <v>4.2767123287671236</v>
      </c>
      <c r="P899" s="34" t="s">
        <v>3489</v>
      </c>
      <c r="Q899" s="34" t="s">
        <v>3490</v>
      </c>
      <c r="R899" s="34" t="s">
        <v>1000</v>
      </c>
      <c r="S899" s="34">
        <v>20050302</v>
      </c>
      <c r="T899" s="45">
        <v>5.5424504442</v>
      </c>
      <c r="U899" s="46">
        <v>6.5330771275000004</v>
      </c>
      <c r="V899" s="34" t="s">
        <v>231</v>
      </c>
      <c r="W899" s="34" t="s">
        <v>44</v>
      </c>
      <c r="X899" s="34" t="s">
        <v>45</v>
      </c>
      <c r="Y899" s="34" t="s">
        <v>274</v>
      </c>
      <c r="Z899" s="34"/>
      <c r="AA899" s="34"/>
      <c r="AB899" s="22">
        <v>0.89027824401855471</v>
      </c>
      <c r="AC899" s="23" t="s">
        <v>3491</v>
      </c>
      <c r="AD899" s="24">
        <v>4.0465753424657533</v>
      </c>
      <c r="AE899" s="25">
        <v>0.10379602646239627</v>
      </c>
      <c r="AF899" s="26">
        <v>0.13574357508307422</v>
      </c>
      <c r="AG899" s="26">
        <v>0.13556624668086115</v>
      </c>
      <c r="AH899" s="27">
        <v>0.43426498640365735</v>
      </c>
      <c r="AI899" s="27">
        <v>0.48589212281273952</v>
      </c>
      <c r="AJ899" s="27">
        <v>0.51524324656715448</v>
      </c>
      <c r="AK899" s="28" t="s">
        <v>3492</v>
      </c>
      <c r="AL899" s="29">
        <v>4</v>
      </c>
      <c r="AM899" s="29">
        <v>1</v>
      </c>
      <c r="AN899" s="29" t="s">
        <v>48</v>
      </c>
      <c r="AO899" s="47" t="s">
        <v>209</v>
      </c>
      <c r="AP899" s="28">
        <v>0</v>
      </c>
      <c r="AQ899" s="26">
        <v>1.4999999999999999E-2</v>
      </c>
      <c r="AR899" s="26">
        <v>0</v>
      </c>
    </row>
    <row r="900" spans="1:44" x14ac:dyDescent="0.15">
      <c r="A900">
        <v>657</v>
      </c>
      <c r="B900" s="11">
        <v>162703</v>
      </c>
      <c r="C900" s="32"/>
      <c r="D900" s="32">
        <v>-8.24164080582542E-4</v>
      </c>
      <c r="E900" s="32">
        <v>94</v>
      </c>
      <c r="F900" s="32">
        <v>0.54790041541844903</v>
      </c>
      <c r="G900" s="11"/>
      <c r="H900" s="11"/>
      <c r="I900" s="11"/>
      <c r="J900" s="18" t="s">
        <v>44</v>
      </c>
      <c r="K900" s="18" t="s">
        <v>45</v>
      </c>
      <c r="L900" s="58" t="s">
        <v>65</v>
      </c>
      <c r="M900" s="18">
        <f>[1]!f_prt_stocktonav(B900,"2017/03/31")</f>
        <v>81.212570190429688</v>
      </c>
      <c r="N900" s="20" t="str">
        <f>[1]!f_info_fundmanager(B900)</f>
        <v>李险峰</v>
      </c>
      <c r="O900" s="21">
        <v>1.8</v>
      </c>
      <c r="P900" s="34" t="s">
        <v>3493</v>
      </c>
      <c r="Q900" s="34" t="s">
        <v>3494</v>
      </c>
      <c r="R900" s="34" t="s">
        <v>132</v>
      </c>
      <c r="S900" s="34">
        <v>20050202</v>
      </c>
      <c r="T900" s="45">
        <v>18.477412532700001</v>
      </c>
      <c r="U900" s="46">
        <v>19.135601780999998</v>
      </c>
      <c r="V900" s="34" t="s">
        <v>231</v>
      </c>
      <c r="W900" s="34" t="s">
        <v>44</v>
      </c>
      <c r="X900" s="34" t="s">
        <v>45</v>
      </c>
      <c r="Y900" s="34" t="s">
        <v>274</v>
      </c>
      <c r="Z900" s="34"/>
      <c r="AA900" s="34"/>
      <c r="AB900" s="22">
        <v>0.84193122863769532</v>
      </c>
      <c r="AC900" s="23" t="s">
        <v>2207</v>
      </c>
      <c r="AD900" s="24">
        <v>1.5698630136986302</v>
      </c>
      <c r="AE900" s="25">
        <v>0.13738006632472688</v>
      </c>
      <c r="AF900" s="26">
        <v>6.3114031955144867E-2</v>
      </c>
      <c r="AG900" s="26">
        <v>5.8997967617858249E-2</v>
      </c>
      <c r="AH900" s="27">
        <v>0.53455778814427735</v>
      </c>
      <c r="AI900" s="27">
        <v>0.32763671624548152</v>
      </c>
      <c r="AJ900" s="27">
        <v>0.29404775130978011</v>
      </c>
      <c r="AK900" s="28" t="s">
        <v>3495</v>
      </c>
      <c r="AL900" s="29">
        <v>1</v>
      </c>
      <c r="AM900" s="29">
        <v>1</v>
      </c>
      <c r="AN900" s="29" t="s">
        <v>48</v>
      </c>
      <c r="AO900" s="47" t="s">
        <v>3496</v>
      </c>
      <c r="AP900" s="28">
        <v>0</v>
      </c>
      <c r="AQ900" s="26">
        <v>1.4999999999999999E-2</v>
      </c>
      <c r="AR900" s="26">
        <v>0</v>
      </c>
    </row>
    <row r="901" spans="1:44" x14ac:dyDescent="0.15">
      <c r="A901">
        <v>469</v>
      </c>
      <c r="B901" s="11">
        <v>580001</v>
      </c>
      <c r="C901" s="32"/>
      <c r="D901" s="32">
        <v>-5.8603563090785498E-3</v>
      </c>
      <c r="E901" s="32">
        <v>171</v>
      </c>
      <c r="F901" s="32">
        <v>7.1904733067346295E-5</v>
      </c>
      <c r="G901" s="11"/>
      <c r="H901" s="11"/>
      <c r="I901" s="11"/>
      <c r="J901" s="18" t="s">
        <v>44</v>
      </c>
      <c r="K901" s="18" t="s">
        <v>45</v>
      </c>
      <c r="L901" s="58" t="s">
        <v>274</v>
      </c>
      <c r="M901" s="18">
        <f>[1]!f_prt_stocktonav(B901,"2017/03/31")</f>
        <v>85.8289794921875</v>
      </c>
      <c r="N901" s="20" t="str">
        <f>[1]!f_info_fundmanager(B901)</f>
        <v>王立立,曹松涛</v>
      </c>
      <c r="O901" s="21">
        <v>3.2712328767123289</v>
      </c>
      <c r="P901" s="34" t="s">
        <v>3497</v>
      </c>
      <c r="Q901" s="34" t="s">
        <v>3498</v>
      </c>
      <c r="R901" s="34" t="s">
        <v>1057</v>
      </c>
      <c r="S901" s="34">
        <v>20050201</v>
      </c>
      <c r="T901" s="45">
        <v>6.1532861598000004</v>
      </c>
      <c r="U901" s="46">
        <v>6.3026099376999998</v>
      </c>
      <c r="V901" s="34" t="s">
        <v>231</v>
      </c>
      <c r="W901" s="34" t="s">
        <v>44</v>
      </c>
      <c r="X901" s="34" t="s">
        <v>45</v>
      </c>
      <c r="Y901" s="34" t="s">
        <v>274</v>
      </c>
      <c r="Z901" s="34"/>
      <c r="AA901" s="34"/>
      <c r="AB901" s="22">
        <v>0.9414636993408203</v>
      </c>
      <c r="AC901" s="23" t="s">
        <v>3035</v>
      </c>
      <c r="AD901" s="24">
        <v>3.0410958904109591</v>
      </c>
      <c r="AE901" s="25">
        <v>0.10750548739416343</v>
      </c>
      <c r="AF901" s="26">
        <v>5.5450842545557766E-2</v>
      </c>
      <c r="AG901" s="26">
        <v>3.9319920124635477E-2</v>
      </c>
      <c r="AH901" s="27">
        <v>0.45397336849054065</v>
      </c>
      <c r="AI901" s="27">
        <v>0.27458472277550805</v>
      </c>
      <c r="AJ901" s="27">
        <v>0.24136745398705714</v>
      </c>
      <c r="AK901" s="28" t="s">
        <v>3499</v>
      </c>
      <c r="AL901" s="29">
        <v>1</v>
      </c>
      <c r="AM901" s="29">
        <v>1</v>
      </c>
      <c r="AN901" s="29" t="s">
        <v>48</v>
      </c>
      <c r="AO901" s="47" t="s">
        <v>592</v>
      </c>
      <c r="AP901" s="28">
        <v>0</v>
      </c>
      <c r="AQ901" s="26">
        <v>1.4999999999999999E-2</v>
      </c>
      <c r="AR901" s="26">
        <v>0</v>
      </c>
    </row>
    <row r="902" spans="1:44" x14ac:dyDescent="0.15">
      <c r="A902">
        <v>861</v>
      </c>
      <c r="B902" s="11">
        <v>519996</v>
      </c>
      <c r="C902" s="32"/>
      <c r="D902" s="32">
        <v>5.2437361713334098E-3</v>
      </c>
      <c r="E902" s="32">
        <v>13</v>
      </c>
      <c r="F902" s="32">
        <v>0.11304566382885201</v>
      </c>
      <c r="G902" s="11"/>
      <c r="H902" s="11"/>
      <c r="I902" s="11"/>
      <c r="J902" s="18" t="s">
        <v>44</v>
      </c>
      <c r="K902" s="18" t="s">
        <v>45</v>
      </c>
      <c r="L902" s="58" t="s">
        <v>65</v>
      </c>
      <c r="M902" s="18">
        <f>[1]!f_prt_stocktonav(B902,"2017/03/31")</f>
        <v>74.018074035644531</v>
      </c>
      <c r="N902" s="20" t="str">
        <f>[1]!f_info_fundmanager(B902)</f>
        <v>高远</v>
      </c>
      <c r="O902" s="21">
        <v>0.23835616438356164</v>
      </c>
      <c r="P902" s="34" t="s">
        <v>3500</v>
      </c>
      <c r="Q902" s="34" t="s">
        <v>3501</v>
      </c>
      <c r="R902" s="34" t="s">
        <v>206</v>
      </c>
      <c r="S902" s="34">
        <v>20050117</v>
      </c>
      <c r="T902" s="45">
        <v>6.6813195403999996</v>
      </c>
      <c r="U902" s="46">
        <v>6.7837060821000001</v>
      </c>
      <c r="V902" s="34" t="s">
        <v>231</v>
      </c>
      <c r="W902" s="34" t="s">
        <v>44</v>
      </c>
      <c r="X902" s="34" t="s">
        <v>45</v>
      </c>
      <c r="Y902" s="34" t="s">
        <v>65</v>
      </c>
      <c r="Z902" s="34"/>
      <c r="AA902" s="34"/>
      <c r="AB902" s="22">
        <v>0.75056045532226567</v>
      </c>
      <c r="AC902" s="23" t="s">
        <v>3502</v>
      </c>
      <c r="AD902" s="24">
        <v>1.6520547945205479</v>
      </c>
      <c r="AE902" s="25">
        <v>0.12281793817695232</v>
      </c>
      <c r="AF902" s="26">
        <v>0.15308977969033477</v>
      </c>
      <c r="AG902" s="26">
        <v>9.1343821981144213E-2</v>
      </c>
      <c r="AH902" s="27">
        <v>0.52082781404805689</v>
      </c>
      <c r="AI902" s="27">
        <v>0.56230490682250933</v>
      </c>
      <c r="AJ902" s="27">
        <v>0.40974332238209998</v>
      </c>
      <c r="AK902" s="28" t="s">
        <v>3503</v>
      </c>
      <c r="AL902" s="29">
        <v>1</v>
      </c>
      <c r="AM902" s="29">
        <v>3</v>
      </c>
      <c r="AN902" s="29" t="s">
        <v>48</v>
      </c>
      <c r="AO902" s="47" t="s">
        <v>209</v>
      </c>
      <c r="AP902" s="28" t="s">
        <v>3373</v>
      </c>
      <c r="AQ902" s="26">
        <v>1.4999999999999999E-2</v>
      </c>
      <c r="AR902" s="26">
        <v>0</v>
      </c>
    </row>
    <row r="903" spans="1:44" x14ac:dyDescent="0.15">
      <c r="A903">
        <v>944</v>
      </c>
      <c r="B903" s="11">
        <v>350002</v>
      </c>
      <c r="C903" s="32"/>
      <c r="D903" s="32">
        <v>-2.6202292428640899E-3</v>
      </c>
      <c r="E903" s="32">
        <v>94</v>
      </c>
      <c r="F903" s="32">
        <v>0.175791200752212</v>
      </c>
      <c r="G903" s="11"/>
      <c r="H903" s="11"/>
      <c r="I903" s="11"/>
      <c r="J903" s="18" t="s">
        <v>44</v>
      </c>
      <c r="K903" s="18" t="s">
        <v>45</v>
      </c>
      <c r="L903" s="58" t="s">
        <v>65</v>
      </c>
      <c r="M903" s="18">
        <f>[1]!f_prt_stocktonav(B903,"2017/03/31")</f>
        <v>70.658409118652344</v>
      </c>
      <c r="N903" s="20" t="str">
        <f>[1]!f_info_fundmanager(B903)</f>
        <v>曾海</v>
      </c>
      <c r="O903" s="21">
        <v>1.8027397260273972</v>
      </c>
      <c r="P903" s="34" t="s">
        <v>3504</v>
      </c>
      <c r="Q903" s="34" t="s">
        <v>3505</v>
      </c>
      <c r="R903" s="34" t="s">
        <v>2466</v>
      </c>
      <c r="S903" s="34">
        <v>20050112</v>
      </c>
      <c r="T903" s="45">
        <v>0.30790990899999998</v>
      </c>
      <c r="U903" s="46">
        <v>0.33290136129999998</v>
      </c>
      <c r="V903" s="34" t="s">
        <v>231</v>
      </c>
      <c r="W903" s="34" t="s">
        <v>41</v>
      </c>
      <c r="X903" s="17" t="s">
        <v>42</v>
      </c>
      <c r="Y903" s="17" t="s">
        <v>181</v>
      </c>
      <c r="Z903" s="34"/>
      <c r="AA903" s="34"/>
      <c r="AB903" s="22">
        <v>0.65128952026367193</v>
      </c>
      <c r="AC903" s="23" t="s">
        <v>3506</v>
      </c>
      <c r="AD903" s="24">
        <v>1.5726027397260274</v>
      </c>
      <c r="AE903" s="25">
        <v>7.5570482718214871E-2</v>
      </c>
      <c r="AF903" s="26">
        <v>-6.2404887081604743E-2</v>
      </c>
      <c r="AG903" s="26">
        <v>-2.3701571789760179E-2</v>
      </c>
      <c r="AH903" s="27">
        <v>0.35577436400147844</v>
      </c>
      <c r="AI903" s="27">
        <v>-4.377510069387959E-2</v>
      </c>
      <c r="AJ903" s="27">
        <v>5.8669848718839492E-3</v>
      </c>
      <c r="AK903" s="28" t="s">
        <v>3507</v>
      </c>
      <c r="AL903" s="29">
        <v>1</v>
      </c>
      <c r="AM903" s="29">
        <v>2</v>
      </c>
      <c r="AN903" s="29" t="s">
        <v>48</v>
      </c>
      <c r="AO903" s="47" t="s">
        <v>3029</v>
      </c>
      <c r="AP903" s="28">
        <v>0</v>
      </c>
      <c r="AQ903" s="26">
        <v>1.4999999999999999E-2</v>
      </c>
      <c r="AR903" s="26">
        <v>0</v>
      </c>
    </row>
    <row r="904" spans="1:44" x14ac:dyDescent="0.15">
      <c r="A904">
        <v>858</v>
      </c>
      <c r="B904" s="11">
        <v>163801</v>
      </c>
      <c r="C904" s="32"/>
      <c r="D904" s="32">
        <v>-2.8045704525525E-3</v>
      </c>
      <c r="E904" s="32">
        <v>188</v>
      </c>
      <c r="F904" s="32">
        <v>1.2464202788532301E-2</v>
      </c>
      <c r="G904" s="11"/>
      <c r="H904" s="11"/>
      <c r="I904" s="11"/>
      <c r="J904" s="18" t="s">
        <v>44</v>
      </c>
      <c r="K904" s="18" t="s">
        <v>45</v>
      </c>
      <c r="L904" s="58" t="s">
        <v>274</v>
      </c>
      <c r="M904" s="18">
        <f>[1]!f_prt_stocktonav(B904,"2017/03/31")</f>
        <v>74.112991333007812</v>
      </c>
      <c r="N904" s="20" t="str">
        <f>[1]!f_info_fundmanager(B904)</f>
        <v>陈军</v>
      </c>
      <c r="O904" s="21">
        <v>3.6054794520547944</v>
      </c>
      <c r="P904" s="34" t="s">
        <v>3508</v>
      </c>
      <c r="Q904" s="34" t="s">
        <v>3509</v>
      </c>
      <c r="R904" s="34" t="s">
        <v>71</v>
      </c>
      <c r="S904" s="34">
        <v>20050104</v>
      </c>
      <c r="T904" s="45">
        <v>16.971316138999999</v>
      </c>
      <c r="U904" s="46">
        <v>17.2105947875</v>
      </c>
      <c r="V904" s="34" t="s">
        <v>231</v>
      </c>
      <c r="W904" s="34" t="s">
        <v>41</v>
      </c>
      <c r="X904" s="34" t="s">
        <v>42</v>
      </c>
      <c r="Y904" s="34" t="s">
        <v>181</v>
      </c>
      <c r="Z904" s="34"/>
      <c r="AA904" s="34"/>
      <c r="AB904" s="22">
        <v>0.66652412414550777</v>
      </c>
      <c r="AC904" s="23" t="s">
        <v>3279</v>
      </c>
      <c r="AD904" s="24">
        <v>3.3753424657534246</v>
      </c>
      <c r="AE904" s="25">
        <v>0.18074391123634892</v>
      </c>
      <c r="AF904" s="26">
        <v>7.4857689094787183E-2</v>
      </c>
      <c r="AG904" s="26">
        <v>0.10858872621605208</v>
      </c>
      <c r="AH904" s="27">
        <v>0.79040660810640495</v>
      </c>
      <c r="AI904" s="27">
        <v>0.31991745378317432</v>
      </c>
      <c r="AJ904" s="27">
        <v>0.48267945714659516</v>
      </c>
      <c r="AK904" s="28" t="s">
        <v>3510</v>
      </c>
      <c r="AL904" s="29">
        <v>4</v>
      </c>
      <c r="AM904" s="29">
        <v>2</v>
      </c>
      <c r="AN904" s="29" t="s">
        <v>48</v>
      </c>
      <c r="AO904" s="47" t="s">
        <v>3511</v>
      </c>
      <c r="AP904" s="28">
        <v>0</v>
      </c>
      <c r="AQ904" s="26">
        <v>1.4999999999999999E-2</v>
      </c>
      <c r="AR904" s="26">
        <v>0</v>
      </c>
    </row>
    <row r="905" spans="1:44" x14ac:dyDescent="0.15">
      <c r="A905">
        <v>802</v>
      </c>
      <c r="B905" s="11">
        <v>90004</v>
      </c>
      <c r="C905" s="32"/>
      <c r="D905" s="32">
        <v>5.0929241061287997E-3</v>
      </c>
      <c r="E905" s="32">
        <v>21</v>
      </c>
      <c r="F905" s="32">
        <v>3.2143004307779999E-2</v>
      </c>
      <c r="G905" s="11"/>
      <c r="H905" s="11"/>
      <c r="I905" s="11"/>
      <c r="J905" s="18" t="s">
        <v>44</v>
      </c>
      <c r="K905" s="18" t="s">
        <v>45</v>
      </c>
      <c r="L905" s="58" t="s">
        <v>65</v>
      </c>
      <c r="M905" s="18">
        <f>[1]!f_prt_stocktonav(B905,"2017/03/31")</f>
        <v>76.5654296875</v>
      </c>
      <c r="N905" s="20" t="str">
        <f>[1]!f_info_fundmanager(B905)</f>
        <v>李博</v>
      </c>
      <c r="O905" s="21">
        <v>0.40273972602739727</v>
      </c>
      <c r="P905" s="34" t="s">
        <v>3512</v>
      </c>
      <c r="Q905" s="34" t="s">
        <v>3513</v>
      </c>
      <c r="R905" s="34" t="s">
        <v>486</v>
      </c>
      <c r="S905" s="34">
        <v>20041215</v>
      </c>
      <c r="T905" s="45">
        <v>12.709639513100001</v>
      </c>
      <c r="U905" s="46">
        <v>13.4158478</v>
      </c>
      <c r="V905" s="34" t="s">
        <v>231</v>
      </c>
      <c r="W905" s="34" t="s">
        <v>44</v>
      </c>
      <c r="X905" s="34" t="s">
        <v>45</v>
      </c>
      <c r="Y905" s="34" t="s">
        <v>65</v>
      </c>
      <c r="Z905" s="34"/>
      <c r="AA905" s="34"/>
      <c r="AB905" s="22">
        <v>0.76916709899902347</v>
      </c>
      <c r="AC905" s="23" t="s">
        <v>1419</v>
      </c>
      <c r="AD905" s="24">
        <v>0.17260273972602741</v>
      </c>
      <c r="AE905" s="25">
        <v>0.16409427813391186</v>
      </c>
      <c r="AF905" s="26">
        <v>0.16388845417299103</v>
      </c>
      <c r="AG905" s="26">
        <v>0.13021737251036902</v>
      </c>
      <c r="AH905" s="27">
        <v>0.64764002290443889</v>
      </c>
      <c r="AI905" s="27">
        <v>0.61780889054542687</v>
      </c>
      <c r="AJ905" s="27">
        <v>0.54849401271520848</v>
      </c>
      <c r="AK905" s="28" t="s">
        <v>2949</v>
      </c>
      <c r="AL905" s="29">
        <v>3</v>
      </c>
      <c r="AM905" s="29">
        <v>1</v>
      </c>
      <c r="AN905" s="29" t="s">
        <v>48</v>
      </c>
      <c r="AO905" s="47" t="s">
        <v>1002</v>
      </c>
      <c r="AP905" s="28">
        <v>0</v>
      </c>
      <c r="AQ905" s="26">
        <v>1.4999999999999999E-2</v>
      </c>
      <c r="AR905" s="26">
        <v>0</v>
      </c>
    </row>
    <row r="906" spans="1:44" x14ac:dyDescent="0.15">
      <c r="A906">
        <v>411</v>
      </c>
      <c r="B906" s="11">
        <v>400001</v>
      </c>
      <c r="C906" s="32"/>
      <c r="D906" s="32">
        <v>-1.81765856712669E-3</v>
      </c>
      <c r="E906" s="32">
        <v>117</v>
      </c>
      <c r="F906" s="32">
        <v>0.22290497159928299</v>
      </c>
      <c r="G906" s="11"/>
      <c r="H906" s="11"/>
      <c r="I906" s="11"/>
      <c r="J906" s="18" t="s">
        <v>44</v>
      </c>
      <c r="K906" s="18" t="s">
        <v>45</v>
      </c>
      <c r="L906" s="58" t="s">
        <v>274</v>
      </c>
      <c r="M906" s="18">
        <f>[1]!f_prt_stocktonav(B906,"2017/03/31")</f>
        <v>87.090202331542969</v>
      </c>
      <c r="N906" s="20" t="str">
        <f>[1]!f_info_fundmanager(B906)</f>
        <v>朱晓栋</v>
      </c>
      <c r="O906" s="21">
        <v>2.2465753424657535</v>
      </c>
      <c r="P906" s="34" t="s">
        <v>3514</v>
      </c>
      <c r="Q906" s="34" t="s">
        <v>3515</v>
      </c>
      <c r="R906" s="34" t="s">
        <v>252</v>
      </c>
      <c r="S906" s="34">
        <v>20041125</v>
      </c>
      <c r="T906" s="45">
        <v>11.059603129399999</v>
      </c>
      <c r="U906" s="46">
        <v>9.6689943466999999</v>
      </c>
      <c r="V906" s="34" t="s">
        <v>231</v>
      </c>
      <c r="W906" s="34" t="s">
        <v>44</v>
      </c>
      <c r="X906" s="34" t="s">
        <v>45</v>
      </c>
      <c r="Y906" s="34" t="s">
        <v>274</v>
      </c>
      <c r="Z906" s="34"/>
      <c r="AA906" s="34"/>
      <c r="AB906" s="22">
        <v>0.83739288330078121</v>
      </c>
      <c r="AC906" s="23" t="s">
        <v>3516</v>
      </c>
      <c r="AD906" s="24">
        <v>2.0164383561643837</v>
      </c>
      <c r="AE906" s="25">
        <v>0.14833764093900115</v>
      </c>
      <c r="AF906" s="26">
        <v>0.25055132316876239</v>
      </c>
      <c r="AG906" s="26">
        <v>0.1649519989284276</v>
      </c>
      <c r="AH906" s="27">
        <v>0.61109353274930478</v>
      </c>
      <c r="AI906" s="27">
        <v>0.80463164074653226</v>
      </c>
      <c r="AJ906" s="27">
        <v>0.63705239337347352</v>
      </c>
      <c r="AK906" s="28" t="s">
        <v>3517</v>
      </c>
      <c r="AL906" s="29">
        <v>4</v>
      </c>
      <c r="AM906" s="29">
        <v>5</v>
      </c>
      <c r="AN906" s="29" t="s">
        <v>48</v>
      </c>
      <c r="AO906" s="47" t="s">
        <v>427</v>
      </c>
      <c r="AP906" s="28">
        <v>0</v>
      </c>
      <c r="AQ906" s="26">
        <v>1.4999999999999999E-2</v>
      </c>
      <c r="AR906" s="26">
        <v>0</v>
      </c>
    </row>
    <row r="907" spans="1:44" x14ac:dyDescent="0.15">
      <c r="A907">
        <v>161</v>
      </c>
      <c r="B907" s="11">
        <v>160105</v>
      </c>
      <c r="C907" s="32"/>
      <c r="D907" s="32">
        <v>6.1073681588453004E-4</v>
      </c>
      <c r="E907" s="32">
        <v>116</v>
      </c>
      <c r="F907" s="32">
        <v>0.62239553658336599</v>
      </c>
      <c r="G907" s="11"/>
      <c r="H907" s="11"/>
      <c r="I907" s="11"/>
      <c r="J907" s="18" t="s">
        <v>44</v>
      </c>
      <c r="K907" s="18" t="s">
        <v>45</v>
      </c>
      <c r="L907" s="58" t="s">
        <v>65</v>
      </c>
      <c r="M907" s="18">
        <f>[1]!f_prt_stocktonav(B907,"2017/03/31")</f>
        <v>92.550315856933594</v>
      </c>
      <c r="N907" s="20" t="str">
        <f>[1]!f_info_fundmanager(B907)</f>
        <v>蔡望鹏</v>
      </c>
      <c r="O907" s="21">
        <v>2.2136986301369861</v>
      </c>
      <c r="P907" s="34" t="s">
        <v>3518</v>
      </c>
      <c r="Q907" s="34" t="s">
        <v>3519</v>
      </c>
      <c r="R907" s="34" t="s">
        <v>284</v>
      </c>
      <c r="S907" s="34">
        <v>20041014</v>
      </c>
      <c r="T907" s="45">
        <v>9.0360248443</v>
      </c>
      <c r="U907" s="46">
        <v>11.5605691435</v>
      </c>
      <c r="V907" s="34" t="s">
        <v>231</v>
      </c>
      <c r="W907" s="34" t="s">
        <v>44</v>
      </c>
      <c r="X907" s="34" t="s">
        <v>45</v>
      </c>
      <c r="Y907" s="34" t="s">
        <v>65</v>
      </c>
      <c r="Z907" s="34"/>
      <c r="AA907" s="34"/>
      <c r="AB907" s="22">
        <v>0.92642425537109374</v>
      </c>
      <c r="AC907" s="23" t="s">
        <v>1861</v>
      </c>
      <c r="AD907" s="24">
        <v>1.9835616438356165</v>
      </c>
      <c r="AE907" s="25">
        <v>0.14221638217621013</v>
      </c>
      <c r="AF907" s="26">
        <v>0.18066509739958536</v>
      </c>
      <c r="AG907" s="26">
        <v>0.12643514583694615</v>
      </c>
      <c r="AH907" s="27">
        <v>0.61801366421876303</v>
      </c>
      <c r="AI907" s="27">
        <v>0.68726966619725749</v>
      </c>
      <c r="AJ907" s="27">
        <v>0.55824438566375334</v>
      </c>
      <c r="AK907" s="28" t="s">
        <v>3520</v>
      </c>
      <c r="AL907" s="29">
        <v>3</v>
      </c>
      <c r="AM907" s="29">
        <v>4</v>
      </c>
      <c r="AN907" s="29" t="s">
        <v>48</v>
      </c>
      <c r="AO907" s="47" t="s">
        <v>3521</v>
      </c>
      <c r="AP907" s="28">
        <v>0</v>
      </c>
      <c r="AQ907" s="26">
        <v>1.4999999999999999E-2</v>
      </c>
      <c r="AR907" s="26">
        <v>0</v>
      </c>
    </row>
    <row r="908" spans="1:44" x14ac:dyDescent="0.15">
      <c r="A908">
        <v>364</v>
      </c>
      <c r="B908" s="11">
        <v>398001</v>
      </c>
      <c r="C908" s="32"/>
      <c r="D908" s="32">
        <v>-4.33527305071964E-3</v>
      </c>
      <c r="E908" s="32">
        <v>102</v>
      </c>
      <c r="F908" s="32">
        <v>6.6681819693694397E-2</v>
      </c>
      <c r="G908" s="11"/>
      <c r="H908" s="11"/>
      <c r="I908" s="11"/>
      <c r="J908" s="18" t="s">
        <v>44</v>
      </c>
      <c r="K908" s="18" t="s">
        <v>45</v>
      </c>
      <c r="L908" s="58" t="s">
        <v>65</v>
      </c>
      <c r="M908" s="18">
        <f>[1]!f_prt_stocktonav(B908,"2017/03/31")</f>
        <v>88.215530395507813</v>
      </c>
      <c r="N908" s="20" t="str">
        <f>[1]!f_info_fundmanager(B908)</f>
        <v>于航</v>
      </c>
      <c r="O908" s="21">
        <v>1.9561643835616438</v>
      </c>
      <c r="P908" s="34" t="s">
        <v>3522</v>
      </c>
      <c r="Q908" s="34" t="s">
        <v>3523</v>
      </c>
      <c r="R908" s="34" t="s">
        <v>505</v>
      </c>
      <c r="S908" s="34">
        <v>20040928</v>
      </c>
      <c r="T908" s="45">
        <v>14.700862564199999</v>
      </c>
      <c r="U908" s="46">
        <v>15.8403488038</v>
      </c>
      <c r="V908" s="34" t="s">
        <v>231</v>
      </c>
      <c r="W908" s="34" t="s">
        <v>44</v>
      </c>
      <c r="X908" s="34" t="s">
        <v>45</v>
      </c>
      <c r="Y908" s="34" t="s">
        <v>65</v>
      </c>
      <c r="Z908" s="34"/>
      <c r="AA908" s="34"/>
      <c r="AB908" s="22">
        <v>0.80740287780761721</v>
      </c>
      <c r="AC908" s="23" t="s">
        <v>3524</v>
      </c>
      <c r="AD908" s="24">
        <v>1.726027397260274</v>
      </c>
      <c r="AE908" s="25">
        <v>0.13122699416766959</v>
      </c>
      <c r="AF908" s="26">
        <v>6.0590271213928348E-2</v>
      </c>
      <c r="AG908" s="26">
        <v>6.5630018928655387E-2</v>
      </c>
      <c r="AH908" s="27">
        <v>0.54800424953635074</v>
      </c>
      <c r="AI908" s="27">
        <v>0.31024976170496971</v>
      </c>
      <c r="AJ908" s="27">
        <v>0.3167491738539413</v>
      </c>
      <c r="AK908" s="28" t="s">
        <v>2463</v>
      </c>
      <c r="AL908" s="29">
        <v>1</v>
      </c>
      <c r="AM908" s="29">
        <v>3</v>
      </c>
      <c r="AN908" s="29" t="s">
        <v>48</v>
      </c>
      <c r="AO908" s="47" t="s">
        <v>3525</v>
      </c>
      <c r="AP908" s="28" t="s">
        <v>3526</v>
      </c>
      <c r="AQ908" s="26">
        <v>1.4999999999999999E-2</v>
      </c>
      <c r="AR908" s="26">
        <v>0</v>
      </c>
    </row>
    <row r="909" spans="1:44" x14ac:dyDescent="0.15">
      <c r="A909">
        <v>426</v>
      </c>
      <c r="B909" s="11">
        <v>375010</v>
      </c>
      <c r="C909" s="32"/>
      <c r="D909" s="32">
        <v>-2.6660370908288501E-5</v>
      </c>
      <c r="E909" s="32">
        <v>87</v>
      </c>
      <c r="F909" s="32">
        <v>0.98838502528900296</v>
      </c>
      <c r="G909" s="11"/>
      <c r="H909" s="11"/>
      <c r="I909" s="11"/>
      <c r="J909" s="18" t="s">
        <v>44</v>
      </c>
      <c r="K909" s="19" t="s">
        <v>45</v>
      </c>
      <c r="L909" s="58" t="s">
        <v>65</v>
      </c>
      <c r="M909" s="18">
        <f>[1]!f_prt_stocktonav(B909,"2017/03/31")</f>
        <v>86.788131713867188</v>
      </c>
      <c r="N909" s="20" t="str">
        <f>[1]!f_info_fundmanager(B909)</f>
        <v>杨景喻</v>
      </c>
      <c r="O909" s="21">
        <v>1.6575342465753424</v>
      </c>
      <c r="P909" s="32" t="s">
        <v>3527</v>
      </c>
      <c r="Q909" s="13" t="s">
        <v>3528</v>
      </c>
      <c r="R909" s="13" t="s">
        <v>511</v>
      </c>
      <c r="S909" s="13">
        <v>20040915</v>
      </c>
      <c r="T909" s="14">
        <v>11.196393047200001</v>
      </c>
      <c r="U909" s="15" t="s">
        <v>39</v>
      </c>
      <c r="V909" s="16" t="s">
        <v>40</v>
      </c>
      <c r="W909" s="17" t="s">
        <v>44</v>
      </c>
      <c r="X909" s="17" t="s">
        <v>45</v>
      </c>
      <c r="Y909" s="17" t="s">
        <v>274</v>
      </c>
      <c r="Z909" s="13"/>
      <c r="AA909" s="13"/>
      <c r="AB909" s="22">
        <v>0.88493690490722654</v>
      </c>
      <c r="AC909" s="23" t="s">
        <v>512</v>
      </c>
      <c r="AD909" s="24">
        <v>1.4273972602739726</v>
      </c>
      <c r="AE909" s="25">
        <v>0.13752099066487578</v>
      </c>
      <c r="AF909" s="26">
        <v>0.10238710600355884</v>
      </c>
      <c r="AG909" s="26">
        <v>3.2602647619973224E-2</v>
      </c>
      <c r="AH909" s="27">
        <v>0.54003901343330363</v>
      </c>
      <c r="AI909" s="27">
        <v>0.41059705775961969</v>
      </c>
      <c r="AJ909" s="27">
        <v>0.20818139181206707</v>
      </c>
      <c r="AK909" s="28" t="s">
        <v>3529</v>
      </c>
      <c r="AL909" s="29">
        <v>1</v>
      </c>
      <c r="AM909" s="29">
        <v>1</v>
      </c>
      <c r="AN909" s="29" t="s">
        <v>48</v>
      </c>
      <c r="AO909" s="23">
        <v>0</v>
      </c>
      <c r="AP909" s="30">
        <v>0</v>
      </c>
      <c r="AQ909" s="31">
        <v>1.4999999999999999E-2</v>
      </c>
      <c r="AR909" s="31">
        <v>0</v>
      </c>
    </row>
    <row r="910" spans="1:44" x14ac:dyDescent="0.15">
      <c r="A910">
        <v>293</v>
      </c>
      <c r="B910" s="11">
        <v>110005</v>
      </c>
      <c r="C910" s="32"/>
      <c r="D910" s="32">
        <v>-2.1924294810810601E-3</v>
      </c>
      <c r="E910" s="32">
        <v>123</v>
      </c>
      <c r="F910" s="32">
        <v>7.33784012225627E-2</v>
      </c>
      <c r="G910" s="11"/>
      <c r="H910" s="11"/>
      <c r="I910" s="11"/>
      <c r="J910" s="18" t="s">
        <v>44</v>
      </c>
      <c r="K910" s="18" t="s">
        <v>45</v>
      </c>
      <c r="L910" s="58" t="s">
        <v>274</v>
      </c>
      <c r="M910" s="18">
        <f>[1]!f_prt_stocktonav(B910,"2017/03/31")</f>
        <v>89.548263549804688</v>
      </c>
      <c r="N910" s="20" t="str">
        <f>[1]!f_info_fundmanager(B910)</f>
        <v>王超</v>
      </c>
      <c r="O910" s="21">
        <v>2.3561643835616439</v>
      </c>
      <c r="P910" s="34" t="s">
        <v>3530</v>
      </c>
      <c r="Q910" s="34" t="s">
        <v>3531</v>
      </c>
      <c r="R910" s="34" t="s">
        <v>218</v>
      </c>
      <c r="S910" s="34">
        <v>20040909</v>
      </c>
      <c r="T910" s="45">
        <v>25.299095693200002</v>
      </c>
      <c r="U910" s="46">
        <v>27.821824856399999</v>
      </c>
      <c r="V910" s="34" t="s">
        <v>231</v>
      </c>
      <c r="W910" s="34" t="s">
        <v>44</v>
      </c>
      <c r="X910" s="34" t="s">
        <v>45</v>
      </c>
      <c r="Y910" s="34" t="s">
        <v>274</v>
      </c>
      <c r="Z910" s="34"/>
      <c r="AA910" s="34"/>
      <c r="AB910" s="22">
        <v>0.7787592315673828</v>
      </c>
      <c r="AC910" s="23" t="s">
        <v>1988</v>
      </c>
      <c r="AD910" s="24">
        <v>2.1260273972602741</v>
      </c>
      <c r="AE910" s="25">
        <v>0.14912021797392372</v>
      </c>
      <c r="AF910" s="26">
        <v>5.7168171606641671E-2</v>
      </c>
      <c r="AG910" s="26">
        <v>7.5264194171076548E-2</v>
      </c>
      <c r="AH910" s="27">
        <v>0.6293466913428436</v>
      </c>
      <c r="AI910" s="27">
        <v>0.28455206254515802</v>
      </c>
      <c r="AJ910" s="27">
        <v>0.35934170494649637</v>
      </c>
      <c r="AK910" s="28" t="s">
        <v>3532</v>
      </c>
      <c r="AL910" s="29">
        <v>2</v>
      </c>
      <c r="AM910" s="29">
        <v>2</v>
      </c>
      <c r="AN910" s="29" t="s">
        <v>48</v>
      </c>
      <c r="AO910" s="47" t="s">
        <v>2457</v>
      </c>
      <c r="AP910" s="28">
        <v>0</v>
      </c>
      <c r="AQ910" s="26">
        <v>1.4999999999999999E-2</v>
      </c>
      <c r="AR910" s="26">
        <v>0</v>
      </c>
    </row>
    <row r="911" spans="1:44" x14ac:dyDescent="0.15">
      <c r="A911">
        <v>391</v>
      </c>
      <c r="B911" s="11">
        <v>360001</v>
      </c>
      <c r="C911" s="32"/>
      <c r="D911" s="32">
        <v>-3.6795993879180401E-3</v>
      </c>
      <c r="E911" s="32">
        <v>161</v>
      </c>
      <c r="F911" s="32">
        <v>2.3307994250217299E-8</v>
      </c>
      <c r="G911" s="11"/>
      <c r="H911" s="11"/>
      <c r="I911" s="11"/>
      <c r="J911" s="18" t="s">
        <v>44</v>
      </c>
      <c r="K911" s="18" t="s">
        <v>64</v>
      </c>
      <c r="L911" s="58" t="s">
        <v>65</v>
      </c>
      <c r="M911" s="18">
        <f>[1]!f_prt_stocktonav(B911,"2017/03/31")</f>
        <v>87.678955078125</v>
      </c>
      <c r="N911" s="20" t="str">
        <f>[1]!f_info_fundmanager(B911)</f>
        <v>田大伟,赵大年,翟云飞,盛松</v>
      </c>
      <c r="O911" s="21">
        <v>3.095890410958904</v>
      </c>
      <c r="P911" s="34" t="s">
        <v>3533</v>
      </c>
      <c r="Q911" s="34" t="s">
        <v>3534</v>
      </c>
      <c r="R911" s="34" t="s">
        <v>634</v>
      </c>
      <c r="S911" s="34">
        <v>20040827</v>
      </c>
      <c r="T911" s="45">
        <v>33.879743663500001</v>
      </c>
      <c r="U911" s="46">
        <v>33.533930051299997</v>
      </c>
      <c r="V911" s="34" t="s">
        <v>231</v>
      </c>
      <c r="W911" s="34" t="s">
        <v>44</v>
      </c>
      <c r="X911" s="34" t="s">
        <v>64</v>
      </c>
      <c r="Y911" s="34" t="s">
        <v>65</v>
      </c>
      <c r="Z911" s="34"/>
      <c r="AA911" s="34"/>
      <c r="AB911" s="22">
        <v>0.88064598083496093</v>
      </c>
      <c r="AC911" s="23" t="s">
        <v>3535</v>
      </c>
      <c r="AD911" s="24">
        <v>2.8657534246575342</v>
      </c>
      <c r="AE911" s="25">
        <v>0.13763185717766446</v>
      </c>
      <c r="AF911" s="26">
        <v>0.17888367014387049</v>
      </c>
      <c r="AG911" s="26">
        <v>0.14943865472645457</v>
      </c>
      <c r="AH911" s="27">
        <v>0.55284325394280143</v>
      </c>
      <c r="AI911" s="27">
        <v>0.68283028969321968</v>
      </c>
      <c r="AJ911" s="27">
        <v>0.62485772811147999</v>
      </c>
      <c r="AK911" s="28" t="s">
        <v>2842</v>
      </c>
      <c r="AL911" s="29">
        <v>3</v>
      </c>
      <c r="AM911" s="29">
        <v>3</v>
      </c>
      <c r="AN911" s="29" t="s">
        <v>48</v>
      </c>
      <c r="AO911" s="47" t="s">
        <v>3536</v>
      </c>
      <c r="AP911" s="28">
        <v>0</v>
      </c>
      <c r="AQ911" s="26">
        <v>1.4999999999999999E-2</v>
      </c>
      <c r="AR911" s="26">
        <v>0</v>
      </c>
    </row>
    <row r="912" spans="1:44" x14ac:dyDescent="0.15">
      <c r="A912">
        <v>733</v>
      </c>
      <c r="B912" s="11">
        <v>40004</v>
      </c>
      <c r="C912" s="32"/>
      <c r="D912" s="32">
        <v>6.1971221495145498E-4</v>
      </c>
      <c r="E912" s="32">
        <v>79</v>
      </c>
      <c r="F912" s="32">
        <v>0.58047616246550404</v>
      </c>
      <c r="G912" s="11"/>
      <c r="H912" s="11"/>
      <c r="I912" s="11"/>
      <c r="J912" s="18" t="s">
        <v>44</v>
      </c>
      <c r="K912" s="18" t="s">
        <v>45</v>
      </c>
      <c r="L912" s="58" t="s">
        <v>274</v>
      </c>
      <c r="M912" s="18">
        <f>[1]!f_prt_stocktonav(B912,"2017/03/31")</f>
        <v>78.968910217285156</v>
      </c>
      <c r="N912" s="20" t="str">
        <f>[1]!f_info_fundmanager(B912)</f>
        <v>刘伟亭</v>
      </c>
      <c r="O912" s="21">
        <v>1.515068493150685</v>
      </c>
      <c r="P912" s="34" t="s">
        <v>3537</v>
      </c>
      <c r="Q912" s="34" t="s">
        <v>3538</v>
      </c>
      <c r="R912" s="34" t="s">
        <v>63</v>
      </c>
      <c r="S912" s="34">
        <v>20040824</v>
      </c>
      <c r="T912" s="45">
        <v>19.649106190000001</v>
      </c>
      <c r="U912" s="46">
        <v>20.984646007599999</v>
      </c>
      <c r="V912" s="34" t="s">
        <v>231</v>
      </c>
      <c r="W912" s="34" t="s">
        <v>44</v>
      </c>
      <c r="X912" s="34" t="s">
        <v>45</v>
      </c>
      <c r="Y912" s="34" t="s">
        <v>274</v>
      </c>
      <c r="Z912" s="34"/>
      <c r="AA912" s="34"/>
      <c r="AB912" s="22">
        <v>0.78182006835937501</v>
      </c>
      <c r="AC912" s="23" t="s">
        <v>243</v>
      </c>
      <c r="AD912" s="24">
        <v>1.284931506849315</v>
      </c>
      <c r="AE912" s="25">
        <v>0.19714850645767013</v>
      </c>
      <c r="AF912" s="26">
        <v>0.19107489293384128</v>
      </c>
      <c r="AG912" s="26">
        <v>0.14085164418478957</v>
      </c>
      <c r="AH912" s="27">
        <v>0.87208376858037173</v>
      </c>
      <c r="AI912" s="27">
        <v>0.70542447517764184</v>
      </c>
      <c r="AJ912" s="27">
        <v>0.61385721098621171</v>
      </c>
      <c r="AK912" s="28" t="s">
        <v>3539</v>
      </c>
      <c r="AL912" s="29">
        <v>2</v>
      </c>
      <c r="AM912" s="29">
        <v>3</v>
      </c>
      <c r="AN912" s="29" t="s">
        <v>48</v>
      </c>
      <c r="AO912" s="47" t="s">
        <v>3540</v>
      </c>
      <c r="AP912" s="28" t="s">
        <v>3541</v>
      </c>
      <c r="AQ912" s="26">
        <v>1.2000000476837159E-2</v>
      </c>
      <c r="AR912" s="26">
        <v>0</v>
      </c>
    </row>
    <row r="913" spans="1:44" x14ac:dyDescent="0.15">
      <c r="A913">
        <v>606</v>
      </c>
      <c r="B913" s="11">
        <v>162204</v>
      </c>
      <c r="C913" s="32"/>
      <c r="D913" s="32">
        <v>-4.4324389061376904E-3</v>
      </c>
      <c r="E913" s="32">
        <v>104</v>
      </c>
      <c r="F913" s="32">
        <v>7.34608456308611E-3</v>
      </c>
      <c r="G913" s="11"/>
      <c r="H913" s="11"/>
      <c r="I913" s="11"/>
      <c r="J913" s="18" t="s">
        <v>44</v>
      </c>
      <c r="K913" s="18" t="s">
        <v>86</v>
      </c>
      <c r="L913" s="58" t="s">
        <v>65</v>
      </c>
      <c r="M913" s="18">
        <f>[1]!f_prt_stocktonav(B913,"2017/03/31")</f>
        <v>82.773185729980469</v>
      </c>
      <c r="N913" s="20" t="str">
        <f>[1]!f_info_fundmanager(B913)</f>
        <v>陈丹琳</v>
      </c>
      <c r="O913" s="21">
        <v>1.9945205479452055</v>
      </c>
      <c r="P913" s="34" t="s">
        <v>3542</v>
      </c>
      <c r="Q913" s="34" t="s">
        <v>3543</v>
      </c>
      <c r="R913" s="34" t="s">
        <v>263</v>
      </c>
      <c r="S913" s="34">
        <v>20040709</v>
      </c>
      <c r="T913" s="45">
        <v>4.4082682979000003</v>
      </c>
      <c r="U913" s="46">
        <v>4.7226357765999998</v>
      </c>
      <c r="V913" s="34" t="s">
        <v>231</v>
      </c>
      <c r="W913" s="34" t="s">
        <v>44</v>
      </c>
      <c r="X913" s="34" t="s">
        <v>45</v>
      </c>
      <c r="Y913" s="34" t="s">
        <v>65</v>
      </c>
      <c r="Z913" s="34"/>
      <c r="AA913" s="34"/>
      <c r="AB913" s="22">
        <v>0.83119033813476562</v>
      </c>
      <c r="AC913" s="23" t="s">
        <v>1192</v>
      </c>
      <c r="AD913" s="24">
        <v>1.7643835616438357</v>
      </c>
      <c r="AE913" s="25">
        <v>0.1331594214436651</v>
      </c>
      <c r="AF913" s="26">
        <v>-4.804747579160229E-2</v>
      </c>
      <c r="AG913" s="26">
        <v>1.1632963146644304E-2</v>
      </c>
      <c r="AH913" s="27">
        <v>0.55472197212804797</v>
      </c>
      <c r="AI913" s="27">
        <v>-7.8479498783193491E-2</v>
      </c>
      <c r="AJ913" s="27">
        <v>0.12078698135907825</v>
      </c>
      <c r="AK913" s="28" t="s">
        <v>3544</v>
      </c>
      <c r="AL913" s="29">
        <v>1</v>
      </c>
      <c r="AM913" s="29">
        <v>1</v>
      </c>
      <c r="AN913" s="29" t="s">
        <v>48</v>
      </c>
      <c r="AO913" s="47" t="s">
        <v>2772</v>
      </c>
      <c r="AP913" s="28">
        <v>0</v>
      </c>
      <c r="AQ913" s="26">
        <v>1.4999999999999999E-2</v>
      </c>
      <c r="AR913" s="26">
        <v>0</v>
      </c>
    </row>
    <row r="914" spans="1:44" x14ac:dyDescent="0.15">
      <c r="A914">
        <v>904</v>
      </c>
      <c r="B914" s="11">
        <v>290002</v>
      </c>
      <c r="C914" s="32"/>
      <c r="D914" s="32">
        <v>-2.43538451518079E-3</v>
      </c>
      <c r="E914" s="32">
        <v>265</v>
      </c>
      <c r="F914" s="32">
        <v>7.9078661303918201E-3</v>
      </c>
      <c r="G914" s="11"/>
      <c r="H914" s="11"/>
      <c r="I914" s="11"/>
      <c r="J914" s="18" t="s">
        <v>44</v>
      </c>
      <c r="K914" s="18" t="s">
        <v>86</v>
      </c>
      <c r="L914" s="58" t="s">
        <v>274</v>
      </c>
      <c r="M914" s="18">
        <f>[1]!f_prt_stocktonav(B914,"2017/03/31")</f>
        <v>72.4007568359375</v>
      </c>
      <c r="N914" s="20" t="str">
        <f>[1]!f_info_fundmanager(B914)</f>
        <v>袁园,王博强</v>
      </c>
      <c r="O914" s="21">
        <v>5.0849315068493155</v>
      </c>
      <c r="P914" s="34" t="s">
        <v>3545</v>
      </c>
      <c r="Q914" s="34" t="s">
        <v>3546</v>
      </c>
      <c r="R914" s="34" t="s">
        <v>889</v>
      </c>
      <c r="S914" s="34">
        <v>20040628</v>
      </c>
      <c r="T914" s="45">
        <v>11.978521150300001</v>
      </c>
      <c r="U914" s="46">
        <v>12.6140894144</v>
      </c>
      <c r="V914" s="34" t="s">
        <v>231</v>
      </c>
      <c r="W914" s="34" t="s">
        <v>44</v>
      </c>
      <c r="X914" s="34" t="s">
        <v>45</v>
      </c>
      <c r="Y914" s="34" t="s">
        <v>274</v>
      </c>
      <c r="Z914" s="34"/>
      <c r="AA914" s="34"/>
      <c r="AB914" s="22">
        <v>0.79446334838867183</v>
      </c>
      <c r="AC914" s="23" t="s">
        <v>3547</v>
      </c>
      <c r="AD914" s="24">
        <v>4.8547945205479452</v>
      </c>
      <c r="AE914" s="25">
        <v>8.5806616431820526E-2</v>
      </c>
      <c r="AF914" s="26">
        <v>7.3821569664691555E-3</v>
      </c>
      <c r="AG914" s="26">
        <v>5.3142909077306566E-2</v>
      </c>
      <c r="AH914" s="27">
        <v>0.38668100788947563</v>
      </c>
      <c r="AI914" s="27">
        <v>0.12551224029835983</v>
      </c>
      <c r="AJ914" s="27">
        <v>0.27508840428655396</v>
      </c>
      <c r="AK914" s="28" t="s">
        <v>3548</v>
      </c>
      <c r="AL914" s="29">
        <v>3</v>
      </c>
      <c r="AM914" s="29">
        <v>3</v>
      </c>
      <c r="AN914" s="29" t="s">
        <v>48</v>
      </c>
      <c r="AO914" s="47" t="s">
        <v>3549</v>
      </c>
      <c r="AP914" s="28">
        <v>0</v>
      </c>
      <c r="AQ914" s="26">
        <v>1.4999999999999999E-2</v>
      </c>
      <c r="AR914" s="26">
        <v>0</v>
      </c>
    </row>
    <row r="915" spans="1:44" x14ac:dyDescent="0.15">
      <c r="A915">
        <v>952</v>
      </c>
      <c r="B915" s="11">
        <v>260104</v>
      </c>
      <c r="C915" s="32"/>
      <c r="D915" s="32">
        <v>-9.1750686563500899E-4</v>
      </c>
      <c r="E915" s="32">
        <v>344</v>
      </c>
      <c r="F915" s="32">
        <v>0.39247253399966597</v>
      </c>
      <c r="G915" s="11"/>
      <c r="H915" s="11"/>
      <c r="I915" s="11"/>
      <c r="J915" s="18" t="s">
        <v>44</v>
      </c>
      <c r="K915" s="18" t="s">
        <v>45</v>
      </c>
      <c r="L915" s="58" t="s">
        <v>65</v>
      </c>
      <c r="M915" s="18">
        <f>[1]!f_prt_stocktonav(B915,"2017/03/31")</f>
        <v>70.291389465332031</v>
      </c>
      <c r="N915" s="20" t="str">
        <f>[1]!f_info_fundmanager(B915)</f>
        <v>杨鹏</v>
      </c>
      <c r="O915" s="21">
        <v>6.6136986301369864</v>
      </c>
      <c r="P915" s="34" t="s">
        <v>3550</v>
      </c>
      <c r="Q915" s="34" t="s">
        <v>3551</v>
      </c>
      <c r="R915" s="34" t="s">
        <v>353</v>
      </c>
      <c r="S915" s="34">
        <v>20040625</v>
      </c>
      <c r="T915" s="45">
        <v>11.0043037098</v>
      </c>
      <c r="U915" s="46">
        <v>11.602924444899999</v>
      </c>
      <c r="V915" s="34" t="s">
        <v>231</v>
      </c>
      <c r="W915" s="34" t="s">
        <v>44</v>
      </c>
      <c r="X915" s="34" t="s">
        <v>45</v>
      </c>
      <c r="Y915" s="34" t="s">
        <v>65</v>
      </c>
      <c r="Z915" s="34"/>
      <c r="AA915" s="34"/>
      <c r="AB915" s="22">
        <v>0.73480491638183598</v>
      </c>
      <c r="AC915" s="23" t="s">
        <v>2559</v>
      </c>
      <c r="AD915" s="24">
        <v>6.3835616438356162</v>
      </c>
      <c r="AE915" s="25">
        <v>0.18894993937005602</v>
      </c>
      <c r="AF915" s="26">
        <v>8.6888808297544973E-3</v>
      </c>
      <c r="AG915" s="26">
        <v>0.12414137640395317</v>
      </c>
      <c r="AH915" s="27">
        <v>0.73261651525581628</v>
      </c>
      <c r="AI915" s="27">
        <v>0.12225965115784926</v>
      </c>
      <c r="AJ915" s="27">
        <v>0.5223538079042761</v>
      </c>
      <c r="AK915" s="28" t="s">
        <v>3284</v>
      </c>
      <c r="AL915" s="29">
        <v>3</v>
      </c>
      <c r="AM915" s="29">
        <v>3</v>
      </c>
      <c r="AN915" s="29" t="s">
        <v>48</v>
      </c>
      <c r="AO915" s="47" t="s">
        <v>2920</v>
      </c>
      <c r="AP915" s="28">
        <v>0</v>
      </c>
      <c r="AQ915" s="26">
        <v>1.4999999999999999E-2</v>
      </c>
      <c r="AR915" s="26">
        <v>0</v>
      </c>
    </row>
    <row r="916" spans="1:44" x14ac:dyDescent="0.15">
      <c r="A916">
        <v>458</v>
      </c>
      <c r="B916" s="11">
        <v>50004</v>
      </c>
      <c r="C916" s="32"/>
      <c r="D916" s="32">
        <v>-1.6938453562384201E-3</v>
      </c>
      <c r="E916" s="32">
        <v>171</v>
      </c>
      <c r="F916" s="32">
        <v>3.8203072658631203E-2</v>
      </c>
      <c r="G916" s="11"/>
      <c r="H916" s="11"/>
      <c r="I916" s="11"/>
      <c r="J916" s="18" t="s">
        <v>44</v>
      </c>
      <c r="K916" s="18" t="s">
        <v>86</v>
      </c>
      <c r="L916" s="58" t="s">
        <v>65</v>
      </c>
      <c r="M916" s="18">
        <f>[1]!f_prt_stocktonav(B916,"2017/03/31")</f>
        <v>86.132286071777344</v>
      </c>
      <c r="N916" s="20" t="str">
        <f>[1]!f_info_fundmanager(B916)</f>
        <v>李权胜</v>
      </c>
      <c r="O916" s="21">
        <v>3.2821917808219179</v>
      </c>
      <c r="P916" s="34" t="s">
        <v>3552</v>
      </c>
      <c r="Q916" s="34" t="s">
        <v>3553</v>
      </c>
      <c r="R916" s="34" t="s">
        <v>413</v>
      </c>
      <c r="S916" s="34">
        <v>20040622</v>
      </c>
      <c r="T916" s="45">
        <v>39.129037864499999</v>
      </c>
      <c r="U916" s="46">
        <v>39.8755080456</v>
      </c>
      <c r="V916" s="34" t="s">
        <v>231</v>
      </c>
      <c r="W916" s="34" t="s">
        <v>44</v>
      </c>
      <c r="X916" s="34" t="s">
        <v>45</v>
      </c>
      <c r="Y916" s="34" t="s">
        <v>65</v>
      </c>
      <c r="Z916" s="34"/>
      <c r="AA916" s="34"/>
      <c r="AB916" s="22">
        <v>0.88474838256835941</v>
      </c>
      <c r="AC916" s="23" t="s">
        <v>3554</v>
      </c>
      <c r="AD916" s="24">
        <v>3.0520547945205481</v>
      </c>
      <c r="AE916" s="25">
        <v>0.13843342246733803</v>
      </c>
      <c r="AF916" s="26">
        <v>0.18351319416178691</v>
      </c>
      <c r="AG916" s="26">
        <v>0.11046699469207644</v>
      </c>
      <c r="AH916" s="27">
        <v>0.61146763714715335</v>
      </c>
      <c r="AI916" s="27">
        <v>0.72308521498779832</v>
      </c>
      <c r="AJ916" s="27">
        <v>0.50321731244807477</v>
      </c>
      <c r="AK916" s="28" t="s">
        <v>3555</v>
      </c>
      <c r="AL916" s="29">
        <v>3</v>
      </c>
      <c r="AM916" s="29">
        <v>3</v>
      </c>
      <c r="AN916" s="29" t="s">
        <v>48</v>
      </c>
      <c r="AO916" s="47" t="s">
        <v>3556</v>
      </c>
      <c r="AP916" s="28">
        <v>0</v>
      </c>
      <c r="AQ916" s="26">
        <v>1.4999999999999999E-2</v>
      </c>
      <c r="AR916" s="26">
        <v>0</v>
      </c>
    </row>
    <row r="917" spans="1:44" x14ac:dyDescent="0.15">
      <c r="A917">
        <v>491</v>
      </c>
      <c r="B917" s="11">
        <v>20005</v>
      </c>
      <c r="C917" s="32"/>
      <c r="D917" s="32">
        <v>6.3791541079970997E-3</v>
      </c>
      <c r="E917" s="32">
        <v>10</v>
      </c>
      <c r="F917" s="32">
        <v>0.181073215814581</v>
      </c>
      <c r="G917" s="11"/>
      <c r="H917" s="11"/>
      <c r="I917" s="11"/>
      <c r="J917" s="18" t="s">
        <v>44</v>
      </c>
      <c r="K917" s="18" t="s">
        <v>45</v>
      </c>
      <c r="L917" s="58" t="s">
        <v>65</v>
      </c>
      <c r="M917" s="18">
        <f>[1]!f_prt_stocktonav(B917,"2017/03/31")</f>
        <v>85.519996643066406</v>
      </c>
      <c r="N917" s="20" t="str">
        <f>[1]!f_info_fundmanager(B917)</f>
        <v>李恒</v>
      </c>
      <c r="O917" s="21">
        <v>0.17534246575342466</v>
      </c>
      <c r="P917" s="34" t="s">
        <v>3557</v>
      </c>
      <c r="Q917" s="34" t="s">
        <v>3558</v>
      </c>
      <c r="R917" s="34" t="s">
        <v>663</v>
      </c>
      <c r="S917" s="34">
        <v>20040618</v>
      </c>
      <c r="T917" s="45">
        <v>14.5801569966</v>
      </c>
      <c r="U917" s="46">
        <v>15.1825983843</v>
      </c>
      <c r="V917" s="34" t="s">
        <v>231</v>
      </c>
      <c r="W917" s="34" t="s">
        <v>44</v>
      </c>
      <c r="X917" s="34" t="s">
        <v>45</v>
      </c>
      <c r="Y917" s="34" t="s">
        <v>65</v>
      </c>
      <c r="Z917" s="34"/>
      <c r="AA917" s="34"/>
      <c r="AB917" s="22">
        <v>0.72586624145507816</v>
      </c>
      <c r="AC917" s="23" t="s">
        <v>664</v>
      </c>
      <c r="AD917" s="24">
        <v>0.69863013698630139</v>
      </c>
      <c r="AE917" s="25">
        <v>0.10898152288581908</v>
      </c>
      <c r="AF917" s="26">
        <v>6.3931215391785035E-2</v>
      </c>
      <c r="AG917" s="26">
        <v>3.7583946388315415E-2</v>
      </c>
      <c r="AH917" s="27">
        <v>0.48960901678109858</v>
      </c>
      <c r="AI917" s="27">
        <v>0.34027786231030449</v>
      </c>
      <c r="AJ917" s="27">
        <v>0.21142706416346913</v>
      </c>
      <c r="AK917" s="28" t="s">
        <v>3559</v>
      </c>
      <c r="AL917" s="29">
        <v>1</v>
      </c>
      <c r="AM917" s="29">
        <v>1</v>
      </c>
      <c r="AN917" s="29" t="s">
        <v>48</v>
      </c>
      <c r="AO917" s="47" t="s">
        <v>3560</v>
      </c>
      <c r="AP917" s="28">
        <v>0</v>
      </c>
      <c r="AQ917" s="26">
        <v>1.4999999999999999E-2</v>
      </c>
      <c r="AR917" s="26">
        <v>0</v>
      </c>
    </row>
    <row r="918" spans="1:44" x14ac:dyDescent="0.15">
      <c r="A918">
        <v>244</v>
      </c>
      <c r="B918" s="11">
        <v>100020</v>
      </c>
      <c r="C918" s="32"/>
      <c r="D918" s="32">
        <v>-2.1354345729754499E-3</v>
      </c>
      <c r="E918" s="32">
        <v>155</v>
      </c>
      <c r="F918" s="32">
        <v>4.3086871764161497E-2</v>
      </c>
      <c r="G918" s="11"/>
      <c r="H918" s="11"/>
      <c r="I918" s="11"/>
      <c r="J918" s="18" t="s">
        <v>44</v>
      </c>
      <c r="K918" s="18" t="s">
        <v>45</v>
      </c>
      <c r="L918" s="58" t="s">
        <v>65</v>
      </c>
      <c r="M918" s="18">
        <f>[1]!f_prt_stocktonav(B918,"2017/03/31")</f>
        <v>90.700599670410156</v>
      </c>
      <c r="N918" s="20" t="str">
        <f>[1]!f_info_fundmanager(B918)</f>
        <v>李晓铭,许炎</v>
      </c>
      <c r="O918" s="21">
        <v>2.9616438356164383</v>
      </c>
      <c r="P918" s="34" t="s">
        <v>3561</v>
      </c>
      <c r="Q918" s="34" t="s">
        <v>3562</v>
      </c>
      <c r="R918" s="34" t="s">
        <v>396</v>
      </c>
      <c r="S918" s="34">
        <v>20040615</v>
      </c>
      <c r="T918" s="45">
        <v>29.2088171704</v>
      </c>
      <c r="U918" s="46">
        <v>29.2417063963</v>
      </c>
      <c r="V918" s="34" t="s">
        <v>231</v>
      </c>
      <c r="W918" s="34" t="s">
        <v>44</v>
      </c>
      <c r="X918" s="34" t="s">
        <v>45</v>
      </c>
      <c r="Y918" s="34" t="s">
        <v>274</v>
      </c>
      <c r="Z918" s="34"/>
      <c r="AA918" s="34"/>
      <c r="AB918" s="22">
        <v>0.91091697692871099</v>
      </c>
      <c r="AC918" s="23" t="s">
        <v>3563</v>
      </c>
      <c r="AD918" s="24">
        <v>2.7315068493150685</v>
      </c>
      <c r="AE918" s="25">
        <v>0.18539975963403776</v>
      </c>
      <c r="AF918" s="26">
        <v>0.14636138077350558</v>
      </c>
      <c r="AG918" s="26">
        <v>0.11178323127568991</v>
      </c>
      <c r="AH918" s="27">
        <v>0.76343924521460216</v>
      </c>
      <c r="AI918" s="27">
        <v>0.56970988209059037</v>
      </c>
      <c r="AJ918" s="27">
        <v>0.48449563460888256</v>
      </c>
      <c r="AK918" s="28" t="s">
        <v>3564</v>
      </c>
      <c r="AL918" s="29">
        <v>2</v>
      </c>
      <c r="AM918" s="29">
        <v>2</v>
      </c>
      <c r="AN918" s="29" t="s">
        <v>48</v>
      </c>
      <c r="AO918" s="47" t="s">
        <v>3565</v>
      </c>
      <c r="AP918" s="28" t="s">
        <v>3566</v>
      </c>
      <c r="AQ918" s="26">
        <v>1.4999999999999999E-2</v>
      </c>
      <c r="AR918" s="26">
        <v>0</v>
      </c>
    </row>
    <row r="919" spans="1:44" x14ac:dyDescent="0.15">
      <c r="A919">
        <v>353</v>
      </c>
      <c r="B919" s="11">
        <v>90003</v>
      </c>
      <c r="C919" s="32"/>
      <c r="D919" s="32">
        <v>2.25560295424296E-3</v>
      </c>
      <c r="E919" s="32">
        <v>69</v>
      </c>
      <c r="F919" s="32">
        <v>0.10036202325098501</v>
      </c>
      <c r="G919" s="11"/>
      <c r="H919" s="11"/>
      <c r="I919" s="11"/>
      <c r="J919" s="18" t="s">
        <v>44</v>
      </c>
      <c r="K919" s="18" t="s">
        <v>45</v>
      </c>
      <c r="L919" s="58" t="s">
        <v>817</v>
      </c>
      <c r="M919" s="18">
        <f>[1]!f_prt_stocktonav(B919,"2017/03/31")</f>
        <v>88.497489929199219</v>
      </c>
      <c r="N919" s="20" t="str">
        <f>[1]!f_info_fundmanager(B919)</f>
        <v>侯春燕</v>
      </c>
      <c r="O919" s="21">
        <v>1.3095890410958904</v>
      </c>
      <c r="P919" s="34" t="s">
        <v>3567</v>
      </c>
      <c r="Q919" s="34" t="s">
        <v>3568</v>
      </c>
      <c r="R919" s="34" t="s">
        <v>486</v>
      </c>
      <c r="S919" s="34">
        <v>20040603</v>
      </c>
      <c r="T919" s="45">
        <v>35.937462485899999</v>
      </c>
      <c r="U919" s="46">
        <v>37.148640688100002</v>
      </c>
      <c r="V919" s="34" t="s">
        <v>231</v>
      </c>
      <c r="W919" s="34" t="s">
        <v>44</v>
      </c>
      <c r="X919" s="34" t="s">
        <v>45</v>
      </c>
      <c r="Y919" s="34" t="s">
        <v>65</v>
      </c>
      <c r="Z919" s="34"/>
      <c r="AA919" s="34"/>
      <c r="AB919" s="22">
        <v>0.88626678466796871</v>
      </c>
      <c r="AC919" s="23" t="s">
        <v>3569</v>
      </c>
      <c r="AD919" s="24">
        <v>1.0794520547945206</v>
      </c>
      <c r="AE919" s="25">
        <v>9.7624491794626747E-2</v>
      </c>
      <c r="AF919" s="26">
        <v>6.4832802884095653E-2</v>
      </c>
      <c r="AG919" s="26">
        <v>4.1110024582537541E-2</v>
      </c>
      <c r="AH919" s="27">
        <v>0.43648209065028531</v>
      </c>
      <c r="AI919" s="27">
        <v>0.31884267879934425</v>
      </c>
      <c r="AJ919" s="27">
        <v>0.22921191247367553</v>
      </c>
      <c r="AK919" s="28" t="s">
        <v>3570</v>
      </c>
      <c r="AL919" s="29">
        <v>1</v>
      </c>
      <c r="AM919" s="29">
        <v>1</v>
      </c>
      <c r="AN919" s="29" t="s">
        <v>48</v>
      </c>
      <c r="AO919" s="47" t="s">
        <v>1002</v>
      </c>
      <c r="AP919" s="28" t="s">
        <v>3571</v>
      </c>
      <c r="AQ919" s="26">
        <v>1.4999999999999999E-2</v>
      </c>
      <c r="AR919" s="26">
        <v>0</v>
      </c>
    </row>
    <row r="920" spans="1:44" x14ac:dyDescent="0.15">
      <c r="A920">
        <v>643</v>
      </c>
      <c r="B920" s="11">
        <v>510081</v>
      </c>
      <c r="C920" s="32"/>
      <c r="D920" s="32">
        <v>-9.1487474428066399E-4</v>
      </c>
      <c r="E920" s="32">
        <v>80</v>
      </c>
      <c r="F920" s="32">
        <v>0.38693493866705397</v>
      </c>
      <c r="G920" s="11"/>
      <c r="H920" s="11"/>
      <c r="I920" s="11"/>
      <c r="J920" s="18" t="s">
        <v>44</v>
      </c>
      <c r="K920" s="18" t="s">
        <v>45</v>
      </c>
      <c r="L920" s="58" t="s">
        <v>65</v>
      </c>
      <c r="M920" s="18">
        <f>[1]!f_prt_stocktonav(B920,"2017/03/31")</f>
        <v>81.754646301269531</v>
      </c>
      <c r="N920" s="20" t="str">
        <f>[1]!f_info_fundmanager(B920)</f>
        <v>乔林建</v>
      </c>
      <c r="O920" s="21">
        <v>1.5205479452054795</v>
      </c>
      <c r="P920" s="34" t="s">
        <v>3572</v>
      </c>
      <c r="Q920" s="34" t="s">
        <v>3573</v>
      </c>
      <c r="R920" s="34" t="s">
        <v>364</v>
      </c>
      <c r="S920" s="34">
        <v>20040521</v>
      </c>
      <c r="T920" s="45">
        <v>5.9936192118999996</v>
      </c>
      <c r="U920" s="46">
        <v>6.3867928681999997</v>
      </c>
      <c r="V920" s="34" t="s">
        <v>231</v>
      </c>
      <c r="W920" s="34" t="s">
        <v>44</v>
      </c>
      <c r="X920" s="34" t="s">
        <v>45</v>
      </c>
      <c r="Y920" s="34" t="s">
        <v>65</v>
      </c>
      <c r="Z920" s="34"/>
      <c r="AA920" s="34"/>
      <c r="AB920" s="22">
        <v>0.82144805908203122</v>
      </c>
      <c r="AC920" s="23" t="s">
        <v>3069</v>
      </c>
      <c r="AD920" s="24">
        <v>1.2904109589041095</v>
      </c>
      <c r="AE920" s="25">
        <v>0.14002293051201553</v>
      </c>
      <c r="AF920" s="26">
        <v>0.11685272759287102</v>
      </c>
      <c r="AG920" s="26">
        <v>9.7628053303178586E-2</v>
      </c>
      <c r="AH920" s="27">
        <v>0.58942467787677766</v>
      </c>
      <c r="AI920" s="27">
        <v>0.4545128979144612</v>
      </c>
      <c r="AJ920" s="27">
        <v>0.43396666953367058</v>
      </c>
      <c r="AK920" s="28" t="s">
        <v>3574</v>
      </c>
      <c r="AL920" s="29">
        <v>4</v>
      </c>
      <c r="AM920" s="29">
        <v>2</v>
      </c>
      <c r="AN920" s="29" t="s">
        <v>48</v>
      </c>
      <c r="AO920" s="47" t="s">
        <v>3575</v>
      </c>
      <c r="AP920" s="28" t="s">
        <v>3429</v>
      </c>
      <c r="AQ920" s="26">
        <v>1.4999999999999999E-2</v>
      </c>
      <c r="AR920" s="26">
        <v>0</v>
      </c>
    </row>
    <row r="921" spans="1:44" x14ac:dyDescent="0.15">
      <c r="A921">
        <v>365</v>
      </c>
      <c r="B921" s="11">
        <v>160605</v>
      </c>
      <c r="C921" s="32"/>
      <c r="D921" s="32">
        <v>-2.1652897112943298E-3</v>
      </c>
      <c r="E921" s="32">
        <v>322</v>
      </c>
      <c r="F921" s="32">
        <v>7.5746235808630998E-3</v>
      </c>
      <c r="G921" s="11"/>
      <c r="H921" s="11"/>
      <c r="I921" s="11"/>
      <c r="J921" s="18" t="s">
        <v>44</v>
      </c>
      <c r="K921" s="18" t="s">
        <v>45</v>
      </c>
      <c r="L921" s="58" t="s">
        <v>65</v>
      </c>
      <c r="M921" s="18">
        <f>[1]!f_prt_stocktonav(B921,"2017/03/31")</f>
        <v>88.186111450195313</v>
      </c>
      <c r="N921" s="20" t="str">
        <f>[1]!f_info_fundmanager(B921)</f>
        <v>陈鹏</v>
      </c>
      <c r="O921" s="21">
        <v>6.1753424657534248</v>
      </c>
      <c r="P921" s="34" t="s">
        <v>3576</v>
      </c>
      <c r="Q921" s="34" t="s">
        <v>3577</v>
      </c>
      <c r="R921" s="34" t="s">
        <v>705</v>
      </c>
      <c r="S921" s="34">
        <v>20040512</v>
      </c>
      <c r="T921" s="45">
        <v>10.4841123855</v>
      </c>
      <c r="U921" s="46">
        <v>11.5825003952</v>
      </c>
      <c r="V921" s="34" t="s">
        <v>231</v>
      </c>
      <c r="W921" s="34" t="s">
        <v>44</v>
      </c>
      <c r="X921" s="34" t="s">
        <v>45</v>
      </c>
      <c r="Y921" s="34" t="s">
        <v>65</v>
      </c>
      <c r="Z921" s="34"/>
      <c r="AA921" s="34"/>
      <c r="AB921" s="22">
        <v>0.90015441894531245</v>
      </c>
      <c r="AC921" s="23" t="s">
        <v>1767</v>
      </c>
      <c r="AD921" s="24">
        <v>5.9452054794520546</v>
      </c>
      <c r="AE921" s="25">
        <v>0.14804520204082183</v>
      </c>
      <c r="AF921" s="26">
        <v>3.6770865730080482E-2</v>
      </c>
      <c r="AG921" s="26">
        <v>6.8157725650155987E-2</v>
      </c>
      <c r="AH921" s="27">
        <v>0.61385427432820761</v>
      </c>
      <c r="AI921" s="27">
        <v>0.25602597097314506</v>
      </c>
      <c r="AJ921" s="27">
        <v>0.32561281042225193</v>
      </c>
      <c r="AK921" s="28" t="s">
        <v>3578</v>
      </c>
      <c r="AL921" s="29">
        <v>1</v>
      </c>
      <c r="AM921" s="29">
        <v>3</v>
      </c>
      <c r="AN921" s="29" t="s">
        <v>48</v>
      </c>
      <c r="AO921" s="47" t="s">
        <v>3579</v>
      </c>
      <c r="AP921" s="28">
        <v>0</v>
      </c>
      <c r="AQ921" s="26">
        <v>1.4999999999999999E-2</v>
      </c>
      <c r="AR921" s="26">
        <v>0</v>
      </c>
    </row>
    <row r="922" spans="1:44" x14ac:dyDescent="0.15">
      <c r="A922">
        <v>829</v>
      </c>
      <c r="B922" s="11">
        <v>240005</v>
      </c>
      <c r="C922" s="32"/>
      <c r="D922" s="32">
        <v>-7.9643711768658996E-4</v>
      </c>
      <c r="E922" s="32">
        <v>73</v>
      </c>
      <c r="F922" s="32">
        <v>0.37513777878024701</v>
      </c>
      <c r="G922" s="11"/>
      <c r="H922" s="11"/>
      <c r="I922" s="11"/>
      <c r="J922" s="18" t="s">
        <v>44</v>
      </c>
      <c r="K922" s="18" t="s">
        <v>64</v>
      </c>
      <c r="L922" s="58" t="s">
        <v>337</v>
      </c>
      <c r="M922" s="18">
        <f>[1]!f_prt_stocktonav(B922,"2017/03/31")</f>
        <v>75.726119995117188</v>
      </c>
      <c r="N922" s="20" t="str">
        <f>[1]!f_info_fundmanager(B922)</f>
        <v>蔡目荣</v>
      </c>
      <c r="O922" s="21">
        <v>1.4027397260273973</v>
      </c>
      <c r="P922" s="34" t="s">
        <v>3580</v>
      </c>
      <c r="Q922" s="34" t="s">
        <v>3581</v>
      </c>
      <c r="R922" s="34" t="s">
        <v>737</v>
      </c>
      <c r="S922" s="34">
        <v>20040511</v>
      </c>
      <c r="T922" s="45">
        <v>22.289311231700001</v>
      </c>
      <c r="U922" s="46">
        <v>22.178551907700001</v>
      </c>
      <c r="V922" s="34" t="s">
        <v>231</v>
      </c>
      <c r="W922" s="34" t="s">
        <v>44</v>
      </c>
      <c r="X922" s="34" t="s">
        <v>45</v>
      </c>
      <c r="Y922" s="34" t="s">
        <v>337</v>
      </c>
      <c r="Z922" s="34"/>
      <c r="AA922" s="34"/>
      <c r="AB922" s="22">
        <v>0.78380287170410157</v>
      </c>
      <c r="AC922" s="23" t="s">
        <v>2255</v>
      </c>
      <c r="AD922" s="24">
        <v>1.1726027397260275</v>
      </c>
      <c r="AE922" s="25">
        <v>0.13991021666434622</v>
      </c>
      <c r="AF922" s="26">
        <v>0.12998211716028463</v>
      </c>
      <c r="AG922" s="26">
        <v>9.96487584828991E-2</v>
      </c>
      <c r="AH922" s="27">
        <v>0.59132396961171951</v>
      </c>
      <c r="AI922" s="27">
        <v>0.50241675479823822</v>
      </c>
      <c r="AJ922" s="27">
        <v>0.43201105036257298</v>
      </c>
      <c r="AK922" s="28" t="s">
        <v>3582</v>
      </c>
      <c r="AL922" s="29">
        <v>4</v>
      </c>
      <c r="AM922" s="29">
        <v>1</v>
      </c>
      <c r="AN922" s="29" t="s">
        <v>48</v>
      </c>
      <c r="AO922" s="47" t="s">
        <v>739</v>
      </c>
      <c r="AP922" s="28">
        <v>0</v>
      </c>
      <c r="AQ922" s="26">
        <v>1.4999999999999999E-2</v>
      </c>
      <c r="AR922" s="26">
        <v>0</v>
      </c>
    </row>
    <row r="923" spans="1:44" x14ac:dyDescent="0.15">
      <c r="A923">
        <v>33</v>
      </c>
      <c r="B923" s="11">
        <v>161606</v>
      </c>
      <c r="C923" s="32"/>
      <c r="D923" s="32">
        <v>-2.3923287556531698E-3</v>
      </c>
      <c r="E923" s="32">
        <v>247</v>
      </c>
      <c r="F923" s="32">
        <v>7.6673373231147396E-2</v>
      </c>
      <c r="G923" s="11"/>
      <c r="H923" s="11"/>
      <c r="I923" s="11"/>
      <c r="J923" s="18" t="s">
        <v>44</v>
      </c>
      <c r="K923" s="18" t="s">
        <v>45</v>
      </c>
      <c r="L923" s="58" t="s">
        <v>65</v>
      </c>
      <c r="M923" s="18">
        <f>[1]!f_prt_stocktonav(B923,"2017/03/31")</f>
        <v>94.541656494140625</v>
      </c>
      <c r="N923" s="20" t="str">
        <f>[1]!f_info_fundmanager(B923)</f>
        <v>邹曦</v>
      </c>
      <c r="O923" s="21">
        <v>4.7452054794520544</v>
      </c>
      <c r="P923" s="34" t="s">
        <v>3583</v>
      </c>
      <c r="Q923" s="34" t="s">
        <v>3584</v>
      </c>
      <c r="R923" s="34" t="s">
        <v>230</v>
      </c>
      <c r="S923" s="34">
        <v>20040429</v>
      </c>
      <c r="T923" s="45">
        <v>12.722656342000001</v>
      </c>
      <c r="U923" s="46">
        <v>14.741936600000001</v>
      </c>
      <c r="V923" s="34" t="s">
        <v>231</v>
      </c>
      <c r="W923" s="34" t="s">
        <v>44</v>
      </c>
      <c r="X923" s="34" t="s">
        <v>45</v>
      </c>
      <c r="Y923" s="34" t="s">
        <v>65</v>
      </c>
      <c r="Z923" s="34"/>
      <c r="AA923" s="34"/>
      <c r="AB923" s="22">
        <v>0.95013046264648438</v>
      </c>
      <c r="AC923" s="23" t="s">
        <v>3585</v>
      </c>
      <c r="AD923" s="24">
        <v>4.515068493150685</v>
      </c>
      <c r="AE923" s="25">
        <v>0.10192913598600505</v>
      </c>
      <c r="AF923" s="26">
        <v>8.1320729936728883E-2</v>
      </c>
      <c r="AG923" s="26">
        <v>9.5041094304371132E-2</v>
      </c>
      <c r="AH923" s="27">
        <v>0.43461958459459171</v>
      </c>
      <c r="AI923" s="27">
        <v>0.3528977198764221</v>
      </c>
      <c r="AJ923" s="27">
        <v>0.41167069993145711</v>
      </c>
      <c r="AK923" s="28" t="s">
        <v>1961</v>
      </c>
      <c r="AL923" s="29">
        <v>3</v>
      </c>
      <c r="AM923" s="29">
        <v>1</v>
      </c>
      <c r="AN923" s="29" t="s">
        <v>48</v>
      </c>
      <c r="AO923" s="47" t="s">
        <v>1667</v>
      </c>
      <c r="AP923" s="28" t="s">
        <v>3586</v>
      </c>
      <c r="AQ923" s="26">
        <v>1.4999999999999999E-2</v>
      </c>
      <c r="AR923" s="26">
        <v>0</v>
      </c>
    </row>
    <row r="924" spans="1:44" x14ac:dyDescent="0.15">
      <c r="A924">
        <v>869</v>
      </c>
      <c r="B924" s="11">
        <v>121002</v>
      </c>
      <c r="C924" s="32"/>
      <c r="D924" s="32">
        <v>-7.0795716271811803E-5</v>
      </c>
      <c r="E924" s="32">
        <v>97</v>
      </c>
      <c r="F924" s="32">
        <v>0.94403894402147004</v>
      </c>
      <c r="G924" s="11"/>
      <c r="H924" s="11"/>
      <c r="I924" s="11"/>
      <c r="J924" s="18" t="s">
        <v>44</v>
      </c>
      <c r="K924" s="18" t="s">
        <v>45</v>
      </c>
      <c r="L924" s="58" t="s">
        <v>65</v>
      </c>
      <c r="M924" s="18">
        <f>[1]!f_prt_stocktonav(B924,"2017/03/31")</f>
        <v>73.860450744628906</v>
      </c>
      <c r="N924" s="20" t="str">
        <f>[1]!f_info_fundmanager(B924)</f>
        <v>伍智勇,綦缚鹏</v>
      </c>
      <c r="O924" s="21">
        <v>1.8575342465753424</v>
      </c>
      <c r="P924" s="34" t="s">
        <v>3587</v>
      </c>
      <c r="Q924" s="34" t="s">
        <v>3588</v>
      </c>
      <c r="R924" s="34" t="s">
        <v>452</v>
      </c>
      <c r="S924" s="34">
        <v>20040429</v>
      </c>
      <c r="T924" s="45">
        <v>7.8400456538999999</v>
      </c>
      <c r="U924" s="46">
        <v>8.5993597263999995</v>
      </c>
      <c r="V924" s="34" t="s">
        <v>231</v>
      </c>
      <c r="W924" s="34" t="s">
        <v>41</v>
      </c>
      <c r="X924" s="17" t="s">
        <v>42</v>
      </c>
      <c r="Y924" s="17" t="s">
        <v>181</v>
      </c>
      <c r="Z924" s="34"/>
      <c r="AA924" s="34"/>
      <c r="AB924" s="22">
        <v>0.68076248168945308</v>
      </c>
      <c r="AC924" s="23" t="s">
        <v>3589</v>
      </c>
      <c r="AD924" s="24">
        <v>1.6273972602739726</v>
      </c>
      <c r="AE924" s="25">
        <v>0.14332851831827198</v>
      </c>
      <c r="AF924" s="26">
        <v>0.10581164704261425</v>
      </c>
      <c r="AG924" s="26">
        <v>9.4451601654566661E-2</v>
      </c>
      <c r="AH924" s="27">
        <v>0.73104904949144223</v>
      </c>
      <c r="AI924" s="27">
        <v>0.51897257301428223</v>
      </c>
      <c r="AJ924" s="27">
        <v>0.51436126710018792</v>
      </c>
      <c r="AK924" s="28" t="s">
        <v>3590</v>
      </c>
      <c r="AL924" s="29">
        <v>4</v>
      </c>
      <c r="AM924" s="29">
        <v>3</v>
      </c>
      <c r="AN924" s="29" t="s">
        <v>48</v>
      </c>
      <c r="AO924" s="47" t="s">
        <v>3051</v>
      </c>
      <c r="AP924" s="28" t="s">
        <v>3259</v>
      </c>
      <c r="AQ924" s="26">
        <v>1.4999999999999999E-2</v>
      </c>
      <c r="AR924" s="26">
        <v>0</v>
      </c>
    </row>
    <row r="925" spans="1:44" x14ac:dyDescent="0.15">
      <c r="A925">
        <v>822</v>
      </c>
      <c r="B925" s="11">
        <v>257010</v>
      </c>
      <c r="C925" s="32"/>
      <c r="D925" s="32">
        <v>-2.9849899406198601E-4</v>
      </c>
      <c r="E925" s="32">
        <v>368</v>
      </c>
      <c r="F925" s="32">
        <v>0.58716179697127802</v>
      </c>
      <c r="G925" s="11"/>
      <c r="H925" s="11"/>
      <c r="I925" s="11"/>
      <c r="J925" s="18" t="s">
        <v>44</v>
      </c>
      <c r="K925" s="18" t="s">
        <v>45</v>
      </c>
      <c r="L925" s="58" t="s">
        <v>65</v>
      </c>
      <c r="M925" s="18">
        <f>[1]!f_prt_stocktonav(B925,"2017/03/31")</f>
        <v>75.84967041015625</v>
      </c>
      <c r="N925" s="20" t="str">
        <f>[1]!f_info_fundmanager(B925)</f>
        <v>邹新进</v>
      </c>
      <c r="O925" s="21">
        <v>7.0739726027397261</v>
      </c>
      <c r="P925" s="34" t="s">
        <v>3591</v>
      </c>
      <c r="Q925" s="34" t="s">
        <v>3592</v>
      </c>
      <c r="R925" s="34" t="s">
        <v>724</v>
      </c>
      <c r="S925" s="34">
        <v>20040412</v>
      </c>
      <c r="T925" s="45">
        <v>14.2103233186</v>
      </c>
      <c r="U925" s="46">
        <v>17.203086798499999</v>
      </c>
      <c r="V925" s="34" t="s">
        <v>201</v>
      </c>
      <c r="W925" s="34" t="s">
        <v>44</v>
      </c>
      <c r="X925" s="34" t="s">
        <v>45</v>
      </c>
      <c r="Y925" s="34" t="s">
        <v>65</v>
      </c>
      <c r="Z925" s="34"/>
      <c r="AA925" s="34"/>
      <c r="AB925" s="22">
        <v>0.74964424133300778</v>
      </c>
      <c r="AC925" s="23" t="s">
        <v>3593</v>
      </c>
      <c r="AD925" s="24">
        <v>6.8438356164383558</v>
      </c>
      <c r="AE925" s="25">
        <v>0.13853179397259185</v>
      </c>
      <c r="AF925" s="26">
        <v>0.24891364746838929</v>
      </c>
      <c r="AG925" s="26">
        <v>0.18475107493607701</v>
      </c>
      <c r="AH925" s="27">
        <v>0.63545135121278151</v>
      </c>
      <c r="AI925" s="27">
        <v>0.96090784358117276</v>
      </c>
      <c r="AJ925" s="27">
        <v>0.81533797013550591</v>
      </c>
      <c r="AK925" s="28" t="s">
        <v>3594</v>
      </c>
      <c r="AL925" s="29">
        <v>4</v>
      </c>
      <c r="AM925" s="29">
        <v>4</v>
      </c>
      <c r="AN925" s="29" t="s">
        <v>48</v>
      </c>
      <c r="AO925" s="47" t="s">
        <v>3595</v>
      </c>
      <c r="AP925" s="28">
        <v>0</v>
      </c>
      <c r="AQ925" s="26">
        <v>1.4999999999999999E-2</v>
      </c>
      <c r="AR925" s="26">
        <v>0</v>
      </c>
    </row>
    <row r="926" spans="1:44" x14ac:dyDescent="0.15">
      <c r="A926">
        <v>911</v>
      </c>
      <c r="B926" s="11">
        <v>310308</v>
      </c>
      <c r="C926" s="32"/>
      <c r="D926" s="32">
        <v>3.07976732026963E-3</v>
      </c>
      <c r="E926" s="32">
        <v>14</v>
      </c>
      <c r="F926" s="32">
        <v>0.48943364586646199</v>
      </c>
      <c r="G926" s="11"/>
      <c r="H926" s="11"/>
      <c r="I926" s="11"/>
      <c r="J926" s="18" t="s">
        <v>44</v>
      </c>
      <c r="K926" s="18" t="s">
        <v>45</v>
      </c>
      <c r="L926" s="58" t="s">
        <v>65</v>
      </c>
      <c r="M926" s="18">
        <f>[1]!f_prt_stocktonav(B926,"2017/03/31")</f>
        <v>71.876449584960937</v>
      </c>
      <c r="N926" s="20" t="str">
        <f>[1]!f_info_fundmanager(B926)</f>
        <v>孙琳</v>
      </c>
      <c r="O926" s="21">
        <v>0.25479452054794521</v>
      </c>
      <c r="P926" s="34" t="s">
        <v>3596</v>
      </c>
      <c r="Q926" s="34" t="s">
        <v>3597</v>
      </c>
      <c r="R926" s="34" t="s">
        <v>2493</v>
      </c>
      <c r="S926" s="34">
        <v>20040409</v>
      </c>
      <c r="T926" s="45">
        <v>6.3527111607000002</v>
      </c>
      <c r="U926" s="46">
        <v>6.4717813381999996</v>
      </c>
      <c r="V926" s="34" t="s">
        <v>201</v>
      </c>
      <c r="W926" s="34" t="s">
        <v>41</v>
      </c>
      <c r="X926" s="34" t="s">
        <v>42</v>
      </c>
      <c r="Y926" s="34" t="s">
        <v>181</v>
      </c>
      <c r="Z926" s="34"/>
      <c r="AA926" s="34"/>
      <c r="AB926" s="22">
        <v>0.59467292785644532</v>
      </c>
      <c r="AC926" s="23" t="s">
        <v>3598</v>
      </c>
      <c r="AD926" s="24">
        <v>1.5205479452054795</v>
      </c>
      <c r="AE926" s="25">
        <v>0.12048953133235019</v>
      </c>
      <c r="AF926" s="26">
        <v>0.10109696505114286</v>
      </c>
      <c r="AG926" s="26">
        <v>9.3862915489869803E-2</v>
      </c>
      <c r="AH926" s="27">
        <v>0.56461730081074279</v>
      </c>
      <c r="AI926" s="27">
        <v>0.39536291609544083</v>
      </c>
      <c r="AJ926" s="27">
        <v>0.43807357412672865</v>
      </c>
      <c r="AK926" s="28" t="s">
        <v>3599</v>
      </c>
      <c r="AL926" s="29">
        <v>3</v>
      </c>
      <c r="AM926" s="29">
        <v>2</v>
      </c>
      <c r="AN926" s="29" t="s">
        <v>48</v>
      </c>
      <c r="AO926" s="47" t="s">
        <v>3600</v>
      </c>
      <c r="AP926" s="28">
        <v>0</v>
      </c>
      <c r="AQ926" s="26">
        <v>1.4999999999999999E-2</v>
      </c>
      <c r="AR926" s="26">
        <v>0</v>
      </c>
    </row>
    <row r="927" spans="1:44" x14ac:dyDescent="0.15">
      <c r="A927">
        <v>324</v>
      </c>
      <c r="B927" s="11">
        <v>70006</v>
      </c>
      <c r="C927" s="32"/>
      <c r="D927" s="32">
        <v>-2.8998481821524598E-3</v>
      </c>
      <c r="E927" s="32">
        <v>107</v>
      </c>
      <c r="F927" s="32">
        <v>3.9982409416822899E-2</v>
      </c>
      <c r="G927" s="11"/>
      <c r="H927" s="11"/>
      <c r="I927" s="11"/>
      <c r="J927" s="18" t="s">
        <v>44</v>
      </c>
      <c r="K927" s="18" t="s">
        <v>45</v>
      </c>
      <c r="L927" s="58" t="s">
        <v>274</v>
      </c>
      <c r="M927" s="18">
        <f>[1]!f_prt_stocktonav(B927,"2017/03/31")</f>
        <v>88.959915161132813</v>
      </c>
      <c r="N927" s="20" t="str">
        <f>[1]!f_info_fundmanager(B927)</f>
        <v>焦云</v>
      </c>
      <c r="O927" s="21">
        <v>2.0547945205479454</v>
      </c>
      <c r="P927" s="34" t="s">
        <v>3601</v>
      </c>
      <c r="Q927" s="34" t="s">
        <v>3602</v>
      </c>
      <c r="R927" s="34" t="s">
        <v>92</v>
      </c>
      <c r="S927" s="34">
        <v>20040401</v>
      </c>
      <c r="T927" s="45">
        <v>23.7925575754</v>
      </c>
      <c r="U927" s="46">
        <v>26.796064127699999</v>
      </c>
      <c r="V927" s="34" t="s">
        <v>231</v>
      </c>
      <c r="W927" s="34" t="s">
        <v>44</v>
      </c>
      <c r="X927" s="34" t="s">
        <v>87</v>
      </c>
      <c r="Y927" s="34" t="s">
        <v>274</v>
      </c>
      <c r="Z927" s="34" t="s">
        <v>3603</v>
      </c>
      <c r="AA927" s="34"/>
      <c r="AB927" s="22">
        <v>0.92223350524902348</v>
      </c>
      <c r="AC927" s="23" t="s">
        <v>3604</v>
      </c>
      <c r="AD927" s="24">
        <v>1.8246575342465754</v>
      </c>
      <c r="AE927" s="25">
        <v>0.16529508908730192</v>
      </c>
      <c r="AF927" s="26">
        <v>0.10195426948016915</v>
      </c>
      <c r="AG927" s="26">
        <v>0.11172758639443625</v>
      </c>
      <c r="AH927" s="27">
        <v>0.68280578899570077</v>
      </c>
      <c r="AI927" s="27">
        <v>0.42255498204217146</v>
      </c>
      <c r="AJ927" s="27">
        <v>0.47022504348475508</v>
      </c>
      <c r="AK927" s="33" t="s">
        <v>3605</v>
      </c>
      <c r="AL927" s="29">
        <v>4</v>
      </c>
      <c r="AM927" s="29">
        <v>3</v>
      </c>
      <c r="AN927" s="29" t="s">
        <v>48</v>
      </c>
      <c r="AO927" s="47" t="s">
        <v>427</v>
      </c>
      <c r="AP927" s="28" t="s">
        <v>2293</v>
      </c>
      <c r="AQ927" s="26">
        <v>1.4999999999999999E-2</v>
      </c>
      <c r="AR927" s="26">
        <v>0</v>
      </c>
    </row>
    <row r="928" spans="1:44" x14ac:dyDescent="0.15">
      <c r="A928">
        <v>885</v>
      </c>
      <c r="B928" s="11">
        <v>150103</v>
      </c>
      <c r="C928" s="32"/>
      <c r="D928" s="32">
        <v>-1.0650259062424899E-3</v>
      </c>
      <c r="E928" s="32">
        <v>285</v>
      </c>
      <c r="F928" s="32">
        <v>0.28625515752613401</v>
      </c>
      <c r="G928" s="11"/>
      <c r="H928" s="11"/>
      <c r="I928" s="11"/>
      <c r="J928" s="18" t="s">
        <v>44</v>
      </c>
      <c r="K928" s="18" t="s">
        <v>45</v>
      </c>
      <c r="L928" s="58" t="s">
        <v>65</v>
      </c>
      <c r="M928" s="18">
        <f>[1]!f_prt_stocktonav(B928,"2017/03/31")</f>
        <v>73.284942626953125</v>
      </c>
      <c r="N928" s="20" t="str">
        <f>[1]!f_info_fundmanager(B928)</f>
        <v>张杨,杨琪</v>
      </c>
      <c r="O928" s="21">
        <v>5.4767123287671229</v>
      </c>
      <c r="P928" s="34" t="s">
        <v>3606</v>
      </c>
      <c r="Q928" s="34" t="s">
        <v>3607</v>
      </c>
      <c r="R928" s="34" t="s">
        <v>807</v>
      </c>
      <c r="S928" s="34">
        <v>20040330</v>
      </c>
      <c r="T928" s="45">
        <v>12.8659729747</v>
      </c>
      <c r="U928" s="46">
        <v>13.432899521</v>
      </c>
      <c r="V928" s="34" t="s">
        <v>231</v>
      </c>
      <c r="W928" s="34" t="s">
        <v>44</v>
      </c>
      <c r="X928" s="34" t="s">
        <v>45</v>
      </c>
      <c r="Y928" s="34" t="s">
        <v>65</v>
      </c>
      <c r="Z928" s="34"/>
      <c r="AA928" s="34"/>
      <c r="AB928" s="22">
        <v>0.77554931640625002</v>
      </c>
      <c r="AC928" s="23" t="s">
        <v>2239</v>
      </c>
      <c r="AD928" s="24">
        <v>5.2465753424657535</v>
      </c>
      <c r="AE928" s="25">
        <v>0.15255899240609239</v>
      </c>
      <c r="AF928" s="26">
        <v>0.12045074835149251</v>
      </c>
      <c r="AG928" s="26">
        <v>0.12305276785912067</v>
      </c>
      <c r="AH928" s="27">
        <v>0.64672888057937084</v>
      </c>
      <c r="AI928" s="27">
        <v>0.46646858159064397</v>
      </c>
      <c r="AJ928" s="27">
        <v>0.50201408991956487</v>
      </c>
      <c r="AK928" s="28" t="s">
        <v>3608</v>
      </c>
      <c r="AL928" s="29">
        <v>2</v>
      </c>
      <c r="AM928" s="29">
        <v>4</v>
      </c>
      <c r="AN928" s="29" t="s">
        <v>48</v>
      </c>
      <c r="AO928" s="47">
        <v>0</v>
      </c>
      <c r="AP928" s="28" t="s">
        <v>3609</v>
      </c>
      <c r="AQ928" s="26">
        <v>1.4999999999999999E-2</v>
      </c>
      <c r="AR928" s="26">
        <v>0</v>
      </c>
    </row>
    <row r="929" spans="1:44" x14ac:dyDescent="0.15">
      <c r="A929">
        <v>741</v>
      </c>
      <c r="B929" s="11">
        <v>519003</v>
      </c>
      <c r="C929" s="32"/>
      <c r="D929" s="32">
        <v>-9.0016558726926303E-4</v>
      </c>
      <c r="E929" s="32">
        <v>95</v>
      </c>
      <c r="F929" s="32">
        <v>0.50943056521709895</v>
      </c>
      <c r="G929" s="11"/>
      <c r="H929" s="11"/>
      <c r="I929" s="11"/>
      <c r="J929" s="18" t="s">
        <v>44</v>
      </c>
      <c r="K929" s="18" t="s">
        <v>45</v>
      </c>
      <c r="L929" s="58" t="s">
        <v>337</v>
      </c>
      <c r="M929" s="18">
        <f>[1]!f_prt_stocktonav(B929,"2017/03/31")</f>
        <v>78.693046569824219</v>
      </c>
      <c r="N929" s="20" t="str">
        <f>[1]!f_info_fundmanager(B929)</f>
        <v>周雪军</v>
      </c>
      <c r="O929" s="21">
        <v>1.810958904109589</v>
      </c>
      <c r="P929" s="34" t="s">
        <v>3610</v>
      </c>
      <c r="Q929" s="34" t="s">
        <v>3611</v>
      </c>
      <c r="R929" s="34" t="s">
        <v>496</v>
      </c>
      <c r="S929" s="34">
        <v>20040312</v>
      </c>
      <c r="T929" s="45">
        <v>22.6749387851</v>
      </c>
      <c r="U929" s="46">
        <v>20.613331107899999</v>
      </c>
      <c r="V929" s="34" t="s">
        <v>201</v>
      </c>
      <c r="W929" s="34" t="s">
        <v>44</v>
      </c>
      <c r="X929" s="34" t="s">
        <v>45</v>
      </c>
      <c r="Y929" s="34" t="s">
        <v>65</v>
      </c>
      <c r="Z929" s="34"/>
      <c r="AA929" s="34"/>
      <c r="AB929" s="22">
        <v>0.74799438476562496</v>
      </c>
      <c r="AC929" s="23" t="s">
        <v>497</v>
      </c>
      <c r="AD929" s="24">
        <v>1.5808219178082192</v>
      </c>
      <c r="AE929" s="25">
        <v>9.7110173502679795E-2</v>
      </c>
      <c r="AF929" s="26">
        <v>0.1184602648587376</v>
      </c>
      <c r="AG929" s="26">
        <v>7.8581111300430218E-2</v>
      </c>
      <c r="AH929" s="27">
        <v>0.46812218752356993</v>
      </c>
      <c r="AI929" s="27">
        <v>0.47016647982808801</v>
      </c>
      <c r="AJ929" s="27">
        <v>0.37599857600418596</v>
      </c>
      <c r="AK929" s="28" t="s">
        <v>3612</v>
      </c>
      <c r="AL929" s="29">
        <v>1</v>
      </c>
      <c r="AM929" s="29">
        <v>1</v>
      </c>
      <c r="AN929" s="29" t="s">
        <v>48</v>
      </c>
      <c r="AO929" s="47" t="s">
        <v>3613</v>
      </c>
      <c r="AP929" s="28">
        <v>0</v>
      </c>
      <c r="AQ929" s="26">
        <v>1.4999999999999999E-2</v>
      </c>
      <c r="AR929" s="26">
        <v>0</v>
      </c>
    </row>
    <row r="930" spans="1:44" x14ac:dyDescent="0.15">
      <c r="A930">
        <v>358</v>
      </c>
      <c r="B930" s="11">
        <v>110002</v>
      </c>
      <c r="C930" s="32"/>
      <c r="D930" s="32">
        <v>-2.1701252289967701E-3</v>
      </c>
      <c r="E930" s="32">
        <v>87</v>
      </c>
      <c r="F930" s="32">
        <v>0.245436468269248</v>
      </c>
      <c r="G930" s="11"/>
      <c r="H930" s="11"/>
      <c r="I930" s="11"/>
      <c r="J930" s="18" t="s">
        <v>44</v>
      </c>
      <c r="K930" s="18" t="s">
        <v>45</v>
      </c>
      <c r="L930" s="58" t="s">
        <v>65</v>
      </c>
      <c r="M930" s="18">
        <f>[1]!f_prt_stocktonav(B930,"2017/03/31")</f>
        <v>88.326385498046875</v>
      </c>
      <c r="N930" s="20" t="str">
        <f>[1]!f_info_fundmanager(B930)</f>
        <v>武阳,梁裕宁</v>
      </c>
      <c r="O930" s="21">
        <v>1.6547945205479453</v>
      </c>
      <c r="P930" s="34" t="s">
        <v>3614</v>
      </c>
      <c r="Q930" s="34" t="s">
        <v>3615</v>
      </c>
      <c r="R930" s="34" t="s">
        <v>218</v>
      </c>
      <c r="S930" s="34">
        <v>20031209</v>
      </c>
      <c r="T930" s="45">
        <v>14.800455877999999</v>
      </c>
      <c r="U930" s="46">
        <v>15.483367358200001</v>
      </c>
      <c r="V930" s="34" t="s">
        <v>231</v>
      </c>
      <c r="W930" s="34" t="s">
        <v>44</v>
      </c>
      <c r="X930" s="34" t="s">
        <v>45</v>
      </c>
      <c r="Y930" s="34" t="s">
        <v>65</v>
      </c>
      <c r="Z930" s="34"/>
      <c r="AA930" s="34"/>
      <c r="AB930" s="22">
        <v>0.90002296447753904</v>
      </c>
      <c r="AC930" s="23" t="s">
        <v>3616</v>
      </c>
      <c r="AD930" s="24">
        <v>1.4986301369863013</v>
      </c>
      <c r="AE930" s="25">
        <v>0.14117436370911185</v>
      </c>
      <c r="AF930" s="26">
        <v>-2.8384832626865975E-2</v>
      </c>
      <c r="AG930" s="26">
        <v>3.2164889338924141E-2</v>
      </c>
      <c r="AH930" s="27">
        <v>0.60358552825900891</v>
      </c>
      <c r="AI930" s="27">
        <v>-2.703714193227769E-2</v>
      </c>
      <c r="AJ930" s="27">
        <v>0.19001562884125042</v>
      </c>
      <c r="AK930" s="28" t="s">
        <v>3617</v>
      </c>
      <c r="AL930" s="29">
        <v>3</v>
      </c>
      <c r="AM930" s="29">
        <v>3</v>
      </c>
      <c r="AN930" s="29" t="s">
        <v>48</v>
      </c>
      <c r="AO930" s="47" t="s">
        <v>2457</v>
      </c>
      <c r="AP930" s="28">
        <v>0</v>
      </c>
      <c r="AQ930" s="26">
        <v>1.4999999999999999E-2</v>
      </c>
      <c r="AR930" s="26">
        <v>0</v>
      </c>
    </row>
    <row r="931" spans="1:44" x14ac:dyDescent="0.15">
      <c r="A931">
        <v>867</v>
      </c>
      <c r="B931" s="11">
        <v>20003</v>
      </c>
      <c r="C931" s="32"/>
      <c r="D931" s="32">
        <v>2.1103014262784199E-3</v>
      </c>
      <c r="E931" s="32">
        <v>128</v>
      </c>
      <c r="F931" s="32">
        <v>0.191606238757486</v>
      </c>
      <c r="G931" s="11"/>
      <c r="H931" s="11"/>
      <c r="I931" s="11"/>
      <c r="J931" s="18" t="s">
        <v>44</v>
      </c>
      <c r="K931" s="18" t="s">
        <v>45</v>
      </c>
      <c r="L931" s="58" t="s">
        <v>274</v>
      </c>
      <c r="M931" s="18">
        <f>[1]!f_prt_stocktonav(B931,"2017/03/31")</f>
        <v>73.868598937988281</v>
      </c>
      <c r="N931" s="20" t="str">
        <f>[1]!f_info_fundmanager(B931)</f>
        <v>杨飞</v>
      </c>
      <c r="O931" s="21">
        <v>2.4438356164383563</v>
      </c>
      <c r="P931" s="34" t="s">
        <v>3618</v>
      </c>
      <c r="Q931" s="34" t="s">
        <v>3619</v>
      </c>
      <c r="R931" s="34" t="s">
        <v>663</v>
      </c>
      <c r="S931" s="34">
        <v>20031205</v>
      </c>
      <c r="T931" s="45">
        <v>26.715902780299999</v>
      </c>
      <c r="U931" s="46">
        <v>32.560463579500002</v>
      </c>
      <c r="V931" s="34" t="s">
        <v>231</v>
      </c>
      <c r="W931" s="34" t="s">
        <v>41</v>
      </c>
      <c r="X931" s="34" t="s">
        <v>42</v>
      </c>
      <c r="Y931" s="34" t="s">
        <v>181</v>
      </c>
      <c r="Z931" s="34"/>
      <c r="AA931" s="34"/>
      <c r="AB931" s="22">
        <v>0.64812080383300785</v>
      </c>
      <c r="AC931" s="23" t="s">
        <v>664</v>
      </c>
      <c r="AD931" s="24">
        <v>2.2136986301369861</v>
      </c>
      <c r="AE931" s="25">
        <v>0.17601966052665197</v>
      </c>
      <c r="AF931" s="26">
        <v>0.26752984930611712</v>
      </c>
      <c r="AG931" s="26">
        <v>0.14989555838920721</v>
      </c>
      <c r="AH931" s="27">
        <v>0.74348252960658767</v>
      </c>
      <c r="AI931" s="27">
        <v>0.90442754669135916</v>
      </c>
      <c r="AJ931" s="27">
        <v>0.61083421193053733</v>
      </c>
      <c r="AK931" s="28" t="s">
        <v>3620</v>
      </c>
      <c r="AL931" s="29">
        <v>5</v>
      </c>
      <c r="AM931" s="29">
        <v>3</v>
      </c>
      <c r="AN931" s="29" t="s">
        <v>48</v>
      </c>
      <c r="AO931" s="47" t="s">
        <v>3621</v>
      </c>
      <c r="AP931" s="28">
        <v>0</v>
      </c>
      <c r="AQ931" s="26">
        <v>1.4999999999999999E-2</v>
      </c>
      <c r="AR931" s="26">
        <v>0</v>
      </c>
    </row>
    <row r="932" spans="1:44" x14ac:dyDescent="0.15">
      <c r="A932">
        <v>924</v>
      </c>
      <c r="B932" s="11">
        <v>270001</v>
      </c>
      <c r="C932" s="32"/>
      <c r="D932" s="32">
        <v>-1.3689670284785E-3</v>
      </c>
      <c r="E932" s="32">
        <v>111</v>
      </c>
      <c r="F932" s="32">
        <v>0.42024144044878398</v>
      </c>
      <c r="G932" s="11"/>
      <c r="H932" s="11"/>
      <c r="I932" s="11"/>
      <c r="J932" s="18" t="s">
        <v>44</v>
      </c>
      <c r="K932" s="18" t="s">
        <v>45</v>
      </c>
      <c r="L932" s="58" t="s">
        <v>274</v>
      </c>
      <c r="M932" s="18">
        <f>[1]!f_prt_stocktonav(B932,"2017/03/31")</f>
        <v>71.350715637207031</v>
      </c>
      <c r="N932" s="20" t="str">
        <f>[1]!f_info_fundmanager(B932)</f>
        <v>苗宇</v>
      </c>
      <c r="O932" s="21">
        <v>2.1315068493150684</v>
      </c>
      <c r="P932" s="34" t="s">
        <v>3622</v>
      </c>
      <c r="Q932" s="34" t="s">
        <v>3623</v>
      </c>
      <c r="R932" s="34" t="s">
        <v>132</v>
      </c>
      <c r="S932" s="34">
        <v>20031203</v>
      </c>
      <c r="T932" s="45">
        <v>16.1817409495</v>
      </c>
      <c r="U932" s="46">
        <v>16.991779018999999</v>
      </c>
      <c r="V932" s="34" t="s">
        <v>231</v>
      </c>
      <c r="W932" s="34" t="s">
        <v>44</v>
      </c>
      <c r="X932" s="34" t="s">
        <v>45</v>
      </c>
      <c r="Y932" s="34" t="s">
        <v>274</v>
      </c>
      <c r="Z932" s="34"/>
      <c r="AA932" s="34"/>
      <c r="AB932" s="22">
        <v>0.72126632690429693</v>
      </c>
      <c r="AC932" s="23" t="s">
        <v>1984</v>
      </c>
      <c r="AD932" s="24">
        <v>1.9013698630136986</v>
      </c>
      <c r="AE932" s="25">
        <v>0.13324770228731331</v>
      </c>
      <c r="AF932" s="26">
        <v>4.109389441079192E-2</v>
      </c>
      <c r="AG932" s="26">
        <v>5.2448026210297316E-2</v>
      </c>
      <c r="AH932" s="27">
        <v>0.60684536355292262</v>
      </c>
      <c r="AI932" s="27">
        <v>0.22931628749369279</v>
      </c>
      <c r="AJ932" s="27">
        <v>0.27385641318797593</v>
      </c>
      <c r="AK932" s="28" t="s">
        <v>276</v>
      </c>
      <c r="AL932" s="29">
        <v>1</v>
      </c>
      <c r="AM932" s="29">
        <v>3</v>
      </c>
      <c r="AN932" s="29" t="s">
        <v>48</v>
      </c>
      <c r="AO932" s="47" t="s">
        <v>287</v>
      </c>
      <c r="AP932" s="28" t="s">
        <v>3115</v>
      </c>
      <c r="AQ932" s="26">
        <v>1.4999999999999999E-2</v>
      </c>
      <c r="AR932" s="26">
        <v>0</v>
      </c>
    </row>
    <row r="933" spans="1:44" x14ac:dyDescent="0.15">
      <c r="A933">
        <v>855</v>
      </c>
      <c r="B933" s="11">
        <v>260101</v>
      </c>
      <c r="C933" s="32"/>
      <c r="D933" s="32">
        <v>-6.1792515736973396E-4</v>
      </c>
      <c r="E933" s="32">
        <v>127</v>
      </c>
      <c r="F933" s="32">
        <v>0.62706966940207898</v>
      </c>
      <c r="G933" s="11"/>
      <c r="H933" s="11"/>
      <c r="I933" s="11"/>
      <c r="J933" s="18" t="s">
        <v>44</v>
      </c>
      <c r="K933" s="18" t="s">
        <v>45</v>
      </c>
      <c r="L933" s="58" t="s">
        <v>274</v>
      </c>
      <c r="M933" s="18">
        <f>[1]!f_prt_stocktonav(B933,"2017/03/31")</f>
        <v>74.254913330078125</v>
      </c>
      <c r="N933" s="20" t="str">
        <f>[1]!f_info_fundmanager(B933)</f>
        <v>杨锐文</v>
      </c>
      <c r="O933" s="21">
        <v>2.4328767123287673</v>
      </c>
      <c r="P933" s="34" t="s">
        <v>3624</v>
      </c>
      <c r="Q933" s="34" t="s">
        <v>3625</v>
      </c>
      <c r="R933" s="34" t="s">
        <v>353</v>
      </c>
      <c r="S933" s="34">
        <v>20031024</v>
      </c>
      <c r="T933" s="45">
        <v>11.823875451799999</v>
      </c>
      <c r="U933" s="46">
        <v>13.722168416400001</v>
      </c>
      <c r="V933" s="34" t="s">
        <v>231</v>
      </c>
      <c r="W933" s="34" t="s">
        <v>44</v>
      </c>
      <c r="X933" s="34" t="s">
        <v>45</v>
      </c>
      <c r="Y933" s="34" t="s">
        <v>274</v>
      </c>
      <c r="Z933" s="34"/>
      <c r="AA933" s="34"/>
      <c r="AB933" s="22">
        <v>0.73627075195312497</v>
      </c>
      <c r="AC933" s="23" t="s">
        <v>581</v>
      </c>
      <c r="AD933" s="24">
        <v>2.2027397260273971</v>
      </c>
      <c r="AE933" s="25">
        <v>0.1699719851929451</v>
      </c>
      <c r="AF933" s="26">
        <v>0.17345013994880709</v>
      </c>
      <c r="AG933" s="26">
        <v>0.20867283975655718</v>
      </c>
      <c r="AH933" s="27">
        <v>0.7115750133124229</v>
      </c>
      <c r="AI933" s="27">
        <v>0.61540896557613445</v>
      </c>
      <c r="AJ933" s="27">
        <v>0.79495766561356762</v>
      </c>
      <c r="AK933" s="28" t="s">
        <v>3626</v>
      </c>
      <c r="AL933" s="29">
        <v>4</v>
      </c>
      <c r="AM933" s="29">
        <v>4</v>
      </c>
      <c r="AN933" s="29" t="s">
        <v>48</v>
      </c>
      <c r="AO933" s="47" t="s">
        <v>3627</v>
      </c>
      <c r="AP933" s="28">
        <v>0</v>
      </c>
      <c r="AQ933" s="26">
        <v>1.4999999999999999E-2</v>
      </c>
      <c r="AR933" s="26">
        <v>0</v>
      </c>
    </row>
    <row r="934" spans="1:44" x14ac:dyDescent="0.15">
      <c r="A934">
        <v>899</v>
      </c>
      <c r="B934" s="11">
        <v>519011</v>
      </c>
      <c r="C934" s="32"/>
      <c r="D934" s="32">
        <v>-9.4870141506911898E-4</v>
      </c>
      <c r="E934" s="32">
        <v>51</v>
      </c>
      <c r="F934" s="32">
        <v>0.431479478979995</v>
      </c>
      <c r="G934" s="11"/>
      <c r="H934" s="11"/>
      <c r="I934" s="11"/>
      <c r="J934" s="18" t="s">
        <v>44</v>
      </c>
      <c r="K934" s="18" t="s">
        <v>45</v>
      </c>
      <c r="L934" s="58" t="s">
        <v>65</v>
      </c>
      <c r="M934" s="18">
        <f>[1]!f_prt_stocktonav(B934,"2017/03/31")</f>
        <v>72.587333679199219</v>
      </c>
      <c r="N934" s="20" t="str">
        <f>[1]!f_info_fundmanager(B934)</f>
        <v>王智慧</v>
      </c>
      <c r="O934" s="21">
        <v>0.96986301369863015</v>
      </c>
      <c r="P934" s="34" t="s">
        <v>3628</v>
      </c>
      <c r="Q934" s="34" t="s">
        <v>3629</v>
      </c>
      <c r="R934" s="34" t="s">
        <v>496</v>
      </c>
      <c r="S934" s="34">
        <v>20030822</v>
      </c>
      <c r="T934" s="45">
        <v>26.8518112601</v>
      </c>
      <c r="U934" s="46">
        <v>28.941375236500001</v>
      </c>
      <c r="V934" s="34" t="s">
        <v>231</v>
      </c>
      <c r="W934" s="34" t="s">
        <v>44</v>
      </c>
      <c r="X934" s="34" t="s">
        <v>45</v>
      </c>
      <c r="Y934" s="34" t="s">
        <v>65</v>
      </c>
      <c r="Z934" s="34"/>
      <c r="AA934" s="34"/>
      <c r="AB934" s="22">
        <v>0.71160575866699216</v>
      </c>
      <c r="AC934" s="23" t="s">
        <v>3166</v>
      </c>
      <c r="AD934" s="24">
        <v>0.73972602739726023</v>
      </c>
      <c r="AE934" s="25">
        <v>0.13871481006790276</v>
      </c>
      <c r="AF934" s="26">
        <v>8.6485533429914607E-2</v>
      </c>
      <c r="AG934" s="26">
        <v>7.0018858965605446E-2</v>
      </c>
      <c r="AH934" s="27">
        <v>0.66315245718747595</v>
      </c>
      <c r="AI934" s="27">
        <v>0.40959558990029021</v>
      </c>
      <c r="AJ934" s="27">
        <v>0.3620684332200555</v>
      </c>
      <c r="AK934" s="28" t="s">
        <v>3630</v>
      </c>
      <c r="AL934" s="29">
        <v>2</v>
      </c>
      <c r="AM934" s="29">
        <v>2</v>
      </c>
      <c r="AN934" s="29" t="s">
        <v>48</v>
      </c>
      <c r="AO934" s="47" t="s">
        <v>3631</v>
      </c>
      <c r="AP934" s="28">
        <v>0</v>
      </c>
      <c r="AQ934" s="26">
        <v>1.4999999999999999E-2</v>
      </c>
      <c r="AR934" s="26">
        <v>0</v>
      </c>
    </row>
    <row r="935" spans="1:44" x14ac:dyDescent="0.15">
      <c r="A935">
        <v>852</v>
      </c>
      <c r="B935" s="11">
        <v>160603</v>
      </c>
      <c r="C935" s="32"/>
      <c r="D935" s="32">
        <v>-1.7268381449472099E-3</v>
      </c>
      <c r="E935" s="32">
        <v>427</v>
      </c>
      <c r="F935" s="32">
        <v>6.9316192646247702E-4</v>
      </c>
      <c r="G935" s="11"/>
      <c r="H935" s="11"/>
      <c r="I935" s="11"/>
      <c r="J935" s="18" t="s">
        <v>44</v>
      </c>
      <c r="K935" s="18" t="s">
        <v>45</v>
      </c>
      <c r="L935" s="58" t="s">
        <v>274</v>
      </c>
      <c r="M935" s="18">
        <f>[1]!f_prt_stocktonav(B935,"2017/03/31")</f>
        <v>74.305564880371094</v>
      </c>
      <c r="N935" s="20" t="str">
        <f>[1]!f_info_fundmanager(B935)</f>
        <v>张卓</v>
      </c>
      <c r="O935" s="21">
        <v>8.205479452054794</v>
      </c>
      <c r="P935" s="34" t="s">
        <v>3632</v>
      </c>
      <c r="Q935" s="34" t="s">
        <v>3633</v>
      </c>
      <c r="R935" s="34" t="s">
        <v>705</v>
      </c>
      <c r="S935" s="34">
        <v>20030712</v>
      </c>
      <c r="T935" s="45">
        <v>5.7531654457999997</v>
      </c>
      <c r="U935" s="46">
        <v>5.6963145879999999</v>
      </c>
      <c r="V935" s="34" t="s">
        <v>231</v>
      </c>
      <c r="W935" s="34" t="s">
        <v>41</v>
      </c>
      <c r="X935" s="17" t="s">
        <v>42</v>
      </c>
      <c r="Y935" s="17" t="s">
        <v>181</v>
      </c>
      <c r="Z935" s="34"/>
      <c r="AA935" s="34"/>
      <c r="AB935" s="22">
        <v>0.69057113647460933</v>
      </c>
      <c r="AC935" s="23" t="s">
        <v>3634</v>
      </c>
      <c r="AD935" s="24">
        <v>7.9753424657534246</v>
      </c>
      <c r="AE935" s="25">
        <v>0.15740805820143788</v>
      </c>
      <c r="AF935" s="26">
        <v>0.18988008792778976</v>
      </c>
      <c r="AG935" s="26">
        <v>0.12875957300460139</v>
      </c>
      <c r="AH935" s="27">
        <v>0.68530392168360676</v>
      </c>
      <c r="AI935" s="27">
        <v>0.71993790538432545</v>
      </c>
      <c r="AJ935" s="27">
        <v>0.57007027295922319</v>
      </c>
      <c r="AK935" s="28" t="s">
        <v>1302</v>
      </c>
      <c r="AL935" s="29">
        <v>4</v>
      </c>
      <c r="AM935" s="29">
        <v>4</v>
      </c>
      <c r="AN935" s="29" t="s">
        <v>48</v>
      </c>
      <c r="AO935" s="47" t="s">
        <v>3635</v>
      </c>
      <c r="AP935" s="28">
        <v>0</v>
      </c>
      <c r="AQ935" s="26">
        <v>1.4999999999999999E-2</v>
      </c>
      <c r="AR935" s="26">
        <v>0</v>
      </c>
    </row>
    <row r="936" spans="1:44" x14ac:dyDescent="0.15">
      <c r="A936">
        <v>864</v>
      </c>
      <c r="B936" s="11">
        <v>70003</v>
      </c>
      <c r="C936" s="32"/>
      <c r="D936" s="32">
        <v>-2.03956530912332E-3</v>
      </c>
      <c r="E936" s="32">
        <v>111</v>
      </c>
      <c r="F936" s="32">
        <v>2.43168518771185E-2</v>
      </c>
      <c r="G936" s="11"/>
      <c r="H936" s="11"/>
      <c r="I936" s="11"/>
      <c r="J936" s="18" t="s">
        <v>44</v>
      </c>
      <c r="K936" s="18" t="s">
        <v>45</v>
      </c>
      <c r="L936" s="58" t="s">
        <v>65</v>
      </c>
      <c r="M936" s="18">
        <f>[1]!f_prt_stocktonav(B936,"2017/03/31")</f>
        <v>73.979156494140625</v>
      </c>
      <c r="N936" s="20" t="str">
        <f>[1]!f_info_fundmanager(B936)</f>
        <v>张淼,翟琳琳</v>
      </c>
      <c r="O936" s="21">
        <v>2.117808219178082</v>
      </c>
      <c r="P936" s="34" t="s">
        <v>3636</v>
      </c>
      <c r="Q936" s="34" t="s">
        <v>3637</v>
      </c>
      <c r="R936" s="34" t="s">
        <v>92</v>
      </c>
      <c r="S936" s="34">
        <v>20030709</v>
      </c>
      <c r="T936" s="45">
        <v>35.886176031700003</v>
      </c>
      <c r="U936" s="46">
        <v>37.342195861100002</v>
      </c>
      <c r="V936" s="34" t="s">
        <v>231</v>
      </c>
      <c r="W936" s="34" t="s">
        <v>44</v>
      </c>
      <c r="X936" s="34" t="s">
        <v>45</v>
      </c>
      <c r="Y936" s="34" t="s">
        <v>274</v>
      </c>
      <c r="Z936" s="34"/>
      <c r="AA936" s="34"/>
      <c r="AB936" s="22">
        <v>0.70180953979492189</v>
      </c>
      <c r="AC936" s="23" t="s">
        <v>3638</v>
      </c>
      <c r="AD936" s="24">
        <v>1.8876712328767122</v>
      </c>
      <c r="AE936" s="25">
        <v>0.10957531251773765</v>
      </c>
      <c r="AF936" s="26">
        <v>9.2642078869388023E-2</v>
      </c>
      <c r="AG936" s="26">
        <v>8.3563412665437861E-2</v>
      </c>
      <c r="AH936" s="27">
        <v>0.55095798900697057</v>
      </c>
      <c r="AI936" s="27">
        <v>0.43318287662734223</v>
      </c>
      <c r="AJ936" s="27">
        <v>0.42699553146941605</v>
      </c>
      <c r="AK936" s="28" t="s">
        <v>3639</v>
      </c>
      <c r="AL936" s="29">
        <v>4</v>
      </c>
      <c r="AM936" s="29">
        <v>3</v>
      </c>
      <c r="AN936" s="29" t="s">
        <v>48</v>
      </c>
      <c r="AO936" s="47" t="s">
        <v>427</v>
      </c>
      <c r="AP936" s="28" t="s">
        <v>2293</v>
      </c>
      <c r="AQ936" s="26">
        <v>1.4999999999999999E-2</v>
      </c>
      <c r="AR936" s="26">
        <v>0</v>
      </c>
    </row>
    <row r="937" spans="1:44" x14ac:dyDescent="0.15">
      <c r="A937">
        <v>913</v>
      </c>
      <c r="B937" s="11">
        <v>70002</v>
      </c>
      <c r="C937" s="32"/>
      <c r="D937" s="32">
        <v>-1.9523689384824401E-3</v>
      </c>
      <c r="E937" s="32">
        <v>65</v>
      </c>
      <c r="F937" s="32">
        <v>9.4700942397523094E-2</v>
      </c>
      <c r="G937" s="11"/>
      <c r="H937" s="11"/>
      <c r="I937" s="11"/>
      <c r="J937" s="18" t="s">
        <v>44</v>
      </c>
      <c r="K937" s="18" t="s">
        <v>45</v>
      </c>
      <c r="L937" s="58" t="s">
        <v>817</v>
      </c>
      <c r="M937" s="18">
        <f>[1]!f_prt_stocktonav(B937,"2017/03/31")</f>
        <v>71.807350158691406</v>
      </c>
      <c r="N937" s="20" t="str">
        <f>[1]!f_info_fundmanager(B937)</f>
        <v>刘美玲</v>
      </c>
      <c r="O937" s="21">
        <v>1.2493150684931507</v>
      </c>
      <c r="P937" s="34" t="s">
        <v>3640</v>
      </c>
      <c r="Q937" s="34" t="s">
        <v>3641</v>
      </c>
      <c r="R937" s="34" t="s">
        <v>92</v>
      </c>
      <c r="S937" s="34">
        <v>20030709</v>
      </c>
      <c r="T937" s="45">
        <v>26.461965295700001</v>
      </c>
      <c r="U937" s="46">
        <v>27.3113422443</v>
      </c>
      <c r="V937" s="34" t="s">
        <v>231</v>
      </c>
      <c r="W937" s="34" t="s">
        <v>44</v>
      </c>
      <c r="X937" s="34" t="s">
        <v>45</v>
      </c>
      <c r="Y937" s="34" t="s">
        <v>817</v>
      </c>
      <c r="Z937" s="34"/>
      <c r="AA937" s="34"/>
      <c r="AB937" s="22">
        <v>0.74016151428222654</v>
      </c>
      <c r="AC937" s="23" t="s">
        <v>109</v>
      </c>
      <c r="AD937" s="24">
        <v>1.0191780821917809</v>
      </c>
      <c r="AE937" s="25">
        <v>0.20640384421048963</v>
      </c>
      <c r="AF937" s="26">
        <v>0.21040065784052242</v>
      </c>
      <c r="AG937" s="26">
        <v>0.16391961877551675</v>
      </c>
      <c r="AH937" s="27">
        <v>0.93236992714835332</v>
      </c>
      <c r="AI937" s="27">
        <v>0.79398939170499316</v>
      </c>
      <c r="AJ937" s="27">
        <v>0.71798872282120063</v>
      </c>
      <c r="AK937" s="28" t="s">
        <v>3642</v>
      </c>
      <c r="AL937" s="29">
        <v>4</v>
      </c>
      <c r="AM937" s="29">
        <v>3</v>
      </c>
      <c r="AN937" s="29" t="s">
        <v>48</v>
      </c>
      <c r="AO937" s="47" t="s">
        <v>427</v>
      </c>
      <c r="AP937" s="28" t="s">
        <v>2293</v>
      </c>
      <c r="AQ937" s="26">
        <v>1.4999999999999999E-2</v>
      </c>
      <c r="AR937" s="26">
        <v>0</v>
      </c>
    </row>
    <row r="938" spans="1:44" x14ac:dyDescent="0.15">
      <c r="A938">
        <v>508</v>
      </c>
      <c r="B938" s="11">
        <v>162201</v>
      </c>
      <c r="C938" s="32"/>
      <c r="D938" s="32">
        <v>-2.7521420166455798E-3</v>
      </c>
      <c r="E938" s="32">
        <v>98</v>
      </c>
      <c r="F938" s="32">
        <v>5.6949394362944099E-2</v>
      </c>
      <c r="G938" s="11"/>
      <c r="H938" s="11"/>
      <c r="I938" s="11"/>
      <c r="J938" s="18" t="s">
        <v>44</v>
      </c>
      <c r="K938" s="18" t="s">
        <v>45</v>
      </c>
      <c r="L938" s="58" t="s">
        <v>274</v>
      </c>
      <c r="M938" s="18">
        <f>[1]!f_prt_stocktonav(B938,"2017/03/31")</f>
        <v>85.105239868164062</v>
      </c>
      <c r="N938" s="20" t="str">
        <f>[1]!f_info_fundmanager(B938)</f>
        <v>周琦凯</v>
      </c>
      <c r="O938" s="21">
        <v>1.8821917808219177</v>
      </c>
      <c r="P938" s="34" t="s">
        <v>3643</v>
      </c>
      <c r="Q938" s="34" t="s">
        <v>3644</v>
      </c>
      <c r="R938" s="34" t="s">
        <v>263</v>
      </c>
      <c r="S938" s="34">
        <v>20030425</v>
      </c>
      <c r="T938" s="45">
        <v>7.9042018319</v>
      </c>
      <c r="U938" s="46">
        <v>8.3347126525000004</v>
      </c>
      <c r="V938" s="34" t="s">
        <v>231</v>
      </c>
      <c r="W938" s="34" t="s">
        <v>44</v>
      </c>
      <c r="X938" s="34" t="s">
        <v>45</v>
      </c>
      <c r="Y938" s="34" t="s">
        <v>274</v>
      </c>
      <c r="Z938" s="34"/>
      <c r="AA938" s="34"/>
      <c r="AB938" s="22">
        <v>0.90236801147460932</v>
      </c>
      <c r="AC938" s="23" t="s">
        <v>3645</v>
      </c>
      <c r="AD938" s="24">
        <v>1.6520547945205479</v>
      </c>
      <c r="AE938" s="25">
        <v>0.16930658510950902</v>
      </c>
      <c r="AF938" s="26">
        <v>9.4864214657245829E-2</v>
      </c>
      <c r="AG938" s="26">
        <v>0.13326113026379183</v>
      </c>
      <c r="AH938" s="27">
        <v>0.69427591253165366</v>
      </c>
      <c r="AI938" s="27">
        <v>0.36327258993932876</v>
      </c>
      <c r="AJ938" s="27">
        <v>0.51124697544260744</v>
      </c>
      <c r="AK938" s="28" t="s">
        <v>3646</v>
      </c>
      <c r="AL938" s="29">
        <v>2</v>
      </c>
      <c r="AM938" s="29">
        <v>1</v>
      </c>
      <c r="AN938" s="29" t="s">
        <v>48</v>
      </c>
      <c r="AO938" s="47" t="s">
        <v>2772</v>
      </c>
      <c r="AP938" s="28">
        <v>0</v>
      </c>
      <c r="AQ938" s="26">
        <v>1.4999999999999999E-2</v>
      </c>
      <c r="AR938" s="26">
        <v>0</v>
      </c>
    </row>
    <row r="939" spans="1:44" x14ac:dyDescent="0.15">
      <c r="A939">
        <v>397</v>
      </c>
      <c r="B939" s="11">
        <v>162203</v>
      </c>
      <c r="C939" s="32"/>
      <c r="D939" s="32">
        <v>-1.0231838373639601E-3</v>
      </c>
      <c r="E939" s="32">
        <v>67</v>
      </c>
      <c r="F939" s="32">
        <v>0.55195635008803001</v>
      </c>
      <c r="G939" s="11"/>
      <c r="H939" s="11"/>
      <c r="I939" s="11"/>
      <c r="J939" s="18" t="s">
        <v>44</v>
      </c>
      <c r="K939" s="18" t="s">
        <v>45</v>
      </c>
      <c r="L939" s="58" t="s">
        <v>354</v>
      </c>
      <c r="M939" s="18">
        <f>[1]!f_prt_stocktonav(B939,"2017/03/31")</f>
        <v>87.564987182617188</v>
      </c>
      <c r="N939" s="20" t="str">
        <f>[1]!f_info_fundmanager(B939)</f>
        <v>庄腾飞</v>
      </c>
      <c r="O939" s="21">
        <v>1.2712328767123289</v>
      </c>
      <c r="P939" s="34" t="s">
        <v>3647</v>
      </c>
      <c r="Q939" s="34" t="s">
        <v>3648</v>
      </c>
      <c r="R939" s="34" t="s">
        <v>263</v>
      </c>
      <c r="S939" s="34">
        <v>20030425</v>
      </c>
      <c r="T939" s="45">
        <v>0.96288662309999995</v>
      </c>
      <c r="U939" s="46">
        <v>0.98723459270000002</v>
      </c>
      <c r="V939" s="34" t="s">
        <v>231</v>
      </c>
      <c r="W939" s="34" t="s">
        <v>44</v>
      </c>
      <c r="X939" s="34" t="s">
        <v>45</v>
      </c>
      <c r="Y939" s="34" t="s">
        <v>274</v>
      </c>
      <c r="Z939" s="34"/>
      <c r="AA939" s="34"/>
      <c r="AB939" s="22">
        <v>0.88418769836425781</v>
      </c>
      <c r="AC939" s="23" t="s">
        <v>3649</v>
      </c>
      <c r="AD939" s="24">
        <v>1.0410958904109588</v>
      </c>
      <c r="AE939" s="25">
        <v>0.11528643734160804</v>
      </c>
      <c r="AF939" s="26">
        <v>4.9483956246905381E-2</v>
      </c>
      <c r="AG939" s="26">
        <v>7.1832352342258154E-2</v>
      </c>
      <c r="AH939" s="27">
        <v>0.54285434747813355</v>
      </c>
      <c r="AI939" s="27">
        <v>0.27843680231499762</v>
      </c>
      <c r="AJ939" s="27">
        <v>0.34881708200122402</v>
      </c>
      <c r="AK939" s="28" t="s">
        <v>3650</v>
      </c>
      <c r="AL939" s="29">
        <v>1</v>
      </c>
      <c r="AM939" s="29">
        <v>3</v>
      </c>
      <c r="AN939" s="29" t="s">
        <v>48</v>
      </c>
      <c r="AO939" s="47" t="s">
        <v>2772</v>
      </c>
      <c r="AP939" s="28">
        <v>0</v>
      </c>
      <c r="AQ939" s="26">
        <v>1.4999999999999999E-2</v>
      </c>
      <c r="AR939" s="26">
        <v>0</v>
      </c>
    </row>
    <row r="940" spans="1:44" x14ac:dyDescent="0.15">
      <c r="A940">
        <v>356</v>
      </c>
      <c r="B940" s="11">
        <v>162202</v>
      </c>
      <c r="C940" s="32"/>
      <c r="D940" s="32">
        <v>-1.2944925149226999E-3</v>
      </c>
      <c r="E940" s="32">
        <v>40</v>
      </c>
      <c r="F940" s="32">
        <v>0.41670944379146602</v>
      </c>
      <c r="G940" s="11"/>
      <c r="H940" s="11"/>
      <c r="I940" s="11"/>
      <c r="J940" s="18" t="s">
        <v>44</v>
      </c>
      <c r="K940" s="18" t="s">
        <v>45</v>
      </c>
      <c r="L940" s="58" t="s">
        <v>65</v>
      </c>
      <c r="M940" s="18">
        <f>[1]!f_prt_stocktonav(B940,"2017/03/31")</f>
        <v>88.418258666992188</v>
      </c>
      <c r="N940" s="20" t="str">
        <f>[1]!f_info_fundmanager(B940)</f>
        <v>邓艺颖,赖庆鑫</v>
      </c>
      <c r="O940" s="21">
        <v>0.75342465753424659</v>
      </c>
      <c r="P940" s="34" t="s">
        <v>3651</v>
      </c>
      <c r="Q940" s="34" t="s">
        <v>3652</v>
      </c>
      <c r="R940" s="34" t="s">
        <v>263</v>
      </c>
      <c r="S940" s="34">
        <v>20030425</v>
      </c>
      <c r="T940" s="45">
        <v>2.3437417707999999</v>
      </c>
      <c r="U940" s="46">
        <v>2.4597817808000002</v>
      </c>
      <c r="V940" s="34" t="s">
        <v>231</v>
      </c>
      <c r="W940" s="34" t="s">
        <v>44</v>
      </c>
      <c r="X940" s="34" t="s">
        <v>45</v>
      </c>
      <c r="Y940" s="34" t="s">
        <v>65</v>
      </c>
      <c r="Z940" s="34"/>
      <c r="AA940" s="34"/>
      <c r="AB940" s="22">
        <v>0.87965690612792968</v>
      </c>
      <c r="AC940" s="23" t="s">
        <v>2770</v>
      </c>
      <c r="AD940" s="24">
        <v>0.52328767123287667</v>
      </c>
      <c r="AE940" s="25">
        <v>0.15112308220065307</v>
      </c>
      <c r="AF940" s="26">
        <v>0.11096043088115713</v>
      </c>
      <c r="AG940" s="26">
        <v>0.10701541666924876</v>
      </c>
      <c r="AH940" s="27">
        <v>0.6347293795281892</v>
      </c>
      <c r="AI940" s="27">
        <v>0.44894982081112994</v>
      </c>
      <c r="AJ940" s="27">
        <v>0.45582307786084614</v>
      </c>
      <c r="AK940" s="28" t="s">
        <v>3653</v>
      </c>
      <c r="AL940" s="29">
        <v>2</v>
      </c>
      <c r="AM940" s="29">
        <v>2</v>
      </c>
      <c r="AN940" s="29" t="s">
        <v>48</v>
      </c>
      <c r="AO940" s="47" t="s">
        <v>3093</v>
      </c>
      <c r="AP940" s="28">
        <v>0</v>
      </c>
      <c r="AQ940" s="26">
        <v>1.4999999999999999E-2</v>
      </c>
      <c r="AR940" s="26">
        <v>0</v>
      </c>
    </row>
    <row r="941" spans="1:44" x14ac:dyDescent="0.15">
      <c r="A941">
        <v>569</v>
      </c>
      <c r="B941" s="11">
        <v>90001</v>
      </c>
      <c r="C941" s="32"/>
      <c r="D941" s="32">
        <v>-7.7659314680373498E-4</v>
      </c>
      <c r="E941" s="32">
        <v>206</v>
      </c>
      <c r="F941" s="32">
        <v>0.25649054396927801</v>
      </c>
      <c r="G941" s="11"/>
      <c r="H941" s="11"/>
      <c r="I941" s="11"/>
      <c r="J941" s="18" t="s">
        <v>44</v>
      </c>
      <c r="K941" s="18" t="s">
        <v>45</v>
      </c>
      <c r="L941" s="58" t="s">
        <v>65</v>
      </c>
      <c r="M941" s="18">
        <f>[1]!f_prt_stocktonav(B941,"2017/03/31")</f>
        <v>83.59796142578125</v>
      </c>
      <c r="N941" s="20" t="str">
        <f>[1]!f_info_fundmanager(B941)</f>
        <v>石国武</v>
      </c>
      <c r="O941" s="21">
        <v>3.9534246575342467</v>
      </c>
      <c r="P941" s="34" t="s">
        <v>3654</v>
      </c>
      <c r="Q941" s="34" t="s">
        <v>3655</v>
      </c>
      <c r="R941" s="34" t="s">
        <v>486</v>
      </c>
      <c r="S941" s="34">
        <v>20021111</v>
      </c>
      <c r="T941" s="45">
        <v>34.7205310545</v>
      </c>
      <c r="U941" s="46">
        <v>34.824456408000003</v>
      </c>
      <c r="V941" s="34" t="s">
        <v>231</v>
      </c>
      <c r="W941" s="34" t="s">
        <v>44</v>
      </c>
      <c r="X941" s="34" t="s">
        <v>45</v>
      </c>
      <c r="Y941" s="34" t="s">
        <v>65</v>
      </c>
      <c r="Z941" s="34"/>
      <c r="AA941" s="34"/>
      <c r="AB941" s="22">
        <v>0.80022232055664066</v>
      </c>
      <c r="AC941" s="23" t="s">
        <v>3656</v>
      </c>
      <c r="AD941" s="24">
        <v>3.7232876712328768</v>
      </c>
      <c r="AE941" s="25">
        <v>0.15851965678077429</v>
      </c>
      <c r="AF941" s="26">
        <v>0.26166173683419425</v>
      </c>
      <c r="AG941" s="26">
        <v>0.15489552924467764</v>
      </c>
      <c r="AH941" s="27">
        <v>0.71827034728833039</v>
      </c>
      <c r="AI941" s="27">
        <v>1.0649359094743831</v>
      </c>
      <c r="AJ941" s="27">
        <v>0.7159829966795821</v>
      </c>
      <c r="AK941" s="28" t="s">
        <v>1707</v>
      </c>
      <c r="AL941" s="29">
        <v>4</v>
      </c>
      <c r="AM941" s="29">
        <v>3</v>
      </c>
      <c r="AN941" s="29" t="s">
        <v>48</v>
      </c>
      <c r="AO941" s="47" t="s">
        <v>1002</v>
      </c>
      <c r="AP941" s="28" t="s">
        <v>3571</v>
      </c>
      <c r="AQ941" s="26">
        <v>1.4999999999999999E-2</v>
      </c>
      <c r="AR941" s="26">
        <v>0</v>
      </c>
    </row>
    <row r="942" spans="1:44" x14ac:dyDescent="0.15">
      <c r="A942">
        <v>948</v>
      </c>
      <c r="B942" s="11">
        <v>70001</v>
      </c>
      <c r="C942" s="32"/>
      <c r="D942" s="32">
        <v>-1.52810396736758E-4</v>
      </c>
      <c r="E942" s="32">
        <v>199</v>
      </c>
      <c r="F942" s="32">
        <v>0.87934511526694803</v>
      </c>
      <c r="G942" s="11"/>
      <c r="H942" s="11"/>
      <c r="I942" s="11"/>
      <c r="J942" s="18" t="s">
        <v>44</v>
      </c>
      <c r="K942" s="19" t="s">
        <v>45</v>
      </c>
      <c r="L942" s="58" t="s">
        <v>65</v>
      </c>
      <c r="M942" s="18">
        <f>[1]!f_prt_stocktonav(B942,"2017/03/31")</f>
        <v>70.549507141113281</v>
      </c>
      <c r="N942" s="20" t="str">
        <f>[1]!f_info_fundmanager(B942)</f>
        <v>邵秋涛,谢泽林</v>
      </c>
      <c r="O942" s="21">
        <v>3.8164383561643835</v>
      </c>
      <c r="P942" s="32" t="s">
        <v>3657</v>
      </c>
      <c r="Q942" s="13" t="s">
        <v>3658</v>
      </c>
      <c r="R942" s="13" t="s">
        <v>92</v>
      </c>
      <c r="S942" s="13">
        <v>20021105</v>
      </c>
      <c r="T942" s="14">
        <v>52.468937915300003</v>
      </c>
      <c r="U942" s="15" t="s">
        <v>39</v>
      </c>
      <c r="V942" s="16" t="s">
        <v>40</v>
      </c>
      <c r="W942" s="34" t="s">
        <v>41</v>
      </c>
      <c r="X942" s="17" t="s">
        <v>42</v>
      </c>
      <c r="Y942" s="17" t="s">
        <v>181</v>
      </c>
      <c r="Z942" s="13"/>
      <c r="AA942" s="13"/>
      <c r="AB942" s="22">
        <v>0.61974395751953126</v>
      </c>
      <c r="AC942" s="23" t="s">
        <v>3659</v>
      </c>
      <c r="AD942" s="24">
        <v>3.5863013698630137</v>
      </c>
      <c r="AE942" s="25">
        <v>0.17769833021371717</v>
      </c>
      <c r="AF942" s="26">
        <v>0.21733526435531303</v>
      </c>
      <c r="AG942" s="26">
        <v>0.20494374606548593</v>
      </c>
      <c r="AH942" s="27">
        <v>0.83398587722548734</v>
      </c>
      <c r="AI942" s="27">
        <v>0.79876696706177541</v>
      </c>
      <c r="AJ942" s="27">
        <v>0.85176537858021473</v>
      </c>
      <c r="AK942" s="28" t="s">
        <v>3532</v>
      </c>
      <c r="AL942" s="29">
        <v>5</v>
      </c>
      <c r="AM942" s="29">
        <v>5</v>
      </c>
      <c r="AN942" s="29" t="s">
        <v>48</v>
      </c>
      <c r="AO942" s="23" t="s">
        <v>3536</v>
      </c>
      <c r="AP942" s="30">
        <v>0</v>
      </c>
      <c r="AQ942" s="31">
        <v>1.4999999999999999E-2</v>
      </c>
      <c r="AR942" s="31">
        <v>0</v>
      </c>
    </row>
    <row r="943" spans="1:44" x14ac:dyDescent="0.15">
      <c r="A943">
        <v>900</v>
      </c>
      <c r="B943" s="11">
        <v>50001</v>
      </c>
      <c r="C943" s="32"/>
      <c r="D943" s="32">
        <v>7.7342430030175903E-4</v>
      </c>
      <c r="E943" s="32">
        <v>23</v>
      </c>
      <c r="F943" s="32">
        <v>0.73181978725963603</v>
      </c>
      <c r="G943" s="11"/>
      <c r="H943" s="11"/>
      <c r="I943" s="11"/>
      <c r="J943" s="18" t="s">
        <v>44</v>
      </c>
      <c r="K943" s="18" t="s">
        <v>45</v>
      </c>
      <c r="L943" s="58" t="s">
        <v>65</v>
      </c>
      <c r="M943" s="18">
        <f>[1]!f_prt_stocktonav(B943,"2017/03/31")</f>
        <v>72.582138061523438</v>
      </c>
      <c r="N943" s="20" t="str">
        <f>[1]!f_info_fundmanager(B943)</f>
        <v>周志超</v>
      </c>
      <c r="O943" s="21">
        <v>0.43287671232876712</v>
      </c>
      <c r="P943" s="34" t="s">
        <v>3660</v>
      </c>
      <c r="Q943" s="34" t="s">
        <v>3661</v>
      </c>
      <c r="R943" s="34" t="s">
        <v>413</v>
      </c>
      <c r="S943" s="34">
        <v>20021009</v>
      </c>
      <c r="T943" s="45">
        <v>48.522579173899999</v>
      </c>
      <c r="U943" s="46">
        <v>50.835665536199997</v>
      </c>
      <c r="V943" s="34" t="s">
        <v>231</v>
      </c>
      <c r="W943" s="34" t="s">
        <v>44</v>
      </c>
      <c r="X943" s="34" t="s">
        <v>45</v>
      </c>
      <c r="Y943" s="34" t="s">
        <v>65</v>
      </c>
      <c r="Z943" s="34"/>
      <c r="AA943" s="34"/>
      <c r="AB943" s="22">
        <v>0.71322738647460937</v>
      </c>
      <c r="AC943" s="23" t="s">
        <v>3298</v>
      </c>
      <c r="AD943" s="24">
        <v>0.20273972602739726</v>
      </c>
      <c r="AE943" s="25">
        <v>0.10831847259112815</v>
      </c>
      <c r="AF943" s="26">
        <v>5.9174417715832872E-2</v>
      </c>
      <c r="AG943" s="26">
        <v>2.3614652792002921E-2</v>
      </c>
      <c r="AH943" s="27">
        <v>0.54512284010197731</v>
      </c>
      <c r="AI943" s="27">
        <v>0.32537459003542996</v>
      </c>
      <c r="AJ943" s="27">
        <v>0.13876926937409689</v>
      </c>
      <c r="AK943" s="28" t="s">
        <v>1659</v>
      </c>
      <c r="AL943" s="29">
        <v>1</v>
      </c>
      <c r="AM943" s="29">
        <v>2</v>
      </c>
      <c r="AN943" s="29" t="s">
        <v>48</v>
      </c>
      <c r="AO943" s="47" t="s">
        <v>3662</v>
      </c>
      <c r="AP943" s="28" t="s">
        <v>3663</v>
      </c>
      <c r="AQ943" s="26">
        <v>1.4999999999999999E-2</v>
      </c>
      <c r="AR943" s="26">
        <v>0</v>
      </c>
    </row>
    <row r="944" spans="1:44" x14ac:dyDescent="0.15">
      <c r="A944">
        <v>524</v>
      </c>
      <c r="B944" s="11">
        <v>213001</v>
      </c>
      <c r="C944" s="32"/>
      <c r="D944" s="32">
        <v>2.7329951253631701E-3</v>
      </c>
      <c r="E944" s="32">
        <v>13</v>
      </c>
      <c r="F944" s="32">
        <v>0.50985948520174196</v>
      </c>
      <c r="G944" s="11"/>
      <c r="H944" s="11"/>
      <c r="I944" s="11"/>
      <c r="J944" s="18" t="s">
        <v>44</v>
      </c>
      <c r="K944" s="18" t="s">
        <v>45</v>
      </c>
      <c r="L944" s="58" t="s">
        <v>65</v>
      </c>
      <c r="M944" s="18">
        <f>[1]!f_prt_stocktonav(B944,"2017/03/31")</f>
        <v>84.667320251464844</v>
      </c>
      <c r="N944" s="20" t="str">
        <f>[1]!f_info_fundmanager(B944)</f>
        <v>李进</v>
      </c>
      <c r="O944" s="21">
        <v>0.23561643835616439</v>
      </c>
      <c r="P944" s="34" t="s">
        <v>3664</v>
      </c>
      <c r="Q944" s="34" t="s">
        <v>3665</v>
      </c>
      <c r="R944" s="34" t="s">
        <v>402</v>
      </c>
      <c r="S944" s="34">
        <v>20021008</v>
      </c>
      <c r="T944" s="45">
        <v>3.5546965044999999</v>
      </c>
      <c r="U944" s="46">
        <v>6.2228387395000002</v>
      </c>
      <c r="V944" s="34" t="s">
        <v>40</v>
      </c>
      <c r="W944" s="34" t="s">
        <v>44</v>
      </c>
      <c r="X944" s="34" t="s">
        <v>45</v>
      </c>
      <c r="Y944" s="34" t="s">
        <v>65</v>
      </c>
      <c r="Z944" s="34"/>
      <c r="AA944" s="34"/>
      <c r="AB944" s="22">
        <v>0.93025588989257813</v>
      </c>
      <c r="AC944" s="23" t="s">
        <v>3666</v>
      </c>
      <c r="AD944" s="24">
        <v>5.4794520547945206E-3</v>
      </c>
      <c r="AE944" s="25">
        <v>0.10055681708718689</v>
      </c>
      <c r="AF944" s="26">
        <v>0.16632634816726899</v>
      </c>
      <c r="AG944" s="26">
        <v>0.13324693057800308</v>
      </c>
      <c r="AH944" s="27">
        <v>0.46945634735802555</v>
      </c>
      <c r="AI944" s="27">
        <v>0.59274988174014487</v>
      </c>
      <c r="AJ944" s="27">
        <v>0.55137140006339747</v>
      </c>
      <c r="AK944" s="28" t="s">
        <v>1607</v>
      </c>
      <c r="AL944" s="29">
        <v>3</v>
      </c>
      <c r="AM944" s="29">
        <v>3</v>
      </c>
      <c r="AN944" s="29" t="s">
        <v>48</v>
      </c>
      <c r="AO944" s="47" t="s">
        <v>2920</v>
      </c>
      <c r="AP944" s="28">
        <v>0</v>
      </c>
      <c r="AQ944" s="26">
        <v>1.4999999999999999E-2</v>
      </c>
      <c r="AR944" s="26">
        <v>0</v>
      </c>
    </row>
    <row r="945" spans="1:44" x14ac:dyDescent="0.15">
      <c r="A945">
        <v>891</v>
      </c>
      <c r="B945" s="11">
        <v>80001</v>
      </c>
      <c r="C945" s="32"/>
      <c r="D945" s="32">
        <v>3.96639378968582E-4</v>
      </c>
      <c r="E945" s="32">
        <v>93</v>
      </c>
      <c r="F945" s="32">
        <v>0.67110634937024705</v>
      </c>
      <c r="G945" s="11"/>
      <c r="H945" s="11"/>
      <c r="I945" s="11"/>
      <c r="J945" s="18" t="s">
        <v>44</v>
      </c>
      <c r="K945" s="18" t="s">
        <v>45</v>
      </c>
      <c r="L945" s="58" t="s">
        <v>65</v>
      </c>
      <c r="M945" s="18">
        <f>[1]!f_prt_stocktonav(B945,"2017/03/31")</f>
        <v>72.991645812988281</v>
      </c>
      <c r="N945" s="20" t="str">
        <f>[1]!f_info_fundmanager(B945)</f>
        <v>冯雨生</v>
      </c>
      <c r="O945" s="21">
        <v>1.7863013698630137</v>
      </c>
      <c r="P945" s="34" t="s">
        <v>3667</v>
      </c>
      <c r="Q945" s="34" t="s">
        <v>3668</v>
      </c>
      <c r="R945" s="34" t="s">
        <v>364</v>
      </c>
      <c r="S945" s="34">
        <v>20020918</v>
      </c>
      <c r="T945" s="45">
        <v>6.2929642198</v>
      </c>
      <c r="U945" s="46">
        <v>7.4877177103000001</v>
      </c>
      <c r="V945" s="34" t="s">
        <v>231</v>
      </c>
      <c r="W945" s="34" t="s">
        <v>44</v>
      </c>
      <c r="X945" s="34" t="s">
        <v>45</v>
      </c>
      <c r="Y945" s="34" t="s">
        <v>274</v>
      </c>
      <c r="Z945" s="34"/>
      <c r="AA945" s="34"/>
      <c r="AB945" s="22">
        <v>0.70712699890136721</v>
      </c>
      <c r="AC945" s="23" t="s">
        <v>1956</v>
      </c>
      <c r="AD945" s="24">
        <v>1.5561643835616439</v>
      </c>
      <c r="AE945" s="25">
        <v>0.14788794736385591</v>
      </c>
      <c r="AF945" s="26">
        <v>0.22500979748477801</v>
      </c>
      <c r="AG945" s="26">
        <v>0.1635948843790804</v>
      </c>
      <c r="AH945" s="27">
        <v>0.7138985074209071</v>
      </c>
      <c r="AI945" s="27">
        <v>0.83089420098822631</v>
      </c>
      <c r="AJ945" s="27">
        <v>0.73078171953836446</v>
      </c>
      <c r="AK945" s="28" t="s">
        <v>3669</v>
      </c>
      <c r="AL945" s="29">
        <v>5</v>
      </c>
      <c r="AM945" s="29">
        <v>3</v>
      </c>
      <c r="AN945" s="29" t="s">
        <v>48</v>
      </c>
      <c r="AO945" s="47" t="s">
        <v>3575</v>
      </c>
      <c r="AP945" s="28">
        <v>0</v>
      </c>
      <c r="AQ945" s="26">
        <v>1.4999999999999999E-2</v>
      </c>
      <c r="AR945" s="26">
        <v>0</v>
      </c>
    </row>
    <row r="946" spans="1:44" x14ac:dyDescent="0.15">
      <c r="A946">
        <v>886</v>
      </c>
      <c r="B946" s="11">
        <v>161601</v>
      </c>
      <c r="C946" s="32"/>
      <c r="D946" s="32">
        <v>-4.0560518073455296E-3</v>
      </c>
      <c r="E946" s="32">
        <v>83</v>
      </c>
      <c r="F946" s="32">
        <v>2.0508359291887698E-2</v>
      </c>
      <c r="G946" s="11"/>
      <c r="H946" s="11"/>
      <c r="I946" s="11"/>
      <c r="J946" s="18" t="s">
        <v>44</v>
      </c>
      <c r="K946" s="18" t="s">
        <v>45</v>
      </c>
      <c r="L946" s="58" t="s">
        <v>274</v>
      </c>
      <c r="M946" s="18">
        <f>[1]!f_prt_stocktonav(B946,"2017/03/31")</f>
        <v>73.277999877929688</v>
      </c>
      <c r="N946" s="20" t="str">
        <f>[1]!f_info_fundmanager(B946)</f>
        <v>何龙,张延闽</v>
      </c>
      <c r="O946" s="21">
        <v>1.5890410958904109</v>
      </c>
      <c r="P946" s="34" t="s">
        <v>3670</v>
      </c>
      <c r="Q946" s="34" t="s">
        <v>3671</v>
      </c>
      <c r="R946" s="34" t="s">
        <v>230</v>
      </c>
      <c r="S946" s="34">
        <v>20020913</v>
      </c>
      <c r="T946" s="45">
        <v>24.0023316439</v>
      </c>
      <c r="U946" s="46">
        <v>25.7697090974</v>
      </c>
      <c r="V946" s="34" t="s">
        <v>231</v>
      </c>
      <c r="W946" s="34" t="s">
        <v>41</v>
      </c>
      <c r="X946" s="17" t="s">
        <v>42</v>
      </c>
      <c r="Y946" s="17" t="s">
        <v>181</v>
      </c>
      <c r="Z946" s="34"/>
      <c r="AA946" s="34"/>
      <c r="AB946" s="22">
        <v>0.66401062011718748</v>
      </c>
      <c r="AC946" s="23" t="s">
        <v>3672</v>
      </c>
      <c r="AD946" s="24">
        <v>1.3589041095890411</v>
      </c>
      <c r="AE946" s="25">
        <v>0.10506202457310465</v>
      </c>
      <c r="AF946" s="26">
        <v>2.4458321750691514E-2</v>
      </c>
      <c r="AG946" s="26">
        <v>3.6247660972072548E-2</v>
      </c>
      <c r="AH946" s="27">
        <v>0.50792745697828445</v>
      </c>
      <c r="AI946" s="27">
        <v>0.16845579193217028</v>
      </c>
      <c r="AJ946" s="27">
        <v>0.20623492132793278</v>
      </c>
      <c r="AK946" s="28" t="s">
        <v>2854</v>
      </c>
      <c r="AL946" s="29">
        <v>2</v>
      </c>
      <c r="AM946" s="29">
        <v>3</v>
      </c>
      <c r="AN946" s="29" t="s">
        <v>48</v>
      </c>
      <c r="AO946" s="47" t="s">
        <v>3266</v>
      </c>
      <c r="AP946" s="28" t="s">
        <v>3673</v>
      </c>
      <c r="AQ946" s="26">
        <v>1.4999999999999999E-2</v>
      </c>
      <c r="AR946" s="26">
        <v>0</v>
      </c>
    </row>
    <row r="947" spans="1:44" x14ac:dyDescent="0.15">
      <c r="A947">
        <v>920</v>
      </c>
      <c r="B947" s="11">
        <v>100016</v>
      </c>
      <c r="C947" s="32"/>
      <c r="D947" s="32">
        <v>3.1863852612368303E-4</v>
      </c>
      <c r="E947" s="32">
        <v>127</v>
      </c>
      <c r="F947" s="32">
        <v>0.839294506560603</v>
      </c>
      <c r="G947" s="11"/>
      <c r="H947" s="11"/>
      <c r="I947" s="11"/>
      <c r="J947" s="18" t="s">
        <v>44</v>
      </c>
      <c r="K947" s="18" t="s">
        <v>45</v>
      </c>
      <c r="L947" s="58" t="s">
        <v>274</v>
      </c>
      <c r="M947" s="18">
        <f>[1]!f_prt_stocktonav(B947,"2017/03/31")</f>
        <v>71.6656494140625</v>
      </c>
      <c r="N947" s="20" t="str">
        <f>[1]!f_info_fundmanager(B947)</f>
        <v>曹晋</v>
      </c>
      <c r="O947" s="21">
        <v>2.4383561643835616</v>
      </c>
      <c r="P947" s="34" t="s">
        <v>3674</v>
      </c>
      <c r="Q947" s="34" t="s">
        <v>3675</v>
      </c>
      <c r="R947" s="34" t="s">
        <v>396</v>
      </c>
      <c r="S947" s="34">
        <v>20020816</v>
      </c>
      <c r="T947" s="45">
        <v>5.7058190083999998</v>
      </c>
      <c r="U947" s="46">
        <v>6.5617170530999998</v>
      </c>
      <c r="V947" s="34" t="s">
        <v>231</v>
      </c>
      <c r="W947" s="34" t="s">
        <v>41</v>
      </c>
      <c r="X947" s="17" t="s">
        <v>42</v>
      </c>
      <c r="Y947" s="17" t="s">
        <v>181</v>
      </c>
      <c r="Z947" s="34"/>
      <c r="AA947" s="34"/>
      <c r="AB947" s="22">
        <v>0.68498435974121097</v>
      </c>
      <c r="AC947" s="23" t="s">
        <v>1634</v>
      </c>
      <c r="AD947" s="24">
        <v>2.2082191780821918</v>
      </c>
      <c r="AE947" s="25">
        <v>0.11831892666827626</v>
      </c>
      <c r="AF947" s="26">
        <v>0.16475722053837938</v>
      </c>
      <c r="AG947" s="26">
        <v>0.14659272148743541</v>
      </c>
      <c r="AH947" s="27">
        <v>0.61037584330808758</v>
      </c>
      <c r="AI947" s="27">
        <v>0.70093857259595027</v>
      </c>
      <c r="AJ947" s="27">
        <v>0.69217134245884626</v>
      </c>
      <c r="AK947" s="28" t="s">
        <v>3676</v>
      </c>
      <c r="AL947" s="29">
        <v>5</v>
      </c>
      <c r="AM947" s="29">
        <v>4</v>
      </c>
      <c r="AN947" s="29" t="s">
        <v>48</v>
      </c>
      <c r="AO947" s="47" t="s">
        <v>2095</v>
      </c>
      <c r="AP947" s="28" t="s">
        <v>3099</v>
      </c>
      <c r="AQ947" s="26">
        <v>1.4999999999999999E-2</v>
      </c>
      <c r="AR947" s="26">
        <v>0</v>
      </c>
    </row>
    <row r="948" spans="1:44" x14ac:dyDescent="0.15">
      <c r="A948">
        <v>593</v>
      </c>
      <c r="B948" s="11">
        <v>20001</v>
      </c>
      <c r="C948" s="32"/>
      <c r="D948" s="32">
        <v>9.0362377648406204E-4</v>
      </c>
      <c r="E948" s="32">
        <v>99</v>
      </c>
      <c r="F948" s="32">
        <v>0.58750810411870302</v>
      </c>
      <c r="G948" s="11"/>
      <c r="H948" s="11"/>
      <c r="I948" s="11"/>
      <c r="J948" s="18" t="s">
        <v>44</v>
      </c>
      <c r="K948" s="18" t="s">
        <v>45</v>
      </c>
      <c r="L948" s="58" t="s">
        <v>274</v>
      </c>
      <c r="M948" s="18">
        <f>[1]!f_prt_stocktonav(B948,"2017/03/31")</f>
        <v>83.005928039550781</v>
      </c>
      <c r="N948" s="20" t="str">
        <f>[1]!f_info_fundmanager(B948)</f>
        <v>周伟锋</v>
      </c>
      <c r="O948" s="21">
        <v>1.8904109589041096</v>
      </c>
      <c r="P948" s="34" t="s">
        <v>3677</v>
      </c>
      <c r="Q948" s="34" t="s">
        <v>3678</v>
      </c>
      <c r="R948" s="34" t="s">
        <v>663</v>
      </c>
      <c r="S948" s="34">
        <v>20020508</v>
      </c>
      <c r="T948" s="45">
        <v>25.276249905499999</v>
      </c>
      <c r="U948" s="46">
        <v>25.699052719099999</v>
      </c>
      <c r="V948" s="34" t="s">
        <v>231</v>
      </c>
      <c r="W948" s="34" t="s">
        <v>44</v>
      </c>
      <c r="X948" s="34" t="s">
        <v>45</v>
      </c>
      <c r="Y948" s="34" t="s">
        <v>274</v>
      </c>
      <c r="Z948" s="34"/>
      <c r="AA948" s="34"/>
      <c r="AB948" s="22">
        <v>0.75877578735351559</v>
      </c>
      <c r="AC948" s="23" t="s">
        <v>2651</v>
      </c>
      <c r="AD948" s="24">
        <v>1.6602739726027398</v>
      </c>
      <c r="AE948" s="25">
        <v>0.17346776192327606</v>
      </c>
      <c r="AF948" s="26">
        <v>0.23134280180215039</v>
      </c>
      <c r="AG948" s="26">
        <v>0.18846729045171795</v>
      </c>
      <c r="AH948" s="27">
        <v>0.72343985878210082</v>
      </c>
      <c r="AI948" s="27">
        <v>0.7592960151950684</v>
      </c>
      <c r="AJ948" s="27">
        <v>0.71439541425784026</v>
      </c>
      <c r="AK948" s="28" t="s">
        <v>3532</v>
      </c>
      <c r="AL948" s="29">
        <v>4</v>
      </c>
      <c r="AM948" s="29">
        <v>2</v>
      </c>
      <c r="AN948" s="29" t="s">
        <v>48</v>
      </c>
      <c r="AO948" s="47" t="s">
        <v>3560</v>
      </c>
      <c r="AP948" s="28">
        <v>0</v>
      </c>
      <c r="AQ948" s="26">
        <v>1.4999999999999999E-2</v>
      </c>
      <c r="AR948" s="26">
        <v>0</v>
      </c>
    </row>
    <row r="949" spans="1:44" x14ac:dyDescent="0.15">
      <c r="A949">
        <v>939</v>
      </c>
      <c r="B949" s="11">
        <v>202001</v>
      </c>
      <c r="C949" s="32"/>
      <c r="D949" s="32">
        <v>-1.5022385451733001E-3</v>
      </c>
      <c r="E949" s="32">
        <v>227</v>
      </c>
      <c r="F949" s="32">
        <v>4.35550725708602E-2</v>
      </c>
      <c r="G949" s="11"/>
      <c r="H949" s="11"/>
      <c r="I949" s="11"/>
      <c r="J949" s="18" t="s">
        <v>44</v>
      </c>
      <c r="K949" s="18" t="s">
        <v>45</v>
      </c>
      <c r="L949" s="58" t="s">
        <v>65</v>
      </c>
      <c r="M949" s="18">
        <f>[1]!f_prt_stocktonav(B949,"2017/03/31")</f>
        <v>70.768753051757812</v>
      </c>
      <c r="N949" s="20" t="str">
        <f>[1]!f_info_fundmanager(B949)</f>
        <v>应帅</v>
      </c>
      <c r="O949" s="21">
        <v>4.353424657534247</v>
      </c>
      <c r="P949" s="34" t="s">
        <v>3679</v>
      </c>
      <c r="Q949" s="34" t="s">
        <v>3680</v>
      </c>
      <c r="R949" s="34" t="s">
        <v>284</v>
      </c>
      <c r="S949" s="34">
        <v>20010928</v>
      </c>
      <c r="T949" s="45">
        <v>20.201212982600001</v>
      </c>
      <c r="U949" s="46">
        <v>20.886393505200001</v>
      </c>
      <c r="V949" s="34" t="s">
        <v>231</v>
      </c>
      <c r="W949" s="34" t="s">
        <v>41</v>
      </c>
      <c r="X949" s="34" t="s">
        <v>42</v>
      </c>
      <c r="Y949" s="34" t="s">
        <v>181</v>
      </c>
      <c r="Z949" s="34"/>
      <c r="AA949" s="34"/>
      <c r="AB949" s="22">
        <v>0.68887596130371098</v>
      </c>
      <c r="AC949" s="23" t="s">
        <v>562</v>
      </c>
      <c r="AD949" s="24">
        <v>4.1232876712328768</v>
      </c>
      <c r="AE949" s="25">
        <v>0.10298029580317468</v>
      </c>
      <c r="AF949" s="26">
        <v>0.15056245468114149</v>
      </c>
      <c r="AG949" s="26">
        <v>9.7635415995916977E-2</v>
      </c>
      <c r="AH949" s="27">
        <v>0.5007045701039553</v>
      </c>
      <c r="AI949" s="27">
        <v>0.60822588498235353</v>
      </c>
      <c r="AJ949" s="27">
        <v>0.45950381649610056</v>
      </c>
      <c r="AK949" s="28" t="s">
        <v>3338</v>
      </c>
      <c r="AL949" s="29">
        <v>3</v>
      </c>
      <c r="AM949" s="29">
        <v>3</v>
      </c>
      <c r="AN949" s="29" t="s">
        <v>48</v>
      </c>
      <c r="AO949" s="47" t="s">
        <v>3681</v>
      </c>
      <c r="AP949" s="28">
        <v>0</v>
      </c>
      <c r="AQ949" s="26">
        <v>1.4999999999999999E-2</v>
      </c>
      <c r="AR949" s="26">
        <v>0</v>
      </c>
    </row>
    <row r="950" spans="1:44" x14ac:dyDescent="0.15">
      <c r="B950" s="11"/>
      <c r="C950" s="32"/>
      <c r="D950" s="32"/>
      <c r="E950" s="32"/>
      <c r="F950" s="32"/>
      <c r="G950" s="11"/>
      <c r="H950" s="11"/>
      <c r="I950" s="11"/>
      <c r="J950" s="18"/>
      <c r="K950" s="18"/>
      <c r="L950" s="11"/>
      <c r="M950" s="18"/>
      <c r="N950" s="20"/>
      <c r="O950" s="21"/>
      <c r="P950" s="34"/>
      <c r="Q950" s="34"/>
      <c r="R950" s="34"/>
      <c r="S950" s="34"/>
      <c r="T950" s="45"/>
      <c r="U950" s="46"/>
      <c r="V950" s="34"/>
      <c r="W950" s="34"/>
      <c r="X950" s="34"/>
      <c r="Y950" s="34"/>
      <c r="Z950" s="34"/>
      <c r="AA950" s="34"/>
      <c r="AB950" s="56"/>
      <c r="AC950" s="23"/>
      <c r="AD950" s="24"/>
      <c r="AE950" s="25"/>
      <c r="AF950" s="26"/>
      <c r="AG950" s="26"/>
      <c r="AH950" s="27"/>
      <c r="AI950" s="27"/>
      <c r="AJ950" s="27"/>
      <c r="AK950" s="28"/>
      <c r="AL950" s="29"/>
      <c r="AM950" s="29"/>
      <c r="AN950" s="29"/>
      <c r="AO950" s="47"/>
      <c r="AP950" s="28"/>
      <c r="AQ950" s="26"/>
      <c r="AR950" s="26"/>
    </row>
    <row r="951" spans="1:44" x14ac:dyDescent="0.15">
      <c r="B951" s="11"/>
      <c r="C951" s="32"/>
      <c r="D951" s="32"/>
      <c r="E951" s="32"/>
      <c r="F951" s="32"/>
      <c r="G951" s="11"/>
      <c r="H951" s="11"/>
      <c r="I951" s="11"/>
      <c r="J951" s="18"/>
      <c r="K951" s="18"/>
      <c r="L951" s="11"/>
      <c r="M951" s="18"/>
      <c r="N951" s="20"/>
      <c r="O951" s="21"/>
      <c r="P951" s="34"/>
      <c r="Q951" s="34"/>
      <c r="R951" s="34"/>
      <c r="S951" s="34"/>
      <c r="T951" s="45"/>
      <c r="U951" s="46"/>
      <c r="V951" s="34"/>
      <c r="W951" s="34"/>
      <c r="X951" s="34"/>
      <c r="Y951" s="34"/>
      <c r="Z951" s="34"/>
      <c r="AA951" s="34"/>
      <c r="AB951" s="56"/>
      <c r="AC951" s="23"/>
      <c r="AD951" s="24"/>
      <c r="AE951" s="25"/>
      <c r="AF951" s="26"/>
      <c r="AG951" s="26"/>
      <c r="AH951" s="27"/>
      <c r="AI951" s="27"/>
      <c r="AJ951" s="27"/>
      <c r="AK951" s="28"/>
      <c r="AL951" s="29"/>
      <c r="AM951" s="29"/>
      <c r="AN951" s="29"/>
      <c r="AO951" s="47"/>
      <c r="AP951" s="28"/>
      <c r="AQ951" s="26"/>
      <c r="AR951" s="26"/>
    </row>
    <row r="952" spans="1:44" x14ac:dyDescent="0.15">
      <c r="B952" s="11"/>
      <c r="C952" s="32"/>
      <c r="D952" s="32"/>
      <c r="E952" s="32"/>
      <c r="F952" s="32"/>
      <c r="G952" s="11"/>
      <c r="H952" s="11"/>
      <c r="I952" s="11"/>
      <c r="J952" s="18"/>
      <c r="K952" s="18"/>
      <c r="L952" s="11"/>
      <c r="M952" s="18"/>
      <c r="N952" s="20"/>
      <c r="O952" s="21"/>
      <c r="P952" s="34"/>
      <c r="Q952" s="34"/>
      <c r="R952" s="34"/>
      <c r="S952" s="34"/>
      <c r="T952" s="45"/>
      <c r="U952" s="46"/>
      <c r="V952" s="34"/>
      <c r="W952" s="34"/>
      <c r="X952" s="34"/>
      <c r="Y952" s="34"/>
      <c r="Z952" s="34"/>
      <c r="AA952" s="34"/>
      <c r="AB952" s="56"/>
      <c r="AC952" s="23"/>
      <c r="AD952" s="24"/>
      <c r="AE952" s="25"/>
      <c r="AF952" s="26"/>
      <c r="AG952" s="26"/>
      <c r="AH952" s="27"/>
      <c r="AI952" s="27"/>
      <c r="AJ952" s="27"/>
      <c r="AK952" s="28"/>
      <c r="AL952" s="29"/>
      <c r="AM952" s="29"/>
      <c r="AN952" s="29"/>
      <c r="AO952" s="47"/>
      <c r="AP952" s="28"/>
      <c r="AQ952" s="26"/>
      <c r="AR952" s="26"/>
    </row>
    <row r="953" spans="1:44" x14ac:dyDescent="0.15">
      <c r="A953">
        <v>635</v>
      </c>
      <c r="B953" s="11">
        <v>570007</v>
      </c>
      <c r="C953" s="32"/>
      <c r="D953" s="32"/>
      <c r="E953" s="32"/>
      <c r="F953" s="32"/>
      <c r="G953" s="11"/>
      <c r="H953" s="11"/>
      <c r="I953" s="11"/>
      <c r="J953" s="18" t="s">
        <v>44</v>
      </c>
      <c r="K953" s="18" t="s">
        <v>45</v>
      </c>
      <c r="L953" s="11"/>
      <c r="M953" s="18">
        <f>[1]!f_prt_stocktonav(B953,"2017/03/31")</f>
        <v>81.964027404785156</v>
      </c>
      <c r="N953" s="20" t="str">
        <f>[1]!f_info_fundmanager(B953)</f>
        <v>杨霞辉</v>
      </c>
      <c r="O953" s="21">
        <v>-1.3698630136986301E-2</v>
      </c>
      <c r="P953" s="34" t="s">
        <v>3682</v>
      </c>
      <c r="Q953" s="34" t="s">
        <v>3683</v>
      </c>
      <c r="R953" s="34" t="s">
        <v>2351</v>
      </c>
      <c r="S953" s="34">
        <v>20110505</v>
      </c>
      <c r="T953" s="45">
        <v>0.72325616859999997</v>
      </c>
      <c r="U953" s="46">
        <v>0.8206140408</v>
      </c>
      <c r="V953" s="34" t="s">
        <v>231</v>
      </c>
      <c r="W953" s="34" t="s">
        <v>44</v>
      </c>
      <c r="X953" s="34" t="s">
        <v>45</v>
      </c>
      <c r="Y953" s="34" t="s">
        <v>65</v>
      </c>
      <c r="Z953" s="34"/>
      <c r="AA953" s="34"/>
      <c r="AB953" s="56">
        <v>0.90749404907226561</v>
      </c>
      <c r="AC953" s="23" t="s">
        <v>2352</v>
      </c>
      <c r="AD953" s="24">
        <v>0.84109589041095889</v>
      </c>
      <c r="AE953" s="25">
        <v>4.2943726867049614E-2</v>
      </c>
      <c r="AF953" s="26">
        <v>0.14971901869814808</v>
      </c>
      <c r="AG953" s="26">
        <v>9.9428285733927702E-2</v>
      </c>
      <c r="AH953" s="27">
        <v>0.23883197503733233</v>
      </c>
      <c r="AI953" s="27">
        <v>0.52444536605180947</v>
      </c>
      <c r="AJ953" s="27">
        <v>0.42340064166400571</v>
      </c>
      <c r="AK953" s="28" t="s">
        <v>3684</v>
      </c>
      <c r="AL953" s="29">
        <v>3</v>
      </c>
      <c r="AM953" s="29">
        <v>3</v>
      </c>
      <c r="AN953" s="29" t="s">
        <v>48</v>
      </c>
      <c r="AO953" s="47" t="s">
        <v>367</v>
      </c>
      <c r="AP953" s="28">
        <v>0</v>
      </c>
      <c r="AQ953" s="26">
        <v>1.4999999999999999E-2</v>
      </c>
      <c r="AR953" s="26">
        <v>0</v>
      </c>
    </row>
    <row r="954" spans="1:44" x14ac:dyDescent="0.15">
      <c r="A954">
        <v>457</v>
      </c>
      <c r="B954" s="11">
        <v>519664</v>
      </c>
      <c r="C954" s="32"/>
      <c r="D954" s="32"/>
      <c r="E954" s="32"/>
      <c r="F954" s="32"/>
      <c r="G954" s="11"/>
      <c r="H954" s="11"/>
      <c r="I954" s="11"/>
      <c r="J954" s="18" t="s">
        <v>44</v>
      </c>
      <c r="K954" s="18" t="s">
        <v>45</v>
      </c>
      <c r="L954" s="11"/>
      <c r="M954" s="18">
        <f>[1]!f_prt_stocktonav(B954,"2017/03/31")</f>
        <v>86.162353515625</v>
      </c>
      <c r="N954" s="20" t="str">
        <f>[1]!f_info_fundmanager(B954)</f>
        <v>杨琪</v>
      </c>
      <c r="O954" s="21">
        <v>-2.1917808219178082E-2</v>
      </c>
      <c r="P954" s="34" t="s">
        <v>3685</v>
      </c>
      <c r="Q954" s="34" t="s">
        <v>3686</v>
      </c>
      <c r="R954" s="34" t="s">
        <v>807</v>
      </c>
      <c r="S954" s="34">
        <v>20140529</v>
      </c>
      <c r="T954" s="45">
        <v>4.9966807846999997</v>
      </c>
      <c r="U954" s="46">
        <v>5.4863212395999996</v>
      </c>
      <c r="V954" s="34" t="s">
        <v>231</v>
      </c>
      <c r="W954" s="34" t="s">
        <v>44</v>
      </c>
      <c r="X954" s="34" t="s">
        <v>45</v>
      </c>
      <c r="Y954" s="34" t="s">
        <v>274</v>
      </c>
      <c r="Z954" s="34"/>
      <c r="AA954" s="34"/>
      <c r="AB954" s="56">
        <v>0.8093544006347656</v>
      </c>
      <c r="AC954" s="23" t="s">
        <v>2239</v>
      </c>
      <c r="AD954" s="24">
        <v>2.6109589041095891</v>
      </c>
      <c r="AE954" s="25">
        <v>0.17849714039268405</v>
      </c>
      <c r="AF954" s="26">
        <v>0</v>
      </c>
      <c r="AG954" s="26">
        <v>0</v>
      </c>
      <c r="AH954" s="27">
        <v>0.58060927943111251</v>
      </c>
      <c r="AI954" s="27">
        <v>0.58060927943111251</v>
      </c>
      <c r="AJ954" s="27">
        <v>0.58060927943111251</v>
      </c>
      <c r="AK954" s="28" t="s">
        <v>1459</v>
      </c>
      <c r="AL954" s="29" t="s">
        <v>48</v>
      </c>
      <c r="AM954" s="29" t="s">
        <v>48</v>
      </c>
      <c r="AN954" s="29" t="s">
        <v>48</v>
      </c>
      <c r="AO954" s="47" t="s">
        <v>3687</v>
      </c>
      <c r="AP954" s="28">
        <v>0</v>
      </c>
      <c r="AQ954" s="26">
        <v>1.4999999999999999E-2</v>
      </c>
      <c r="AR954" s="26">
        <v>0</v>
      </c>
    </row>
    <row r="955" spans="1:44" x14ac:dyDescent="0.15">
      <c r="A955">
        <v>233</v>
      </c>
      <c r="B955" s="11">
        <v>1479</v>
      </c>
      <c r="C955" s="32"/>
      <c r="D955" s="32"/>
      <c r="E955" s="32"/>
      <c r="F955" s="32"/>
      <c r="G955" s="11"/>
      <c r="H955" s="11"/>
      <c r="I955" s="11"/>
      <c r="J955" s="18" t="s">
        <v>44</v>
      </c>
      <c r="K955" s="18" t="s">
        <v>45</v>
      </c>
      <c r="L955" s="11"/>
      <c r="M955" s="18">
        <f>[1]!f_prt_stocktonav(B955,"2017/03/31")</f>
        <v>91.016685485839844</v>
      </c>
      <c r="N955" s="20" t="str">
        <f>[1]!f_info_fundmanager(B955)</f>
        <v>国晓雯</v>
      </c>
      <c r="O955" s="21">
        <v>-3.0136986301369864E-2</v>
      </c>
      <c r="P955" s="34" t="s">
        <v>3688</v>
      </c>
      <c r="Q955" s="34" t="s">
        <v>3689</v>
      </c>
      <c r="R955" s="34" t="s">
        <v>85</v>
      </c>
      <c r="S955" s="34">
        <v>20160127</v>
      </c>
      <c r="T955" s="45">
        <v>3.2570777338000001</v>
      </c>
      <c r="U955" s="46">
        <v>3.4964508529999998</v>
      </c>
      <c r="V955" s="34" t="s">
        <v>231</v>
      </c>
      <c r="W955" s="34" t="s">
        <v>44</v>
      </c>
      <c r="X955" s="17" t="s">
        <v>45</v>
      </c>
      <c r="Y955" s="17" t="s">
        <v>65</v>
      </c>
      <c r="Z955" s="34"/>
      <c r="AA955" s="34"/>
      <c r="AB955" s="56">
        <v>0.82246017456054688</v>
      </c>
      <c r="AC955" s="23" t="s">
        <v>3690</v>
      </c>
      <c r="AD955" s="24">
        <v>0.9452054794520548</v>
      </c>
      <c r="AE955" s="25">
        <v>0.10232058253826072</v>
      </c>
      <c r="AF955" s="26">
        <v>0</v>
      </c>
      <c r="AG955" s="26">
        <v>0</v>
      </c>
      <c r="AH955" s="27">
        <v>0.52854871052622587</v>
      </c>
      <c r="AI955" s="27">
        <v>0.52854871052622587</v>
      </c>
      <c r="AJ955" s="27">
        <v>0.52854871052622587</v>
      </c>
      <c r="AK955" s="28" t="s">
        <v>1226</v>
      </c>
      <c r="AL955" s="29" t="s">
        <v>48</v>
      </c>
      <c r="AM955" s="29" t="s">
        <v>48</v>
      </c>
      <c r="AN955" s="29" t="s">
        <v>48</v>
      </c>
      <c r="AO955" s="47" t="s">
        <v>3691</v>
      </c>
      <c r="AP955" s="28">
        <v>0</v>
      </c>
      <c r="AQ955" s="26">
        <v>1.4999999999999999E-2</v>
      </c>
      <c r="AR955" s="26">
        <v>0</v>
      </c>
    </row>
    <row r="956" spans="1:44" x14ac:dyDescent="0.15">
      <c r="A956">
        <v>540</v>
      </c>
      <c r="B956" s="11">
        <v>1044</v>
      </c>
      <c r="C956" s="32"/>
      <c r="D956" s="32"/>
      <c r="E956" s="32"/>
      <c r="F956" s="32"/>
      <c r="G956" s="11"/>
      <c r="H956" s="11"/>
      <c r="I956" s="11"/>
      <c r="J956" s="18" t="s">
        <v>44</v>
      </c>
      <c r="K956" s="18" t="s">
        <v>87</v>
      </c>
      <c r="L956" s="11"/>
      <c r="M956" s="18">
        <f>[1]!f_prt_stocktonav(B956,"2017/03/31")</f>
        <v>84.264411926269531</v>
      </c>
      <c r="N956" s="20" t="str">
        <f>[1]!f_info_fundmanager(B956)</f>
        <v>谭丽</v>
      </c>
      <c r="O956" s="21">
        <v>-3.0136986301369864E-2</v>
      </c>
      <c r="P956" s="34" t="s">
        <v>3692</v>
      </c>
      <c r="Q956" s="34" t="s">
        <v>3693</v>
      </c>
      <c r="R956" s="34" t="s">
        <v>92</v>
      </c>
      <c r="S956" s="34">
        <v>20150323</v>
      </c>
      <c r="T956" s="45">
        <v>16.373648362099999</v>
      </c>
      <c r="U956" s="46">
        <v>18.347028937000001</v>
      </c>
      <c r="V956" s="34" t="s">
        <v>231</v>
      </c>
      <c r="W956" s="34" t="s">
        <v>44</v>
      </c>
      <c r="X956" s="34" t="s">
        <v>45</v>
      </c>
      <c r="Y956" s="34" t="s">
        <v>274</v>
      </c>
      <c r="Z956" s="34"/>
      <c r="AA956" s="34"/>
      <c r="AB956" s="56">
        <v>0.8901483917236328</v>
      </c>
      <c r="AC956" s="23" t="s">
        <v>3694</v>
      </c>
      <c r="AD956" s="24">
        <v>1.7945205479452055</v>
      </c>
      <c r="AE956" s="25">
        <v>-1.9236988093406127E-2</v>
      </c>
      <c r="AF956" s="26">
        <v>0</v>
      </c>
      <c r="AG956" s="26">
        <v>0</v>
      </c>
      <c r="AH956" s="27">
        <v>3.3502867766421023E-2</v>
      </c>
      <c r="AI956" s="27">
        <v>3.3502867766421023E-2</v>
      </c>
      <c r="AJ956" s="27">
        <v>3.3502867766421023E-2</v>
      </c>
      <c r="AK956" s="28" t="s">
        <v>3695</v>
      </c>
      <c r="AL956" s="29" t="s">
        <v>48</v>
      </c>
      <c r="AM956" s="29" t="s">
        <v>48</v>
      </c>
      <c r="AN956" s="29" t="s">
        <v>48</v>
      </c>
      <c r="AO956" s="47" t="s">
        <v>249</v>
      </c>
      <c r="AP956" s="28">
        <v>0</v>
      </c>
      <c r="AQ956" s="26">
        <v>1.4999999999999999E-2</v>
      </c>
      <c r="AR956" s="26">
        <v>0</v>
      </c>
    </row>
    <row r="957" spans="1:44" x14ac:dyDescent="0.15">
      <c r="A957">
        <v>718</v>
      </c>
      <c r="B957" s="11">
        <v>354</v>
      </c>
      <c r="C957" s="32"/>
      <c r="D957" s="32"/>
      <c r="E957" s="32"/>
      <c r="F957" s="32"/>
      <c r="G957" s="11"/>
      <c r="H957" s="11"/>
      <c r="I957" s="11"/>
      <c r="J957" s="18" t="s">
        <v>44</v>
      </c>
      <c r="K957" s="18" t="s">
        <v>87</v>
      </c>
      <c r="L957" s="11"/>
      <c r="M957" s="18">
        <f>[1]!f_prt_stocktonav(B957,"2017/03/31")</f>
        <v>79.538055419921875</v>
      </c>
      <c r="N957" s="20" t="str">
        <f>[1]!f_info_fundmanager(B957)</f>
        <v>乔培涛</v>
      </c>
      <c r="O957" s="21">
        <v>-3.0136986301369864E-2</v>
      </c>
      <c r="P957" s="34" t="s">
        <v>3696</v>
      </c>
      <c r="Q957" s="34" t="s">
        <v>3697</v>
      </c>
      <c r="R957" s="34" t="s">
        <v>364</v>
      </c>
      <c r="S957" s="34">
        <v>20131112</v>
      </c>
      <c r="T957" s="45">
        <v>1.5196740443000001</v>
      </c>
      <c r="U957" s="46">
        <v>2.8307351895999999</v>
      </c>
      <c r="V957" s="34" t="s">
        <v>231</v>
      </c>
      <c r="W957" s="34" t="s">
        <v>44</v>
      </c>
      <c r="X957" s="34" t="s">
        <v>87</v>
      </c>
      <c r="Y957" s="34" t="s">
        <v>274</v>
      </c>
      <c r="Z957" s="34" t="s">
        <v>3698</v>
      </c>
      <c r="AA957" s="34"/>
      <c r="AB957" s="56">
        <v>0.81267509460449217</v>
      </c>
      <c r="AC957" s="23" t="s">
        <v>3699</v>
      </c>
      <c r="AD957" s="24">
        <v>3.1534246575342464</v>
      </c>
      <c r="AE957" s="25">
        <v>0.23920179248927087</v>
      </c>
      <c r="AF957" s="26">
        <v>0.24914876077635983</v>
      </c>
      <c r="AG957" s="26">
        <v>0</v>
      </c>
      <c r="AH957" s="27">
        <v>0.89940673216261013</v>
      </c>
      <c r="AI957" s="27">
        <v>0.91452297077198907</v>
      </c>
      <c r="AJ957" s="27">
        <v>0.89940673216261013</v>
      </c>
      <c r="AK957" s="33" t="s">
        <v>380</v>
      </c>
      <c r="AL957" s="29" t="s">
        <v>48</v>
      </c>
      <c r="AM957" s="29" t="s">
        <v>48</v>
      </c>
      <c r="AN957" s="29" t="s">
        <v>48</v>
      </c>
      <c r="AO957" s="47" t="s">
        <v>367</v>
      </c>
      <c r="AP957" s="28">
        <v>0</v>
      </c>
      <c r="AQ957" s="26">
        <v>1.4999999999999999E-2</v>
      </c>
      <c r="AR957" s="26">
        <v>0</v>
      </c>
    </row>
    <row r="958" spans="1:44" x14ac:dyDescent="0.15">
      <c r="A958">
        <v>192</v>
      </c>
      <c r="B958" s="11">
        <v>1468</v>
      </c>
      <c r="C958" s="32"/>
      <c r="D958" s="32"/>
      <c r="E958" s="32"/>
      <c r="F958" s="32"/>
      <c r="G958" s="11"/>
      <c r="H958" s="11"/>
      <c r="I958" s="11"/>
      <c r="J958" s="18" t="s">
        <v>44</v>
      </c>
      <c r="K958" s="18" t="s">
        <v>45</v>
      </c>
      <c r="L958" s="11"/>
      <c r="M958" s="18">
        <f>[1]!f_prt_stocktonav(B958,"2017/03/31")</f>
        <v>91.971847534179688</v>
      </c>
      <c r="N958" s="20" t="str">
        <f>[1]!f_info_fundmanager(B958)</f>
        <v>王小松</v>
      </c>
      <c r="O958" s="21">
        <v>-5.7534246575342465E-2</v>
      </c>
      <c r="P958" s="34" t="s">
        <v>3700</v>
      </c>
      <c r="Q958" s="34" t="s">
        <v>3701</v>
      </c>
      <c r="R958" s="34" t="s">
        <v>132</v>
      </c>
      <c r="S958" s="34">
        <v>20150727</v>
      </c>
      <c r="T958" s="45">
        <v>7.9198001588000002</v>
      </c>
      <c r="U958" s="46">
        <v>9.2300694901</v>
      </c>
      <c r="V958" s="34" t="s">
        <v>231</v>
      </c>
      <c r="W958" s="34" t="s">
        <v>44</v>
      </c>
      <c r="X958" s="34" t="s">
        <v>45</v>
      </c>
      <c r="Y958" s="34" t="s">
        <v>65</v>
      </c>
      <c r="Z958" s="34"/>
      <c r="AA958" s="34"/>
      <c r="AB958" s="56">
        <v>0.91308258056640623</v>
      </c>
      <c r="AC958" s="23" t="s">
        <v>3702</v>
      </c>
      <c r="AD958" s="24">
        <v>1.4493150684931506</v>
      </c>
      <c r="AE958" s="25">
        <v>-0.18082791015849373</v>
      </c>
      <c r="AF958" s="26">
        <v>0</v>
      </c>
      <c r="AG958" s="26">
        <v>0</v>
      </c>
      <c r="AH958" s="27">
        <v>-0.43284147950541124</v>
      </c>
      <c r="AI958" s="27">
        <v>-0.43284147950541124</v>
      </c>
      <c r="AJ958" s="27">
        <v>-0.43284147950541124</v>
      </c>
      <c r="AK958" s="28" t="s">
        <v>1830</v>
      </c>
      <c r="AL958" s="29" t="s">
        <v>48</v>
      </c>
      <c r="AM958" s="29" t="s">
        <v>48</v>
      </c>
      <c r="AN958" s="29" t="s">
        <v>48</v>
      </c>
      <c r="AO958" s="47" t="s">
        <v>281</v>
      </c>
      <c r="AP958" s="28">
        <v>0</v>
      </c>
      <c r="AQ958" s="26">
        <v>1.4999999999999999E-2</v>
      </c>
      <c r="AR958" s="26">
        <v>0</v>
      </c>
    </row>
    <row r="959" spans="1:44" x14ac:dyDescent="0.15">
      <c r="A959">
        <v>621</v>
      </c>
      <c r="B959" s="11">
        <v>310358</v>
      </c>
      <c r="C959" s="32"/>
      <c r="D959" s="32"/>
      <c r="E959" s="32"/>
      <c r="F959" s="32"/>
      <c r="G959" s="11"/>
      <c r="H959" s="11"/>
      <c r="I959" s="11"/>
      <c r="J959" s="18" t="s">
        <v>44</v>
      </c>
      <c r="K959" s="18" t="s">
        <v>45</v>
      </c>
      <c r="L959" s="11"/>
      <c r="M959" s="18">
        <f>[1]!f_prt_stocktonav(B959,"2017/03/31")</f>
        <v>82.269912719726563</v>
      </c>
      <c r="N959" s="20" t="str">
        <f>[1]!f_info_fundmanager(B959)</f>
        <v>卢扬</v>
      </c>
      <c r="O959" s="21">
        <v>-5.7534246575342465E-2</v>
      </c>
      <c r="P959" s="34" t="s">
        <v>3703</v>
      </c>
      <c r="Q959" s="34" t="s">
        <v>3704</v>
      </c>
      <c r="R959" s="34" t="s">
        <v>2493</v>
      </c>
      <c r="S959" s="34">
        <v>20061206</v>
      </c>
      <c r="T959" s="45">
        <v>9.9346387183000004</v>
      </c>
      <c r="U959" s="46">
        <v>10.1506244913</v>
      </c>
      <c r="V959" s="34" t="s">
        <v>231</v>
      </c>
      <c r="W959" s="34" t="s">
        <v>44</v>
      </c>
      <c r="X959" s="34" t="s">
        <v>45</v>
      </c>
      <c r="Y959" s="34" t="s">
        <v>274</v>
      </c>
      <c r="Z959" s="34"/>
      <c r="AA959" s="34"/>
      <c r="AB959" s="56">
        <v>0.83331970214843754</v>
      </c>
      <c r="AC959" s="23" t="s">
        <v>2987</v>
      </c>
      <c r="AD959" s="24">
        <v>1.5945205479452054</v>
      </c>
      <c r="AE959" s="25">
        <v>6.8195799725482509E-2</v>
      </c>
      <c r="AF959" s="26">
        <v>6.6227630020278427E-2</v>
      </c>
      <c r="AG959" s="26">
        <v>8.9931338641055833E-2</v>
      </c>
      <c r="AH959" s="27">
        <v>0.32635411367755074</v>
      </c>
      <c r="AI959" s="27">
        <v>0.31051377848819706</v>
      </c>
      <c r="AJ959" s="27">
        <v>0.39338242655301897</v>
      </c>
      <c r="AK959" s="28" t="s">
        <v>3705</v>
      </c>
      <c r="AL959" s="29">
        <v>2</v>
      </c>
      <c r="AM959" s="29">
        <v>1</v>
      </c>
      <c r="AN959" s="29" t="s">
        <v>48</v>
      </c>
      <c r="AO959" s="47" t="s">
        <v>2862</v>
      </c>
      <c r="AP959" s="28">
        <v>0</v>
      </c>
      <c r="AQ959" s="26">
        <v>1.4999999999999999E-2</v>
      </c>
      <c r="AR959" s="26">
        <v>0</v>
      </c>
    </row>
    <row r="960" spans="1:44" x14ac:dyDescent="0.15">
      <c r="A960">
        <v>825</v>
      </c>
      <c r="B960" s="11">
        <v>11</v>
      </c>
      <c r="C960" s="32"/>
      <c r="D960" s="32"/>
      <c r="E960" s="32"/>
      <c r="F960" s="32"/>
      <c r="G960" s="11"/>
      <c r="H960" s="11"/>
      <c r="I960" s="11"/>
      <c r="J960" s="18" t="s">
        <v>44</v>
      </c>
      <c r="K960" s="18" t="s">
        <v>45</v>
      </c>
      <c r="L960" s="11"/>
      <c r="M960" s="18">
        <f>[1]!f_prt_stocktonav(B960,"2017/03/31")</f>
        <v>75.795478820800781</v>
      </c>
      <c r="N960" s="20" t="str">
        <f>[1]!f_info_fundmanager(B960)</f>
        <v>陈伟彦</v>
      </c>
      <c r="O960" s="21">
        <v>-8.7671232876712329E-2</v>
      </c>
      <c r="P960" s="34" t="s">
        <v>3706</v>
      </c>
      <c r="Q960" s="34" t="s">
        <v>3707</v>
      </c>
      <c r="R960" s="34" t="s">
        <v>143</v>
      </c>
      <c r="S960" s="34">
        <v>20040811</v>
      </c>
      <c r="T960" s="45">
        <v>18.778142592199998</v>
      </c>
      <c r="U960" s="46">
        <v>19.350135816200002</v>
      </c>
      <c r="V960" s="34" t="s">
        <v>231</v>
      </c>
      <c r="W960" s="34" t="s">
        <v>44</v>
      </c>
      <c r="X960" s="34" t="s">
        <v>45</v>
      </c>
      <c r="Y960" s="34" t="s">
        <v>65</v>
      </c>
      <c r="Z960" s="34"/>
      <c r="AA960" s="34"/>
      <c r="AB960" s="56">
        <v>0.83965087890625001</v>
      </c>
      <c r="AC960" s="23" t="s">
        <v>3708</v>
      </c>
      <c r="AD960" s="24">
        <v>1.8602739726027397</v>
      </c>
      <c r="AE960" s="25">
        <v>0.26070006739952567</v>
      </c>
      <c r="AF960" s="26">
        <v>6.4402456760474402E-2</v>
      </c>
      <c r="AG960" s="26">
        <v>7.9718935089224674E-2</v>
      </c>
      <c r="AH960" s="27">
        <v>0.99533984996487013</v>
      </c>
      <c r="AI960" s="27">
        <v>0.29922318217672317</v>
      </c>
      <c r="AJ960" s="27">
        <v>0.37839833134401868</v>
      </c>
      <c r="AK960" s="28" t="s">
        <v>3709</v>
      </c>
      <c r="AL960" s="29">
        <v>2</v>
      </c>
      <c r="AM960" s="29">
        <v>2</v>
      </c>
      <c r="AN960" s="29" t="s">
        <v>48</v>
      </c>
      <c r="AO960" s="47" t="s">
        <v>3710</v>
      </c>
      <c r="AP960" s="28" t="s">
        <v>3467</v>
      </c>
      <c r="AQ960" s="26">
        <v>1.4999999999999999E-2</v>
      </c>
      <c r="AR960" s="26">
        <v>0</v>
      </c>
    </row>
    <row r="961" spans="1:44" x14ac:dyDescent="0.15">
      <c r="A961">
        <v>877</v>
      </c>
      <c r="B961" s="11">
        <v>410006</v>
      </c>
      <c r="C961" s="32"/>
      <c r="D961" s="32"/>
      <c r="E961" s="32"/>
      <c r="F961" s="32"/>
      <c r="G961" s="11"/>
      <c r="H961" s="11"/>
      <c r="I961" s="11"/>
      <c r="J961" s="18" t="s">
        <v>44</v>
      </c>
      <c r="K961" s="18" t="s">
        <v>45</v>
      </c>
      <c r="L961" s="11"/>
      <c r="M961" s="18">
        <f>[1]!f_prt_stocktonav(B961,"2017/03/31")</f>
        <v>73.629127502441406</v>
      </c>
      <c r="N961" s="20" t="str">
        <f>[1]!f_info_fundmanager(B961)</f>
        <v>高靖瑜</v>
      </c>
      <c r="O961" s="21">
        <v>-0.10684931506849316</v>
      </c>
      <c r="P961" s="34" t="s">
        <v>3711</v>
      </c>
      <c r="Q961" s="34" t="s">
        <v>3712</v>
      </c>
      <c r="R961" s="34" t="s">
        <v>1000</v>
      </c>
      <c r="S961" s="34">
        <v>20081224</v>
      </c>
      <c r="T961" s="45">
        <v>0.24584654519999999</v>
      </c>
      <c r="U961" s="46">
        <v>0.23206218040000001</v>
      </c>
      <c r="V961" s="34" t="s">
        <v>231</v>
      </c>
      <c r="W961" s="34" t="s">
        <v>44</v>
      </c>
      <c r="X961" s="34" t="s">
        <v>45</v>
      </c>
      <c r="Y961" s="34" t="s">
        <v>337</v>
      </c>
      <c r="Z961" s="34"/>
      <c r="AA961" s="34"/>
      <c r="AB961" s="56">
        <v>0.79986389160156246</v>
      </c>
      <c r="AC961" s="23" t="s">
        <v>3713</v>
      </c>
      <c r="AD961" s="24">
        <v>1.0356164383561643</v>
      </c>
      <c r="AE961" s="25">
        <v>6.8417947527866785E-2</v>
      </c>
      <c r="AF961" s="26">
        <v>0.21391598225267927</v>
      </c>
      <c r="AG961" s="26">
        <v>0.14579254373026185</v>
      </c>
      <c r="AH961" s="27">
        <v>0.32940732939312689</v>
      </c>
      <c r="AI961" s="27">
        <v>0.70721374229530742</v>
      </c>
      <c r="AJ961" s="27">
        <v>0.57048230158510449</v>
      </c>
      <c r="AK961" s="28" t="s">
        <v>1226</v>
      </c>
      <c r="AL961" s="29">
        <v>2</v>
      </c>
      <c r="AM961" s="29">
        <v>4</v>
      </c>
      <c r="AN961" s="29" t="s">
        <v>48</v>
      </c>
      <c r="AO961" s="47" t="s">
        <v>3714</v>
      </c>
      <c r="AP961" s="28">
        <v>0</v>
      </c>
      <c r="AQ961" s="26">
        <v>1.4999999999999999E-2</v>
      </c>
      <c r="AR961" s="26">
        <v>0</v>
      </c>
    </row>
    <row r="962" spans="1:44" x14ac:dyDescent="0.15">
      <c r="A962">
        <v>9</v>
      </c>
      <c r="B962" s="11">
        <v>1040</v>
      </c>
      <c r="C962" s="32"/>
      <c r="D962" s="32"/>
      <c r="E962" s="32"/>
      <c r="F962" s="32"/>
      <c r="G962" s="11"/>
      <c r="H962" s="11"/>
      <c r="I962" s="11"/>
      <c r="J962" s="18" t="s">
        <v>44</v>
      </c>
      <c r="K962" s="18" t="s">
        <v>45</v>
      </c>
      <c r="L962" s="11"/>
      <c r="M962" s="18">
        <f>[1]!f_prt_stocktonav(B962,"2017/03/31")</f>
        <v>94.832084655761719</v>
      </c>
      <c r="N962" s="20" t="str">
        <f>[1]!f_info_fundmanager(B962)</f>
        <v>赵强</v>
      </c>
      <c r="O962" s="21">
        <v>-0.12876712328767123</v>
      </c>
      <c r="P962" s="34" t="s">
        <v>3715</v>
      </c>
      <c r="Q962" s="34" t="s">
        <v>3716</v>
      </c>
      <c r="R962" s="34" t="s">
        <v>569</v>
      </c>
      <c r="S962" s="34">
        <v>20150331</v>
      </c>
      <c r="T962" s="45">
        <v>11.510152249500001</v>
      </c>
      <c r="U962" s="46">
        <v>12.525633661500001</v>
      </c>
      <c r="V962" s="34" t="s">
        <v>231</v>
      </c>
      <c r="W962" s="34" t="s">
        <v>44</v>
      </c>
      <c r="X962" s="34" t="s">
        <v>45</v>
      </c>
      <c r="Y962" s="34" t="s">
        <v>274</v>
      </c>
      <c r="Z962" s="34"/>
      <c r="AA962" s="34"/>
      <c r="AB962" s="56">
        <v>0.92639694213867185</v>
      </c>
      <c r="AC962" s="23" t="s">
        <v>3717</v>
      </c>
      <c r="AD962" s="24">
        <v>1.7726027397260273</v>
      </c>
      <c r="AE962" s="25">
        <v>-1.1420251039894969E-2</v>
      </c>
      <c r="AF962" s="26">
        <v>0</v>
      </c>
      <c r="AG962" s="26">
        <v>0</v>
      </c>
      <c r="AH962" s="27">
        <v>0.1052638796658775</v>
      </c>
      <c r="AI962" s="27">
        <v>0.1052638796658775</v>
      </c>
      <c r="AJ962" s="27">
        <v>0.1052638796658775</v>
      </c>
      <c r="AK962" s="28" t="s">
        <v>1459</v>
      </c>
      <c r="AL962" s="29" t="s">
        <v>48</v>
      </c>
      <c r="AM962" s="29" t="s">
        <v>48</v>
      </c>
      <c r="AN962" s="29" t="s">
        <v>48</v>
      </c>
      <c r="AO962" s="47" t="s">
        <v>310</v>
      </c>
      <c r="AP962" s="28">
        <v>0</v>
      </c>
      <c r="AQ962" s="26">
        <v>1.4999999999999999E-2</v>
      </c>
      <c r="AR962" s="26">
        <v>0</v>
      </c>
    </row>
    <row r="963" spans="1:44" x14ac:dyDescent="0.15">
      <c r="A963">
        <v>146</v>
      </c>
      <c r="B963" s="11">
        <v>80015</v>
      </c>
      <c r="C963" s="32"/>
      <c r="D963" s="32"/>
      <c r="E963" s="32"/>
      <c r="F963" s="32"/>
      <c r="G963" s="11"/>
      <c r="H963" s="11"/>
      <c r="I963" s="11"/>
      <c r="J963" s="18" t="s">
        <v>44</v>
      </c>
      <c r="K963" s="18" t="s">
        <v>45</v>
      </c>
      <c r="L963" s="11"/>
      <c r="M963" s="18">
        <f>[1]!f_prt_stocktonav(B963,"2017/03/31")</f>
        <v>92.859542846679688</v>
      </c>
      <c r="N963" s="20" t="str">
        <f>[1]!f_info_fundmanager(B963)</f>
        <v>王超</v>
      </c>
      <c r="O963" s="21">
        <v>-0.13150684931506848</v>
      </c>
      <c r="P963" s="34" t="s">
        <v>3718</v>
      </c>
      <c r="Q963" s="34" t="s">
        <v>3719</v>
      </c>
      <c r="R963" s="34" t="s">
        <v>364</v>
      </c>
      <c r="S963" s="34">
        <v>20120710</v>
      </c>
      <c r="T963" s="45">
        <v>0.4425704983</v>
      </c>
      <c r="U963" s="46">
        <v>0.47709126159999998</v>
      </c>
      <c r="V963" s="34" t="s">
        <v>231</v>
      </c>
      <c r="W963" s="34" t="s">
        <v>44</v>
      </c>
      <c r="X963" s="34" t="s">
        <v>45</v>
      </c>
      <c r="Y963" s="34" t="s">
        <v>817</v>
      </c>
      <c r="Z963" s="34"/>
      <c r="AA963" s="34"/>
      <c r="AB963" s="56">
        <v>0.83712142944335932</v>
      </c>
      <c r="AC963" s="23" t="s">
        <v>2160</v>
      </c>
      <c r="AD963" s="24">
        <v>1.4931506849315068</v>
      </c>
      <c r="AE963" s="25">
        <v>-0.23308908577678822</v>
      </c>
      <c r="AF963" s="26">
        <v>0</v>
      </c>
      <c r="AG963" s="26">
        <v>0</v>
      </c>
      <c r="AH963" s="27">
        <v>-0.83291753363514198</v>
      </c>
      <c r="AI963" s="27">
        <v>-0.83291753363514198</v>
      </c>
      <c r="AJ963" s="27">
        <v>-0.83291753363514198</v>
      </c>
      <c r="AK963" s="28" t="s">
        <v>3720</v>
      </c>
      <c r="AL963" s="29" t="s">
        <v>48</v>
      </c>
      <c r="AM963" s="29" t="s">
        <v>48</v>
      </c>
      <c r="AN963" s="29" t="s">
        <v>48</v>
      </c>
      <c r="AO963" s="47" t="s">
        <v>3721</v>
      </c>
      <c r="AP963" s="28">
        <v>0</v>
      </c>
      <c r="AQ963" s="26">
        <v>1.4999999999999999E-2</v>
      </c>
      <c r="AR963" s="26">
        <v>0</v>
      </c>
    </row>
    <row r="964" spans="1:44" x14ac:dyDescent="0.15">
      <c r="A964">
        <v>156</v>
      </c>
      <c r="B964" s="11">
        <v>2300</v>
      </c>
      <c r="C964" s="32"/>
      <c r="D964" s="32"/>
      <c r="E964" s="32"/>
      <c r="F964" s="32"/>
      <c r="G964" s="11"/>
      <c r="H964" s="11"/>
      <c r="I964" s="11"/>
      <c r="J964" s="18" t="s">
        <v>44</v>
      </c>
      <c r="K964" s="18" t="s">
        <v>86</v>
      </c>
      <c r="L964" s="11"/>
      <c r="M964" s="18">
        <f>[1]!f_prt_stocktonav(B964,"2017/03/31")</f>
        <v>92.616729736328125</v>
      </c>
      <c r="N964" s="20" t="str">
        <f>[1]!f_info_fundmanager(B964)</f>
        <v>王超</v>
      </c>
      <c r="O964" s="21">
        <v>-0.13150684931506848</v>
      </c>
      <c r="P964" s="34" t="s">
        <v>3722</v>
      </c>
      <c r="Q964" s="34" t="s">
        <v>3723</v>
      </c>
      <c r="R964" s="34" t="s">
        <v>364</v>
      </c>
      <c r="S964" s="34">
        <v>20160203</v>
      </c>
      <c r="T964" s="45">
        <v>0.7654160592</v>
      </c>
      <c r="U964" s="46">
        <v>1.040182503</v>
      </c>
      <c r="V964" s="34" t="s">
        <v>231</v>
      </c>
      <c r="W964" s="34" t="s">
        <v>44</v>
      </c>
      <c r="X964" s="34" t="s">
        <v>64</v>
      </c>
      <c r="Y964" s="34" t="s">
        <v>65</v>
      </c>
      <c r="Z964" s="34"/>
      <c r="AA964" s="34"/>
      <c r="AB964" s="56">
        <v>0.92760734558105473</v>
      </c>
      <c r="AC964" s="23" t="s">
        <v>2160</v>
      </c>
      <c r="AD964" s="24">
        <v>0.92602739726027394</v>
      </c>
      <c r="AE964" s="25">
        <v>2.1942862282742004E-2</v>
      </c>
      <c r="AF964" s="26">
        <v>0</v>
      </c>
      <c r="AG964" s="26">
        <v>0</v>
      </c>
      <c r="AH964" s="27">
        <v>0.1200691348213387</v>
      </c>
      <c r="AI964" s="27">
        <v>0.1200691348213387</v>
      </c>
      <c r="AJ964" s="27">
        <v>0.1200691348213387</v>
      </c>
      <c r="AK964" s="28" t="s">
        <v>3724</v>
      </c>
      <c r="AL964" s="29" t="s">
        <v>48</v>
      </c>
      <c r="AM964" s="29" t="s">
        <v>48</v>
      </c>
      <c r="AN964" s="29" t="s">
        <v>48</v>
      </c>
      <c r="AO964" s="47" t="s">
        <v>367</v>
      </c>
      <c r="AP964" s="28">
        <v>0</v>
      </c>
      <c r="AQ964" s="26">
        <v>1.4999999999999999E-2</v>
      </c>
      <c r="AR964" s="26">
        <v>0</v>
      </c>
    </row>
    <row r="965" spans="1:44" x14ac:dyDescent="0.15">
      <c r="A965">
        <v>191</v>
      </c>
      <c r="B965" s="11">
        <v>594</v>
      </c>
      <c r="C965" s="32"/>
      <c r="D965" s="32"/>
      <c r="E965" s="32"/>
      <c r="F965" s="32"/>
      <c r="G965" s="11"/>
      <c r="H965" s="11"/>
      <c r="I965" s="11"/>
      <c r="J965" s="18" t="s">
        <v>44</v>
      </c>
      <c r="K965" s="18" t="s">
        <v>45</v>
      </c>
      <c r="L965" s="11"/>
      <c r="M965" s="18">
        <f>[1]!f_prt_stocktonav(B965,"2017/03/31")</f>
        <v>91.978675842285156</v>
      </c>
      <c r="N965" s="20" t="str">
        <f>[1]!f_info_fundmanager(B965)</f>
        <v>缪东航</v>
      </c>
      <c r="O965" s="21">
        <v>-0.15068493150684931</v>
      </c>
      <c r="P965" s="34" t="s">
        <v>3725</v>
      </c>
      <c r="Q965" s="34" t="s">
        <v>3726</v>
      </c>
      <c r="R965" s="34" t="s">
        <v>378</v>
      </c>
      <c r="S965" s="34">
        <v>20140529</v>
      </c>
      <c r="T965" s="45">
        <v>0.54410254410000003</v>
      </c>
      <c r="U965" s="46">
        <v>0.5958520732</v>
      </c>
      <c r="V965" s="34" t="s">
        <v>231</v>
      </c>
      <c r="W965" s="34" t="s">
        <v>44</v>
      </c>
      <c r="X965" s="34" t="s">
        <v>45</v>
      </c>
      <c r="Y965" s="34" t="s">
        <v>274</v>
      </c>
      <c r="Z965" s="34"/>
      <c r="AA965" s="34"/>
      <c r="AB965" s="56">
        <v>0.84930297851562497</v>
      </c>
      <c r="AC965" s="23" t="s">
        <v>3727</v>
      </c>
      <c r="AD965" s="24">
        <v>2.515068493150685</v>
      </c>
      <c r="AE965" s="25">
        <v>0.16745605933607918</v>
      </c>
      <c r="AF965" s="26">
        <v>0</v>
      </c>
      <c r="AG965" s="26">
        <v>0</v>
      </c>
      <c r="AH965" s="27">
        <v>0.56903612013113691</v>
      </c>
      <c r="AI965" s="27">
        <v>0.56903612013113691</v>
      </c>
      <c r="AJ965" s="27">
        <v>0.56903612013113691</v>
      </c>
      <c r="AK965" s="28" t="s">
        <v>1206</v>
      </c>
      <c r="AL965" s="29" t="s">
        <v>48</v>
      </c>
      <c r="AM965" s="29" t="s">
        <v>48</v>
      </c>
      <c r="AN965" s="29" t="s">
        <v>48</v>
      </c>
      <c r="AO965" s="47" t="s">
        <v>3728</v>
      </c>
      <c r="AP965" s="28">
        <v>0</v>
      </c>
      <c r="AQ965" s="26">
        <v>1.4999999999999999E-2</v>
      </c>
      <c r="AR965" s="26">
        <v>0</v>
      </c>
    </row>
    <row r="966" spans="1:44" x14ac:dyDescent="0.15">
      <c r="A966">
        <v>723</v>
      </c>
      <c r="B966" s="11">
        <v>233001</v>
      </c>
      <c r="C966" s="32"/>
      <c r="D966" s="32"/>
      <c r="E966" s="32"/>
      <c r="F966" s="32"/>
      <c r="G966" s="11"/>
      <c r="H966" s="11"/>
      <c r="I966" s="11"/>
      <c r="J966" s="18" t="s">
        <v>44</v>
      </c>
      <c r="K966" s="18" t="s">
        <v>45</v>
      </c>
      <c r="L966" s="11"/>
      <c r="M966" s="18">
        <f>[1]!f_prt_stocktonav(B966,"2017/03/31")</f>
        <v>79.404228210449219</v>
      </c>
      <c r="N966" s="20" t="str">
        <f>[1]!f_info_fundmanager(B966)</f>
        <v>王大鹏</v>
      </c>
      <c r="O966" s="21">
        <v>-0.15068493150684931</v>
      </c>
      <c r="P966" s="34" t="s">
        <v>3729</v>
      </c>
      <c r="Q966" s="34" t="s">
        <v>3730</v>
      </c>
      <c r="R966" s="34" t="s">
        <v>378</v>
      </c>
      <c r="S966" s="34">
        <v>20040326</v>
      </c>
      <c r="T966" s="45">
        <v>1.3188541343</v>
      </c>
      <c r="U966" s="46">
        <v>1.5059763811</v>
      </c>
      <c r="V966" s="34" t="s">
        <v>231</v>
      </c>
      <c r="W966" s="34" t="s">
        <v>44</v>
      </c>
      <c r="X966" s="34" t="s">
        <v>87</v>
      </c>
      <c r="Y966" s="34" t="s">
        <v>274</v>
      </c>
      <c r="Z966" s="34" t="s">
        <v>3731</v>
      </c>
      <c r="AA966" s="34"/>
      <c r="AB966" s="56">
        <v>0.76649261474609376</v>
      </c>
      <c r="AC966" s="23" t="s">
        <v>2367</v>
      </c>
      <c r="AD966" s="24">
        <v>3.2082191780821918</v>
      </c>
      <c r="AE966" s="25">
        <v>6.7471936230436347E-2</v>
      </c>
      <c r="AF966" s="26">
        <v>0.25761666240100478</v>
      </c>
      <c r="AG966" s="26">
        <v>0.16577662639912938</v>
      </c>
      <c r="AH966" s="27">
        <v>0.32976487898423218</v>
      </c>
      <c r="AI966" s="27">
        <v>0.89248284662590249</v>
      </c>
      <c r="AJ966" s="27">
        <v>0.70969759681240641</v>
      </c>
      <c r="AK966" s="33" t="s">
        <v>2614</v>
      </c>
      <c r="AL966" s="29">
        <v>4</v>
      </c>
      <c r="AM966" s="29">
        <v>4</v>
      </c>
      <c r="AN966" s="29" t="s">
        <v>48</v>
      </c>
      <c r="AO966" s="47" t="s">
        <v>2226</v>
      </c>
      <c r="AP966" s="28">
        <v>0</v>
      </c>
      <c r="AQ966" s="26">
        <v>1.4999999999999999E-2</v>
      </c>
      <c r="AR966" s="26">
        <v>0</v>
      </c>
    </row>
    <row r="967" spans="1:44" x14ac:dyDescent="0.15">
      <c r="A967">
        <v>755</v>
      </c>
      <c r="B967" s="11">
        <v>161706</v>
      </c>
      <c r="C967" s="32"/>
      <c r="D967" s="32"/>
      <c r="E967" s="32"/>
      <c r="F967" s="32"/>
      <c r="G967" s="11"/>
      <c r="H967" s="11"/>
      <c r="I967" s="11"/>
      <c r="J967" s="18" t="s">
        <v>44</v>
      </c>
      <c r="K967" s="18" t="s">
        <v>45</v>
      </c>
      <c r="L967" s="11"/>
      <c r="M967" s="18">
        <f>[1]!f_prt_stocktonav(B967,"2017/03/31")</f>
        <v>78.142936706542969</v>
      </c>
      <c r="N967" s="20" t="str">
        <f>[1]!f_info_fundmanager(B967)</f>
        <v>付斌</v>
      </c>
      <c r="O967" s="21">
        <v>-0.16986301369863013</v>
      </c>
      <c r="P967" s="34" t="s">
        <v>3732</v>
      </c>
      <c r="Q967" s="34" t="s">
        <v>3733</v>
      </c>
      <c r="R967" s="34" t="s">
        <v>165</v>
      </c>
      <c r="S967" s="34">
        <v>20051117</v>
      </c>
      <c r="T967" s="45">
        <v>10.908107552700001</v>
      </c>
      <c r="U967" s="46">
        <v>11.701080682100001</v>
      </c>
      <c r="V967" s="34" t="s">
        <v>231</v>
      </c>
      <c r="W967" s="34" t="s">
        <v>44</v>
      </c>
      <c r="X967" s="34" t="s">
        <v>45</v>
      </c>
      <c r="Y967" s="34" t="s">
        <v>274</v>
      </c>
      <c r="Z967" s="34"/>
      <c r="AA967" s="34"/>
      <c r="AB967" s="56">
        <v>0.80181083679199217</v>
      </c>
      <c r="AC967" s="23" t="s">
        <v>3734</v>
      </c>
      <c r="AD967" s="24">
        <v>2.56986301369863</v>
      </c>
      <c r="AE967" s="25">
        <v>0.14853907155832125</v>
      </c>
      <c r="AF967" s="26">
        <v>8.4703733566916295E-2</v>
      </c>
      <c r="AG967" s="26">
        <v>6.416288433498174E-2</v>
      </c>
      <c r="AH967" s="27">
        <v>0.589383895317248</v>
      </c>
      <c r="AI967" s="27">
        <v>0.3745270260430027</v>
      </c>
      <c r="AJ967" s="27">
        <v>0.31174376424449346</v>
      </c>
      <c r="AK967" s="28" t="s">
        <v>3735</v>
      </c>
      <c r="AL967" s="29">
        <v>1</v>
      </c>
      <c r="AM967" s="29">
        <v>2</v>
      </c>
      <c r="AN967" s="29" t="s">
        <v>48</v>
      </c>
      <c r="AO967" s="47" t="s">
        <v>3736</v>
      </c>
      <c r="AP967" s="28" t="s">
        <v>3737</v>
      </c>
      <c r="AQ967" s="26">
        <v>1.4999999999999999E-2</v>
      </c>
      <c r="AR967" s="26">
        <v>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967"/>
  <sheetViews>
    <sheetView tabSelected="1" topLeftCell="B1" zoomScale="90" zoomScaleNormal="90" workbookViewId="0">
      <selection activeCell="O2" sqref="O2:O967"/>
    </sheetView>
  </sheetViews>
  <sheetFormatPr defaultRowHeight="13.5" x14ac:dyDescent="0.15"/>
  <cols>
    <col min="1" max="1" width="5.5" customWidth="1"/>
    <col min="2" max="2" width="4.875" customWidth="1"/>
    <col min="4" max="4" width="6.125" customWidth="1"/>
    <col min="6" max="6" width="5.125" customWidth="1"/>
    <col min="8" max="8" width="4.125" customWidth="1"/>
    <col min="16" max="16" width="12.25" bestFit="1" customWidth="1"/>
    <col min="28" max="28" width="5" customWidth="1"/>
  </cols>
  <sheetData>
    <row r="1" spans="1:45" ht="14.25" thickBot="1" x14ac:dyDescent="0.2">
      <c r="A1" s="63" t="s">
        <v>3846</v>
      </c>
      <c r="B1" s="64" t="s">
        <v>3746</v>
      </c>
      <c r="C1" s="1" t="s">
        <v>1</v>
      </c>
      <c r="D1" s="69" t="s">
        <v>3738</v>
      </c>
      <c r="E1" s="69" t="s">
        <v>3739</v>
      </c>
      <c r="F1" s="69" t="s">
        <v>3743</v>
      </c>
      <c r="G1" s="69" t="s">
        <v>3744</v>
      </c>
      <c r="H1" s="57" t="s">
        <v>3740</v>
      </c>
      <c r="I1" s="57" t="s">
        <v>3741</v>
      </c>
      <c r="J1" s="57" t="s">
        <v>3742</v>
      </c>
      <c r="K1" s="5" t="s">
        <v>3753</v>
      </c>
      <c r="L1" s="5" t="s">
        <v>3754</v>
      </c>
      <c r="M1" s="5" t="s">
        <v>3845</v>
      </c>
      <c r="N1" s="5" t="s">
        <v>3755</v>
      </c>
      <c r="O1" s="5" t="s">
        <v>17</v>
      </c>
      <c r="P1" s="5" t="s">
        <v>18</v>
      </c>
      <c r="Q1" s="1" t="s">
        <v>3747</v>
      </c>
      <c r="R1" s="1" t="s">
        <v>3748</v>
      </c>
      <c r="S1" s="2" t="s">
        <v>4</v>
      </c>
      <c r="T1" s="3" t="s">
        <v>5</v>
      </c>
      <c r="U1" s="4" t="s">
        <v>3749</v>
      </c>
      <c r="V1" s="4" t="s">
        <v>3750</v>
      </c>
      <c r="W1" s="5" t="s">
        <v>8</v>
      </c>
      <c r="X1" s="5" t="s">
        <v>9</v>
      </c>
      <c r="Y1" s="5" t="s">
        <v>3751</v>
      </c>
      <c r="Z1" s="5" t="s">
        <v>11</v>
      </c>
      <c r="AA1" s="5" t="s">
        <v>12</v>
      </c>
      <c r="AB1" s="5" t="s">
        <v>3752</v>
      </c>
      <c r="AC1" s="5" t="s">
        <v>3756</v>
      </c>
      <c r="AD1" s="6" t="s">
        <v>3757</v>
      </c>
      <c r="AE1" s="6" t="s">
        <v>3758</v>
      </c>
      <c r="AF1" s="7" t="s">
        <v>3759</v>
      </c>
      <c r="AG1" s="7" t="s">
        <v>3760</v>
      </c>
      <c r="AH1" s="7" t="s">
        <v>3761</v>
      </c>
      <c r="AI1" s="8" t="s">
        <v>25</v>
      </c>
      <c r="AJ1" s="8" t="s">
        <v>3762</v>
      </c>
      <c r="AK1" s="8" t="s">
        <v>3763</v>
      </c>
      <c r="AL1" s="9" t="s">
        <v>3764</v>
      </c>
      <c r="AM1" s="10" t="s">
        <v>3765</v>
      </c>
      <c r="AN1" s="10" t="s">
        <v>3766</v>
      </c>
      <c r="AO1" s="10" t="s">
        <v>3767</v>
      </c>
      <c r="AP1" s="6" t="s">
        <v>3768</v>
      </c>
      <c r="AQ1" s="6" t="s">
        <v>3769</v>
      </c>
      <c r="AR1" s="7" t="s">
        <v>3770</v>
      </c>
      <c r="AS1" s="7" t="s">
        <v>3771</v>
      </c>
    </row>
    <row r="2" spans="1:45" x14ac:dyDescent="0.15">
      <c r="A2" s="64">
        <v>890</v>
      </c>
      <c r="B2" s="64">
        <v>16</v>
      </c>
      <c r="C2" s="11">
        <v>161903</v>
      </c>
      <c r="D2" s="61">
        <v>238</v>
      </c>
      <c r="E2" s="61">
        <v>5.1708213404103205E-4</v>
      </c>
      <c r="F2" s="61">
        <v>54</v>
      </c>
      <c r="G2" s="61">
        <v>0.684137689121325</v>
      </c>
      <c r="H2" s="66">
        <v>1</v>
      </c>
      <c r="I2" s="67" t="str">
        <f>H2&amp;"/"&amp;10</f>
        <v>1/10</v>
      </c>
      <c r="J2" s="68">
        <f>H2/10</f>
        <v>0.1</v>
      </c>
      <c r="K2" s="18" t="s">
        <v>44</v>
      </c>
      <c r="L2" s="18" t="s">
        <v>45</v>
      </c>
      <c r="M2" s="58" t="s">
        <v>337</v>
      </c>
      <c r="N2" s="18">
        <f>[1]!f_prt_stocktonav(C2,"2017/03/31")</f>
        <v>94.78924560546875</v>
      </c>
      <c r="O2" s="20" t="str">
        <f>[1]!f_info_fundmanager(C2)</f>
        <v>孙远慧</v>
      </c>
      <c r="P2" s="21">
        <v>1.021917808219178</v>
      </c>
      <c r="Q2" s="34" t="s">
        <v>3453</v>
      </c>
      <c r="R2" s="34" t="s">
        <v>3454</v>
      </c>
      <c r="S2" s="34" t="s">
        <v>718</v>
      </c>
      <c r="T2" s="34">
        <v>20050715</v>
      </c>
      <c r="U2" s="45">
        <v>1.7108779383999999</v>
      </c>
      <c r="V2" s="46">
        <v>3.5589021124000002</v>
      </c>
      <c r="W2" s="34" t="s">
        <v>231</v>
      </c>
      <c r="X2" s="34" t="s">
        <v>44</v>
      </c>
      <c r="Y2" s="34" t="s">
        <v>45</v>
      </c>
      <c r="Z2" s="34" t="s">
        <v>65</v>
      </c>
      <c r="AA2" s="34"/>
      <c r="AB2" s="34"/>
      <c r="AC2" s="22">
        <v>0.93484649658203123</v>
      </c>
      <c r="AD2" s="23" t="s">
        <v>3455</v>
      </c>
      <c r="AE2" s="24">
        <v>0.79178082191780819</v>
      </c>
      <c r="AF2" s="25">
        <v>0.11054046763433689</v>
      </c>
      <c r="AG2" s="26">
        <v>0.22685598673720045</v>
      </c>
      <c r="AH2" s="26">
        <v>0.12015613992543406</v>
      </c>
      <c r="AI2" s="27">
        <v>0.48756748124922139</v>
      </c>
      <c r="AJ2" s="27">
        <v>0.78363992872156185</v>
      </c>
      <c r="AK2" s="27">
        <v>0.5232341047163821</v>
      </c>
      <c r="AL2" s="28" t="s">
        <v>1459</v>
      </c>
      <c r="AM2" s="29">
        <v>1</v>
      </c>
      <c r="AN2" s="29">
        <v>3</v>
      </c>
      <c r="AO2" s="29" t="s">
        <v>48</v>
      </c>
      <c r="AP2" s="47" t="s">
        <v>3456</v>
      </c>
      <c r="AQ2" s="28">
        <v>0</v>
      </c>
      <c r="AR2" s="26">
        <v>1.2999999523162841E-2</v>
      </c>
      <c r="AS2" s="26">
        <v>0</v>
      </c>
    </row>
    <row r="3" spans="1:45" x14ac:dyDescent="0.15">
      <c r="A3" s="64">
        <v>848</v>
      </c>
      <c r="B3" s="64">
        <v>521</v>
      </c>
      <c r="C3" s="11">
        <v>540002</v>
      </c>
      <c r="D3" s="61">
        <v>310</v>
      </c>
      <c r="E3" s="61">
        <v>-1.01057558173207E-4</v>
      </c>
      <c r="F3" s="61">
        <v>48</v>
      </c>
      <c r="G3" s="61">
        <v>0.931984214383895</v>
      </c>
      <c r="H3" s="66">
        <v>2</v>
      </c>
      <c r="I3" s="67" t="str">
        <f>H3&amp;"/"&amp;10</f>
        <v>2/10</v>
      </c>
      <c r="J3" s="68">
        <f>H3/10</f>
        <v>0.2</v>
      </c>
      <c r="K3" s="18" t="s">
        <v>44</v>
      </c>
      <c r="L3" s="18" t="s">
        <v>45</v>
      </c>
      <c r="M3" s="58" t="s">
        <v>337</v>
      </c>
      <c r="N3" s="18">
        <f>[1]!f_prt_stocktonav(C3,"2017/03/31")</f>
        <v>84.908576965332031</v>
      </c>
      <c r="O3" s="20" t="str">
        <f>[1]!f_info_fundmanager(C3)</f>
        <v>曹庆</v>
      </c>
      <c r="P3" s="21">
        <v>0.9178082191780822</v>
      </c>
      <c r="Q3" s="34" t="s">
        <v>3292</v>
      </c>
      <c r="R3" s="34" t="s">
        <v>3293</v>
      </c>
      <c r="S3" s="34" t="s">
        <v>149</v>
      </c>
      <c r="T3" s="34">
        <v>20060927</v>
      </c>
      <c r="U3" s="45">
        <v>5.2128300358999997</v>
      </c>
      <c r="V3" s="46">
        <v>5.1049514319</v>
      </c>
      <c r="W3" s="34" t="s">
        <v>231</v>
      </c>
      <c r="X3" s="34" t="s">
        <v>44</v>
      </c>
      <c r="Y3" s="34" t="s">
        <v>45</v>
      </c>
      <c r="Z3" s="34" t="s">
        <v>65</v>
      </c>
      <c r="AA3" s="34"/>
      <c r="AB3" s="34"/>
      <c r="AC3" s="22">
        <v>0.91778671264648437</v>
      </c>
      <c r="AD3" s="23" t="s">
        <v>3294</v>
      </c>
      <c r="AE3" s="24">
        <v>0.68767123287671228</v>
      </c>
      <c r="AF3" s="25">
        <v>0.16095168374462454</v>
      </c>
      <c r="AG3" s="26">
        <v>0.22263383567782724</v>
      </c>
      <c r="AH3" s="26">
        <v>0.18147796412717951</v>
      </c>
      <c r="AI3" s="27">
        <v>0.6468356313460556</v>
      </c>
      <c r="AJ3" s="27">
        <v>0.78116214183391397</v>
      </c>
      <c r="AK3" s="27">
        <v>0.71975182553491157</v>
      </c>
      <c r="AL3" s="28" t="s">
        <v>3295</v>
      </c>
      <c r="AM3" s="29">
        <v>4</v>
      </c>
      <c r="AN3" s="29">
        <v>5</v>
      </c>
      <c r="AO3" s="29" t="s">
        <v>48</v>
      </c>
      <c r="AP3" s="47" t="s">
        <v>410</v>
      </c>
      <c r="AQ3" s="28">
        <v>0</v>
      </c>
      <c r="AR3" s="26">
        <v>1.4999999999999999E-2</v>
      </c>
      <c r="AS3" s="26">
        <v>0</v>
      </c>
    </row>
    <row r="4" spans="1:45" x14ac:dyDescent="0.15">
      <c r="A4" s="64">
        <v>134</v>
      </c>
      <c r="B4" s="64">
        <v>534</v>
      </c>
      <c r="C4" s="11">
        <v>2124</v>
      </c>
      <c r="D4" s="61">
        <v>319</v>
      </c>
      <c r="E4" s="61">
        <v>-1.8343765248642399E-4</v>
      </c>
      <c r="F4" s="61">
        <v>59</v>
      </c>
      <c r="G4" s="61">
        <v>0.92717249236961896</v>
      </c>
      <c r="H4" s="66">
        <v>3</v>
      </c>
      <c r="I4" s="67" t="str">
        <f>H4&amp;"/"&amp;10</f>
        <v>3/10</v>
      </c>
      <c r="J4" s="68">
        <f>H4/10</f>
        <v>0.3</v>
      </c>
      <c r="K4" s="18" t="s">
        <v>44</v>
      </c>
      <c r="L4" s="18" t="s">
        <v>45</v>
      </c>
      <c r="M4" s="58" t="s">
        <v>337</v>
      </c>
      <c r="N4" s="18">
        <f>[1]!f_prt_stocktonav(C4,"2017/03/31")</f>
        <v>84.561042785644531</v>
      </c>
      <c r="O4" s="20" t="str">
        <f>[1]!f_info_fundmanager(C4)</f>
        <v>李巍,王小松</v>
      </c>
      <c r="P4" s="21">
        <v>1.1698630136986301</v>
      </c>
      <c r="Q4" s="34" t="s">
        <v>685</v>
      </c>
      <c r="R4" s="34" t="s">
        <v>686</v>
      </c>
      <c r="S4" s="34" t="s">
        <v>132</v>
      </c>
      <c r="T4" s="34">
        <v>20160129</v>
      </c>
      <c r="U4" s="45">
        <v>1.2048000752000001</v>
      </c>
      <c r="V4" s="46">
        <v>1.0439369324000001</v>
      </c>
      <c r="W4" s="34" t="s">
        <v>3776</v>
      </c>
      <c r="X4" s="34" t="s">
        <v>44</v>
      </c>
      <c r="Y4" s="17" t="s">
        <v>45</v>
      </c>
      <c r="Z4" s="17" t="s">
        <v>65</v>
      </c>
      <c r="AA4" s="34"/>
      <c r="AB4" s="34"/>
      <c r="AC4" s="22">
        <v>0.73040298461914066</v>
      </c>
      <c r="AD4" s="23" t="s">
        <v>687</v>
      </c>
      <c r="AE4" s="24">
        <v>0.9397260273972603</v>
      </c>
      <c r="AF4" s="25">
        <v>0.1258270766713665</v>
      </c>
      <c r="AG4" s="26">
        <v>0</v>
      </c>
      <c r="AH4" s="26">
        <v>0</v>
      </c>
      <c r="AI4" s="27">
        <v>1.0507952328662657</v>
      </c>
      <c r="AJ4" s="27">
        <v>1.0507952328662657</v>
      </c>
      <c r="AK4" s="27">
        <v>1.0507952328662657</v>
      </c>
      <c r="AL4" s="28" t="s">
        <v>688</v>
      </c>
      <c r="AM4" s="29" t="s">
        <v>48</v>
      </c>
      <c r="AN4" s="29" t="s">
        <v>48</v>
      </c>
      <c r="AO4" s="29" t="s">
        <v>48</v>
      </c>
      <c r="AP4" s="47" t="s">
        <v>689</v>
      </c>
      <c r="AQ4" s="28">
        <v>0</v>
      </c>
      <c r="AR4" s="26">
        <v>1.4999999999999999E-2</v>
      </c>
      <c r="AS4" s="26">
        <v>0</v>
      </c>
    </row>
    <row r="5" spans="1:45" x14ac:dyDescent="0.15">
      <c r="A5" s="64">
        <v>613</v>
      </c>
      <c r="B5" s="64">
        <v>553</v>
      </c>
      <c r="C5" s="11">
        <v>163110</v>
      </c>
      <c r="D5" s="61">
        <v>377</v>
      </c>
      <c r="E5" s="61">
        <v>-5.65008435662723E-4</v>
      </c>
      <c r="F5" s="61">
        <v>97</v>
      </c>
      <c r="G5" s="61">
        <v>0.58005798707116696</v>
      </c>
      <c r="H5" s="66">
        <v>4</v>
      </c>
      <c r="I5" s="67" t="str">
        <f>H5&amp;"/"&amp;10</f>
        <v>4/10</v>
      </c>
      <c r="J5" s="68">
        <f>H5/10</f>
        <v>0.4</v>
      </c>
      <c r="K5" s="18" t="s">
        <v>44</v>
      </c>
      <c r="L5" s="18" t="s">
        <v>64</v>
      </c>
      <c r="M5" s="58" t="s">
        <v>337</v>
      </c>
      <c r="N5" s="18">
        <f>[1]!f_prt_stocktonav(C5,"2017/03/31")</f>
        <v>83.956367492675781</v>
      </c>
      <c r="O5" s="20" t="str">
        <f>[1]!f_info_fundmanager(C5)</f>
        <v>金昉毅</v>
      </c>
      <c r="P5" s="21">
        <v>1.8630136986301369</v>
      </c>
      <c r="Q5" s="34" t="s">
        <v>2491</v>
      </c>
      <c r="R5" s="34" t="s">
        <v>2492</v>
      </c>
      <c r="S5" s="34" t="s">
        <v>2493</v>
      </c>
      <c r="T5" s="34">
        <v>20110616</v>
      </c>
      <c r="U5" s="45">
        <v>26.460365932599998</v>
      </c>
      <c r="V5" s="46">
        <v>20.802371239599999</v>
      </c>
      <c r="W5" s="34" t="s">
        <v>3789</v>
      </c>
      <c r="X5" s="34" t="s">
        <v>44</v>
      </c>
      <c r="Y5" s="34" t="s">
        <v>64</v>
      </c>
      <c r="Z5" s="34" t="s">
        <v>337</v>
      </c>
      <c r="AA5" s="34"/>
      <c r="AB5" s="34"/>
      <c r="AC5" s="22">
        <v>0.82433738708496096</v>
      </c>
      <c r="AD5" s="23" t="s">
        <v>2494</v>
      </c>
      <c r="AE5" s="24">
        <v>1.6328767123287671</v>
      </c>
      <c r="AF5" s="25">
        <v>0.19402939810171779</v>
      </c>
      <c r="AG5" s="26">
        <v>0.36249049258269439</v>
      </c>
      <c r="AH5" s="26">
        <v>0.27928413798194662</v>
      </c>
      <c r="AI5" s="27">
        <v>0.77090179515221491</v>
      </c>
      <c r="AJ5" s="27">
        <v>1.1678994435359711</v>
      </c>
      <c r="AK5" s="27">
        <v>1.0279463099666266</v>
      </c>
      <c r="AL5" s="28" t="s">
        <v>2495</v>
      </c>
      <c r="AM5" s="29">
        <v>5</v>
      </c>
      <c r="AN5" s="29">
        <v>3</v>
      </c>
      <c r="AO5" s="29" t="s">
        <v>48</v>
      </c>
      <c r="AP5" s="47" t="s">
        <v>2496</v>
      </c>
      <c r="AQ5" s="28">
        <v>0</v>
      </c>
      <c r="AR5" s="26">
        <v>1.4999999999999999E-2</v>
      </c>
      <c r="AS5" s="26">
        <v>0</v>
      </c>
    </row>
    <row r="6" spans="1:45" x14ac:dyDescent="0.15">
      <c r="A6" s="64">
        <v>276</v>
      </c>
      <c r="B6" s="64">
        <v>410</v>
      </c>
      <c r="C6" s="11">
        <v>1277</v>
      </c>
      <c r="D6" s="61">
        <v>456</v>
      </c>
      <c r="E6" s="61">
        <v>-1.0949529136087099E-3</v>
      </c>
      <c r="F6" s="61">
        <v>95</v>
      </c>
      <c r="G6" s="61">
        <v>0.21089539828908699</v>
      </c>
      <c r="H6" s="66">
        <v>5</v>
      </c>
      <c r="I6" s="67" t="str">
        <f>H6&amp;"/"&amp;10</f>
        <v>5/10</v>
      </c>
      <c r="J6" s="68">
        <f>H6/10</f>
        <v>0.5</v>
      </c>
      <c r="K6" s="18" t="s">
        <v>44</v>
      </c>
      <c r="L6" s="18" t="s">
        <v>87</v>
      </c>
      <c r="M6" s="58" t="s">
        <v>337</v>
      </c>
      <c r="N6" s="18">
        <f>[1]!f_prt_stocktonav(C6,"2017/03/31")</f>
        <v>87.150924682617188</v>
      </c>
      <c r="O6" s="20" t="str">
        <f>[1]!f_info_fundmanager(C6)</f>
        <v>林景艺</v>
      </c>
      <c r="P6" s="21">
        <v>1.8657534246575342</v>
      </c>
      <c r="Q6" s="34" t="s">
        <v>1268</v>
      </c>
      <c r="R6" s="34" t="s">
        <v>1269</v>
      </c>
      <c r="S6" s="34" t="s">
        <v>413</v>
      </c>
      <c r="T6" s="34">
        <v>20150520</v>
      </c>
      <c r="U6" s="45">
        <v>18.003880502200001</v>
      </c>
      <c r="V6" s="46">
        <v>18.3467706339</v>
      </c>
      <c r="W6" s="34" t="s">
        <v>1235</v>
      </c>
      <c r="X6" s="34" t="s">
        <v>44</v>
      </c>
      <c r="Y6" s="34" t="s">
        <v>87</v>
      </c>
      <c r="Z6" s="34" t="s">
        <v>337</v>
      </c>
      <c r="AA6" s="34" t="s">
        <v>3802</v>
      </c>
      <c r="AB6" s="34"/>
      <c r="AC6" s="22">
        <v>0.85760360717773443</v>
      </c>
      <c r="AD6" s="23" t="s">
        <v>1270</v>
      </c>
      <c r="AE6" s="24">
        <v>1.6356164383561644</v>
      </c>
      <c r="AF6" s="25">
        <v>-0.1245114102311813</v>
      </c>
      <c r="AG6" s="26">
        <v>0</v>
      </c>
      <c r="AH6" s="26">
        <v>0</v>
      </c>
      <c r="AI6" s="27">
        <v>-0.35057900912786816</v>
      </c>
      <c r="AJ6" s="27">
        <v>-0.35057900912786816</v>
      </c>
      <c r="AK6" s="27">
        <v>-0.35057900912786816</v>
      </c>
      <c r="AL6" s="33" t="s">
        <v>1258</v>
      </c>
      <c r="AM6" s="29" t="s">
        <v>48</v>
      </c>
      <c r="AN6" s="29" t="s">
        <v>48</v>
      </c>
      <c r="AO6" s="29" t="s">
        <v>48</v>
      </c>
      <c r="AP6" s="47" t="s">
        <v>1271</v>
      </c>
      <c r="AQ6" s="28">
        <v>0</v>
      </c>
      <c r="AR6" s="26">
        <v>1.4999999999999999E-2</v>
      </c>
      <c r="AS6" s="26">
        <v>0</v>
      </c>
    </row>
    <row r="7" spans="1:45" x14ac:dyDescent="0.15">
      <c r="A7" s="64">
        <v>257</v>
      </c>
      <c r="B7" s="64">
        <v>956</v>
      </c>
      <c r="C7" s="11">
        <v>1306</v>
      </c>
      <c r="D7" s="61">
        <v>480</v>
      </c>
      <c r="E7" s="61">
        <v>-1.2934918739933899E-3</v>
      </c>
      <c r="F7" s="61">
        <v>93</v>
      </c>
      <c r="G7" s="61">
        <v>0.20943268861384501</v>
      </c>
      <c r="H7" s="66">
        <v>6</v>
      </c>
      <c r="I7" s="67" t="str">
        <f>H7&amp;"/"&amp;10</f>
        <v>6/10</v>
      </c>
      <c r="J7" s="68">
        <f>H7/10</f>
        <v>0.6</v>
      </c>
      <c r="K7" s="18" t="s">
        <v>44</v>
      </c>
      <c r="L7" s="18" t="s">
        <v>45</v>
      </c>
      <c r="M7" s="58" t="s">
        <v>337</v>
      </c>
      <c r="N7" s="18">
        <f>[1]!f_prt_stocktonav(C7,"2017/03/31")</f>
        <v>70.214897155761719</v>
      </c>
      <c r="O7" s="20" t="str">
        <f>[1]!f_info_fundmanager(C7)</f>
        <v>魏博,庄波</v>
      </c>
      <c r="P7" s="21">
        <v>1.8246575342465754</v>
      </c>
      <c r="Q7" s="34" t="s">
        <v>1182</v>
      </c>
      <c r="R7" s="34" t="s">
        <v>1183</v>
      </c>
      <c r="S7" s="34" t="s">
        <v>200</v>
      </c>
      <c r="T7" s="34">
        <v>20150604</v>
      </c>
      <c r="U7" s="45">
        <v>35.537006559300004</v>
      </c>
      <c r="V7" s="46">
        <v>40.933399072699999</v>
      </c>
      <c r="W7" s="34" t="s">
        <v>3789</v>
      </c>
      <c r="X7" s="34" t="s">
        <v>44</v>
      </c>
      <c r="Y7" s="34" t="s">
        <v>45</v>
      </c>
      <c r="Z7" s="17" t="s">
        <v>337</v>
      </c>
      <c r="AA7" s="34"/>
      <c r="AB7" s="34"/>
      <c r="AC7" s="22">
        <v>0.7684121704101563</v>
      </c>
      <c r="AD7" s="23" t="s">
        <v>1184</v>
      </c>
      <c r="AE7" s="24">
        <v>1.5945205479452054</v>
      </c>
      <c r="AF7" s="25">
        <v>-7.9008483852635814E-2</v>
      </c>
      <c r="AG7" s="26">
        <v>0</v>
      </c>
      <c r="AH7" s="26">
        <v>0</v>
      </c>
      <c r="AI7" s="27">
        <v>-0.30485568715981426</v>
      </c>
      <c r="AJ7" s="27">
        <v>-0.30485568715981426</v>
      </c>
      <c r="AK7" s="27">
        <v>-0.30485568715981426</v>
      </c>
      <c r="AL7" s="28" t="s">
        <v>167</v>
      </c>
      <c r="AM7" s="29" t="s">
        <v>48</v>
      </c>
      <c r="AN7" s="29" t="s">
        <v>48</v>
      </c>
      <c r="AO7" s="29" t="s">
        <v>48</v>
      </c>
      <c r="AP7" s="47" t="s">
        <v>1185</v>
      </c>
      <c r="AQ7" s="28">
        <v>0</v>
      </c>
      <c r="AR7" s="26">
        <v>1.4999999999999999E-2</v>
      </c>
      <c r="AS7" s="26">
        <v>0</v>
      </c>
    </row>
    <row r="8" spans="1:45" x14ac:dyDescent="0.15">
      <c r="A8" s="64">
        <v>921</v>
      </c>
      <c r="B8" s="64">
        <v>829</v>
      </c>
      <c r="C8" s="11">
        <v>240005</v>
      </c>
      <c r="D8" s="61">
        <v>520</v>
      </c>
      <c r="E8" s="61">
        <v>-1.5708821106347199E-3</v>
      </c>
      <c r="F8" s="61">
        <v>73</v>
      </c>
      <c r="G8" s="61">
        <v>0.122319712962411</v>
      </c>
      <c r="H8" s="66">
        <v>7</v>
      </c>
      <c r="I8" s="67" t="str">
        <f>H8&amp;"/"&amp;10</f>
        <v>7/10</v>
      </c>
      <c r="J8" s="68">
        <f>H8/10</f>
        <v>0.7</v>
      </c>
      <c r="K8" s="18" t="s">
        <v>44</v>
      </c>
      <c r="L8" s="18" t="s">
        <v>64</v>
      </c>
      <c r="M8" s="58" t="s">
        <v>337</v>
      </c>
      <c r="N8" s="18">
        <f>[1]!f_prt_stocktonav(C8,"2017/03/31")</f>
        <v>75.726119995117188</v>
      </c>
      <c r="O8" s="20" t="str">
        <f>[1]!f_info_fundmanager(C8)</f>
        <v>蔡目荣</v>
      </c>
      <c r="P8" s="21">
        <v>1.4027397260273973</v>
      </c>
      <c r="Q8" s="34" t="s">
        <v>3580</v>
      </c>
      <c r="R8" s="34" t="s">
        <v>3581</v>
      </c>
      <c r="S8" s="34" t="s">
        <v>737</v>
      </c>
      <c r="T8" s="34">
        <v>20040511</v>
      </c>
      <c r="U8" s="45">
        <v>22.289311231700001</v>
      </c>
      <c r="V8" s="46">
        <v>22.178551907700001</v>
      </c>
      <c r="W8" s="34" t="s">
        <v>231</v>
      </c>
      <c r="X8" s="34" t="s">
        <v>44</v>
      </c>
      <c r="Y8" s="34" t="s">
        <v>45</v>
      </c>
      <c r="Z8" s="34" t="s">
        <v>337</v>
      </c>
      <c r="AA8" s="34"/>
      <c r="AB8" s="34"/>
      <c r="AC8" s="22">
        <v>0.78380287170410157</v>
      </c>
      <c r="AD8" s="23" t="s">
        <v>2255</v>
      </c>
      <c r="AE8" s="24">
        <v>1.1726027397260275</v>
      </c>
      <c r="AF8" s="25">
        <v>0.13991021666434622</v>
      </c>
      <c r="AG8" s="26">
        <v>0.12998211716028463</v>
      </c>
      <c r="AH8" s="26">
        <v>9.96487584828991E-2</v>
      </c>
      <c r="AI8" s="27">
        <v>0.59132396961171951</v>
      </c>
      <c r="AJ8" s="27">
        <v>0.50241675479823822</v>
      </c>
      <c r="AK8" s="27">
        <v>0.43201105036257298</v>
      </c>
      <c r="AL8" s="28" t="s">
        <v>3582</v>
      </c>
      <c r="AM8" s="29">
        <v>4</v>
      </c>
      <c r="AN8" s="29">
        <v>1</v>
      </c>
      <c r="AO8" s="29" t="s">
        <v>48</v>
      </c>
      <c r="AP8" s="47" t="s">
        <v>739</v>
      </c>
      <c r="AQ8" s="28">
        <v>0</v>
      </c>
      <c r="AR8" s="26">
        <v>1.4999999999999999E-2</v>
      </c>
      <c r="AS8" s="26">
        <v>0</v>
      </c>
    </row>
    <row r="9" spans="1:45" x14ac:dyDescent="0.15">
      <c r="A9" s="64">
        <v>193</v>
      </c>
      <c r="B9" s="64">
        <v>130</v>
      </c>
      <c r="C9" s="11">
        <v>1754</v>
      </c>
      <c r="D9" s="61">
        <v>702</v>
      </c>
      <c r="E9" s="61">
        <v>-3.0146167213112901E-3</v>
      </c>
      <c r="F9" s="61">
        <v>80</v>
      </c>
      <c r="G9" s="61">
        <v>2.9523274577922701E-2</v>
      </c>
      <c r="H9" s="66">
        <v>8</v>
      </c>
      <c r="I9" s="67" t="str">
        <f>H9&amp;"/"&amp;10</f>
        <v>8/10</v>
      </c>
      <c r="J9" s="68">
        <f>H9/10</f>
        <v>0.8</v>
      </c>
      <c r="K9" s="18" t="s">
        <v>44</v>
      </c>
      <c r="L9" s="18" t="s">
        <v>64</v>
      </c>
      <c r="M9" s="58" t="s">
        <v>337</v>
      </c>
      <c r="N9" s="18">
        <f>[1]!f_prt_stocktonav(C9,"2017/03/31")</f>
        <v>93.0947265625</v>
      </c>
      <c r="O9" s="20" t="str">
        <f>[1]!f_info_fundmanager(C9)</f>
        <v>张大木</v>
      </c>
      <c r="P9" s="21">
        <v>1.5808219178082192</v>
      </c>
      <c r="Q9" s="34" t="s">
        <v>931</v>
      </c>
      <c r="R9" s="34" t="s">
        <v>932</v>
      </c>
      <c r="S9" s="34" t="s">
        <v>933</v>
      </c>
      <c r="T9" s="34">
        <v>20150901</v>
      </c>
      <c r="U9" s="45">
        <v>0.60002958630000003</v>
      </c>
      <c r="V9" s="46">
        <v>0.78854958850000001</v>
      </c>
      <c r="W9" s="34" t="s">
        <v>201</v>
      </c>
      <c r="X9" s="34" t="s">
        <v>44</v>
      </c>
      <c r="Y9" s="34" t="s">
        <v>45</v>
      </c>
      <c r="Z9" s="34" t="s">
        <v>337</v>
      </c>
      <c r="AA9" s="34"/>
      <c r="AB9" s="34"/>
      <c r="AC9" s="22">
        <v>0.92015556335449222</v>
      </c>
      <c r="AD9" s="23" t="s">
        <v>934</v>
      </c>
      <c r="AE9" s="24">
        <v>1.3506849315068492</v>
      </c>
      <c r="AF9" s="25">
        <v>1.1943242202564486E-2</v>
      </c>
      <c r="AG9" s="26">
        <v>0</v>
      </c>
      <c r="AH9" s="26">
        <v>0</v>
      </c>
      <c r="AI9" s="27">
        <v>8.5623746936971931E-2</v>
      </c>
      <c r="AJ9" s="27">
        <v>8.5623746936971931E-2</v>
      </c>
      <c r="AK9" s="27">
        <v>8.5623746936971931E-2</v>
      </c>
      <c r="AL9" s="28" t="s">
        <v>935</v>
      </c>
      <c r="AM9" s="29" t="s">
        <v>48</v>
      </c>
      <c r="AN9" s="29" t="s">
        <v>48</v>
      </c>
      <c r="AO9" s="29" t="s">
        <v>48</v>
      </c>
      <c r="AP9" s="47" t="s">
        <v>405</v>
      </c>
      <c r="AQ9" s="28">
        <v>0</v>
      </c>
      <c r="AR9" s="26">
        <v>1.4999999999999999E-2</v>
      </c>
      <c r="AS9" s="26">
        <v>0</v>
      </c>
    </row>
    <row r="10" spans="1:45" x14ac:dyDescent="0.15">
      <c r="A10" s="64">
        <v>209</v>
      </c>
      <c r="B10" s="64">
        <v>903</v>
      </c>
      <c r="C10" s="11">
        <v>1565</v>
      </c>
      <c r="D10" s="61">
        <v>706</v>
      </c>
      <c r="E10" s="61">
        <v>-3.03360477692605E-3</v>
      </c>
      <c r="F10" s="61">
        <v>84</v>
      </c>
      <c r="G10" s="61">
        <v>1.42378656984639E-4</v>
      </c>
      <c r="H10" s="66">
        <v>9</v>
      </c>
      <c r="I10" s="67" t="str">
        <f>H10&amp;"/"&amp;10</f>
        <v>9/10</v>
      </c>
      <c r="J10" s="68">
        <f>H10/10</f>
        <v>0.9</v>
      </c>
      <c r="K10" s="18" t="s">
        <v>44</v>
      </c>
      <c r="L10" s="18" t="s">
        <v>64</v>
      </c>
      <c r="M10" s="58" t="s">
        <v>337</v>
      </c>
      <c r="N10" s="18">
        <f>[1]!f_prt_stocktonav(C10,"2017/03/31")</f>
        <v>72.445289611816406</v>
      </c>
      <c r="O10" s="20" t="str">
        <f>[1]!f_info_fundmanager(C10)</f>
        <v>张大木</v>
      </c>
      <c r="P10" s="21">
        <v>1.6520547945205479</v>
      </c>
      <c r="Q10" s="34" t="s">
        <v>991</v>
      </c>
      <c r="R10" s="34" t="s">
        <v>992</v>
      </c>
      <c r="S10" s="34" t="s">
        <v>933</v>
      </c>
      <c r="T10" s="34">
        <v>20150806</v>
      </c>
      <c r="U10" s="45">
        <v>0.83613412499999995</v>
      </c>
      <c r="V10" s="46">
        <v>1.0159662608</v>
      </c>
      <c r="W10" s="34" t="s">
        <v>3789</v>
      </c>
      <c r="X10" s="34" t="s">
        <v>41</v>
      </c>
      <c r="Y10" s="34" t="s">
        <v>42</v>
      </c>
      <c r="Z10" s="34" t="s">
        <v>181</v>
      </c>
      <c r="AA10" s="34"/>
      <c r="AB10" s="34"/>
      <c r="AC10" s="22">
        <v>0.64027351379394526</v>
      </c>
      <c r="AD10" s="23" t="s">
        <v>934</v>
      </c>
      <c r="AE10" s="24">
        <v>1.4219178082191781</v>
      </c>
      <c r="AF10" s="25">
        <v>-0.12393566682987099</v>
      </c>
      <c r="AG10" s="26">
        <v>0</v>
      </c>
      <c r="AH10" s="26">
        <v>0</v>
      </c>
      <c r="AI10" s="27">
        <v>-2.7711616070629139</v>
      </c>
      <c r="AJ10" s="27">
        <v>-2.7711616070629139</v>
      </c>
      <c r="AK10" s="27">
        <v>-2.7711616070629139</v>
      </c>
      <c r="AL10" s="28" t="s">
        <v>993</v>
      </c>
      <c r="AM10" s="29" t="s">
        <v>48</v>
      </c>
      <c r="AN10" s="29" t="s">
        <v>48</v>
      </c>
      <c r="AO10" s="29" t="s">
        <v>48</v>
      </c>
      <c r="AP10" s="47" t="s">
        <v>249</v>
      </c>
      <c r="AQ10" s="28">
        <v>0</v>
      </c>
      <c r="AR10" s="26">
        <v>1.2000000476837159E-2</v>
      </c>
      <c r="AS10" s="26">
        <v>0</v>
      </c>
    </row>
    <row r="11" spans="1:45" x14ac:dyDescent="0.15">
      <c r="A11" s="64">
        <v>335</v>
      </c>
      <c r="B11" s="64">
        <v>422</v>
      </c>
      <c r="C11" s="11">
        <v>1047</v>
      </c>
      <c r="D11" s="61">
        <v>786</v>
      </c>
      <c r="E11" s="61">
        <v>-3.76453153644334E-3</v>
      </c>
      <c r="F11" s="61">
        <v>98</v>
      </c>
      <c r="G11" s="61">
        <v>9.5578270373928101E-4</v>
      </c>
      <c r="H11" s="66">
        <v>10</v>
      </c>
      <c r="I11" s="67" t="str">
        <f>H11&amp;"/"&amp;10</f>
        <v>10/10</v>
      </c>
      <c r="J11" s="68">
        <f>H11/10</f>
        <v>1</v>
      </c>
      <c r="K11" s="18" t="s">
        <v>44</v>
      </c>
      <c r="L11" s="18" t="s">
        <v>87</v>
      </c>
      <c r="M11" s="58" t="s">
        <v>337</v>
      </c>
      <c r="N11" s="18">
        <f>[1]!f_prt_stocktonav(C11,"2017/03/31")</f>
        <v>86.867874145507813</v>
      </c>
      <c r="O11" s="20" t="str">
        <f>[1]!f_info_fundmanager(C11)</f>
        <v>董伟炜</v>
      </c>
      <c r="P11" s="21">
        <v>1.8657534246575342</v>
      </c>
      <c r="Q11" s="34" t="s">
        <v>1489</v>
      </c>
      <c r="R11" s="34" t="s">
        <v>1490</v>
      </c>
      <c r="S11" s="34" t="s">
        <v>634</v>
      </c>
      <c r="T11" s="34">
        <v>20150325</v>
      </c>
      <c r="U11" s="45">
        <v>15.3652869095</v>
      </c>
      <c r="V11" s="46">
        <v>14.9249245475</v>
      </c>
      <c r="W11" s="34" t="s">
        <v>1235</v>
      </c>
      <c r="X11" s="34" t="s">
        <v>44</v>
      </c>
      <c r="Y11" s="34" t="s">
        <v>87</v>
      </c>
      <c r="Z11" s="34" t="s">
        <v>337</v>
      </c>
      <c r="AA11" s="34" t="s">
        <v>3812</v>
      </c>
      <c r="AB11" s="34"/>
      <c r="AC11" s="22">
        <v>0.93915100097656246</v>
      </c>
      <c r="AD11" s="23" t="s">
        <v>1491</v>
      </c>
      <c r="AE11" s="24">
        <v>1.6356164383561644</v>
      </c>
      <c r="AF11" s="25">
        <v>-2.9631265648197624E-2</v>
      </c>
      <c r="AG11" s="26">
        <v>0</v>
      </c>
      <c r="AH11" s="26">
        <v>0</v>
      </c>
      <c r="AI11" s="27">
        <v>5.7833451981224943E-2</v>
      </c>
      <c r="AJ11" s="27">
        <v>5.7833451981224943E-2</v>
      </c>
      <c r="AK11" s="27">
        <v>5.7833451981224943E-2</v>
      </c>
      <c r="AL11" s="33" t="s">
        <v>1492</v>
      </c>
      <c r="AM11" s="29" t="s">
        <v>48</v>
      </c>
      <c r="AN11" s="29" t="s">
        <v>48</v>
      </c>
      <c r="AO11" s="29" t="s">
        <v>48</v>
      </c>
      <c r="AP11" s="47" t="s">
        <v>1493</v>
      </c>
      <c r="AQ11" s="28">
        <v>0</v>
      </c>
      <c r="AR11" s="26">
        <v>1.4999999999999999E-2</v>
      </c>
      <c r="AS11" s="26">
        <v>0</v>
      </c>
    </row>
    <row r="12" spans="1:45" x14ac:dyDescent="0.15">
      <c r="A12" s="64">
        <v>178</v>
      </c>
      <c r="B12" s="64">
        <v>331</v>
      </c>
      <c r="C12" s="11">
        <v>1938</v>
      </c>
      <c r="D12" s="61">
        <v>20</v>
      </c>
      <c r="E12" s="61">
        <v>3.7708373070566002E-3</v>
      </c>
      <c r="F12" s="61">
        <v>71</v>
      </c>
      <c r="G12" s="61">
        <v>4.20145935020977E-2</v>
      </c>
      <c r="H12" s="66">
        <v>1</v>
      </c>
      <c r="I12" s="66" t="str">
        <f>H12&amp;"/"&amp;428</f>
        <v>1/428</v>
      </c>
      <c r="J12" s="68">
        <f>H12/428</f>
        <v>2.3364485981308409E-3</v>
      </c>
      <c r="K12" s="18" t="s">
        <v>44</v>
      </c>
      <c r="L12" s="18" t="s">
        <v>45</v>
      </c>
      <c r="M12" s="58" t="s">
        <v>274</v>
      </c>
      <c r="N12" s="18">
        <f>[1]!f_prt_stocktonav(C12,"2017/03/31")</f>
        <v>88.777755737304688</v>
      </c>
      <c r="O12" s="20" t="str">
        <f>[1]!f_info_fundmanager(C12)</f>
        <v>周应波</v>
      </c>
      <c r="P12" s="21">
        <v>1.4082191780821918</v>
      </c>
      <c r="Q12" s="34" t="s">
        <v>875</v>
      </c>
      <c r="R12" s="34" t="s">
        <v>876</v>
      </c>
      <c r="S12" s="34" t="s">
        <v>200</v>
      </c>
      <c r="T12" s="34">
        <v>20151103</v>
      </c>
      <c r="U12" s="45">
        <v>1.3815829256000001</v>
      </c>
      <c r="V12" s="46">
        <v>0.90037332280000004</v>
      </c>
      <c r="W12" s="34" t="s">
        <v>3789</v>
      </c>
      <c r="X12" s="34" t="s">
        <v>44</v>
      </c>
      <c r="Y12" s="34" t="s">
        <v>45</v>
      </c>
      <c r="Z12" s="34" t="s">
        <v>274</v>
      </c>
      <c r="AA12" s="34"/>
      <c r="AB12" s="34"/>
      <c r="AC12" s="22">
        <v>0.86308021545410152</v>
      </c>
      <c r="AD12" s="23" t="s">
        <v>611</v>
      </c>
      <c r="AE12" s="24">
        <v>1.178082191780822</v>
      </c>
      <c r="AF12" s="25">
        <v>0.25562875614189751</v>
      </c>
      <c r="AG12" s="26">
        <v>0</v>
      </c>
      <c r="AH12" s="26">
        <v>0</v>
      </c>
      <c r="AI12" s="27">
        <v>0.99774884685886367</v>
      </c>
      <c r="AJ12" s="27">
        <v>0.99774884685886367</v>
      </c>
      <c r="AK12" s="27">
        <v>0.99774884685886367</v>
      </c>
      <c r="AL12" s="28" t="s">
        <v>877</v>
      </c>
      <c r="AM12" s="29" t="s">
        <v>48</v>
      </c>
      <c r="AN12" s="29" t="s">
        <v>48</v>
      </c>
      <c r="AO12" s="29" t="s">
        <v>48</v>
      </c>
      <c r="AP12" s="47" t="s">
        <v>421</v>
      </c>
      <c r="AQ12" s="28">
        <v>0</v>
      </c>
      <c r="AR12" s="26">
        <v>1.4999999999999999E-2</v>
      </c>
      <c r="AS12" s="26">
        <v>0</v>
      </c>
    </row>
    <row r="13" spans="1:45" x14ac:dyDescent="0.15">
      <c r="A13" s="64">
        <v>110</v>
      </c>
      <c r="B13" s="64">
        <v>338</v>
      </c>
      <c r="C13" s="11">
        <v>1975</v>
      </c>
      <c r="D13" s="61">
        <v>33</v>
      </c>
      <c r="E13" s="61">
        <v>3.2961885076488698E-3</v>
      </c>
      <c r="F13" s="61">
        <v>53</v>
      </c>
      <c r="G13" s="61">
        <v>2.4593018105349501E-2</v>
      </c>
      <c r="H13" s="66">
        <v>2</v>
      </c>
      <c r="I13" s="66" t="str">
        <f>H13&amp;"/"&amp;428</f>
        <v>2/428</v>
      </c>
      <c r="J13" s="68">
        <f>H13/428</f>
        <v>4.6728971962616819E-3</v>
      </c>
      <c r="K13" s="18" t="s">
        <v>44</v>
      </c>
      <c r="L13" s="18" t="s">
        <v>87</v>
      </c>
      <c r="M13" s="58" t="s">
        <v>274</v>
      </c>
      <c r="N13" s="18">
        <f>[1]!f_prt_stocktonav(C13,"2017/03/31")</f>
        <v>88.701416015625</v>
      </c>
      <c r="O13" s="20" t="str">
        <f>[1]!f_info_fundmanager(C13)</f>
        <v>杨锐文</v>
      </c>
      <c r="P13" s="21">
        <v>1.0438356164383562</v>
      </c>
      <c r="Q13" s="34" t="s">
        <v>579</v>
      </c>
      <c r="R13" s="34" t="s">
        <v>580</v>
      </c>
      <c r="S13" s="34" t="s">
        <v>353</v>
      </c>
      <c r="T13" s="34">
        <v>20160315</v>
      </c>
      <c r="U13" s="45">
        <v>0.95980011239999996</v>
      </c>
      <c r="V13" s="46">
        <v>0.9796387057</v>
      </c>
      <c r="W13" s="34" t="s">
        <v>3776</v>
      </c>
      <c r="X13" s="34" t="s">
        <v>44</v>
      </c>
      <c r="Y13" s="34" t="s">
        <v>45</v>
      </c>
      <c r="Z13" s="34" t="s">
        <v>65</v>
      </c>
      <c r="AA13" s="34"/>
      <c r="AB13" s="34"/>
      <c r="AC13" s="22">
        <v>0.8576238250732422</v>
      </c>
      <c r="AD13" s="23" t="s">
        <v>581</v>
      </c>
      <c r="AE13" s="24">
        <v>0.81369863013698629</v>
      </c>
      <c r="AF13" s="25">
        <v>0.24289288458561997</v>
      </c>
      <c r="AG13" s="26">
        <v>0</v>
      </c>
      <c r="AH13" s="26">
        <v>0</v>
      </c>
      <c r="AI13" s="27">
        <v>1.8338116041749484</v>
      </c>
      <c r="AJ13" s="27">
        <v>1.8338116041749484</v>
      </c>
      <c r="AK13" s="27">
        <v>1.8338116041749484</v>
      </c>
      <c r="AL13" s="28" t="s">
        <v>582</v>
      </c>
      <c r="AM13" s="29" t="s">
        <v>48</v>
      </c>
      <c r="AN13" s="29" t="s">
        <v>48</v>
      </c>
      <c r="AO13" s="29" t="s">
        <v>48</v>
      </c>
      <c r="AP13" s="47" t="s">
        <v>583</v>
      </c>
      <c r="AQ13" s="28">
        <v>0</v>
      </c>
      <c r="AR13" s="26">
        <v>1.4999999999999999E-2</v>
      </c>
      <c r="AS13" s="26">
        <v>0</v>
      </c>
    </row>
    <row r="14" spans="1:45" x14ac:dyDescent="0.15">
      <c r="A14" s="64">
        <v>176</v>
      </c>
      <c r="B14" s="64">
        <v>538</v>
      </c>
      <c r="C14" s="11">
        <v>1705</v>
      </c>
      <c r="D14" s="61">
        <v>37</v>
      </c>
      <c r="E14" s="61">
        <v>3.1690352523745299E-3</v>
      </c>
      <c r="F14" s="61">
        <v>70</v>
      </c>
      <c r="G14" s="61">
        <v>2.27670206031482E-2</v>
      </c>
      <c r="H14" s="66">
        <v>3</v>
      </c>
      <c r="I14" s="66" t="str">
        <f>H14&amp;"/"&amp;428</f>
        <v>3/428</v>
      </c>
      <c r="J14" s="68">
        <f>H14/428</f>
        <v>7.0093457943925233E-3</v>
      </c>
      <c r="K14" s="18" t="s">
        <v>44</v>
      </c>
      <c r="L14" s="18" t="s">
        <v>45</v>
      </c>
      <c r="M14" s="58" t="s">
        <v>274</v>
      </c>
      <c r="N14" s="18">
        <f>[1]!f_prt_stocktonav(C14,"2017/03/31")</f>
        <v>84.360771179199219</v>
      </c>
      <c r="O14" s="20" t="str">
        <f>[1]!f_info_fundmanager(C14)</f>
        <v>郭堃</v>
      </c>
      <c r="P14" s="21">
        <v>1.3890410958904109</v>
      </c>
      <c r="Q14" s="34" t="s">
        <v>867</v>
      </c>
      <c r="R14" s="34" t="s">
        <v>868</v>
      </c>
      <c r="S14" s="34" t="s">
        <v>517</v>
      </c>
      <c r="T14" s="34">
        <v>20151110</v>
      </c>
      <c r="U14" s="45">
        <v>9.5067686091999999</v>
      </c>
      <c r="V14" s="46">
        <v>8.7927769929000004</v>
      </c>
      <c r="W14" s="34" t="s">
        <v>3789</v>
      </c>
      <c r="X14" s="34" t="s">
        <v>44</v>
      </c>
      <c r="Y14" s="34" t="s">
        <v>45</v>
      </c>
      <c r="Z14" s="34" t="s">
        <v>65</v>
      </c>
      <c r="AA14" s="34"/>
      <c r="AB14" s="34"/>
      <c r="AC14" s="22">
        <v>0.85348670959472661</v>
      </c>
      <c r="AD14" s="23" t="s">
        <v>869</v>
      </c>
      <c r="AE14" s="24">
        <v>1.1589041095890411</v>
      </c>
      <c r="AF14" s="25">
        <v>0.12207569058776023</v>
      </c>
      <c r="AG14" s="26">
        <v>0</v>
      </c>
      <c r="AH14" s="26">
        <v>0</v>
      </c>
      <c r="AI14" s="27">
        <v>0.69885902138492395</v>
      </c>
      <c r="AJ14" s="27">
        <v>0.69885902138492395</v>
      </c>
      <c r="AK14" s="27">
        <v>0.69885902138492395</v>
      </c>
      <c r="AL14" s="28" t="s">
        <v>870</v>
      </c>
      <c r="AM14" s="29" t="s">
        <v>48</v>
      </c>
      <c r="AN14" s="29" t="s">
        <v>48</v>
      </c>
      <c r="AO14" s="29" t="s">
        <v>48</v>
      </c>
      <c r="AP14" s="47" t="s">
        <v>520</v>
      </c>
      <c r="AQ14" s="28">
        <v>0</v>
      </c>
      <c r="AR14" s="26">
        <v>1.4999999999999999E-2</v>
      </c>
      <c r="AS14" s="26">
        <v>0</v>
      </c>
    </row>
    <row r="15" spans="1:45" x14ac:dyDescent="0.15">
      <c r="A15" s="64">
        <v>282</v>
      </c>
      <c r="B15" s="64">
        <v>162</v>
      </c>
      <c r="C15" s="11">
        <v>161225</v>
      </c>
      <c r="D15" s="61">
        <v>48</v>
      </c>
      <c r="E15" s="61">
        <v>2.8556776778219301E-3</v>
      </c>
      <c r="F15" s="61">
        <v>81</v>
      </c>
      <c r="G15" s="61">
        <v>2.3334736661096301E-2</v>
      </c>
      <c r="H15" s="66">
        <v>4</v>
      </c>
      <c r="I15" s="66" t="str">
        <f>H15&amp;"/"&amp;428</f>
        <v>4/428</v>
      </c>
      <c r="J15" s="68">
        <f>H15/428</f>
        <v>9.3457943925233638E-3</v>
      </c>
      <c r="K15" s="18" t="s">
        <v>44</v>
      </c>
      <c r="L15" s="18" t="s">
        <v>45</v>
      </c>
      <c r="M15" s="58" t="s">
        <v>274</v>
      </c>
      <c r="N15" s="18">
        <f>[1]!f_prt_stocktonav(C15,"2017/03/31")</f>
        <v>92.534034729003906</v>
      </c>
      <c r="O15" s="20" t="str">
        <f>[1]!f_info_fundmanager(C15)</f>
        <v>杨冬冬,吴潇</v>
      </c>
      <c r="P15" s="21">
        <v>1.5561643835616439</v>
      </c>
      <c r="Q15" s="34" t="s">
        <v>1294</v>
      </c>
      <c r="R15" s="34" t="s">
        <v>1295</v>
      </c>
      <c r="S15" s="34" t="s">
        <v>452</v>
      </c>
      <c r="T15" s="34">
        <v>20150519</v>
      </c>
      <c r="U15" s="45">
        <v>10.0825994338</v>
      </c>
      <c r="V15" s="46">
        <v>14.1529092868</v>
      </c>
      <c r="W15" s="34" t="s">
        <v>3789</v>
      </c>
      <c r="X15" s="34" t="s">
        <v>41</v>
      </c>
      <c r="Y15" s="34" t="s">
        <v>42</v>
      </c>
      <c r="Z15" s="34" t="s">
        <v>181</v>
      </c>
      <c r="AA15" s="34"/>
      <c r="AB15" s="34"/>
      <c r="AC15" s="22">
        <v>2.3186979293823243E-2</v>
      </c>
      <c r="AD15" s="23" t="s">
        <v>1296</v>
      </c>
      <c r="AE15" s="24">
        <v>1.3260273972602741</v>
      </c>
      <c r="AF15" s="25">
        <v>2.977237045574932E-2</v>
      </c>
      <c r="AG15" s="26">
        <v>0</v>
      </c>
      <c r="AH15" s="26">
        <v>0</v>
      </c>
      <c r="AI15" s="27">
        <v>0.15810902777158634</v>
      </c>
      <c r="AJ15" s="27">
        <v>0.15810902777158634</v>
      </c>
      <c r="AK15" s="27">
        <v>0.15810902777158634</v>
      </c>
      <c r="AL15" s="28" t="s">
        <v>436</v>
      </c>
      <c r="AM15" s="29" t="s">
        <v>48</v>
      </c>
      <c r="AN15" s="29" t="s">
        <v>48</v>
      </c>
      <c r="AO15" s="29" t="s">
        <v>48</v>
      </c>
      <c r="AP15" s="47" t="s">
        <v>209</v>
      </c>
      <c r="AQ15" s="28">
        <v>0</v>
      </c>
      <c r="AR15" s="26">
        <v>1.4999999999999999E-2</v>
      </c>
      <c r="AS15" s="26">
        <v>0</v>
      </c>
    </row>
    <row r="16" spans="1:45" x14ac:dyDescent="0.15">
      <c r="A16" s="64">
        <v>566</v>
      </c>
      <c r="B16" s="64">
        <v>929</v>
      </c>
      <c r="C16" s="11">
        <v>200015</v>
      </c>
      <c r="D16" s="61">
        <v>57</v>
      </c>
      <c r="E16" s="61">
        <v>2.64148963289457E-3</v>
      </c>
      <c r="F16" s="61">
        <v>91</v>
      </c>
      <c r="G16" s="61">
        <v>0.22029693722014401</v>
      </c>
      <c r="H16" s="66">
        <v>5</v>
      </c>
      <c r="I16" s="66" t="str">
        <f>H16&amp;"/"&amp;428</f>
        <v>5/428</v>
      </c>
      <c r="J16" s="68">
        <f>H16/428</f>
        <v>1.1682242990654205E-2</v>
      </c>
      <c r="K16" s="18" t="s">
        <v>44</v>
      </c>
      <c r="L16" s="18" t="s">
        <v>45</v>
      </c>
      <c r="M16" s="58" t="s">
        <v>274</v>
      </c>
      <c r="N16" s="18">
        <f>[1]!f_prt_stocktonav(C16,"2017/03/31")</f>
        <v>71.211372375488281</v>
      </c>
      <c r="O16" s="20" t="str">
        <f>[1]!f_info_fundmanager(C16)</f>
        <v>郑帮强</v>
      </c>
      <c r="P16" s="21">
        <v>1.7315068493150685</v>
      </c>
      <c r="Q16" s="34" t="s">
        <v>2334</v>
      </c>
      <c r="R16" s="34" t="s">
        <v>2335</v>
      </c>
      <c r="S16" s="34" t="s">
        <v>1172</v>
      </c>
      <c r="T16" s="34">
        <v>20120420</v>
      </c>
      <c r="U16" s="45">
        <v>1.2575372028</v>
      </c>
      <c r="V16" s="46">
        <v>2.3856882851000001</v>
      </c>
      <c r="W16" s="34" t="s">
        <v>3776</v>
      </c>
      <c r="X16" s="34" t="s">
        <v>44</v>
      </c>
      <c r="Y16" s="34" t="s">
        <v>45</v>
      </c>
      <c r="Z16" s="34" t="s">
        <v>274</v>
      </c>
      <c r="AA16" s="34"/>
      <c r="AB16" s="34"/>
      <c r="AC16" s="22">
        <v>0.83014366149902341</v>
      </c>
      <c r="AD16" s="23" t="s">
        <v>2336</v>
      </c>
      <c r="AE16" s="24">
        <v>1.5013698630136987</v>
      </c>
      <c r="AF16" s="25">
        <v>0.12857644383111166</v>
      </c>
      <c r="AG16" s="26">
        <v>0.15340705795036302</v>
      </c>
      <c r="AH16" s="26">
        <v>0</v>
      </c>
      <c r="AI16" s="27">
        <v>0.50399069897553872</v>
      </c>
      <c r="AJ16" s="27">
        <v>0.52988401733263624</v>
      </c>
      <c r="AK16" s="27">
        <v>0.50399069897553872</v>
      </c>
      <c r="AL16" s="28" t="s">
        <v>694</v>
      </c>
      <c r="AM16" s="29">
        <v>1</v>
      </c>
      <c r="AN16" s="29">
        <v>3</v>
      </c>
      <c r="AO16" s="29" t="s">
        <v>48</v>
      </c>
      <c r="AP16" s="47" t="s">
        <v>2337</v>
      </c>
      <c r="AQ16" s="28">
        <v>0</v>
      </c>
      <c r="AR16" s="26">
        <v>1.4999999999999999E-2</v>
      </c>
      <c r="AS16" s="26">
        <v>0</v>
      </c>
    </row>
    <row r="17" spans="1:45" x14ac:dyDescent="0.15">
      <c r="A17" s="64">
        <v>159</v>
      </c>
      <c r="B17" s="64">
        <v>154</v>
      </c>
      <c r="C17" s="11">
        <v>1985</v>
      </c>
      <c r="D17" s="61">
        <v>67</v>
      </c>
      <c r="E17" s="61">
        <v>2.4648775766131599E-3</v>
      </c>
      <c r="F17" s="61">
        <v>65</v>
      </c>
      <c r="G17" s="61">
        <v>0.14272762725427601</v>
      </c>
      <c r="H17" s="66">
        <v>6</v>
      </c>
      <c r="I17" s="66" t="str">
        <f>H17&amp;"/"&amp;428</f>
        <v>6/428</v>
      </c>
      <c r="J17" s="68">
        <f>H17/428</f>
        <v>1.4018691588785047E-2</v>
      </c>
      <c r="K17" s="18" t="s">
        <v>44</v>
      </c>
      <c r="L17" s="18" t="s">
        <v>45</v>
      </c>
      <c r="M17" s="58" t="s">
        <v>274</v>
      </c>
      <c r="N17" s="18">
        <f>[1]!f_prt_stocktonav(C17,"2017/03/31")</f>
        <v>92.6484375</v>
      </c>
      <c r="O17" s="20" t="str">
        <f>[1]!f_info_fundmanager(C17)</f>
        <v>杨栋</v>
      </c>
      <c r="P17" s="21">
        <v>1.284931506849315</v>
      </c>
      <c r="Q17" s="34" t="s">
        <v>798</v>
      </c>
      <c r="R17" s="34" t="s">
        <v>799</v>
      </c>
      <c r="S17" s="34" t="s">
        <v>396</v>
      </c>
      <c r="T17" s="34">
        <v>20151218</v>
      </c>
      <c r="U17" s="45">
        <v>5.4253954744000001</v>
      </c>
      <c r="V17" s="46">
        <v>5.3263042736999999</v>
      </c>
      <c r="W17" s="34" t="s">
        <v>3776</v>
      </c>
      <c r="X17" s="34" t="s">
        <v>44</v>
      </c>
      <c r="Y17" s="17" t="s">
        <v>45</v>
      </c>
      <c r="Z17" s="17" t="s">
        <v>274</v>
      </c>
      <c r="AA17" s="34"/>
      <c r="AB17" s="34"/>
      <c r="AC17" s="22">
        <v>0.92857154846191403</v>
      </c>
      <c r="AD17" s="23" t="s">
        <v>800</v>
      </c>
      <c r="AE17" s="24">
        <v>1.0547945205479452</v>
      </c>
      <c r="AF17" s="25">
        <v>0.12934068027812584</v>
      </c>
      <c r="AG17" s="26">
        <v>0</v>
      </c>
      <c r="AH17" s="26">
        <v>0</v>
      </c>
      <c r="AI17" s="27">
        <v>0.65570838177808344</v>
      </c>
      <c r="AJ17" s="27">
        <v>0.65570838177808344</v>
      </c>
      <c r="AK17" s="27">
        <v>0.65570838177808344</v>
      </c>
      <c r="AL17" s="28" t="s">
        <v>801</v>
      </c>
      <c r="AM17" s="29" t="s">
        <v>48</v>
      </c>
      <c r="AN17" s="29" t="s">
        <v>48</v>
      </c>
      <c r="AO17" s="29" t="s">
        <v>48</v>
      </c>
      <c r="AP17" s="47" t="s">
        <v>399</v>
      </c>
      <c r="AQ17" s="28">
        <v>0</v>
      </c>
      <c r="AR17" s="26">
        <v>1.4999999999999999E-2</v>
      </c>
      <c r="AS17" s="26">
        <v>0</v>
      </c>
    </row>
    <row r="18" spans="1:45" x14ac:dyDescent="0.15">
      <c r="A18" s="64">
        <v>528</v>
      </c>
      <c r="B18" s="64">
        <v>711</v>
      </c>
      <c r="C18" s="11">
        <v>160212</v>
      </c>
      <c r="D18" s="61">
        <v>68</v>
      </c>
      <c r="E18" s="61">
        <v>2.44441134073336E-3</v>
      </c>
      <c r="F18" s="61">
        <v>105</v>
      </c>
      <c r="G18" s="61">
        <v>0.24114232580832901</v>
      </c>
      <c r="H18" s="66">
        <v>7</v>
      </c>
      <c r="I18" s="66" t="str">
        <f>H18&amp;"/"&amp;428</f>
        <v>7/428</v>
      </c>
      <c r="J18" s="68">
        <f>H18/428</f>
        <v>1.6355140186915886E-2</v>
      </c>
      <c r="K18" s="18" t="s">
        <v>44</v>
      </c>
      <c r="L18" s="18" t="s">
        <v>45</v>
      </c>
      <c r="M18" s="58" t="s">
        <v>274</v>
      </c>
      <c r="N18" s="18">
        <f>[1]!f_prt_stocktonav(C18,"2017/03/31")</f>
        <v>79.718833923339844</v>
      </c>
      <c r="O18" s="20" t="str">
        <f>[1]!f_info_fundmanager(C18)</f>
        <v>杨飞</v>
      </c>
      <c r="P18" s="21">
        <v>2.0164383561643837</v>
      </c>
      <c r="Q18" s="34" t="s">
        <v>2199</v>
      </c>
      <c r="R18" s="34" t="s">
        <v>2200</v>
      </c>
      <c r="S18" s="34" t="s">
        <v>663</v>
      </c>
      <c r="T18" s="34">
        <v>20130219</v>
      </c>
      <c r="U18" s="45">
        <v>15.1908757941</v>
      </c>
      <c r="V18" s="46">
        <v>18.556477031499998</v>
      </c>
      <c r="W18" s="34" t="s">
        <v>3789</v>
      </c>
      <c r="X18" s="34" t="s">
        <v>44</v>
      </c>
      <c r="Y18" s="34" t="s">
        <v>45</v>
      </c>
      <c r="Z18" s="34" t="s">
        <v>274</v>
      </c>
      <c r="AA18" s="34"/>
      <c r="AB18" s="34"/>
      <c r="AC18" s="22">
        <v>0.71757110595703122</v>
      </c>
      <c r="AD18" s="23" t="s">
        <v>664</v>
      </c>
      <c r="AE18" s="24">
        <v>1.7863013698630137</v>
      </c>
      <c r="AF18" s="25">
        <v>0.28913622979309395</v>
      </c>
      <c r="AG18" s="26">
        <v>0.33425116016515366</v>
      </c>
      <c r="AH18" s="26">
        <v>0</v>
      </c>
      <c r="AI18" s="27">
        <v>0.91939304249852083</v>
      </c>
      <c r="AJ18" s="27">
        <v>0.97413949784362686</v>
      </c>
      <c r="AK18" s="27">
        <v>0.91939304249852083</v>
      </c>
      <c r="AL18" s="28" t="s">
        <v>276</v>
      </c>
      <c r="AM18" s="29" t="s">
        <v>48</v>
      </c>
      <c r="AN18" s="29" t="s">
        <v>48</v>
      </c>
      <c r="AO18" s="29" t="s">
        <v>48</v>
      </c>
      <c r="AP18" s="47" t="s">
        <v>592</v>
      </c>
      <c r="AQ18" s="28">
        <v>0</v>
      </c>
      <c r="AR18" s="26">
        <v>1.4999999999999999E-2</v>
      </c>
      <c r="AS18" s="26">
        <v>0</v>
      </c>
    </row>
    <row r="19" spans="1:45" x14ac:dyDescent="0.15">
      <c r="A19" s="64">
        <v>743</v>
      </c>
      <c r="B19" s="64">
        <v>936</v>
      </c>
      <c r="C19" s="11">
        <v>519697</v>
      </c>
      <c r="D19" s="61">
        <v>74</v>
      </c>
      <c r="E19" s="61">
        <v>2.3300589262582401E-3</v>
      </c>
      <c r="F19" s="61">
        <v>90</v>
      </c>
      <c r="G19" s="61">
        <v>7.1303005813093706E-2</v>
      </c>
      <c r="H19" s="66">
        <v>8</v>
      </c>
      <c r="I19" s="66" t="str">
        <f>H19&amp;"/"&amp;428</f>
        <v>8/428</v>
      </c>
      <c r="J19" s="68">
        <f>H19/428</f>
        <v>1.8691588785046728E-2</v>
      </c>
      <c r="K19" s="18" t="s">
        <v>44</v>
      </c>
      <c r="L19" s="18" t="s">
        <v>45</v>
      </c>
      <c r="M19" s="58" t="s">
        <v>274</v>
      </c>
      <c r="N19" s="18">
        <f>[1]!f_prt_stocktonav(C19,"2017/03/31")</f>
        <v>70.914207458496094</v>
      </c>
      <c r="O19" s="20" t="str">
        <f>[1]!f_info_fundmanager(C19)</f>
        <v>何帅</v>
      </c>
      <c r="P19" s="21">
        <v>1.7287671232876711</v>
      </c>
      <c r="Q19" s="34" t="s">
        <v>2928</v>
      </c>
      <c r="R19" s="34" t="s">
        <v>2929</v>
      </c>
      <c r="S19" s="34" t="s">
        <v>138</v>
      </c>
      <c r="T19" s="34">
        <v>20090121</v>
      </c>
      <c r="U19" s="45">
        <v>6.5359844055999998</v>
      </c>
      <c r="V19" s="46">
        <v>4.0853556022999999</v>
      </c>
      <c r="W19" s="34" t="s">
        <v>40</v>
      </c>
      <c r="X19" s="34" t="s">
        <v>44</v>
      </c>
      <c r="Y19" s="34" t="s">
        <v>45</v>
      </c>
      <c r="Z19" s="34" t="s">
        <v>274</v>
      </c>
      <c r="AA19" s="34"/>
      <c r="AB19" s="34"/>
      <c r="AC19" s="22">
        <v>0.71799362182617188</v>
      </c>
      <c r="AD19" s="23" t="s">
        <v>2270</v>
      </c>
      <c r="AE19" s="24">
        <v>1.4986301369863013</v>
      </c>
      <c r="AF19" s="25">
        <v>0.15664653453475741</v>
      </c>
      <c r="AG19" s="26">
        <v>0.38004607556425651</v>
      </c>
      <c r="AH19" s="26">
        <v>0.23361143099387108</v>
      </c>
      <c r="AI19" s="27">
        <v>0.8372002637257</v>
      </c>
      <c r="AJ19" s="27">
        <v>1.3222461056095263</v>
      </c>
      <c r="AK19" s="27">
        <v>1.0119847621684548</v>
      </c>
      <c r="AL19" s="28" t="s">
        <v>140</v>
      </c>
      <c r="AM19" s="29">
        <v>5</v>
      </c>
      <c r="AN19" s="29">
        <v>5</v>
      </c>
      <c r="AO19" s="29" t="s">
        <v>48</v>
      </c>
      <c r="AP19" s="47" t="s">
        <v>2930</v>
      </c>
      <c r="AQ19" s="28" t="s">
        <v>608</v>
      </c>
      <c r="AR19" s="26">
        <v>1.4999999999999999E-2</v>
      </c>
      <c r="AS19" s="26">
        <v>0</v>
      </c>
    </row>
    <row r="20" spans="1:45" x14ac:dyDescent="0.15">
      <c r="A20" s="64">
        <v>627</v>
      </c>
      <c r="B20" s="64">
        <v>116</v>
      </c>
      <c r="C20" s="11">
        <v>160512</v>
      </c>
      <c r="D20" s="61">
        <v>81</v>
      </c>
      <c r="E20" s="61">
        <v>2.19886630049871E-3</v>
      </c>
      <c r="F20" s="61">
        <v>53</v>
      </c>
      <c r="G20" s="61">
        <v>0.24510270043589799</v>
      </c>
      <c r="H20" s="66">
        <v>9</v>
      </c>
      <c r="I20" s="66" t="str">
        <f>H20&amp;"/"&amp;428</f>
        <v>9/428</v>
      </c>
      <c r="J20" s="68">
        <f>H20/428</f>
        <v>2.1028037383177569E-2</v>
      </c>
      <c r="K20" s="18" t="s">
        <v>44</v>
      </c>
      <c r="L20" s="18" t="s">
        <v>45</v>
      </c>
      <c r="M20" s="58" t="s">
        <v>274</v>
      </c>
      <c r="N20" s="18">
        <f>[1]!f_prt_stocktonav(C20,"2017/03/31")</f>
        <v>93.331535339355469</v>
      </c>
      <c r="O20" s="20" t="str">
        <f>[1]!f_info_fundmanager(C20)</f>
        <v>周志超</v>
      </c>
      <c r="P20" s="21">
        <v>1.0054794520547945</v>
      </c>
      <c r="Q20" s="34" t="s">
        <v>2541</v>
      </c>
      <c r="R20" s="34" t="s">
        <v>2542</v>
      </c>
      <c r="S20" s="34" t="s">
        <v>413</v>
      </c>
      <c r="T20" s="34">
        <v>20110422</v>
      </c>
      <c r="U20" s="45">
        <v>12.806902385300001</v>
      </c>
      <c r="V20" s="46">
        <v>8.6926594760999993</v>
      </c>
      <c r="W20" s="34" t="s">
        <v>3776</v>
      </c>
      <c r="X20" s="34" t="s">
        <v>44</v>
      </c>
      <c r="Y20" s="34" t="s">
        <v>45</v>
      </c>
      <c r="Z20" s="34" t="s">
        <v>337</v>
      </c>
      <c r="AA20" s="34"/>
      <c r="AB20" s="34"/>
      <c r="AC20" s="22">
        <v>0.9160649871826172</v>
      </c>
      <c r="AD20" s="23" t="s">
        <v>2543</v>
      </c>
      <c r="AE20" s="24">
        <v>1.0410958904109588</v>
      </c>
      <c r="AF20" s="25">
        <v>0.17642134690215272</v>
      </c>
      <c r="AG20" s="26">
        <v>0.30355877288461297</v>
      </c>
      <c r="AH20" s="26">
        <v>0.24086964419006818</v>
      </c>
      <c r="AI20" s="27">
        <v>0.66944621498315959</v>
      </c>
      <c r="AJ20" s="27">
        <v>0.89034422562925619</v>
      </c>
      <c r="AK20" s="27">
        <v>0.83421542421705153</v>
      </c>
      <c r="AL20" s="28" t="s">
        <v>276</v>
      </c>
      <c r="AM20" s="29">
        <v>4</v>
      </c>
      <c r="AN20" s="29">
        <v>4</v>
      </c>
      <c r="AO20" s="29" t="s">
        <v>48</v>
      </c>
      <c r="AP20" s="47" t="s">
        <v>1271</v>
      </c>
      <c r="AQ20" s="28">
        <v>0</v>
      </c>
      <c r="AR20" s="26">
        <v>1.4999999999999999E-2</v>
      </c>
      <c r="AS20" s="26">
        <v>0</v>
      </c>
    </row>
    <row r="21" spans="1:45" x14ac:dyDescent="0.15">
      <c r="A21" s="64">
        <v>767</v>
      </c>
      <c r="B21" s="64">
        <v>658</v>
      </c>
      <c r="C21" s="11">
        <v>202011</v>
      </c>
      <c r="D21" s="61">
        <v>87</v>
      </c>
      <c r="E21" s="61">
        <v>2.0443034423236E-3</v>
      </c>
      <c r="F21" s="61">
        <v>93</v>
      </c>
      <c r="G21" s="61">
        <v>0.22345436858126499</v>
      </c>
      <c r="H21" s="66">
        <v>10</v>
      </c>
      <c r="I21" s="66" t="str">
        <f>H21&amp;"/"&amp;428</f>
        <v>10/428</v>
      </c>
      <c r="J21" s="68">
        <f>H21/428</f>
        <v>2.336448598130841E-2</v>
      </c>
      <c r="K21" s="18" t="s">
        <v>44</v>
      </c>
      <c r="L21" s="18" t="s">
        <v>45</v>
      </c>
      <c r="M21" s="58" t="s">
        <v>274</v>
      </c>
      <c r="N21" s="18">
        <f>[1]!f_prt_stocktonav(C21,"2017/03/31")</f>
        <v>81.18701171875</v>
      </c>
      <c r="O21" s="20" t="str">
        <f>[1]!f_info_fundmanager(C21)</f>
        <v>罗安安,骆帅</v>
      </c>
      <c r="P21" s="21">
        <v>1.7835616438356163</v>
      </c>
      <c r="Q21" s="34" t="s">
        <v>3004</v>
      </c>
      <c r="R21" s="34" t="s">
        <v>3005</v>
      </c>
      <c r="S21" s="34" t="s">
        <v>284</v>
      </c>
      <c r="T21" s="34">
        <v>20080618</v>
      </c>
      <c r="U21" s="45">
        <v>9.2793200556999995</v>
      </c>
      <c r="V21" s="46">
        <v>9.7491170330999992</v>
      </c>
      <c r="W21" s="34" t="s">
        <v>201</v>
      </c>
      <c r="X21" s="34" t="s">
        <v>44</v>
      </c>
      <c r="Y21" s="34" t="s">
        <v>45</v>
      </c>
      <c r="Z21" s="34" t="s">
        <v>274</v>
      </c>
      <c r="AA21" s="34"/>
      <c r="AB21" s="34"/>
      <c r="AC21" s="22">
        <v>0.81036514282226557</v>
      </c>
      <c r="AD21" s="23" t="s">
        <v>3006</v>
      </c>
      <c r="AE21" s="24">
        <v>1.5534246575342465</v>
      </c>
      <c r="AF21" s="25">
        <v>0.15429485263493858</v>
      </c>
      <c r="AG21" s="26">
        <v>0.23230020570477694</v>
      </c>
      <c r="AH21" s="26">
        <v>0.18808341844251664</v>
      </c>
      <c r="AI21" s="27">
        <v>0.66051522787618344</v>
      </c>
      <c r="AJ21" s="27">
        <v>0.78691555378703482</v>
      </c>
      <c r="AK21" s="27">
        <v>0.7426951121248222</v>
      </c>
      <c r="AL21" s="28" t="s">
        <v>726</v>
      </c>
      <c r="AM21" s="29">
        <v>4</v>
      </c>
      <c r="AN21" s="29">
        <v>4</v>
      </c>
      <c r="AO21" s="29" t="s">
        <v>48</v>
      </c>
      <c r="AP21" s="47" t="s">
        <v>3007</v>
      </c>
      <c r="AQ21" s="28" t="s">
        <v>3008</v>
      </c>
      <c r="AR21" s="26">
        <v>1.4999999999999999E-2</v>
      </c>
      <c r="AS21" s="26">
        <v>0</v>
      </c>
    </row>
    <row r="22" spans="1:45" x14ac:dyDescent="0.15">
      <c r="A22" s="64">
        <v>599</v>
      </c>
      <c r="B22" s="64">
        <v>223</v>
      </c>
      <c r="C22" s="11">
        <v>660010</v>
      </c>
      <c r="D22" s="61">
        <v>93</v>
      </c>
      <c r="E22" s="61">
        <v>1.94121600914407E-3</v>
      </c>
      <c r="F22" s="61">
        <v>70</v>
      </c>
      <c r="G22" s="61">
        <v>0.377138925924413</v>
      </c>
      <c r="H22" s="66">
        <v>11</v>
      </c>
      <c r="I22" s="66" t="str">
        <f>H22&amp;"/"&amp;428</f>
        <v>11/428</v>
      </c>
      <c r="J22" s="68">
        <f>H22/428</f>
        <v>2.5700934579439252E-2</v>
      </c>
      <c r="K22" s="18" t="s">
        <v>44</v>
      </c>
      <c r="L22" s="18" t="s">
        <v>45</v>
      </c>
      <c r="M22" s="58" t="s">
        <v>274</v>
      </c>
      <c r="N22" s="18">
        <f>[1]!f_prt_stocktonav(C22,"2017/03/31")</f>
        <v>91.361358642578125</v>
      </c>
      <c r="O22" s="20" t="str">
        <f>[1]!f_info_fundmanager(C22)</f>
        <v>张峰</v>
      </c>
      <c r="P22" s="21">
        <v>1.3287671232876712</v>
      </c>
      <c r="Q22" s="34" t="s">
        <v>2446</v>
      </c>
      <c r="R22" s="34" t="s">
        <v>2447</v>
      </c>
      <c r="S22" s="34" t="s">
        <v>424</v>
      </c>
      <c r="T22" s="34">
        <v>20110906</v>
      </c>
      <c r="U22" s="45">
        <v>1.3251506146000001</v>
      </c>
      <c r="V22" s="46">
        <v>1.3119119811</v>
      </c>
      <c r="W22" s="34" t="s">
        <v>1235</v>
      </c>
      <c r="X22" s="34" t="s">
        <v>44</v>
      </c>
      <c r="Y22" s="34" t="s">
        <v>45</v>
      </c>
      <c r="Z22" s="34" t="s">
        <v>274</v>
      </c>
      <c r="AA22" s="34"/>
      <c r="AB22" s="34"/>
      <c r="AC22" s="22">
        <v>0.83675857543945309</v>
      </c>
      <c r="AD22" s="23" t="s">
        <v>425</v>
      </c>
      <c r="AE22" s="24">
        <v>1.0986301369863014</v>
      </c>
      <c r="AF22" s="25">
        <v>-3.0761393838635298E-2</v>
      </c>
      <c r="AG22" s="26">
        <v>-3.7070253323597591E-2</v>
      </c>
      <c r="AH22" s="26">
        <v>-1.8571506836554619E-2</v>
      </c>
      <c r="AI22" s="27">
        <v>-4.4556212416640255E-2</v>
      </c>
      <c r="AJ22" s="27">
        <v>8.7763424118583386E-3</v>
      </c>
      <c r="AK22" s="27">
        <v>1.0967285391924342E-2</v>
      </c>
      <c r="AL22" s="28" t="s">
        <v>2119</v>
      </c>
      <c r="AM22" s="29">
        <v>1</v>
      </c>
      <c r="AN22" s="29">
        <v>1</v>
      </c>
      <c r="AO22" s="29" t="s">
        <v>48</v>
      </c>
      <c r="AP22" s="47" t="s">
        <v>702</v>
      </c>
      <c r="AQ22" s="28">
        <v>0</v>
      </c>
      <c r="AR22" s="26">
        <v>1.4999999999999999E-2</v>
      </c>
      <c r="AS22" s="26">
        <v>0</v>
      </c>
    </row>
    <row r="23" spans="1:45" x14ac:dyDescent="0.15">
      <c r="A23" s="64">
        <v>547</v>
      </c>
      <c r="B23" s="64">
        <v>765</v>
      </c>
      <c r="C23" s="11">
        <v>519712</v>
      </c>
      <c r="D23" s="61">
        <v>97</v>
      </c>
      <c r="E23" s="61">
        <v>1.88550324960861E-3</v>
      </c>
      <c r="F23" s="61">
        <v>81</v>
      </c>
      <c r="G23" s="61">
        <v>0.166111907113658</v>
      </c>
      <c r="H23" s="66">
        <v>12</v>
      </c>
      <c r="I23" s="66" t="str">
        <f>H23&amp;"/"&amp;428</f>
        <v>12/428</v>
      </c>
      <c r="J23" s="68">
        <f>H23/428</f>
        <v>2.8037383177570093E-2</v>
      </c>
      <c r="K23" s="18" t="s">
        <v>44</v>
      </c>
      <c r="L23" s="18" t="s">
        <v>64</v>
      </c>
      <c r="M23" s="58" t="s">
        <v>274</v>
      </c>
      <c r="N23" s="18">
        <f>[1]!f_prt_stocktonav(C23,"2017/03/31")</f>
        <v>77.715049743652344</v>
      </c>
      <c r="O23" s="20" t="str">
        <f>[1]!f_info_fundmanager(C23)</f>
        <v>何帅</v>
      </c>
      <c r="P23" s="21">
        <v>1.5397260273972602</v>
      </c>
      <c r="Q23" s="34" t="s">
        <v>2268</v>
      </c>
      <c r="R23" s="34" t="s">
        <v>2269</v>
      </c>
      <c r="S23" s="34" t="s">
        <v>138</v>
      </c>
      <c r="T23" s="34">
        <v>20120803</v>
      </c>
      <c r="U23" s="45">
        <v>10.6876840942</v>
      </c>
      <c r="V23" s="46">
        <v>1.4994871295000001</v>
      </c>
      <c r="W23" s="34" t="s">
        <v>3789</v>
      </c>
      <c r="X23" s="34" t="s">
        <v>44</v>
      </c>
      <c r="Y23" s="34" t="s">
        <v>45</v>
      </c>
      <c r="Z23" s="34" t="s">
        <v>274</v>
      </c>
      <c r="AA23" s="34"/>
      <c r="AB23" s="34"/>
      <c r="AC23" s="22">
        <v>0.78199485778808597</v>
      </c>
      <c r="AD23" s="23" t="s">
        <v>2270</v>
      </c>
      <c r="AE23" s="24">
        <v>1.3095890410958904</v>
      </c>
      <c r="AF23" s="25">
        <v>0.20870588223526898</v>
      </c>
      <c r="AG23" s="26">
        <v>0.31532373438117656</v>
      </c>
      <c r="AH23" s="26">
        <v>0</v>
      </c>
      <c r="AI23" s="27">
        <v>0.80952273384113083</v>
      </c>
      <c r="AJ23" s="27">
        <v>1.0422078182247425</v>
      </c>
      <c r="AK23" s="27">
        <v>0.80952273384113083</v>
      </c>
      <c r="AL23" s="28" t="s">
        <v>2271</v>
      </c>
      <c r="AM23" s="29">
        <v>3</v>
      </c>
      <c r="AN23" s="29">
        <v>5</v>
      </c>
      <c r="AO23" s="29" t="s">
        <v>48</v>
      </c>
      <c r="AP23" s="47" t="s">
        <v>2272</v>
      </c>
      <c r="AQ23" s="28" t="s">
        <v>608</v>
      </c>
      <c r="AR23" s="26">
        <v>1.4999999999999999E-2</v>
      </c>
      <c r="AS23" s="26">
        <v>0</v>
      </c>
    </row>
    <row r="24" spans="1:45" x14ac:dyDescent="0.15">
      <c r="A24" s="64">
        <v>115</v>
      </c>
      <c r="B24" s="64">
        <v>859</v>
      </c>
      <c r="C24" s="11">
        <v>1694</v>
      </c>
      <c r="D24" s="61">
        <v>105</v>
      </c>
      <c r="E24" s="61">
        <v>1.83018310543052E-3</v>
      </c>
      <c r="F24" s="61">
        <v>54</v>
      </c>
      <c r="G24" s="61">
        <v>0.40547106097056501</v>
      </c>
      <c r="H24" s="66">
        <v>13</v>
      </c>
      <c r="I24" s="66" t="str">
        <f>H24&amp;"/"&amp;428</f>
        <v>13/428</v>
      </c>
      <c r="J24" s="68">
        <f>H24/428</f>
        <v>3.0373831775700934E-2</v>
      </c>
      <c r="K24" s="18" t="s">
        <v>44</v>
      </c>
      <c r="L24" s="18" t="s">
        <v>45</v>
      </c>
      <c r="M24" s="58" t="s">
        <v>274</v>
      </c>
      <c r="N24" s="18">
        <f>[1]!f_prt_stocktonav(C24,"2017/03/31")</f>
        <v>74.058464050292969</v>
      </c>
      <c r="O24" s="20" t="str">
        <f>[1]!f_info_fundmanager(C24)</f>
        <v>杨明,苏圻涵,崔莹</v>
      </c>
      <c r="P24" s="21">
        <v>1.0602739726027397</v>
      </c>
      <c r="Q24" s="34" t="s">
        <v>599</v>
      </c>
      <c r="R24" s="34" t="s">
        <v>600</v>
      </c>
      <c r="S24" s="34" t="s">
        <v>63</v>
      </c>
      <c r="T24" s="34">
        <v>20160309</v>
      </c>
      <c r="U24" s="45">
        <v>8.3101033996000009</v>
      </c>
      <c r="V24" s="46">
        <v>2.8320496685999998</v>
      </c>
      <c r="W24" s="34" t="s">
        <v>3776</v>
      </c>
      <c r="X24" s="34" t="s">
        <v>44</v>
      </c>
      <c r="Y24" s="17" t="s">
        <v>45</v>
      </c>
      <c r="Z24" s="17" t="s">
        <v>65</v>
      </c>
      <c r="AA24" s="34"/>
      <c r="AB24" s="34"/>
      <c r="AC24" s="22">
        <v>0.87826889038085942</v>
      </c>
      <c r="AD24" s="23" t="s">
        <v>601</v>
      </c>
      <c r="AE24" s="24">
        <v>0.83013698630136989</v>
      </c>
      <c r="AF24" s="25">
        <v>0.32075423876559062</v>
      </c>
      <c r="AG24" s="26">
        <v>0</v>
      </c>
      <c r="AH24" s="26">
        <v>0</v>
      </c>
      <c r="AI24" s="27">
        <v>1.8409869487635968</v>
      </c>
      <c r="AJ24" s="27">
        <v>1.8409869487635968</v>
      </c>
      <c r="AK24" s="27">
        <v>1.8409869487635968</v>
      </c>
      <c r="AL24" s="28" t="s">
        <v>602</v>
      </c>
      <c r="AM24" s="29" t="s">
        <v>48</v>
      </c>
      <c r="AN24" s="29" t="s">
        <v>48</v>
      </c>
      <c r="AO24" s="29" t="s">
        <v>48</v>
      </c>
      <c r="AP24" s="47" t="s">
        <v>603</v>
      </c>
      <c r="AQ24" s="28">
        <v>0</v>
      </c>
      <c r="AR24" s="26">
        <v>1.4999999999999999E-2</v>
      </c>
      <c r="AS24" s="26">
        <v>0</v>
      </c>
    </row>
    <row r="25" spans="1:45" x14ac:dyDescent="0.15">
      <c r="A25" s="64">
        <v>122</v>
      </c>
      <c r="B25" s="64">
        <v>357</v>
      </c>
      <c r="C25" s="11">
        <v>2168</v>
      </c>
      <c r="D25" s="61">
        <v>112</v>
      </c>
      <c r="E25" s="61">
        <v>1.7639990424249601E-3</v>
      </c>
      <c r="F25" s="61">
        <v>58</v>
      </c>
      <c r="G25" s="61">
        <v>0.30151650795736501</v>
      </c>
      <c r="H25" s="66">
        <v>14</v>
      </c>
      <c r="I25" s="66" t="str">
        <f>H25&amp;"/"&amp;428</f>
        <v>14/428</v>
      </c>
      <c r="J25" s="68">
        <f>H25/428</f>
        <v>3.2710280373831772E-2</v>
      </c>
      <c r="K25" s="18" t="s">
        <v>44</v>
      </c>
      <c r="L25" s="18" t="s">
        <v>45</v>
      </c>
      <c r="M25" s="58" t="s">
        <v>274</v>
      </c>
      <c r="N25" s="18">
        <f>[1]!f_prt_stocktonav(C25,"2017/03/31")</f>
        <v>88.406929016113281</v>
      </c>
      <c r="O25" s="20" t="str">
        <f>[1]!f_info_fundmanager(C25)</f>
        <v>柏重波,姚志鹏</v>
      </c>
      <c r="P25" s="21">
        <v>1.1534246575342466</v>
      </c>
      <c r="Q25" s="34" t="s">
        <v>628</v>
      </c>
      <c r="R25" s="34" t="s">
        <v>629</v>
      </c>
      <c r="S25" s="34" t="s">
        <v>92</v>
      </c>
      <c r="T25" s="34">
        <v>20160204</v>
      </c>
      <c r="U25" s="45">
        <v>2.9567754687000001</v>
      </c>
      <c r="V25" s="46">
        <v>1.5153358227</v>
      </c>
      <c r="W25" s="34" t="s">
        <v>3776</v>
      </c>
      <c r="X25" s="34" t="s">
        <v>44</v>
      </c>
      <c r="Y25" s="34" t="s">
        <v>45</v>
      </c>
      <c r="Z25" s="34" t="s">
        <v>65</v>
      </c>
      <c r="AA25" s="34"/>
      <c r="AB25" s="34"/>
      <c r="AC25" s="22">
        <v>0.92265563964843755</v>
      </c>
      <c r="AD25" s="23" t="s">
        <v>630</v>
      </c>
      <c r="AE25" s="24">
        <v>0.92328767123287669</v>
      </c>
      <c r="AF25" s="25">
        <v>0.26679860237560926</v>
      </c>
      <c r="AG25" s="26">
        <v>0</v>
      </c>
      <c r="AH25" s="26">
        <v>0</v>
      </c>
      <c r="AI25" s="27">
        <v>1.6117726148845708</v>
      </c>
      <c r="AJ25" s="27">
        <v>1.6117726148845708</v>
      </c>
      <c r="AK25" s="27">
        <v>1.6117726148845708</v>
      </c>
      <c r="AL25" s="28" t="s">
        <v>631</v>
      </c>
      <c r="AM25" s="29" t="s">
        <v>48</v>
      </c>
      <c r="AN25" s="29" t="s">
        <v>48</v>
      </c>
      <c r="AO25" s="29" t="s">
        <v>48</v>
      </c>
      <c r="AP25" s="47" t="s">
        <v>249</v>
      </c>
      <c r="AQ25" s="28">
        <v>0</v>
      </c>
      <c r="AR25" s="26">
        <v>1.4999999999999999E-2</v>
      </c>
      <c r="AS25" s="26">
        <v>0</v>
      </c>
    </row>
    <row r="26" spans="1:45" x14ac:dyDescent="0.15">
      <c r="A26" s="64">
        <v>702</v>
      </c>
      <c r="B26" s="64">
        <v>641</v>
      </c>
      <c r="C26" s="11">
        <v>160211</v>
      </c>
      <c r="D26" s="61">
        <v>118</v>
      </c>
      <c r="E26" s="61">
        <v>1.68382028250208E-3</v>
      </c>
      <c r="F26" s="61">
        <v>99</v>
      </c>
      <c r="G26" s="61">
        <v>0.431674235488409</v>
      </c>
      <c r="H26" s="66">
        <v>15</v>
      </c>
      <c r="I26" s="66" t="str">
        <f>H26&amp;"/"&amp;428</f>
        <v>15/428</v>
      </c>
      <c r="J26" s="68">
        <f>H26/428</f>
        <v>3.5046728971962614E-2</v>
      </c>
      <c r="K26" s="18" t="s">
        <v>44</v>
      </c>
      <c r="L26" s="18" t="s">
        <v>45</v>
      </c>
      <c r="M26" s="58" t="s">
        <v>274</v>
      </c>
      <c r="N26" s="18">
        <f>[1]!f_prt_stocktonav(C26,"2017/03/31")</f>
        <v>81.793815612792969</v>
      </c>
      <c r="O26" s="20" t="str">
        <f>[1]!f_info_fundmanager(C26)</f>
        <v>杨飞</v>
      </c>
      <c r="P26" s="21">
        <v>1.8904109589041096</v>
      </c>
      <c r="Q26" s="34" t="s">
        <v>2787</v>
      </c>
      <c r="R26" s="34" t="s">
        <v>2788</v>
      </c>
      <c r="S26" s="34" t="s">
        <v>663</v>
      </c>
      <c r="T26" s="34">
        <v>20091019</v>
      </c>
      <c r="U26" s="45">
        <v>19.481099938300002</v>
      </c>
      <c r="V26" s="46">
        <v>24.438509369799998</v>
      </c>
      <c r="W26" s="34" t="s">
        <v>3776</v>
      </c>
      <c r="X26" s="34" t="s">
        <v>44</v>
      </c>
      <c r="Y26" s="34" t="s">
        <v>45</v>
      </c>
      <c r="Z26" s="34" t="s">
        <v>274</v>
      </c>
      <c r="AA26" s="34"/>
      <c r="AB26" s="34"/>
      <c r="AC26" s="22">
        <v>0.71964355468749996</v>
      </c>
      <c r="AD26" s="23" t="s">
        <v>664</v>
      </c>
      <c r="AE26" s="24">
        <v>1.6602739726027398</v>
      </c>
      <c r="AF26" s="25">
        <v>0.15710422577490912</v>
      </c>
      <c r="AG26" s="26">
        <v>0.33850151078291107</v>
      </c>
      <c r="AH26" s="26">
        <v>0.25733529319019643</v>
      </c>
      <c r="AI26" s="27">
        <v>0.61963394984565567</v>
      </c>
      <c r="AJ26" s="27">
        <v>0.95242074504244101</v>
      </c>
      <c r="AK26" s="27">
        <v>0.8627693659752157</v>
      </c>
      <c r="AL26" s="28" t="s">
        <v>2789</v>
      </c>
      <c r="AM26" s="29">
        <v>5</v>
      </c>
      <c r="AN26" s="29">
        <v>3</v>
      </c>
      <c r="AO26" s="29" t="s">
        <v>48</v>
      </c>
      <c r="AP26" s="47" t="s">
        <v>2790</v>
      </c>
      <c r="AQ26" s="28">
        <v>0</v>
      </c>
      <c r="AR26" s="26">
        <v>1.4999999999999999E-2</v>
      </c>
      <c r="AS26" s="26">
        <v>0</v>
      </c>
    </row>
    <row r="27" spans="1:45" x14ac:dyDescent="0.15">
      <c r="A27" s="64">
        <v>895</v>
      </c>
      <c r="B27" s="64">
        <v>564</v>
      </c>
      <c r="C27" s="11">
        <v>100022</v>
      </c>
      <c r="D27" s="61">
        <v>129</v>
      </c>
      <c r="E27" s="61">
        <v>1.5554325762505499E-3</v>
      </c>
      <c r="F27" s="61">
        <v>61</v>
      </c>
      <c r="G27" s="61">
        <v>0.54587615589120497</v>
      </c>
      <c r="H27" s="66">
        <v>16</v>
      </c>
      <c r="I27" s="66" t="str">
        <f>H27&amp;"/"&amp;428</f>
        <v>16/428</v>
      </c>
      <c r="J27" s="68">
        <f>H27/428</f>
        <v>3.7383177570093455E-2</v>
      </c>
      <c r="K27" s="18" t="s">
        <v>44</v>
      </c>
      <c r="L27" s="18" t="s">
        <v>45</v>
      </c>
      <c r="M27" s="58" t="s">
        <v>274</v>
      </c>
      <c r="N27" s="18">
        <f>[1]!f_prt_stocktonav(C27,"2017/03/31")</f>
        <v>83.804672241210938</v>
      </c>
      <c r="O27" s="20" t="str">
        <f>[1]!f_info_fundmanager(C27)</f>
        <v>厉叶淼</v>
      </c>
      <c r="P27" s="21">
        <v>1.1589041095890411</v>
      </c>
      <c r="Q27" s="34" t="s">
        <v>3476</v>
      </c>
      <c r="R27" s="34" t="s">
        <v>3477</v>
      </c>
      <c r="S27" s="34" t="s">
        <v>396</v>
      </c>
      <c r="T27" s="34">
        <v>20050405</v>
      </c>
      <c r="U27" s="45">
        <v>18.834240820200002</v>
      </c>
      <c r="V27" s="46">
        <v>23.462806861200001</v>
      </c>
      <c r="W27" s="34" t="s">
        <v>231</v>
      </c>
      <c r="X27" s="34" t="s">
        <v>44</v>
      </c>
      <c r="Y27" s="34" t="s">
        <v>45</v>
      </c>
      <c r="Z27" s="34" t="s">
        <v>65</v>
      </c>
      <c r="AA27" s="34"/>
      <c r="AB27" s="34"/>
      <c r="AC27" s="22">
        <v>0.84503334045410161</v>
      </c>
      <c r="AD27" s="23" t="s">
        <v>3478</v>
      </c>
      <c r="AE27" s="24">
        <v>0.92876712328767119</v>
      </c>
      <c r="AF27" s="25">
        <v>0.1820387011837914</v>
      </c>
      <c r="AG27" s="26">
        <v>0.14405930430758551</v>
      </c>
      <c r="AH27" s="26">
        <v>0.12978373979072266</v>
      </c>
      <c r="AI27" s="27">
        <v>0.71141948347622808</v>
      </c>
      <c r="AJ27" s="27">
        <v>0.553896030140278</v>
      </c>
      <c r="AK27" s="27">
        <v>0.54346952210299926</v>
      </c>
      <c r="AL27" s="28" t="s">
        <v>3479</v>
      </c>
      <c r="AM27" s="29">
        <v>3</v>
      </c>
      <c r="AN27" s="29">
        <v>3</v>
      </c>
      <c r="AO27" s="29" t="s">
        <v>48</v>
      </c>
      <c r="AP27" s="47" t="s">
        <v>2095</v>
      </c>
      <c r="AQ27" s="28" t="s">
        <v>608</v>
      </c>
      <c r="AR27" s="26">
        <v>1.4999999999999999E-2</v>
      </c>
      <c r="AS27" s="26">
        <v>0</v>
      </c>
    </row>
    <row r="28" spans="1:45" x14ac:dyDescent="0.15">
      <c r="A28" s="64">
        <v>323</v>
      </c>
      <c r="B28" s="64">
        <v>89</v>
      </c>
      <c r="C28" s="11">
        <v>462</v>
      </c>
      <c r="D28" s="61">
        <v>132</v>
      </c>
      <c r="E28" s="61">
        <v>1.5002152996147699E-3</v>
      </c>
      <c r="F28" s="61">
        <v>97</v>
      </c>
      <c r="G28" s="61">
        <v>0.62379004594763499</v>
      </c>
      <c r="H28" s="66">
        <v>17</v>
      </c>
      <c r="I28" s="66" t="str">
        <f>H28&amp;"/"&amp;428</f>
        <v>17/428</v>
      </c>
      <c r="J28" s="68">
        <f>H28/428</f>
        <v>3.9719626168224297E-2</v>
      </c>
      <c r="K28" s="18" t="s">
        <v>44</v>
      </c>
      <c r="L28" s="18" t="s">
        <v>87</v>
      </c>
      <c r="M28" s="58" t="s">
        <v>274</v>
      </c>
      <c r="N28" s="18">
        <f>[1]!f_prt_stocktonav(C28,"2017/03/31")</f>
        <v>93.794387817382813</v>
      </c>
      <c r="O28" s="20" t="str">
        <f>[1]!f_info_fundmanager(C28)</f>
        <v>颜伟鹏</v>
      </c>
      <c r="P28" s="21">
        <v>1.8493150684931507</v>
      </c>
      <c r="Q28" s="34" t="s">
        <v>1450</v>
      </c>
      <c r="R28" s="34" t="s">
        <v>1451</v>
      </c>
      <c r="S28" s="34" t="s">
        <v>424</v>
      </c>
      <c r="T28" s="34">
        <v>20150410</v>
      </c>
      <c r="U28" s="45">
        <v>5.8794715138000004</v>
      </c>
      <c r="V28" s="46">
        <v>6.4764907106000003</v>
      </c>
      <c r="W28" s="34" t="s">
        <v>1235</v>
      </c>
      <c r="X28" s="34" t="s">
        <v>44</v>
      </c>
      <c r="Y28" s="34" t="s">
        <v>45</v>
      </c>
      <c r="Z28" s="34" t="s">
        <v>65</v>
      </c>
      <c r="AA28" s="34"/>
      <c r="AB28" s="34"/>
      <c r="AC28" s="22">
        <v>0.84839111328125005</v>
      </c>
      <c r="AD28" s="23" t="s">
        <v>967</v>
      </c>
      <c r="AE28" s="24">
        <v>1.6191780821917807</v>
      </c>
      <c r="AF28" s="25">
        <v>-1.2124234637682751E-2</v>
      </c>
      <c r="AG28" s="26">
        <v>0</v>
      </c>
      <c r="AH28" s="26">
        <v>0</v>
      </c>
      <c r="AI28" s="27">
        <v>3.3734693817759127E-2</v>
      </c>
      <c r="AJ28" s="27">
        <v>3.3734693817759127E-2</v>
      </c>
      <c r="AK28" s="27">
        <v>3.3734693817759127E-2</v>
      </c>
      <c r="AL28" s="28" t="s">
        <v>1452</v>
      </c>
      <c r="AM28" s="29" t="s">
        <v>48</v>
      </c>
      <c r="AN28" s="29" t="s">
        <v>48</v>
      </c>
      <c r="AO28" s="29" t="s">
        <v>48</v>
      </c>
      <c r="AP28" s="47" t="s">
        <v>427</v>
      </c>
      <c r="AQ28" s="28">
        <v>0</v>
      </c>
      <c r="AR28" s="26">
        <v>1.4999999999999999E-2</v>
      </c>
      <c r="AS28" s="26">
        <v>0</v>
      </c>
    </row>
    <row r="29" spans="1:45" x14ac:dyDescent="0.15">
      <c r="A29" s="64">
        <v>527</v>
      </c>
      <c r="B29" s="64">
        <v>187</v>
      </c>
      <c r="C29" s="11">
        <v>370027</v>
      </c>
      <c r="D29" s="61">
        <v>134</v>
      </c>
      <c r="E29" s="61">
        <v>1.48023166025886E-3</v>
      </c>
      <c r="F29" s="61">
        <v>79</v>
      </c>
      <c r="G29" s="61">
        <v>0.54636922052244397</v>
      </c>
      <c r="H29" s="66">
        <v>18</v>
      </c>
      <c r="I29" s="66" t="str">
        <f>H29&amp;"/"&amp;428</f>
        <v>18/428</v>
      </c>
      <c r="J29" s="68">
        <f>H29/428</f>
        <v>4.2056074766355138E-2</v>
      </c>
      <c r="K29" s="18" t="s">
        <v>44</v>
      </c>
      <c r="L29" s="19" t="s">
        <v>45</v>
      </c>
      <c r="M29" s="59" t="s">
        <v>274</v>
      </c>
      <c r="N29" s="18">
        <f>[1]!f_prt_stocktonav(C29,"2017/03/31")</f>
        <v>92.016494750976563</v>
      </c>
      <c r="O29" s="20" t="str">
        <f>[1]!f_info_fundmanager(C29)</f>
        <v>孟亮</v>
      </c>
      <c r="P29" s="21">
        <v>1.5041095890410958</v>
      </c>
      <c r="Q29" s="12" t="s">
        <v>2196</v>
      </c>
      <c r="R29" s="13" t="s">
        <v>2197</v>
      </c>
      <c r="S29" s="13" t="s">
        <v>511</v>
      </c>
      <c r="T29" s="13">
        <v>20130306</v>
      </c>
      <c r="U29" s="14">
        <v>1.9471887603</v>
      </c>
      <c r="V29" s="15" t="s">
        <v>3782</v>
      </c>
      <c r="W29" s="16" t="s">
        <v>40</v>
      </c>
      <c r="X29" s="17" t="s">
        <v>44</v>
      </c>
      <c r="Y29" s="17" t="s">
        <v>45</v>
      </c>
      <c r="Z29" s="17" t="s">
        <v>274</v>
      </c>
      <c r="AA29" s="13"/>
      <c r="AB29" s="13"/>
      <c r="AC29" s="22">
        <v>0.90484329223632809</v>
      </c>
      <c r="AD29" s="23" t="s">
        <v>2061</v>
      </c>
      <c r="AE29" s="24">
        <v>1.273972602739726</v>
      </c>
      <c r="AF29" s="25">
        <v>0.11155875522907444</v>
      </c>
      <c r="AG29" s="26">
        <v>9.0786822917008583E-2</v>
      </c>
      <c r="AH29" s="26">
        <v>0</v>
      </c>
      <c r="AI29" s="27">
        <v>0.44735401497903077</v>
      </c>
      <c r="AJ29" s="27">
        <v>0.35100211878029658</v>
      </c>
      <c r="AK29" s="27">
        <v>0.44735401497903077</v>
      </c>
      <c r="AL29" s="28" t="s">
        <v>1459</v>
      </c>
      <c r="AM29" s="29" t="s">
        <v>48</v>
      </c>
      <c r="AN29" s="29" t="s">
        <v>48</v>
      </c>
      <c r="AO29" s="29" t="s">
        <v>48</v>
      </c>
      <c r="AP29" s="23" t="s">
        <v>2198</v>
      </c>
      <c r="AQ29" s="30">
        <v>0</v>
      </c>
      <c r="AR29" s="31">
        <v>1.4999999999999999E-2</v>
      </c>
      <c r="AS29" s="31">
        <v>0</v>
      </c>
    </row>
    <row r="30" spans="1:45" x14ac:dyDescent="0.15">
      <c r="A30" s="64">
        <v>202</v>
      </c>
      <c r="B30" s="64">
        <v>158</v>
      </c>
      <c r="C30" s="11">
        <v>1606</v>
      </c>
      <c r="D30" s="61">
        <v>135</v>
      </c>
      <c r="E30" s="61">
        <v>1.4470421678328899E-3</v>
      </c>
      <c r="F30" s="61">
        <v>83</v>
      </c>
      <c r="G30" s="61">
        <v>0.591577217410166</v>
      </c>
      <c r="H30" s="66">
        <v>19</v>
      </c>
      <c r="I30" s="66" t="str">
        <f>H30&amp;"/"&amp;428</f>
        <v>19/428</v>
      </c>
      <c r="J30" s="68">
        <f>H30/428</f>
        <v>4.4392523364485979E-2</v>
      </c>
      <c r="K30" s="18" t="s">
        <v>44</v>
      </c>
      <c r="L30" s="18" t="s">
        <v>45</v>
      </c>
      <c r="M30" s="58" t="s">
        <v>274</v>
      </c>
      <c r="N30" s="18">
        <f>[1]!f_prt_stocktonav(C30,"2017/03/31")</f>
        <v>92.600563049316406</v>
      </c>
      <c r="O30" s="20" t="str">
        <f>[1]!f_info_fundmanager(C30)</f>
        <v>颜伟鹏</v>
      </c>
      <c r="P30" s="21">
        <v>1.6328767123287671</v>
      </c>
      <c r="Q30" s="34" t="s">
        <v>965</v>
      </c>
      <c r="R30" s="34" t="s">
        <v>966</v>
      </c>
      <c r="S30" s="34" t="s">
        <v>424</v>
      </c>
      <c r="T30" s="34">
        <v>20150813</v>
      </c>
      <c r="U30" s="45">
        <v>1.4444629222000001</v>
      </c>
      <c r="V30" s="46">
        <v>1.4190976437</v>
      </c>
      <c r="W30" s="34" t="s">
        <v>3789</v>
      </c>
      <c r="X30" s="34" t="s">
        <v>44</v>
      </c>
      <c r="Y30" s="34" t="s">
        <v>45</v>
      </c>
      <c r="Z30" s="34" t="s">
        <v>274</v>
      </c>
      <c r="AA30" s="34"/>
      <c r="AB30" s="34"/>
      <c r="AC30" s="22">
        <v>0.8027230072021484</v>
      </c>
      <c r="AD30" s="23" t="s">
        <v>967</v>
      </c>
      <c r="AE30" s="24">
        <v>1.4027397260273973</v>
      </c>
      <c r="AF30" s="25">
        <v>4.3191637776307523E-4</v>
      </c>
      <c r="AG30" s="26">
        <v>0</v>
      </c>
      <c r="AH30" s="26">
        <v>0</v>
      </c>
      <c r="AI30" s="27">
        <v>9.6667974006103177E-2</v>
      </c>
      <c r="AJ30" s="27">
        <v>9.6667974006103177E-2</v>
      </c>
      <c r="AK30" s="27">
        <v>9.6667974006103177E-2</v>
      </c>
      <c r="AL30" s="28" t="s">
        <v>968</v>
      </c>
      <c r="AM30" s="29" t="s">
        <v>48</v>
      </c>
      <c r="AN30" s="29" t="s">
        <v>48</v>
      </c>
      <c r="AO30" s="29" t="s">
        <v>48</v>
      </c>
      <c r="AP30" s="47" t="s">
        <v>427</v>
      </c>
      <c r="AQ30" s="28">
        <v>0</v>
      </c>
      <c r="AR30" s="26">
        <v>1.4999999999999999E-2</v>
      </c>
      <c r="AS30" s="26">
        <v>0</v>
      </c>
    </row>
    <row r="31" spans="1:45" x14ac:dyDescent="0.15">
      <c r="A31" s="64">
        <v>175</v>
      </c>
      <c r="B31" s="64">
        <v>287</v>
      </c>
      <c r="C31" s="11">
        <v>1897</v>
      </c>
      <c r="D31" s="61">
        <v>149</v>
      </c>
      <c r="E31" s="61">
        <v>1.3084998412630101E-3</v>
      </c>
      <c r="F31" s="61">
        <v>70</v>
      </c>
      <c r="G31" s="61">
        <v>0.32181898899367001</v>
      </c>
      <c r="H31" s="66">
        <v>20</v>
      </c>
      <c r="I31" s="66" t="str">
        <f>H31&amp;"/"&amp;428</f>
        <v>20/428</v>
      </c>
      <c r="J31" s="68">
        <f>H31/428</f>
        <v>4.6728971962616821E-2</v>
      </c>
      <c r="K31" s="18" t="s">
        <v>44</v>
      </c>
      <c r="L31" s="18" t="s">
        <v>64</v>
      </c>
      <c r="M31" s="58" t="s">
        <v>274</v>
      </c>
      <c r="N31" s="18">
        <f>[1]!f_prt_stocktonav(C31,"2017/03/31")</f>
        <v>89.641532897949219</v>
      </c>
      <c r="O31" s="20" t="str">
        <f>[1]!f_info_fundmanager(C31)</f>
        <v>王玥晰,孟亚强</v>
      </c>
      <c r="P31" s="21">
        <v>1.3890410958904109</v>
      </c>
      <c r="Q31" s="34" t="s">
        <v>864</v>
      </c>
      <c r="R31" s="34" t="s">
        <v>865</v>
      </c>
      <c r="S31" s="34" t="s">
        <v>640</v>
      </c>
      <c r="T31" s="34">
        <v>20151110</v>
      </c>
      <c r="U31" s="45">
        <v>3.1844548359</v>
      </c>
      <c r="V31" s="46">
        <v>2.2081235849</v>
      </c>
      <c r="W31" s="34" t="s">
        <v>3789</v>
      </c>
      <c r="X31" s="34" t="s">
        <v>44</v>
      </c>
      <c r="Y31" s="34" t="s">
        <v>45</v>
      </c>
      <c r="Z31" s="34" t="s">
        <v>274</v>
      </c>
      <c r="AA31" s="34"/>
      <c r="AB31" s="34"/>
      <c r="AC31" s="22">
        <v>0.90646270751953129</v>
      </c>
      <c r="AD31" s="23" t="s">
        <v>866</v>
      </c>
      <c r="AE31" s="24">
        <v>1.1589041095890411</v>
      </c>
      <c r="AF31" s="25">
        <v>8.9374441789095815E-2</v>
      </c>
      <c r="AG31" s="26">
        <v>0</v>
      </c>
      <c r="AH31" s="26">
        <v>0</v>
      </c>
      <c r="AI31" s="27">
        <v>0.42898793898028881</v>
      </c>
      <c r="AJ31" s="27">
        <v>0.42898793898028881</v>
      </c>
      <c r="AK31" s="27">
        <v>0.42898793898028881</v>
      </c>
      <c r="AL31" s="28" t="s">
        <v>110</v>
      </c>
      <c r="AM31" s="29" t="s">
        <v>48</v>
      </c>
      <c r="AN31" s="29" t="s">
        <v>48</v>
      </c>
      <c r="AO31" s="29" t="s">
        <v>48</v>
      </c>
      <c r="AP31" s="47" t="s">
        <v>643</v>
      </c>
      <c r="AQ31" s="28">
        <v>0</v>
      </c>
      <c r="AR31" s="26">
        <v>1.4999999999999999E-2</v>
      </c>
      <c r="AS31" s="26">
        <v>0</v>
      </c>
    </row>
    <row r="32" spans="1:45" x14ac:dyDescent="0.15">
      <c r="A32" s="64">
        <v>505</v>
      </c>
      <c r="B32" s="64">
        <v>528</v>
      </c>
      <c r="C32" s="11">
        <v>127</v>
      </c>
      <c r="D32" s="61">
        <v>152</v>
      </c>
      <c r="E32" s="61">
        <v>1.24880500847078E-3</v>
      </c>
      <c r="F32" s="61">
        <v>80</v>
      </c>
      <c r="G32" s="61">
        <v>0.568444888729294</v>
      </c>
      <c r="H32" s="66">
        <v>21</v>
      </c>
      <c r="I32" s="66" t="str">
        <f>H32&amp;"/"&amp;428</f>
        <v>21/428</v>
      </c>
      <c r="J32" s="68">
        <f>H32/428</f>
        <v>4.9065420560747662E-2</v>
      </c>
      <c r="K32" s="18" t="s">
        <v>44</v>
      </c>
      <c r="L32" s="18" t="s">
        <v>45</v>
      </c>
      <c r="M32" s="58" t="s">
        <v>274</v>
      </c>
      <c r="N32" s="18">
        <f>[1]!f_prt_stocktonav(C32,"2017/03/31")</f>
        <v>84.620323181152344</v>
      </c>
      <c r="O32" s="20" t="str">
        <f>[1]!f_info_fundmanager(C32)</f>
        <v>张峰</v>
      </c>
      <c r="P32" s="21">
        <v>1.536986301369863</v>
      </c>
      <c r="Q32" s="34" t="s">
        <v>2117</v>
      </c>
      <c r="R32" s="34" t="s">
        <v>2118</v>
      </c>
      <c r="S32" s="34" t="s">
        <v>424</v>
      </c>
      <c r="T32" s="34">
        <v>20130625</v>
      </c>
      <c r="U32" s="45">
        <v>10.751738076100001</v>
      </c>
      <c r="V32" s="46">
        <v>11.1546840637</v>
      </c>
      <c r="W32" s="34" t="s">
        <v>3776</v>
      </c>
      <c r="X32" s="34" t="s">
        <v>44</v>
      </c>
      <c r="Y32" s="34" t="s">
        <v>45</v>
      </c>
      <c r="Z32" s="34" t="s">
        <v>274</v>
      </c>
      <c r="AA32" s="34"/>
      <c r="AB32" s="34"/>
      <c r="AC32" s="22">
        <v>0.82867027282714845</v>
      </c>
      <c r="AD32" s="23" t="s">
        <v>425</v>
      </c>
      <c r="AE32" s="24">
        <v>1.3068493150684932</v>
      </c>
      <c r="AF32" s="25">
        <v>0.18760529621348218</v>
      </c>
      <c r="AG32" s="26">
        <v>0.25489704344406339</v>
      </c>
      <c r="AH32" s="26">
        <v>0</v>
      </c>
      <c r="AI32" s="27">
        <v>0.66871166621420752</v>
      </c>
      <c r="AJ32" s="27">
        <v>0.81582681842721028</v>
      </c>
      <c r="AK32" s="27">
        <v>0.66871166621420752</v>
      </c>
      <c r="AL32" s="28" t="s">
        <v>2119</v>
      </c>
      <c r="AM32" s="29" t="s">
        <v>48</v>
      </c>
      <c r="AN32" s="29" t="s">
        <v>48</v>
      </c>
      <c r="AO32" s="29" t="s">
        <v>48</v>
      </c>
      <c r="AP32" s="47" t="s">
        <v>702</v>
      </c>
      <c r="AQ32" s="28">
        <v>0</v>
      </c>
      <c r="AR32" s="26">
        <v>1.4999999999999999E-2</v>
      </c>
      <c r="AS32" s="26">
        <v>0</v>
      </c>
    </row>
    <row r="33" spans="1:45" x14ac:dyDescent="0.15">
      <c r="A33" s="64">
        <v>930</v>
      </c>
      <c r="B33" s="64">
        <v>867</v>
      </c>
      <c r="C33" s="11">
        <v>20003</v>
      </c>
      <c r="D33" s="61">
        <v>155</v>
      </c>
      <c r="E33" s="61">
        <v>1.2266889146025401E-3</v>
      </c>
      <c r="F33" s="61">
        <v>128</v>
      </c>
      <c r="G33" s="61">
        <v>0.43708205516856802</v>
      </c>
      <c r="H33" s="66">
        <v>22</v>
      </c>
      <c r="I33" s="66" t="str">
        <f>H33&amp;"/"&amp;428</f>
        <v>22/428</v>
      </c>
      <c r="J33" s="68">
        <f>H33/428</f>
        <v>5.1401869158878503E-2</v>
      </c>
      <c r="K33" s="18" t="s">
        <v>44</v>
      </c>
      <c r="L33" s="18" t="s">
        <v>45</v>
      </c>
      <c r="M33" s="58" t="s">
        <v>274</v>
      </c>
      <c r="N33" s="18">
        <f>[1]!f_prt_stocktonav(C33,"2017/03/31")</f>
        <v>73.868598937988281</v>
      </c>
      <c r="O33" s="20" t="str">
        <f>[1]!f_info_fundmanager(C33)</f>
        <v>杨飞</v>
      </c>
      <c r="P33" s="21">
        <v>2.4438356164383563</v>
      </c>
      <c r="Q33" s="34" t="s">
        <v>3618</v>
      </c>
      <c r="R33" s="34" t="s">
        <v>3619</v>
      </c>
      <c r="S33" s="34" t="s">
        <v>663</v>
      </c>
      <c r="T33" s="34">
        <v>20031205</v>
      </c>
      <c r="U33" s="45">
        <v>26.715902780299999</v>
      </c>
      <c r="V33" s="46">
        <v>32.560463579500002</v>
      </c>
      <c r="W33" s="34" t="s">
        <v>231</v>
      </c>
      <c r="X33" s="34" t="s">
        <v>41</v>
      </c>
      <c r="Y33" s="34" t="s">
        <v>42</v>
      </c>
      <c r="Z33" s="34" t="s">
        <v>181</v>
      </c>
      <c r="AA33" s="34"/>
      <c r="AB33" s="34"/>
      <c r="AC33" s="22">
        <v>0.64812080383300785</v>
      </c>
      <c r="AD33" s="23" t="s">
        <v>664</v>
      </c>
      <c r="AE33" s="24">
        <v>2.2136986301369861</v>
      </c>
      <c r="AF33" s="25">
        <v>0.17601966052665197</v>
      </c>
      <c r="AG33" s="26">
        <v>0.26752984930611712</v>
      </c>
      <c r="AH33" s="26">
        <v>0.14989555838920721</v>
      </c>
      <c r="AI33" s="27">
        <v>0.74348252960658767</v>
      </c>
      <c r="AJ33" s="27">
        <v>0.90442754669135916</v>
      </c>
      <c r="AK33" s="27">
        <v>0.61083421193053733</v>
      </c>
      <c r="AL33" s="28" t="s">
        <v>3620</v>
      </c>
      <c r="AM33" s="29">
        <v>5</v>
      </c>
      <c r="AN33" s="29">
        <v>3</v>
      </c>
      <c r="AO33" s="29" t="s">
        <v>48</v>
      </c>
      <c r="AP33" s="47" t="s">
        <v>3621</v>
      </c>
      <c r="AQ33" s="28">
        <v>0</v>
      </c>
      <c r="AR33" s="26">
        <v>1.4999999999999999E-2</v>
      </c>
      <c r="AS33" s="26">
        <v>0</v>
      </c>
    </row>
    <row r="34" spans="1:45" x14ac:dyDescent="0.15">
      <c r="A34" s="64">
        <v>557</v>
      </c>
      <c r="B34" s="64">
        <v>26</v>
      </c>
      <c r="C34" s="11">
        <v>590008</v>
      </c>
      <c r="D34" s="61">
        <v>164</v>
      </c>
      <c r="E34" s="61">
        <v>1.1421457071951601E-3</v>
      </c>
      <c r="F34" s="61">
        <v>223</v>
      </c>
      <c r="G34" s="61">
        <v>0.43057710785466702</v>
      </c>
      <c r="H34" s="66">
        <v>23</v>
      </c>
      <c r="I34" s="66" t="str">
        <f>H34&amp;"/"&amp;428</f>
        <v>23/428</v>
      </c>
      <c r="J34" s="68">
        <f>H34/428</f>
        <v>5.3738317757009345E-2</v>
      </c>
      <c r="K34" s="18" t="s">
        <v>44</v>
      </c>
      <c r="L34" s="18" t="s">
        <v>87</v>
      </c>
      <c r="M34" s="58" t="s">
        <v>274</v>
      </c>
      <c r="N34" s="18">
        <f>[1]!f_prt_stocktonav(C34,"2017/03/31")</f>
        <v>94.675392150878906</v>
      </c>
      <c r="O34" s="20" t="str">
        <f>[1]!f_info_fundmanager(C34)</f>
        <v>任泽松</v>
      </c>
      <c r="P34" s="21">
        <v>4.2767123287671236</v>
      </c>
      <c r="Q34" s="34" t="s">
        <v>2305</v>
      </c>
      <c r="R34" s="34" t="s">
        <v>2306</v>
      </c>
      <c r="S34" s="34" t="s">
        <v>85</v>
      </c>
      <c r="T34" s="34">
        <v>20120612</v>
      </c>
      <c r="U34" s="45">
        <v>59.125651522699997</v>
      </c>
      <c r="V34" s="46">
        <v>82.113871691100002</v>
      </c>
      <c r="W34" s="34" t="s">
        <v>3789</v>
      </c>
      <c r="X34" s="34" t="s">
        <v>44</v>
      </c>
      <c r="Y34" s="34" t="s">
        <v>45</v>
      </c>
      <c r="Z34" s="34" t="s">
        <v>274</v>
      </c>
      <c r="AA34" s="34"/>
      <c r="AB34" s="34"/>
      <c r="AC34" s="22">
        <v>0.92422271728515626</v>
      </c>
      <c r="AD34" s="23" t="s">
        <v>775</v>
      </c>
      <c r="AE34" s="24">
        <v>4.0465753424657533</v>
      </c>
      <c r="AF34" s="25">
        <v>0.38990768913108331</v>
      </c>
      <c r="AG34" s="26">
        <v>0.33510668840327457</v>
      </c>
      <c r="AH34" s="26">
        <v>0</v>
      </c>
      <c r="AI34" s="27">
        <v>1.1146412823698111</v>
      </c>
      <c r="AJ34" s="27">
        <v>0.8995571846334105</v>
      </c>
      <c r="AK34" s="27">
        <v>1.1146412823698111</v>
      </c>
      <c r="AL34" s="28" t="s">
        <v>2307</v>
      </c>
      <c r="AM34" s="29">
        <v>5</v>
      </c>
      <c r="AN34" s="29">
        <v>5</v>
      </c>
      <c r="AO34" s="29" t="s">
        <v>48</v>
      </c>
      <c r="AP34" s="47" t="s">
        <v>367</v>
      </c>
      <c r="AQ34" s="28">
        <v>0</v>
      </c>
      <c r="AR34" s="26">
        <v>1.4999999999999999E-2</v>
      </c>
      <c r="AS34" s="26">
        <v>0</v>
      </c>
    </row>
    <row r="35" spans="1:45" x14ac:dyDescent="0.15">
      <c r="A35" s="64">
        <v>471</v>
      </c>
      <c r="B35" s="64">
        <v>59</v>
      </c>
      <c r="C35" s="11">
        <v>523</v>
      </c>
      <c r="D35" s="61">
        <v>165</v>
      </c>
      <c r="E35" s="61">
        <v>1.13883353177808E-3</v>
      </c>
      <c r="F35" s="61">
        <v>70</v>
      </c>
      <c r="G35" s="61">
        <v>0.43508469717102999</v>
      </c>
      <c r="H35" s="66">
        <v>24</v>
      </c>
      <c r="I35" s="66" t="str">
        <f>H35&amp;"/"&amp;428</f>
        <v>24/428</v>
      </c>
      <c r="J35" s="68">
        <f>H35/428</f>
        <v>5.6074766355140186E-2</v>
      </c>
      <c r="K35" s="18" t="s">
        <v>44</v>
      </c>
      <c r="L35" s="18" t="s">
        <v>86</v>
      </c>
      <c r="M35" s="58" t="s">
        <v>274</v>
      </c>
      <c r="N35" s="18">
        <f>[1]!f_prt_stocktonav(C35,"2017/03/31")</f>
        <v>94.204978942871094</v>
      </c>
      <c r="O35" s="20" t="str">
        <f>[1]!f_info_fundmanager(C35)</f>
        <v>张佳荣</v>
      </c>
      <c r="P35" s="21">
        <v>1.3315068493150686</v>
      </c>
      <c r="Q35" s="34" t="s">
        <v>2001</v>
      </c>
      <c r="R35" s="34" t="s">
        <v>2002</v>
      </c>
      <c r="S35" s="34" t="s">
        <v>452</v>
      </c>
      <c r="T35" s="34">
        <v>20140225</v>
      </c>
      <c r="U35" s="45">
        <v>9.8651142973999999</v>
      </c>
      <c r="V35" s="46">
        <v>6.1508475402</v>
      </c>
      <c r="W35" s="34" t="s">
        <v>3776</v>
      </c>
      <c r="X35" s="34" t="s">
        <v>44</v>
      </c>
      <c r="Y35" s="34" t="s">
        <v>86</v>
      </c>
      <c r="Z35" s="34" t="s">
        <v>274</v>
      </c>
      <c r="AA35" s="34" t="s">
        <v>3820</v>
      </c>
      <c r="AB35" s="34"/>
      <c r="AC35" s="22">
        <v>0.94191383361816405</v>
      </c>
      <c r="AD35" s="23" t="s">
        <v>2003</v>
      </c>
      <c r="AE35" s="24">
        <v>1.1013698630136985</v>
      </c>
      <c r="AF35" s="25">
        <v>0.23691463378868208</v>
      </c>
      <c r="AG35" s="26">
        <v>0</v>
      </c>
      <c r="AH35" s="26">
        <v>0</v>
      </c>
      <c r="AI35" s="27">
        <v>0.80635743371851387</v>
      </c>
      <c r="AJ35" s="27">
        <v>0.80635743371851387</v>
      </c>
      <c r="AK35" s="27">
        <v>0.80635743371851387</v>
      </c>
      <c r="AL35" s="33" t="s">
        <v>2004</v>
      </c>
      <c r="AM35" s="29" t="s">
        <v>48</v>
      </c>
      <c r="AN35" s="29" t="s">
        <v>48</v>
      </c>
      <c r="AO35" s="29" t="s">
        <v>48</v>
      </c>
      <c r="AP35" s="47" t="s">
        <v>209</v>
      </c>
      <c r="AQ35" s="28">
        <v>0</v>
      </c>
      <c r="AR35" s="26">
        <v>1.4999999999999999E-2</v>
      </c>
      <c r="AS35" s="26">
        <v>0</v>
      </c>
    </row>
    <row r="36" spans="1:45" x14ac:dyDescent="0.15">
      <c r="A36" s="64">
        <v>385</v>
      </c>
      <c r="B36" s="64">
        <v>409</v>
      </c>
      <c r="C36" s="11">
        <v>939</v>
      </c>
      <c r="D36" s="61">
        <v>173</v>
      </c>
      <c r="E36" s="61">
        <v>1.06103220472016E-3</v>
      </c>
      <c r="F36" s="61">
        <v>22</v>
      </c>
      <c r="G36" s="61">
        <v>0.41242316824309599</v>
      </c>
      <c r="H36" s="66">
        <v>25</v>
      </c>
      <c r="I36" s="66" t="str">
        <f>H36&amp;"/"&amp;428</f>
        <v>25/428</v>
      </c>
      <c r="J36" s="68">
        <f>H36/428</f>
        <v>5.8411214953271028E-2</v>
      </c>
      <c r="K36" s="18" t="s">
        <v>44</v>
      </c>
      <c r="L36" s="18" t="s">
        <v>45</v>
      </c>
      <c r="M36" s="58" t="s">
        <v>274</v>
      </c>
      <c r="N36" s="18">
        <f>[1]!f_prt_stocktonav(C36,"2017/03/31")</f>
        <v>87.159805297851563</v>
      </c>
      <c r="O36" s="20" t="str">
        <f>[1]!f_info_fundmanager(C36)</f>
        <v>赵志华</v>
      </c>
      <c r="P36" s="21">
        <v>0.40821917808219177</v>
      </c>
      <c r="Q36" s="34" t="s">
        <v>1672</v>
      </c>
      <c r="R36" s="34" t="s">
        <v>1673</v>
      </c>
      <c r="S36" s="34" t="s">
        <v>71</v>
      </c>
      <c r="T36" s="34">
        <v>20141223</v>
      </c>
      <c r="U36" s="45">
        <v>3.7308540525999998</v>
      </c>
      <c r="V36" s="46">
        <v>3.6067007051000002</v>
      </c>
      <c r="W36" s="34" t="s">
        <v>3789</v>
      </c>
      <c r="X36" s="34" t="s">
        <v>44</v>
      </c>
      <c r="Y36" s="34" t="s">
        <v>45</v>
      </c>
      <c r="Z36" s="34" t="s">
        <v>65</v>
      </c>
      <c r="AA36" s="34"/>
      <c r="AB36" s="34"/>
      <c r="AC36" s="22">
        <v>0.83829734802246092</v>
      </c>
      <c r="AD36" s="23" t="s">
        <v>73</v>
      </c>
      <c r="AE36" s="24">
        <v>0.17808219178082191</v>
      </c>
      <c r="AF36" s="25">
        <v>-6.8904126010980171E-3</v>
      </c>
      <c r="AG36" s="26">
        <v>0</v>
      </c>
      <c r="AH36" s="26">
        <v>0</v>
      </c>
      <c r="AI36" s="27">
        <v>0.11841104428422497</v>
      </c>
      <c r="AJ36" s="27">
        <v>0.11841104428422497</v>
      </c>
      <c r="AK36" s="27">
        <v>0.11841104428422497</v>
      </c>
      <c r="AL36" s="28" t="s">
        <v>409</v>
      </c>
      <c r="AM36" s="29" t="s">
        <v>48</v>
      </c>
      <c r="AN36" s="29" t="s">
        <v>48</v>
      </c>
      <c r="AO36" s="29" t="s">
        <v>48</v>
      </c>
      <c r="AP36" s="47" t="s">
        <v>845</v>
      </c>
      <c r="AQ36" s="28">
        <v>0</v>
      </c>
      <c r="AR36" s="26">
        <v>1.4999999999999999E-2</v>
      </c>
      <c r="AS36" s="26">
        <v>0</v>
      </c>
    </row>
    <row r="37" spans="1:45" x14ac:dyDescent="0.15">
      <c r="A37" s="64">
        <v>689</v>
      </c>
      <c r="B37" s="64">
        <v>496</v>
      </c>
      <c r="C37" s="11">
        <v>166006</v>
      </c>
      <c r="D37" s="61">
        <v>174</v>
      </c>
      <c r="E37" s="61">
        <v>1.04625211472388E-3</v>
      </c>
      <c r="F37" s="61">
        <v>64</v>
      </c>
      <c r="G37" s="61">
        <v>0.49169400364037003</v>
      </c>
      <c r="H37" s="66">
        <v>26</v>
      </c>
      <c r="I37" s="66" t="str">
        <f>H37&amp;"/"&amp;428</f>
        <v>26/428</v>
      </c>
      <c r="J37" s="68">
        <f>H37/428</f>
        <v>6.0747663551401869E-2</v>
      </c>
      <c r="K37" s="18" t="s">
        <v>44</v>
      </c>
      <c r="L37" s="18" t="s">
        <v>45</v>
      </c>
      <c r="M37" s="58" t="s">
        <v>274</v>
      </c>
      <c r="N37" s="18">
        <f>[1]!f_prt_stocktonav(C37,"2017/03/31")</f>
        <v>85.441421508789063</v>
      </c>
      <c r="O37" s="20" t="str">
        <f>[1]!f_info_fundmanager(C37)</f>
        <v>李欣</v>
      </c>
      <c r="P37" s="21">
        <v>1.2273972602739727</v>
      </c>
      <c r="Q37" s="34" t="s">
        <v>2744</v>
      </c>
      <c r="R37" s="34" t="s">
        <v>2745</v>
      </c>
      <c r="S37" s="34" t="s">
        <v>200</v>
      </c>
      <c r="T37" s="34">
        <v>20091230</v>
      </c>
      <c r="U37" s="45">
        <v>17.770548365900002</v>
      </c>
      <c r="V37" s="46">
        <v>20.8570759274</v>
      </c>
      <c r="W37" s="34" t="s">
        <v>201</v>
      </c>
      <c r="X37" s="34" t="s">
        <v>44</v>
      </c>
      <c r="Y37" s="34" t="s">
        <v>45</v>
      </c>
      <c r="Z37" s="34" t="s">
        <v>65</v>
      </c>
      <c r="AA37" s="34"/>
      <c r="AB37" s="34"/>
      <c r="AC37" s="22">
        <v>0.77564109802246095</v>
      </c>
      <c r="AD37" s="23" t="s">
        <v>1392</v>
      </c>
      <c r="AE37" s="24">
        <v>0.99726027397260275</v>
      </c>
      <c r="AF37" s="25">
        <v>1.972701926962328E-2</v>
      </c>
      <c r="AG37" s="26">
        <v>0.14312410789838492</v>
      </c>
      <c r="AH37" s="26">
        <v>8.3833642434976596E-2</v>
      </c>
      <c r="AI37" s="27">
        <v>0.15499504098974198</v>
      </c>
      <c r="AJ37" s="27">
        <v>0.55690383573234248</v>
      </c>
      <c r="AK37" s="27">
        <v>0.37051416193390185</v>
      </c>
      <c r="AL37" s="28" t="s">
        <v>468</v>
      </c>
      <c r="AM37" s="29">
        <v>1</v>
      </c>
      <c r="AN37" s="29">
        <v>1</v>
      </c>
      <c r="AO37" s="29" t="s">
        <v>48</v>
      </c>
      <c r="AP37" s="47" t="s">
        <v>2746</v>
      </c>
      <c r="AQ37" s="28">
        <v>0</v>
      </c>
      <c r="AR37" s="26">
        <v>1.4999999999999999E-2</v>
      </c>
      <c r="AS37" s="26">
        <v>0</v>
      </c>
    </row>
    <row r="38" spans="1:45" x14ac:dyDescent="0.15">
      <c r="A38" s="64">
        <v>111</v>
      </c>
      <c r="B38" s="64">
        <v>575</v>
      </c>
      <c r="C38" s="11">
        <v>2229</v>
      </c>
      <c r="D38" s="61">
        <v>190</v>
      </c>
      <c r="E38" s="61">
        <v>8.9075744654923004E-4</v>
      </c>
      <c r="F38" s="61">
        <v>53</v>
      </c>
      <c r="G38" s="61">
        <v>0.58474328490460603</v>
      </c>
      <c r="H38" s="66">
        <v>27</v>
      </c>
      <c r="I38" s="66" t="str">
        <f>H38&amp;"/"&amp;428</f>
        <v>27/428</v>
      </c>
      <c r="J38" s="68">
        <f>H38/428</f>
        <v>6.3084112149532703E-2</v>
      </c>
      <c r="K38" s="18" t="s">
        <v>44</v>
      </c>
      <c r="L38" s="18" t="s">
        <v>45</v>
      </c>
      <c r="M38" s="58" t="s">
        <v>274</v>
      </c>
      <c r="N38" s="18">
        <f>[1]!f_prt_stocktonav(C38,"2017/03/31")</f>
        <v>83.340263366699219</v>
      </c>
      <c r="O38" s="20" t="str">
        <f>[1]!f_info_fundmanager(C38)</f>
        <v>彭海伟,张帆</v>
      </c>
      <c r="P38" s="21">
        <v>1.0438356164383562</v>
      </c>
      <c r="Q38" s="34" t="s">
        <v>584</v>
      </c>
      <c r="R38" s="34" t="s">
        <v>585</v>
      </c>
      <c r="S38" s="34" t="s">
        <v>143</v>
      </c>
      <c r="T38" s="34">
        <v>20160315</v>
      </c>
      <c r="U38" s="45">
        <v>1.7830382146999999</v>
      </c>
      <c r="V38" s="46">
        <v>1.5687912178000001</v>
      </c>
      <c r="W38" s="34" t="s">
        <v>3776</v>
      </c>
      <c r="X38" s="34" t="s">
        <v>44</v>
      </c>
      <c r="Y38" s="34" t="s">
        <v>45</v>
      </c>
      <c r="Z38" s="34" t="s">
        <v>65</v>
      </c>
      <c r="AA38" s="34"/>
      <c r="AB38" s="34"/>
      <c r="AC38" s="22">
        <v>0.901763916015625</v>
      </c>
      <c r="AD38" s="23" t="s">
        <v>586</v>
      </c>
      <c r="AE38" s="24">
        <v>0.81369863013698629</v>
      </c>
      <c r="AF38" s="25">
        <v>0.130366792671609</v>
      </c>
      <c r="AG38" s="26">
        <v>0</v>
      </c>
      <c r="AH38" s="26">
        <v>0</v>
      </c>
      <c r="AI38" s="27">
        <v>0.66831586054778702</v>
      </c>
      <c r="AJ38" s="27">
        <v>0.66831586054778702</v>
      </c>
      <c r="AK38" s="27">
        <v>0.66831586054778702</v>
      </c>
      <c r="AL38" s="28" t="s">
        <v>587</v>
      </c>
      <c r="AM38" s="29" t="s">
        <v>48</v>
      </c>
      <c r="AN38" s="29" t="s">
        <v>48</v>
      </c>
      <c r="AO38" s="29" t="s">
        <v>48</v>
      </c>
      <c r="AP38" s="47" t="s">
        <v>101</v>
      </c>
      <c r="AQ38" s="28">
        <v>0</v>
      </c>
      <c r="AR38" s="26">
        <v>1.4999999999999999E-2</v>
      </c>
      <c r="AS38" s="26">
        <v>0</v>
      </c>
    </row>
    <row r="39" spans="1:45" x14ac:dyDescent="0.15">
      <c r="A39" s="64">
        <v>229</v>
      </c>
      <c r="B39" s="64">
        <v>517</v>
      </c>
      <c r="C39" s="11">
        <v>1421</v>
      </c>
      <c r="D39" s="61">
        <v>198</v>
      </c>
      <c r="E39" s="61">
        <v>8.4229507179546005E-4</v>
      </c>
      <c r="F39" s="61">
        <v>89</v>
      </c>
      <c r="G39" s="61">
        <v>0.63689523355020705</v>
      </c>
      <c r="H39" s="66">
        <v>28</v>
      </c>
      <c r="I39" s="66" t="str">
        <f>H39&amp;"/"&amp;428</f>
        <v>28/428</v>
      </c>
      <c r="J39" s="68">
        <f>H39/428</f>
        <v>6.5420560747663545E-2</v>
      </c>
      <c r="K39" s="18" t="s">
        <v>44</v>
      </c>
      <c r="L39" s="18" t="s">
        <v>64</v>
      </c>
      <c r="M39" s="58" t="s">
        <v>274</v>
      </c>
      <c r="N39" s="18">
        <f>[1]!f_prt_stocktonav(C39,"2017/03/31")</f>
        <v>84.931617736816406</v>
      </c>
      <c r="O39" s="20" t="str">
        <f>[1]!f_info_fundmanager(C39)</f>
        <v>雷俊</v>
      </c>
      <c r="P39" s="21">
        <v>1.7561643835616438</v>
      </c>
      <c r="Q39" s="34" t="s">
        <v>1066</v>
      </c>
      <c r="R39" s="34" t="s">
        <v>1067</v>
      </c>
      <c r="S39" s="34" t="s">
        <v>284</v>
      </c>
      <c r="T39" s="34">
        <v>20150629</v>
      </c>
      <c r="U39" s="45">
        <v>12.946263543400001</v>
      </c>
      <c r="V39" s="46">
        <v>4.3304570288999997</v>
      </c>
      <c r="W39" s="34" t="s">
        <v>3789</v>
      </c>
      <c r="X39" s="34" t="s">
        <v>44</v>
      </c>
      <c r="Y39" s="34" t="s">
        <v>64</v>
      </c>
      <c r="Z39" s="34" t="s">
        <v>274</v>
      </c>
      <c r="AA39" s="34"/>
      <c r="AB39" s="34"/>
      <c r="AC39" s="22">
        <v>0.81347015380859378</v>
      </c>
      <c r="AD39" s="23" t="s">
        <v>1068</v>
      </c>
      <c r="AE39" s="24">
        <v>1.526027397260274</v>
      </c>
      <c r="AF39" s="25">
        <v>0.19004611834430604</v>
      </c>
      <c r="AG39" s="26">
        <v>0</v>
      </c>
      <c r="AH39" s="26">
        <v>0</v>
      </c>
      <c r="AI39" s="27">
        <v>0.68471196429324332</v>
      </c>
      <c r="AJ39" s="27">
        <v>0.68471196429324332</v>
      </c>
      <c r="AK39" s="27">
        <v>0.68471196429324332</v>
      </c>
      <c r="AL39" s="28" t="s">
        <v>1069</v>
      </c>
      <c r="AM39" s="29" t="s">
        <v>48</v>
      </c>
      <c r="AN39" s="29" t="s">
        <v>48</v>
      </c>
      <c r="AO39" s="29" t="s">
        <v>48</v>
      </c>
      <c r="AP39" s="47" t="s">
        <v>287</v>
      </c>
      <c r="AQ39" s="28">
        <v>0</v>
      </c>
      <c r="AR39" s="26">
        <v>1.4999999999999999E-2</v>
      </c>
      <c r="AS39" s="26">
        <v>0</v>
      </c>
    </row>
    <row r="40" spans="1:45" x14ac:dyDescent="0.15">
      <c r="A40" s="64">
        <v>492</v>
      </c>
      <c r="B40" s="64">
        <v>898</v>
      </c>
      <c r="C40" s="11">
        <v>308</v>
      </c>
      <c r="D40" s="61">
        <v>202</v>
      </c>
      <c r="E40" s="61">
        <v>7.9523919739694102E-4</v>
      </c>
      <c r="F40" s="61">
        <v>97</v>
      </c>
      <c r="G40" s="61">
        <v>0.61722208244875798</v>
      </c>
      <c r="H40" s="66">
        <v>29</v>
      </c>
      <c r="I40" s="66" t="str">
        <f>H40&amp;"/"&amp;428</f>
        <v>29/428</v>
      </c>
      <c r="J40" s="68">
        <f>H40/428</f>
        <v>6.7757009345794386E-2</v>
      </c>
      <c r="K40" s="18" t="s">
        <v>44</v>
      </c>
      <c r="L40" s="18" t="s">
        <v>45</v>
      </c>
      <c r="M40" s="58" t="s">
        <v>274</v>
      </c>
      <c r="N40" s="18">
        <f>[1]!f_prt_stocktonav(C40,"2017/03/31")</f>
        <v>72.608184814453125</v>
      </c>
      <c r="O40" s="20" t="str">
        <f>[1]!f_info_fundmanager(C40)</f>
        <v>邵卓</v>
      </c>
      <c r="P40" s="21">
        <v>1.8602739726027397</v>
      </c>
      <c r="Q40" s="34" t="s">
        <v>2072</v>
      </c>
      <c r="R40" s="34" t="s">
        <v>2073</v>
      </c>
      <c r="S40" s="34" t="s">
        <v>307</v>
      </c>
      <c r="T40" s="34">
        <v>20130924</v>
      </c>
      <c r="U40" s="45">
        <v>0.95878544509999997</v>
      </c>
      <c r="V40" s="46">
        <v>0.95632291979999995</v>
      </c>
      <c r="W40" s="34" t="s">
        <v>3776</v>
      </c>
      <c r="X40" s="34" t="s">
        <v>44</v>
      </c>
      <c r="Y40" s="34" t="s">
        <v>45</v>
      </c>
      <c r="Z40" s="34" t="s">
        <v>274</v>
      </c>
      <c r="AA40" s="34"/>
      <c r="AB40" s="34"/>
      <c r="AC40" s="22">
        <v>0.83407844543457033</v>
      </c>
      <c r="AD40" s="23" t="s">
        <v>1499</v>
      </c>
      <c r="AE40" s="24">
        <v>1.6301369863013699</v>
      </c>
      <c r="AF40" s="25">
        <v>0.27212282487112516</v>
      </c>
      <c r="AG40" s="26">
        <v>0.29608838456710429</v>
      </c>
      <c r="AH40" s="26">
        <v>0</v>
      </c>
      <c r="AI40" s="27">
        <v>0.95630459458781614</v>
      </c>
      <c r="AJ40" s="27">
        <v>0.98905979900794239</v>
      </c>
      <c r="AK40" s="27">
        <v>0.95630459458781614</v>
      </c>
      <c r="AL40" s="28" t="s">
        <v>2074</v>
      </c>
      <c r="AM40" s="29" t="s">
        <v>48</v>
      </c>
      <c r="AN40" s="29" t="s">
        <v>48</v>
      </c>
      <c r="AO40" s="29" t="s">
        <v>48</v>
      </c>
      <c r="AP40" s="47" t="s">
        <v>310</v>
      </c>
      <c r="AQ40" s="28">
        <v>0</v>
      </c>
      <c r="AR40" s="26">
        <v>1.4999999999999999E-2</v>
      </c>
      <c r="AS40" s="26">
        <v>0</v>
      </c>
    </row>
    <row r="41" spans="1:45" x14ac:dyDescent="0.15">
      <c r="A41" s="64">
        <v>544</v>
      </c>
      <c r="B41" s="64">
        <v>288</v>
      </c>
      <c r="C41" s="11">
        <v>40035</v>
      </c>
      <c r="D41" s="61">
        <v>204</v>
      </c>
      <c r="E41" s="61">
        <v>7.6858584710659604E-4</v>
      </c>
      <c r="F41" s="61">
        <v>93</v>
      </c>
      <c r="G41" s="61">
        <v>0.62593266949569704</v>
      </c>
      <c r="H41" s="66">
        <v>30</v>
      </c>
      <c r="I41" s="66" t="str">
        <f>H41&amp;"/"&amp;428</f>
        <v>30/428</v>
      </c>
      <c r="J41" s="68">
        <f>H41/428</f>
        <v>7.0093457943925228E-2</v>
      </c>
      <c r="K41" s="18" t="s">
        <v>44</v>
      </c>
      <c r="L41" s="18" t="s">
        <v>45</v>
      </c>
      <c r="M41" s="58" t="s">
        <v>274</v>
      </c>
      <c r="N41" s="18">
        <f>[1]!f_prt_stocktonav(C41,"2017/03/31")</f>
        <v>89.619880676269531</v>
      </c>
      <c r="O41" s="20" t="str">
        <f>[1]!f_info_fundmanager(C41)</f>
        <v>崔莹</v>
      </c>
      <c r="P41" s="21">
        <v>1.7863013698630137</v>
      </c>
      <c r="Q41" s="34" t="s">
        <v>2257</v>
      </c>
      <c r="R41" s="34" t="s">
        <v>2258</v>
      </c>
      <c r="S41" s="34" t="s">
        <v>63</v>
      </c>
      <c r="T41" s="34">
        <v>20120816</v>
      </c>
      <c r="U41" s="45">
        <v>33.670145047600002</v>
      </c>
      <c r="V41" s="46">
        <v>34.608331318399998</v>
      </c>
      <c r="W41" s="34" t="s">
        <v>3776</v>
      </c>
      <c r="X41" s="34" t="s">
        <v>44</v>
      </c>
      <c r="Y41" s="34" t="s">
        <v>45</v>
      </c>
      <c r="Z41" s="34" t="s">
        <v>274</v>
      </c>
      <c r="AA41" s="34"/>
      <c r="AB41" s="34"/>
      <c r="AC41" s="22">
        <v>0.85401878356933592</v>
      </c>
      <c r="AD41" s="23" t="s">
        <v>2259</v>
      </c>
      <c r="AE41" s="24">
        <v>1.5561643835616439</v>
      </c>
      <c r="AF41" s="25">
        <v>0.35285363547089643</v>
      </c>
      <c r="AG41" s="26">
        <v>0.40452289424244214</v>
      </c>
      <c r="AH41" s="26">
        <v>0</v>
      </c>
      <c r="AI41" s="27">
        <v>1.153248022260579</v>
      </c>
      <c r="AJ41" s="27">
        <v>1.1523689853258572</v>
      </c>
      <c r="AK41" s="27">
        <v>1.153248022260579</v>
      </c>
      <c r="AL41" s="28" t="s">
        <v>110</v>
      </c>
      <c r="AM41" s="29">
        <v>5</v>
      </c>
      <c r="AN41" s="29">
        <v>5</v>
      </c>
      <c r="AO41" s="29" t="s">
        <v>48</v>
      </c>
      <c r="AP41" s="47" t="s">
        <v>2260</v>
      </c>
      <c r="AQ41" s="28">
        <v>0</v>
      </c>
      <c r="AR41" s="26">
        <v>1.4999999999999999E-2</v>
      </c>
      <c r="AS41" s="26">
        <v>0</v>
      </c>
    </row>
    <row r="42" spans="1:45" x14ac:dyDescent="0.15">
      <c r="A42" s="64">
        <v>444</v>
      </c>
      <c r="B42" s="64">
        <v>669</v>
      </c>
      <c r="C42" s="11">
        <v>519736</v>
      </c>
      <c r="D42" s="61">
        <v>207</v>
      </c>
      <c r="E42" s="61">
        <v>7.5377467614484099E-4</v>
      </c>
      <c r="F42" s="61">
        <v>127</v>
      </c>
      <c r="G42" s="61">
        <v>0.62945970358691705</v>
      </c>
      <c r="H42" s="66">
        <v>31</v>
      </c>
      <c r="I42" s="66" t="str">
        <f>H42&amp;"/"&amp;428</f>
        <v>31/428</v>
      </c>
      <c r="J42" s="68">
        <f>H42/428</f>
        <v>7.2429906542056069E-2</v>
      </c>
      <c r="K42" s="18" t="s">
        <v>44</v>
      </c>
      <c r="L42" s="18" t="s">
        <v>45</v>
      </c>
      <c r="M42" s="58" t="s">
        <v>274</v>
      </c>
      <c r="N42" s="18">
        <f>[1]!f_prt_stocktonav(C42,"2017/03/31")</f>
        <v>80.83935546875</v>
      </c>
      <c r="O42" s="20" t="str">
        <f>[1]!f_info_fundmanager(C42)</f>
        <v>王崇</v>
      </c>
      <c r="P42" s="21">
        <v>2.441095890410959</v>
      </c>
      <c r="Q42" s="34" t="s">
        <v>1892</v>
      </c>
      <c r="R42" s="34" t="s">
        <v>1893</v>
      </c>
      <c r="S42" s="34" t="s">
        <v>138</v>
      </c>
      <c r="T42" s="34">
        <v>20140509</v>
      </c>
      <c r="U42" s="45">
        <v>5.0915041481000003</v>
      </c>
      <c r="V42" s="46">
        <v>5.5647250334000002</v>
      </c>
      <c r="W42" s="34" t="s">
        <v>3789</v>
      </c>
      <c r="X42" s="34" t="s">
        <v>44</v>
      </c>
      <c r="Y42" s="34" t="s">
        <v>45</v>
      </c>
      <c r="Z42" s="34" t="s">
        <v>274</v>
      </c>
      <c r="AA42" s="34"/>
      <c r="AB42" s="34"/>
      <c r="AC42" s="22">
        <v>0.85003799438476557</v>
      </c>
      <c r="AD42" s="23" t="s">
        <v>1894</v>
      </c>
      <c r="AE42" s="24">
        <v>2.2109589041095892</v>
      </c>
      <c r="AF42" s="25">
        <v>0.2605621847385331</v>
      </c>
      <c r="AG42" s="26">
        <v>0</v>
      </c>
      <c r="AH42" s="26">
        <v>0</v>
      </c>
      <c r="AI42" s="27">
        <v>0.87736714127271764</v>
      </c>
      <c r="AJ42" s="27">
        <v>0.87736714127271764</v>
      </c>
      <c r="AK42" s="27">
        <v>0.87736714127271764</v>
      </c>
      <c r="AL42" s="28" t="s">
        <v>1895</v>
      </c>
      <c r="AM42" s="29" t="s">
        <v>48</v>
      </c>
      <c r="AN42" s="29" t="s">
        <v>48</v>
      </c>
      <c r="AO42" s="29" t="s">
        <v>48</v>
      </c>
      <c r="AP42" s="47" t="s">
        <v>1896</v>
      </c>
      <c r="AQ42" s="28" t="s">
        <v>608</v>
      </c>
      <c r="AR42" s="26">
        <v>1.4999999999999999E-2</v>
      </c>
      <c r="AS42" s="26">
        <v>0</v>
      </c>
    </row>
    <row r="43" spans="1:45" x14ac:dyDescent="0.15">
      <c r="A43" s="64">
        <v>260</v>
      </c>
      <c r="B43" s="64">
        <v>39</v>
      </c>
      <c r="C43" s="11">
        <v>1245</v>
      </c>
      <c r="D43" s="61">
        <v>211</v>
      </c>
      <c r="E43" s="61">
        <v>7.3100899246773799E-4</v>
      </c>
      <c r="F43" s="61">
        <v>93</v>
      </c>
      <c r="G43" s="61">
        <v>0.74289906491901303</v>
      </c>
      <c r="H43" s="66">
        <v>32</v>
      </c>
      <c r="I43" s="66" t="str">
        <f>H43&amp;"/"&amp;428</f>
        <v>32/428</v>
      </c>
      <c r="J43" s="68">
        <f>H43/428</f>
        <v>7.476635514018691E-2</v>
      </c>
      <c r="K43" s="18" t="s">
        <v>44</v>
      </c>
      <c r="L43" s="18" t="s">
        <v>87</v>
      </c>
      <c r="M43" s="58" t="s">
        <v>274</v>
      </c>
      <c r="N43" s="18">
        <f>[1]!f_prt_stocktonav(C43,"2017/03/31")</f>
        <v>94.441055297851562</v>
      </c>
      <c r="O43" s="20" t="str">
        <f>[1]!f_info_fundmanager(C43)</f>
        <v>何肖颉,梅韬</v>
      </c>
      <c r="P43" s="21">
        <v>1.8301369863013699</v>
      </c>
      <c r="Q43" s="34" t="s">
        <v>1195</v>
      </c>
      <c r="R43" s="34" t="s">
        <v>1196</v>
      </c>
      <c r="S43" s="34" t="s">
        <v>523</v>
      </c>
      <c r="T43" s="34">
        <v>20150602</v>
      </c>
      <c r="U43" s="45">
        <v>20.690556205</v>
      </c>
      <c r="V43" s="46">
        <v>20.411444058099999</v>
      </c>
      <c r="W43" s="34" t="s">
        <v>3789</v>
      </c>
      <c r="X43" s="34" t="s">
        <v>44</v>
      </c>
      <c r="Y43" s="34" t="s">
        <v>86</v>
      </c>
      <c r="Z43" s="34" t="s">
        <v>274</v>
      </c>
      <c r="AA43" s="34" t="s">
        <v>3800</v>
      </c>
      <c r="AB43" s="34"/>
      <c r="AC43" s="22">
        <v>0.91300926208496092</v>
      </c>
      <c r="AD43" s="23" t="s">
        <v>1198</v>
      </c>
      <c r="AE43" s="24">
        <v>1.6</v>
      </c>
      <c r="AF43" s="25">
        <v>-7.0171094060745509E-2</v>
      </c>
      <c r="AG43" s="26">
        <v>0</v>
      </c>
      <c r="AH43" s="26">
        <v>0</v>
      </c>
      <c r="AI43" s="27">
        <v>-0.23595456733204953</v>
      </c>
      <c r="AJ43" s="27">
        <v>-0.23595456733204953</v>
      </c>
      <c r="AK43" s="27">
        <v>-0.23595456733204953</v>
      </c>
      <c r="AL43" s="33" t="s">
        <v>1199</v>
      </c>
      <c r="AM43" s="29" t="s">
        <v>48</v>
      </c>
      <c r="AN43" s="29" t="s">
        <v>48</v>
      </c>
      <c r="AO43" s="29" t="s">
        <v>48</v>
      </c>
      <c r="AP43" s="47" t="s">
        <v>255</v>
      </c>
      <c r="AQ43" s="28">
        <v>0</v>
      </c>
      <c r="AR43" s="26">
        <v>1.4999999999999999E-2</v>
      </c>
      <c r="AS43" s="26">
        <v>0</v>
      </c>
    </row>
    <row r="44" spans="1:45" x14ac:dyDescent="0.15">
      <c r="A44" s="64">
        <v>761</v>
      </c>
      <c r="B44" s="64">
        <v>406</v>
      </c>
      <c r="C44" s="11">
        <v>270008</v>
      </c>
      <c r="D44" s="61">
        <v>212</v>
      </c>
      <c r="E44" s="61">
        <v>7.1656056437255096E-4</v>
      </c>
      <c r="F44" s="61">
        <v>111</v>
      </c>
      <c r="G44" s="61">
        <v>0.71834322325066302</v>
      </c>
      <c r="H44" s="66">
        <v>33</v>
      </c>
      <c r="I44" s="66" t="str">
        <f>H44&amp;"/"&amp;428</f>
        <v>33/428</v>
      </c>
      <c r="J44" s="68">
        <f>H44/428</f>
        <v>7.7102803738317752E-2</v>
      </c>
      <c r="K44" s="18" t="s">
        <v>44</v>
      </c>
      <c r="L44" s="18" t="s">
        <v>45</v>
      </c>
      <c r="M44" s="58" t="s">
        <v>274</v>
      </c>
      <c r="N44" s="18">
        <f>[1]!f_prt_stocktonav(C44,"2017/03/31")</f>
        <v>87.446891784667969</v>
      </c>
      <c r="O44" s="20" t="str">
        <f>[1]!f_info_fundmanager(C44)</f>
        <v>吴兴武</v>
      </c>
      <c r="P44" s="21">
        <v>2.117808219178082</v>
      </c>
      <c r="Q44" s="34" t="s">
        <v>2983</v>
      </c>
      <c r="R44" s="34" t="s">
        <v>2984</v>
      </c>
      <c r="S44" s="34" t="s">
        <v>132</v>
      </c>
      <c r="T44" s="34">
        <v>20080716</v>
      </c>
      <c r="U44" s="45">
        <v>13.7670676116</v>
      </c>
      <c r="V44" s="46">
        <v>14.160074402199999</v>
      </c>
      <c r="W44" s="34" t="s">
        <v>231</v>
      </c>
      <c r="X44" s="34" t="s">
        <v>44</v>
      </c>
      <c r="Y44" s="34" t="s">
        <v>45</v>
      </c>
      <c r="Z44" s="34" t="s">
        <v>274</v>
      </c>
      <c r="AA44" s="34"/>
      <c r="AB44" s="34"/>
      <c r="AC44" s="22">
        <v>0.89396163940429685</v>
      </c>
      <c r="AD44" s="23" t="s">
        <v>2133</v>
      </c>
      <c r="AE44" s="24">
        <v>1.8876712328767122</v>
      </c>
      <c r="AF44" s="25">
        <v>0.15386112152103149</v>
      </c>
      <c r="AG44" s="26">
        <v>0.12927914700440413</v>
      </c>
      <c r="AH44" s="26">
        <v>0.17472132887373615</v>
      </c>
      <c r="AI44" s="27">
        <v>0.6226303290917593</v>
      </c>
      <c r="AJ44" s="27">
        <v>0.46822472601969922</v>
      </c>
      <c r="AK44" s="27">
        <v>0.65921863886755661</v>
      </c>
      <c r="AL44" s="28" t="s">
        <v>726</v>
      </c>
      <c r="AM44" s="29">
        <v>2</v>
      </c>
      <c r="AN44" s="29">
        <v>3</v>
      </c>
      <c r="AO44" s="29" t="s">
        <v>48</v>
      </c>
      <c r="AP44" s="47" t="s">
        <v>287</v>
      </c>
      <c r="AQ44" s="28">
        <v>0</v>
      </c>
      <c r="AR44" s="26">
        <v>1.4999999999999999E-2</v>
      </c>
      <c r="AS44" s="26">
        <v>0</v>
      </c>
    </row>
    <row r="45" spans="1:45" x14ac:dyDescent="0.15">
      <c r="A45" s="64">
        <v>245</v>
      </c>
      <c r="B45" s="64">
        <v>667</v>
      </c>
      <c r="C45" s="11">
        <v>1404</v>
      </c>
      <c r="D45" s="61">
        <v>219</v>
      </c>
      <c r="E45" s="61">
        <v>6.7936666272331301E-4</v>
      </c>
      <c r="F45" s="61">
        <v>91</v>
      </c>
      <c r="G45" s="61">
        <v>0.77630399912739501</v>
      </c>
      <c r="H45" s="66">
        <v>34</v>
      </c>
      <c r="I45" s="66" t="str">
        <f>H45&amp;"/"&amp;428</f>
        <v>34/428</v>
      </c>
      <c r="J45" s="68">
        <f>H45/428</f>
        <v>7.9439252336448593E-2</v>
      </c>
      <c r="K45" s="18" t="s">
        <v>44</v>
      </c>
      <c r="L45" s="18" t="s">
        <v>87</v>
      </c>
      <c r="M45" s="58" t="s">
        <v>274</v>
      </c>
      <c r="N45" s="18">
        <f>[1]!f_prt_stocktonav(C45,"2017/03/31")</f>
        <v>80.918205261230469</v>
      </c>
      <c r="O45" s="20" t="str">
        <f>[1]!f_info_fundmanager(C45)</f>
        <v>韩冰,钟赟</v>
      </c>
      <c r="P45" s="21">
        <v>1.7835616438356163</v>
      </c>
      <c r="Q45" s="34" t="s">
        <v>1136</v>
      </c>
      <c r="R45" s="34" t="s">
        <v>1137</v>
      </c>
      <c r="S45" s="34" t="s">
        <v>165</v>
      </c>
      <c r="T45" s="34">
        <v>20150619</v>
      </c>
      <c r="U45" s="45">
        <v>20.4693514585</v>
      </c>
      <c r="V45" s="46">
        <v>24.977975117</v>
      </c>
      <c r="W45" s="34" t="s">
        <v>3789</v>
      </c>
      <c r="X45" s="34" t="s">
        <v>44</v>
      </c>
      <c r="Y45" s="34" t="s">
        <v>45</v>
      </c>
      <c r="Z45" s="34" t="s">
        <v>274</v>
      </c>
      <c r="AA45" s="34"/>
      <c r="AB45" s="34"/>
      <c r="AC45" s="22">
        <v>0.83577087402343753</v>
      </c>
      <c r="AD45" s="23" t="s">
        <v>1138</v>
      </c>
      <c r="AE45" s="24">
        <v>1.5534246575342465</v>
      </c>
      <c r="AF45" s="25">
        <v>-0.16826973986693528</v>
      </c>
      <c r="AG45" s="26">
        <v>0</v>
      </c>
      <c r="AH45" s="26">
        <v>0</v>
      </c>
      <c r="AI45" s="27">
        <v>-0.33695625962908399</v>
      </c>
      <c r="AJ45" s="27">
        <v>-0.33695625962908399</v>
      </c>
      <c r="AK45" s="27">
        <v>-0.33695625962908399</v>
      </c>
      <c r="AL45" s="28" t="s">
        <v>1139</v>
      </c>
      <c r="AM45" s="29" t="s">
        <v>48</v>
      </c>
      <c r="AN45" s="29" t="s">
        <v>48</v>
      </c>
      <c r="AO45" s="29" t="s">
        <v>48</v>
      </c>
      <c r="AP45" s="47" t="s">
        <v>1140</v>
      </c>
      <c r="AQ45" s="28">
        <v>0</v>
      </c>
      <c r="AR45" s="26">
        <v>1.4999999999999999E-2</v>
      </c>
      <c r="AS45" s="26">
        <v>0</v>
      </c>
    </row>
    <row r="46" spans="1:45" x14ac:dyDescent="0.15">
      <c r="A46" s="64">
        <v>162</v>
      </c>
      <c r="B46" s="64">
        <v>838</v>
      </c>
      <c r="C46" s="11">
        <v>1967</v>
      </c>
      <c r="D46" s="61">
        <v>221</v>
      </c>
      <c r="E46" s="61">
        <v>6.6872652522987101E-4</v>
      </c>
      <c r="F46" s="61">
        <v>65</v>
      </c>
      <c r="G46" s="61">
        <v>0.50780186234806002</v>
      </c>
      <c r="H46" s="66">
        <v>35</v>
      </c>
      <c r="I46" s="66" t="str">
        <f>H46&amp;"/"&amp;428</f>
        <v>35/428</v>
      </c>
      <c r="J46" s="68">
        <f>H46/428</f>
        <v>8.1775700934579434E-2</v>
      </c>
      <c r="K46" s="18" t="s">
        <v>44</v>
      </c>
      <c r="L46" s="18" t="s">
        <v>45</v>
      </c>
      <c r="M46" s="58" t="s">
        <v>274</v>
      </c>
      <c r="N46" s="18">
        <f>[1]!f_prt_stocktonav(C46,"2017/03/31")</f>
        <v>75.193832397460938</v>
      </c>
      <c r="O46" s="20" t="str">
        <f>[1]!f_info_fundmanager(C46)</f>
        <v>区伟良</v>
      </c>
      <c r="P46" s="21">
        <v>1.2931506849315069</v>
      </c>
      <c r="Q46" s="34" t="s">
        <v>811</v>
      </c>
      <c r="R46" s="34" t="s">
        <v>812</v>
      </c>
      <c r="S46" s="34" t="s">
        <v>737</v>
      </c>
      <c r="T46" s="34">
        <v>20151215</v>
      </c>
      <c r="U46" s="45">
        <v>2.8544378950999998</v>
      </c>
      <c r="V46" s="46">
        <v>3.7509188561000002</v>
      </c>
      <c r="W46" s="34" t="s">
        <v>3776</v>
      </c>
      <c r="X46" s="34" t="s">
        <v>41</v>
      </c>
      <c r="Y46" s="34" t="s">
        <v>42</v>
      </c>
      <c r="Z46" s="34" t="s">
        <v>181</v>
      </c>
      <c r="AA46" s="34"/>
      <c r="AB46" s="34"/>
      <c r="AC46" s="22">
        <v>0.63797218322753901</v>
      </c>
      <c r="AD46" s="23" t="s">
        <v>813</v>
      </c>
      <c r="AE46" s="24">
        <v>1.0630136986301371</v>
      </c>
      <c r="AF46" s="25">
        <v>-1.4300104467858898E-2</v>
      </c>
      <c r="AG46" s="26">
        <v>0</v>
      </c>
      <c r="AH46" s="26">
        <v>0</v>
      </c>
      <c r="AI46" s="27">
        <v>-0.37505694170641091</v>
      </c>
      <c r="AJ46" s="27">
        <v>-0.37505694170641091</v>
      </c>
      <c r="AK46" s="27">
        <v>-0.37505694170641091</v>
      </c>
      <c r="AL46" s="28" t="s">
        <v>814</v>
      </c>
      <c r="AM46" s="29" t="s">
        <v>48</v>
      </c>
      <c r="AN46" s="29" t="s">
        <v>48</v>
      </c>
      <c r="AO46" s="29" t="s">
        <v>48</v>
      </c>
      <c r="AP46" s="47" t="s">
        <v>739</v>
      </c>
      <c r="AQ46" s="28">
        <v>0</v>
      </c>
      <c r="AR46" s="26">
        <v>1.4999999999999999E-2</v>
      </c>
      <c r="AS46" s="26">
        <v>0</v>
      </c>
    </row>
    <row r="47" spans="1:45" x14ac:dyDescent="0.15">
      <c r="A47" s="64">
        <v>568</v>
      </c>
      <c r="B47" s="64">
        <v>554</v>
      </c>
      <c r="C47" s="11">
        <v>163412</v>
      </c>
      <c r="D47" s="61">
        <v>222</v>
      </c>
      <c r="E47" s="61">
        <v>6.6327062978597097E-4</v>
      </c>
      <c r="F47" s="61">
        <v>121</v>
      </c>
      <c r="G47" s="61">
        <v>0.66613634994869597</v>
      </c>
      <c r="H47" s="66">
        <v>36</v>
      </c>
      <c r="I47" s="66" t="str">
        <f>H47&amp;"/"&amp;428</f>
        <v>36/428</v>
      </c>
      <c r="J47" s="68">
        <f>H47/428</f>
        <v>8.4112149532710276E-2</v>
      </c>
      <c r="K47" s="18" t="s">
        <v>44</v>
      </c>
      <c r="L47" s="18" t="s">
        <v>45</v>
      </c>
      <c r="M47" s="58" t="s">
        <v>274</v>
      </c>
      <c r="N47" s="18">
        <f>[1]!f_prt_stocktonav(C47,"2017/03/31")</f>
        <v>83.936752319335938</v>
      </c>
      <c r="O47" s="20" t="str">
        <f>[1]!f_info_fundmanager(C47)</f>
        <v>谢治宇</v>
      </c>
      <c r="P47" s="21">
        <v>2.3123287671232875</v>
      </c>
      <c r="Q47" s="34" t="s">
        <v>2342</v>
      </c>
      <c r="R47" s="34" t="s">
        <v>2343</v>
      </c>
      <c r="S47" s="34" t="s">
        <v>2217</v>
      </c>
      <c r="T47" s="34">
        <v>20120405</v>
      </c>
      <c r="U47" s="45">
        <v>55.735460877800001</v>
      </c>
      <c r="V47" s="46">
        <v>59.9074588792</v>
      </c>
      <c r="W47" s="34" t="s">
        <v>1235</v>
      </c>
      <c r="X47" s="34" t="s">
        <v>44</v>
      </c>
      <c r="Y47" s="34" t="s">
        <v>45</v>
      </c>
      <c r="Z47" s="34" t="s">
        <v>274</v>
      </c>
      <c r="AA47" s="34"/>
      <c r="AB47" s="34"/>
      <c r="AC47" s="22">
        <v>0.85416206359863278</v>
      </c>
      <c r="AD47" s="23" t="s">
        <v>2344</v>
      </c>
      <c r="AE47" s="24">
        <v>2.0821917808219177</v>
      </c>
      <c r="AF47" s="25">
        <v>0.30859319529621221</v>
      </c>
      <c r="AG47" s="26">
        <v>0.3688480189234562</v>
      </c>
      <c r="AH47" s="26">
        <v>0</v>
      </c>
      <c r="AI47" s="27">
        <v>1.0507048010266242</v>
      </c>
      <c r="AJ47" s="27">
        <v>1.1322895420219465</v>
      </c>
      <c r="AK47" s="27">
        <v>1.0507048010266242</v>
      </c>
      <c r="AL47" s="28" t="s">
        <v>2219</v>
      </c>
      <c r="AM47" s="29">
        <v>5</v>
      </c>
      <c r="AN47" s="29">
        <v>3</v>
      </c>
      <c r="AO47" s="29" t="s">
        <v>48</v>
      </c>
      <c r="AP47" s="47" t="s">
        <v>2220</v>
      </c>
      <c r="AQ47" s="28" t="s">
        <v>2221</v>
      </c>
      <c r="AR47" s="26">
        <v>1.4999999999999999E-2</v>
      </c>
      <c r="AS47" s="26">
        <v>0</v>
      </c>
    </row>
    <row r="48" spans="1:45" x14ac:dyDescent="0.15">
      <c r="A48" s="64">
        <v>237</v>
      </c>
      <c r="B48" s="64">
        <v>50</v>
      </c>
      <c r="C48" s="11">
        <v>1496</v>
      </c>
      <c r="D48" s="61">
        <v>225</v>
      </c>
      <c r="E48" s="61">
        <v>6.4172123668158095E-4</v>
      </c>
      <c r="F48" s="61">
        <v>90</v>
      </c>
      <c r="G48" s="61">
        <v>0.76357086105912297</v>
      </c>
      <c r="H48" s="66">
        <v>37</v>
      </c>
      <c r="I48" s="66" t="str">
        <f>H48&amp;"/"&amp;428</f>
        <v>37/428</v>
      </c>
      <c r="J48" s="68">
        <f>H48/428</f>
        <v>8.6448598130841117E-2</v>
      </c>
      <c r="K48" s="18" t="s">
        <v>44</v>
      </c>
      <c r="L48" s="18" t="s">
        <v>45</v>
      </c>
      <c r="M48" s="58" t="s">
        <v>274</v>
      </c>
      <c r="N48" s="18">
        <f>[1]!f_prt_stocktonav(C48,"2017/03/31")</f>
        <v>94.328536987304688</v>
      </c>
      <c r="O48" s="20" t="str">
        <f>[1]!f_info_fundmanager(C48)</f>
        <v>胡文彪</v>
      </c>
      <c r="P48" s="21">
        <v>1.7671232876712328</v>
      </c>
      <c r="Q48" s="34" t="s">
        <v>1100</v>
      </c>
      <c r="R48" s="34" t="s">
        <v>1101</v>
      </c>
      <c r="S48" s="34" t="s">
        <v>523</v>
      </c>
      <c r="T48" s="34">
        <v>20150625</v>
      </c>
      <c r="U48" s="45">
        <v>4.0746003760000002</v>
      </c>
      <c r="V48" s="46">
        <v>4.2967012700999998</v>
      </c>
      <c r="W48" s="34" t="s">
        <v>3789</v>
      </c>
      <c r="X48" s="34" t="s">
        <v>44</v>
      </c>
      <c r="Y48" s="34" t="s">
        <v>45</v>
      </c>
      <c r="Z48" s="34" t="s">
        <v>274</v>
      </c>
      <c r="AA48" s="34"/>
      <c r="AB48" s="34"/>
      <c r="AC48" s="22">
        <v>0.95003677368164063</v>
      </c>
      <c r="AD48" s="23" t="s">
        <v>1102</v>
      </c>
      <c r="AE48" s="24">
        <v>1.536986301369863</v>
      </c>
      <c r="AF48" s="25">
        <v>-8.5990793731609116E-2</v>
      </c>
      <c r="AG48" s="26">
        <v>0</v>
      </c>
      <c r="AH48" s="26">
        <v>0</v>
      </c>
      <c r="AI48" s="27">
        <v>-0.20600259655172651</v>
      </c>
      <c r="AJ48" s="27">
        <v>-0.20600259655172651</v>
      </c>
      <c r="AK48" s="27">
        <v>-0.20600259655172651</v>
      </c>
      <c r="AL48" s="28" t="s">
        <v>1103</v>
      </c>
      <c r="AM48" s="29" t="s">
        <v>48</v>
      </c>
      <c r="AN48" s="29" t="s">
        <v>48</v>
      </c>
      <c r="AO48" s="29" t="s">
        <v>48</v>
      </c>
      <c r="AP48" s="47" t="s">
        <v>255</v>
      </c>
      <c r="AQ48" s="28">
        <v>0</v>
      </c>
      <c r="AR48" s="26">
        <v>1.4999999999999999E-2</v>
      </c>
      <c r="AS48" s="26">
        <v>0</v>
      </c>
    </row>
    <row r="49" spans="1:45" x14ac:dyDescent="0.15">
      <c r="A49" s="64">
        <v>308</v>
      </c>
      <c r="B49" s="64">
        <v>308</v>
      </c>
      <c r="C49" s="11">
        <v>1072</v>
      </c>
      <c r="D49" s="61">
        <v>226</v>
      </c>
      <c r="E49" s="61">
        <v>6.41117108965912E-4</v>
      </c>
      <c r="F49" s="61">
        <v>90</v>
      </c>
      <c r="G49" s="61">
        <v>0.74042451146798005</v>
      </c>
      <c r="H49" s="66">
        <v>38</v>
      </c>
      <c r="I49" s="66" t="str">
        <f>H49&amp;"/"&amp;428</f>
        <v>38/428</v>
      </c>
      <c r="J49" s="68">
        <f>H49/428</f>
        <v>8.8785046728971959E-2</v>
      </c>
      <c r="K49" s="18" t="s">
        <v>44</v>
      </c>
      <c r="L49" s="18" t="s">
        <v>87</v>
      </c>
      <c r="M49" s="58" t="s">
        <v>274</v>
      </c>
      <c r="N49" s="18">
        <f>[1]!f_prt_stocktonav(C49,"2017/03/31")</f>
        <v>89.306999206542969</v>
      </c>
      <c r="O49" s="20" t="str">
        <f>[1]!f_info_fundmanager(C49)</f>
        <v>李欣</v>
      </c>
      <c r="P49" s="21">
        <v>1.7287671232876711</v>
      </c>
      <c r="Q49" s="34" t="s">
        <v>1389</v>
      </c>
      <c r="R49" s="34" t="s">
        <v>1390</v>
      </c>
      <c r="S49" s="34" t="s">
        <v>63</v>
      </c>
      <c r="T49" s="34">
        <v>20150424</v>
      </c>
      <c r="U49" s="45">
        <v>13.8982039776</v>
      </c>
      <c r="V49" s="46">
        <v>16.162823231800001</v>
      </c>
      <c r="W49" s="34" t="s">
        <v>3789</v>
      </c>
      <c r="X49" s="34" t="s">
        <v>44</v>
      </c>
      <c r="Y49" s="34" t="s">
        <v>87</v>
      </c>
      <c r="Z49" s="34" t="s">
        <v>274</v>
      </c>
      <c r="AA49" s="34" t="s">
        <v>3808</v>
      </c>
      <c r="AB49" s="34"/>
      <c r="AC49" s="22">
        <v>0.9127528381347656</v>
      </c>
      <c r="AD49" s="23" t="s">
        <v>1392</v>
      </c>
      <c r="AE49" s="24">
        <v>1.4986301369863013</v>
      </c>
      <c r="AF49" s="25">
        <v>-4.1955768614595816E-2</v>
      </c>
      <c r="AG49" s="26">
        <v>0</v>
      </c>
      <c r="AH49" s="26">
        <v>0</v>
      </c>
      <c r="AI49" s="27">
        <v>7.4326149150022849E-2</v>
      </c>
      <c r="AJ49" s="27">
        <v>7.4326149150022849E-2</v>
      </c>
      <c r="AK49" s="27">
        <v>7.4326149150022849E-2</v>
      </c>
      <c r="AL49" s="33" t="s">
        <v>1393</v>
      </c>
      <c r="AM49" s="29" t="s">
        <v>48</v>
      </c>
      <c r="AN49" s="29" t="s">
        <v>48</v>
      </c>
      <c r="AO49" s="29" t="s">
        <v>48</v>
      </c>
      <c r="AP49" s="47" t="s">
        <v>1394</v>
      </c>
      <c r="AQ49" s="28">
        <v>0</v>
      </c>
      <c r="AR49" s="26">
        <v>1.4999999999999999E-2</v>
      </c>
      <c r="AS49" s="26">
        <v>0</v>
      </c>
    </row>
    <row r="50" spans="1:45" x14ac:dyDescent="0.15">
      <c r="A50" s="64">
        <v>244</v>
      </c>
      <c r="B50" s="64">
        <v>537</v>
      </c>
      <c r="C50" s="11">
        <v>1475</v>
      </c>
      <c r="D50" s="61">
        <v>228</v>
      </c>
      <c r="E50" s="61">
        <v>6.1965958324803401E-4</v>
      </c>
      <c r="F50" s="61">
        <v>91</v>
      </c>
      <c r="G50" s="61">
        <v>0.71803052517138999</v>
      </c>
      <c r="H50" s="66">
        <v>39</v>
      </c>
      <c r="I50" s="66" t="str">
        <f>H50&amp;"/"&amp;428</f>
        <v>39/428</v>
      </c>
      <c r="J50" s="68">
        <f>H50/428</f>
        <v>9.11214953271028E-2</v>
      </c>
      <c r="K50" s="18" t="s">
        <v>44</v>
      </c>
      <c r="L50" s="18" t="s">
        <v>86</v>
      </c>
      <c r="M50" s="58" t="s">
        <v>274</v>
      </c>
      <c r="N50" s="18">
        <f>[1]!f_prt_stocktonav(C50,"2017/03/31")</f>
        <v>84.374862670898438</v>
      </c>
      <c r="O50" s="20" t="str">
        <f>[1]!f_info_fundmanager(C50)</f>
        <v>陈皓</v>
      </c>
      <c r="P50" s="21">
        <v>1.7835616438356163</v>
      </c>
      <c r="Q50" s="34" t="s">
        <v>1131</v>
      </c>
      <c r="R50" s="34" t="s">
        <v>1132</v>
      </c>
      <c r="S50" s="34" t="s">
        <v>218</v>
      </c>
      <c r="T50" s="34">
        <v>20150619</v>
      </c>
      <c r="U50" s="45">
        <v>45.929578309100002</v>
      </c>
      <c r="V50" s="46">
        <v>49.876847532799999</v>
      </c>
      <c r="W50" s="34" t="s">
        <v>3789</v>
      </c>
      <c r="X50" s="34" t="s">
        <v>44</v>
      </c>
      <c r="Y50" s="34" t="s">
        <v>45</v>
      </c>
      <c r="Z50" s="34" t="s">
        <v>274</v>
      </c>
      <c r="AA50" s="34"/>
      <c r="AB50" s="34"/>
      <c r="AC50" s="22">
        <v>0.81328865051269528</v>
      </c>
      <c r="AD50" s="23" t="s">
        <v>1133</v>
      </c>
      <c r="AE50" s="24">
        <v>1.5534246575342465</v>
      </c>
      <c r="AF50" s="25">
        <v>-9.7423120754454029E-2</v>
      </c>
      <c r="AG50" s="26">
        <v>0</v>
      </c>
      <c r="AH50" s="26">
        <v>0</v>
      </c>
      <c r="AI50" s="27">
        <v>-0.22217920181351714</v>
      </c>
      <c r="AJ50" s="27">
        <v>-0.22217920181351714</v>
      </c>
      <c r="AK50" s="27">
        <v>-0.22217920181351714</v>
      </c>
      <c r="AL50" s="28" t="s">
        <v>1134</v>
      </c>
      <c r="AM50" s="29" t="s">
        <v>48</v>
      </c>
      <c r="AN50" s="29" t="s">
        <v>48</v>
      </c>
      <c r="AO50" s="29" t="s">
        <v>48</v>
      </c>
      <c r="AP50" s="47" t="s">
        <v>1135</v>
      </c>
      <c r="AQ50" s="28">
        <v>0</v>
      </c>
      <c r="AR50" s="26">
        <v>1.4999999999999999E-2</v>
      </c>
      <c r="AS50" s="26">
        <v>0</v>
      </c>
    </row>
    <row r="51" spans="1:45" x14ac:dyDescent="0.15">
      <c r="A51" s="64">
        <v>208</v>
      </c>
      <c r="B51" s="64">
        <v>699</v>
      </c>
      <c r="C51" s="11">
        <v>1663</v>
      </c>
      <c r="D51" s="61">
        <v>233</v>
      </c>
      <c r="E51" s="61">
        <v>5.8225840527694102E-4</v>
      </c>
      <c r="F51" s="61">
        <v>84</v>
      </c>
      <c r="G51" s="61">
        <v>0.84341511998975105</v>
      </c>
      <c r="H51" s="66">
        <v>40</v>
      </c>
      <c r="I51" s="66" t="str">
        <f>H51&amp;"/"&amp;428</f>
        <v>40/428</v>
      </c>
      <c r="J51" s="68">
        <f>H51/428</f>
        <v>9.3457943925233641E-2</v>
      </c>
      <c r="K51" s="18" t="s">
        <v>44</v>
      </c>
      <c r="L51" s="18" t="s">
        <v>45</v>
      </c>
      <c r="M51" s="58" t="s">
        <v>274</v>
      </c>
      <c r="N51" s="18">
        <f>[1]!f_prt_stocktonav(C51,"2017/03/31")</f>
        <v>80.040992736816406</v>
      </c>
      <c r="O51" s="20" t="str">
        <f>[1]!f_info_fundmanager(C51)</f>
        <v>邬炜</v>
      </c>
      <c r="P51" s="21">
        <v>1.6520547945205479</v>
      </c>
      <c r="Q51" s="34" t="s">
        <v>988</v>
      </c>
      <c r="R51" s="34" t="s">
        <v>989</v>
      </c>
      <c r="S51" s="34" t="s">
        <v>71</v>
      </c>
      <c r="T51" s="34">
        <v>20150806</v>
      </c>
      <c r="U51" s="45">
        <v>1.0809746708000001</v>
      </c>
      <c r="V51" s="46">
        <v>1.2414076213</v>
      </c>
      <c r="W51" s="34" t="s">
        <v>3789</v>
      </c>
      <c r="X51" s="34" t="s">
        <v>44</v>
      </c>
      <c r="Y51" s="34" t="s">
        <v>45</v>
      </c>
      <c r="Z51" s="34" t="s">
        <v>274</v>
      </c>
      <c r="AA51" s="34"/>
      <c r="AB51" s="34"/>
      <c r="AC51" s="22">
        <v>0.83352592468261721</v>
      </c>
      <c r="AD51" s="23" t="s">
        <v>990</v>
      </c>
      <c r="AE51" s="24">
        <v>1.4219178082191781</v>
      </c>
      <c r="AF51" s="25">
        <v>-8.6778312730054541E-2</v>
      </c>
      <c r="AG51" s="26">
        <v>0</v>
      </c>
      <c r="AH51" s="26">
        <v>0</v>
      </c>
      <c r="AI51" s="27">
        <v>-0.227588982010927</v>
      </c>
      <c r="AJ51" s="27">
        <v>-0.227588982010927</v>
      </c>
      <c r="AK51" s="27">
        <v>-0.227588982010927</v>
      </c>
      <c r="AL51" s="28" t="s">
        <v>844</v>
      </c>
      <c r="AM51" s="29" t="s">
        <v>48</v>
      </c>
      <c r="AN51" s="29" t="s">
        <v>48</v>
      </c>
      <c r="AO51" s="29" t="s">
        <v>48</v>
      </c>
      <c r="AP51" s="47" t="s">
        <v>845</v>
      </c>
      <c r="AQ51" s="28">
        <v>0</v>
      </c>
      <c r="AR51" s="26">
        <v>1.4999999999999999E-2</v>
      </c>
      <c r="AS51" s="26">
        <v>0</v>
      </c>
    </row>
    <row r="52" spans="1:45" x14ac:dyDescent="0.15">
      <c r="A52" s="64">
        <v>211</v>
      </c>
      <c r="B52" s="64">
        <v>599</v>
      </c>
      <c r="C52" s="11">
        <v>1563</v>
      </c>
      <c r="D52" s="61">
        <v>234</v>
      </c>
      <c r="E52" s="61">
        <v>5.7643003625912998E-4</v>
      </c>
      <c r="F52" s="61">
        <v>84</v>
      </c>
      <c r="G52" s="61">
        <v>0.79770729838287802</v>
      </c>
      <c r="H52" s="66">
        <v>41</v>
      </c>
      <c r="I52" s="66" t="str">
        <f>H52&amp;"/"&amp;428</f>
        <v>41/428</v>
      </c>
      <c r="J52" s="68">
        <f>H52/428</f>
        <v>9.5794392523364483E-2</v>
      </c>
      <c r="K52" s="18" t="s">
        <v>44</v>
      </c>
      <c r="L52" s="18" t="s">
        <v>45</v>
      </c>
      <c r="M52" s="58" t="s">
        <v>274</v>
      </c>
      <c r="N52" s="18">
        <f>[1]!f_prt_stocktonav(C52,"2017/03/31")</f>
        <v>82.924346923828125</v>
      </c>
      <c r="O52" s="20" t="str">
        <f>[1]!f_info_fundmanager(C52)</f>
        <v>陈启明,高靖瑜</v>
      </c>
      <c r="P52" s="21">
        <v>1.6575342465753424</v>
      </c>
      <c r="Q52" s="34" t="s">
        <v>998</v>
      </c>
      <c r="R52" s="34" t="s">
        <v>999</v>
      </c>
      <c r="S52" s="34" t="s">
        <v>1000</v>
      </c>
      <c r="T52" s="34">
        <v>20150804</v>
      </c>
      <c r="U52" s="45">
        <v>0.75526703539999995</v>
      </c>
      <c r="V52" s="46">
        <v>0.99031461430000001</v>
      </c>
      <c r="W52" s="34" t="s">
        <v>3789</v>
      </c>
      <c r="X52" s="34" t="s">
        <v>44</v>
      </c>
      <c r="Y52" s="34" t="s">
        <v>45</v>
      </c>
      <c r="Z52" s="34" t="s">
        <v>274</v>
      </c>
      <c r="AA52" s="34"/>
      <c r="AB52" s="34"/>
      <c r="AC52" s="22">
        <v>0.89269287109374995</v>
      </c>
      <c r="AD52" s="23" t="s">
        <v>1001</v>
      </c>
      <c r="AE52" s="24">
        <v>1.4273972602739726</v>
      </c>
      <c r="AF52" s="25">
        <v>-5.2930604586049486E-2</v>
      </c>
      <c r="AG52" s="26">
        <v>0</v>
      </c>
      <c r="AH52" s="26">
        <v>0</v>
      </c>
      <c r="AI52" s="27">
        <v>-0.13068804111812893</v>
      </c>
      <c r="AJ52" s="27">
        <v>-0.13068804111812893</v>
      </c>
      <c r="AK52" s="27">
        <v>-0.13068804111812893</v>
      </c>
      <c r="AL52" s="28" t="s">
        <v>191</v>
      </c>
      <c r="AM52" s="29" t="s">
        <v>48</v>
      </c>
      <c r="AN52" s="29" t="s">
        <v>48</v>
      </c>
      <c r="AO52" s="29" t="s">
        <v>48</v>
      </c>
      <c r="AP52" s="47" t="s">
        <v>1002</v>
      </c>
      <c r="AQ52" s="28">
        <v>0</v>
      </c>
      <c r="AR52" s="26">
        <v>1.4999999999999999E-2</v>
      </c>
      <c r="AS52" s="26">
        <v>0</v>
      </c>
    </row>
    <row r="53" spans="1:45" x14ac:dyDescent="0.15">
      <c r="A53" s="64">
        <v>769</v>
      </c>
      <c r="B53" s="64">
        <v>960</v>
      </c>
      <c r="C53" s="11">
        <v>550003</v>
      </c>
      <c r="D53" s="61">
        <v>235</v>
      </c>
      <c r="E53" s="61">
        <v>5.6476571677783701E-4</v>
      </c>
      <c r="F53" s="61">
        <v>72</v>
      </c>
      <c r="G53" s="61">
        <v>0.62594142511638495</v>
      </c>
      <c r="H53" s="66">
        <v>42</v>
      </c>
      <c r="I53" s="66" t="str">
        <f>H53&amp;"/"&amp;428</f>
        <v>42/428</v>
      </c>
      <c r="J53" s="68">
        <f>H53/428</f>
        <v>9.8130841121495324E-2</v>
      </c>
      <c r="K53" s="18" t="s">
        <v>44</v>
      </c>
      <c r="L53" s="18" t="s">
        <v>45</v>
      </c>
      <c r="M53" s="58" t="s">
        <v>274</v>
      </c>
      <c r="N53" s="18">
        <f>[1]!f_prt_stocktonav(C53,"2017/03/31")</f>
        <v>70.141876220703125</v>
      </c>
      <c r="O53" s="20" t="str">
        <f>[1]!f_info_fundmanager(C53)</f>
        <v>吴昊</v>
      </c>
      <c r="P53" s="21">
        <v>1.3671232876712329</v>
      </c>
      <c r="Q53" s="34" t="s">
        <v>3012</v>
      </c>
      <c r="R53" s="34" t="s">
        <v>3013</v>
      </c>
      <c r="S53" s="34" t="s">
        <v>456</v>
      </c>
      <c r="T53" s="34">
        <v>20080604</v>
      </c>
      <c r="U53" s="45">
        <v>1.8821772978</v>
      </c>
      <c r="V53" s="46">
        <v>1.9429684712999999</v>
      </c>
      <c r="W53" s="34" t="s">
        <v>231</v>
      </c>
      <c r="X53" s="34" t="s">
        <v>44</v>
      </c>
      <c r="Y53" s="34" t="s">
        <v>45</v>
      </c>
      <c r="Z53" s="34" t="s">
        <v>274</v>
      </c>
      <c r="AA53" s="34"/>
      <c r="AB53" s="34"/>
      <c r="AC53" s="22">
        <v>0.72906684875488281</v>
      </c>
      <c r="AD53" s="23" t="s">
        <v>3014</v>
      </c>
      <c r="AE53" s="24">
        <v>1.6904109589041096</v>
      </c>
      <c r="AF53" s="25">
        <v>0.140268008671526</v>
      </c>
      <c r="AG53" s="26">
        <v>0.17582347091012096</v>
      </c>
      <c r="AH53" s="26">
        <v>0.13907759022189325</v>
      </c>
      <c r="AI53" s="27">
        <v>0.59209814159946361</v>
      </c>
      <c r="AJ53" s="27">
        <v>0.61254115533024645</v>
      </c>
      <c r="AK53" s="27">
        <v>0.55684143783343953</v>
      </c>
      <c r="AL53" s="28" t="s">
        <v>3015</v>
      </c>
      <c r="AM53" s="29">
        <v>2</v>
      </c>
      <c r="AN53" s="29">
        <v>3</v>
      </c>
      <c r="AO53" s="29" t="s">
        <v>48</v>
      </c>
      <c r="AP53" s="47" t="s">
        <v>310</v>
      </c>
      <c r="AQ53" s="28">
        <v>0</v>
      </c>
      <c r="AR53" s="26">
        <v>1.4999999999999999E-2</v>
      </c>
      <c r="AS53" s="26">
        <v>0</v>
      </c>
    </row>
    <row r="54" spans="1:45" x14ac:dyDescent="0.15">
      <c r="A54" s="64">
        <v>552</v>
      </c>
      <c r="B54" s="64">
        <v>113</v>
      </c>
      <c r="C54" s="11">
        <v>100060</v>
      </c>
      <c r="D54" s="61">
        <v>240</v>
      </c>
      <c r="E54" s="61">
        <v>5.0410917837850997E-4</v>
      </c>
      <c r="F54" s="61">
        <v>71</v>
      </c>
      <c r="G54" s="61">
        <v>0.87292210861884001</v>
      </c>
      <c r="H54" s="66">
        <v>43</v>
      </c>
      <c r="I54" s="66" t="str">
        <f>H54&amp;"/"&amp;428</f>
        <v>43/428</v>
      </c>
      <c r="J54" s="68">
        <f>H54/428</f>
        <v>0.10046728971962617</v>
      </c>
      <c r="K54" s="18" t="s">
        <v>44</v>
      </c>
      <c r="L54" s="18" t="s">
        <v>45</v>
      </c>
      <c r="M54" s="58" t="s">
        <v>274</v>
      </c>
      <c r="N54" s="18">
        <f>[1]!f_prt_stocktonav(C54,"2017/03/31")</f>
        <v>93.366455078125</v>
      </c>
      <c r="O54" s="20" t="str">
        <f>[1]!f_info_fundmanager(C54)</f>
        <v>李元博</v>
      </c>
      <c r="P54" s="21">
        <v>1.3534246575342466</v>
      </c>
      <c r="Q54" s="34" t="s">
        <v>2288</v>
      </c>
      <c r="R54" s="34" t="s">
        <v>2289</v>
      </c>
      <c r="S54" s="34" t="s">
        <v>396</v>
      </c>
      <c r="T54" s="34">
        <v>20120627</v>
      </c>
      <c r="U54" s="45">
        <v>4.8335862451000002</v>
      </c>
      <c r="V54" s="46">
        <v>5.7631181234</v>
      </c>
      <c r="W54" s="34" t="s">
        <v>3789</v>
      </c>
      <c r="X54" s="34" t="s">
        <v>44</v>
      </c>
      <c r="Y54" s="34" t="s">
        <v>45</v>
      </c>
      <c r="Z54" s="34" t="s">
        <v>274</v>
      </c>
      <c r="AA54" s="34"/>
      <c r="AB54" s="34"/>
      <c r="AC54" s="22">
        <v>0.9388132476806641</v>
      </c>
      <c r="AD54" s="23" t="s">
        <v>397</v>
      </c>
      <c r="AE54" s="24">
        <v>1.1232876712328768</v>
      </c>
      <c r="AF54" s="25">
        <v>0.15908048875699787</v>
      </c>
      <c r="AG54" s="26">
        <v>0.119395510081024</v>
      </c>
      <c r="AH54" s="26">
        <v>0</v>
      </c>
      <c r="AI54" s="27">
        <v>0.58025545868052819</v>
      </c>
      <c r="AJ54" s="27">
        <v>0.44681507098911893</v>
      </c>
      <c r="AK54" s="27">
        <v>0.58025545868052819</v>
      </c>
      <c r="AL54" s="28" t="s">
        <v>489</v>
      </c>
      <c r="AM54" s="29">
        <v>4</v>
      </c>
      <c r="AN54" s="29">
        <v>5</v>
      </c>
      <c r="AO54" s="29" t="s">
        <v>48</v>
      </c>
      <c r="AP54" s="47" t="s">
        <v>1854</v>
      </c>
      <c r="AQ54" s="28" t="s">
        <v>608</v>
      </c>
      <c r="AR54" s="26">
        <v>1.4999999999999999E-2</v>
      </c>
      <c r="AS54" s="26">
        <v>0</v>
      </c>
    </row>
    <row r="55" spans="1:45" x14ac:dyDescent="0.15">
      <c r="A55" s="64">
        <v>714</v>
      </c>
      <c r="B55" s="64">
        <v>932</v>
      </c>
      <c r="C55" s="11">
        <v>519091</v>
      </c>
      <c r="D55" s="61">
        <v>243</v>
      </c>
      <c r="E55" s="61">
        <v>4.7673988653085399E-4</v>
      </c>
      <c r="F55" s="61">
        <v>87</v>
      </c>
      <c r="G55" s="61">
        <v>0.74641633289684395</v>
      </c>
      <c r="H55" s="66">
        <v>44</v>
      </c>
      <c r="I55" s="66" t="str">
        <f>H55&amp;"/"&amp;428</f>
        <v>44/428</v>
      </c>
      <c r="J55" s="68">
        <f>H55/428</f>
        <v>0.10280373831775701</v>
      </c>
      <c r="K55" s="18" t="s">
        <v>44</v>
      </c>
      <c r="L55" s="18" t="s">
        <v>45</v>
      </c>
      <c r="M55" s="58" t="s">
        <v>274</v>
      </c>
      <c r="N55" s="18">
        <f>[1]!f_prt_stocktonav(C55,"2017/03/31")</f>
        <v>70.977508544921875</v>
      </c>
      <c r="O55" s="20" t="str">
        <f>[1]!f_info_fundmanager(C55)</f>
        <v>栾江伟</v>
      </c>
      <c r="P55" s="21">
        <v>1.6602739726027398</v>
      </c>
      <c r="Q55" s="34" t="s">
        <v>2827</v>
      </c>
      <c r="R55" s="34" t="s">
        <v>2828</v>
      </c>
      <c r="S55" s="34" t="s">
        <v>569</v>
      </c>
      <c r="T55" s="34">
        <v>20090713</v>
      </c>
      <c r="U55" s="45">
        <v>2.1949021104000002</v>
      </c>
      <c r="V55" s="46">
        <v>1.9313259699000001</v>
      </c>
      <c r="W55" s="34" t="s">
        <v>40</v>
      </c>
      <c r="X55" s="34" t="s">
        <v>44</v>
      </c>
      <c r="Y55" s="34" t="s">
        <v>45</v>
      </c>
      <c r="Z55" s="34" t="s">
        <v>274</v>
      </c>
      <c r="AA55" s="34"/>
      <c r="AB55" s="34"/>
      <c r="AC55" s="22">
        <v>0.78042686462402344</v>
      </c>
      <c r="AD55" s="23" t="s">
        <v>2829</v>
      </c>
      <c r="AE55" s="24">
        <v>1.4301369863013698</v>
      </c>
      <c r="AF55" s="25">
        <v>0.11482603054852314</v>
      </c>
      <c r="AG55" s="26">
        <v>0.26141517646521439</v>
      </c>
      <c r="AH55" s="26">
        <v>0.19916240840122312</v>
      </c>
      <c r="AI55" s="27">
        <v>0.53509986441962953</v>
      </c>
      <c r="AJ55" s="27">
        <v>0.89875485249418741</v>
      </c>
      <c r="AK55" s="27">
        <v>0.81747144438004948</v>
      </c>
      <c r="AL55" s="28" t="s">
        <v>1226</v>
      </c>
      <c r="AM55" s="29">
        <v>3</v>
      </c>
      <c r="AN55" s="29">
        <v>4</v>
      </c>
      <c r="AO55" s="29" t="s">
        <v>48</v>
      </c>
      <c r="AP55" s="47" t="s">
        <v>310</v>
      </c>
      <c r="AQ55" s="28">
        <v>0</v>
      </c>
      <c r="AR55" s="26">
        <v>1.4999999999999999E-2</v>
      </c>
      <c r="AS55" s="26">
        <v>0</v>
      </c>
    </row>
    <row r="56" spans="1:45" x14ac:dyDescent="0.15">
      <c r="A56" s="64">
        <v>707</v>
      </c>
      <c r="B56" s="64">
        <v>332</v>
      </c>
      <c r="C56" s="11">
        <v>90009</v>
      </c>
      <c r="D56" s="61">
        <v>245</v>
      </c>
      <c r="E56" s="61">
        <v>4.6100163158883402E-4</v>
      </c>
      <c r="F56" s="61">
        <v>68</v>
      </c>
      <c r="G56" s="61">
        <v>0.81155222712258002</v>
      </c>
      <c r="H56" s="66">
        <v>45</v>
      </c>
      <c r="I56" s="66" t="str">
        <f>H56&amp;"/"&amp;428</f>
        <v>45/428</v>
      </c>
      <c r="J56" s="68">
        <f>H56/428</f>
        <v>0.10514018691588785</v>
      </c>
      <c r="K56" s="18" t="s">
        <v>44</v>
      </c>
      <c r="L56" s="18" t="s">
        <v>45</v>
      </c>
      <c r="M56" s="58" t="s">
        <v>274</v>
      </c>
      <c r="N56" s="18">
        <f>[1]!f_prt_stocktonav(C56,"2017/03/31")</f>
        <v>88.773544311523438</v>
      </c>
      <c r="O56" s="20" t="str">
        <f>[1]!f_info_fundmanager(C56)</f>
        <v>王磊</v>
      </c>
      <c r="P56" s="21">
        <v>1.295890410958904</v>
      </c>
      <c r="Q56" s="34" t="s">
        <v>2803</v>
      </c>
      <c r="R56" s="34" t="s">
        <v>2804</v>
      </c>
      <c r="S56" s="34" t="s">
        <v>486</v>
      </c>
      <c r="T56" s="34">
        <v>20090908</v>
      </c>
      <c r="U56" s="45">
        <v>1.5057966281999999</v>
      </c>
      <c r="V56" s="46">
        <v>1.5487880571999999</v>
      </c>
      <c r="W56" s="34" t="s">
        <v>3776</v>
      </c>
      <c r="X56" s="34" t="s">
        <v>44</v>
      </c>
      <c r="Y56" s="34" t="s">
        <v>45</v>
      </c>
      <c r="Z56" s="34" t="s">
        <v>274</v>
      </c>
      <c r="AA56" s="34"/>
      <c r="AB56" s="34"/>
      <c r="AC56" s="22">
        <v>0.85915702819824213</v>
      </c>
      <c r="AD56" s="23" t="s">
        <v>2805</v>
      </c>
      <c r="AE56" s="24">
        <v>1.0657534246575342</v>
      </c>
      <c r="AF56" s="25">
        <v>3.9724688806410224E-2</v>
      </c>
      <c r="AG56" s="26">
        <v>0.17588841707804925</v>
      </c>
      <c r="AH56" s="26">
        <v>0.11754603131018125</v>
      </c>
      <c r="AI56" s="27">
        <v>0.22935872929216392</v>
      </c>
      <c r="AJ56" s="27">
        <v>0.58266394861473148</v>
      </c>
      <c r="AK56" s="27">
        <v>0.46790685935148968</v>
      </c>
      <c r="AL56" s="28" t="s">
        <v>2357</v>
      </c>
      <c r="AM56" s="29">
        <v>1</v>
      </c>
      <c r="AN56" s="29">
        <v>3</v>
      </c>
      <c r="AO56" s="29" t="s">
        <v>48</v>
      </c>
      <c r="AP56" s="47" t="s">
        <v>1002</v>
      </c>
      <c r="AQ56" s="28">
        <v>0</v>
      </c>
      <c r="AR56" s="26">
        <v>1.4999999999999999E-2</v>
      </c>
      <c r="AS56" s="26">
        <v>0</v>
      </c>
    </row>
    <row r="57" spans="1:45" x14ac:dyDescent="0.15">
      <c r="A57" s="64">
        <v>158</v>
      </c>
      <c r="B57" s="64">
        <v>135</v>
      </c>
      <c r="C57" s="11">
        <v>1681</v>
      </c>
      <c r="D57" s="61">
        <v>250</v>
      </c>
      <c r="E57" s="61">
        <v>3.9435883163089098E-4</v>
      </c>
      <c r="F57" s="61">
        <v>64</v>
      </c>
      <c r="G57" s="61">
        <v>0.72016692290912498</v>
      </c>
      <c r="H57" s="66">
        <v>46</v>
      </c>
      <c r="I57" s="66" t="str">
        <f>H57&amp;"/"&amp;428</f>
        <v>46/428</v>
      </c>
      <c r="J57" s="68">
        <f>H57/428</f>
        <v>0.10747663551401869</v>
      </c>
      <c r="K57" s="18" t="s">
        <v>44</v>
      </c>
      <c r="L57" s="18" t="s">
        <v>45</v>
      </c>
      <c r="M57" s="58" t="s">
        <v>274</v>
      </c>
      <c r="N57" s="18">
        <f>[1]!f_prt_stocktonav(C57,"2017/03/31")</f>
        <v>92.9970703125</v>
      </c>
      <c r="O57" s="20" t="str">
        <f>[1]!f_info_fundmanager(C57)</f>
        <v>李会忠</v>
      </c>
      <c r="P57" s="21">
        <v>1.2767123287671234</v>
      </c>
      <c r="Q57" s="34" t="s">
        <v>794</v>
      </c>
      <c r="R57" s="34" t="s">
        <v>795</v>
      </c>
      <c r="S57" s="34" t="s">
        <v>569</v>
      </c>
      <c r="T57" s="34">
        <v>20151221</v>
      </c>
      <c r="U57" s="45">
        <v>3.2982091805999998</v>
      </c>
      <c r="V57" s="46">
        <v>3.9847885391000002</v>
      </c>
      <c r="W57" s="34" t="s">
        <v>3776</v>
      </c>
      <c r="X57" s="34" t="s">
        <v>44</v>
      </c>
      <c r="Y57" s="34" t="s">
        <v>45</v>
      </c>
      <c r="Z57" s="34" t="s">
        <v>65</v>
      </c>
      <c r="AA57" s="34"/>
      <c r="AB57" s="34"/>
      <c r="AC57" s="22">
        <v>0.93174575805664062</v>
      </c>
      <c r="AD57" s="23" t="s">
        <v>571</v>
      </c>
      <c r="AE57" s="24">
        <v>1.0465753424657533</v>
      </c>
      <c r="AF57" s="25">
        <v>-4.16602209312531E-2</v>
      </c>
      <c r="AG57" s="26">
        <v>0</v>
      </c>
      <c r="AH57" s="26">
        <v>0</v>
      </c>
      <c r="AI57" s="27">
        <v>-0.21142903346349332</v>
      </c>
      <c r="AJ57" s="27">
        <v>-0.21142903346349332</v>
      </c>
      <c r="AK57" s="27">
        <v>-0.21142903346349332</v>
      </c>
      <c r="AL57" s="28" t="s">
        <v>796</v>
      </c>
      <c r="AM57" s="29" t="s">
        <v>48</v>
      </c>
      <c r="AN57" s="29" t="s">
        <v>48</v>
      </c>
      <c r="AO57" s="29" t="s">
        <v>48</v>
      </c>
      <c r="AP57" s="47" t="s">
        <v>797</v>
      </c>
      <c r="AQ57" s="28">
        <v>0</v>
      </c>
      <c r="AR57" s="26">
        <v>1.4999999999999999E-2</v>
      </c>
      <c r="AS57" s="26">
        <v>0</v>
      </c>
    </row>
    <row r="58" spans="1:45" x14ac:dyDescent="0.15">
      <c r="A58" s="64">
        <v>389</v>
      </c>
      <c r="B58" s="64">
        <v>296</v>
      </c>
      <c r="C58" s="11">
        <v>924</v>
      </c>
      <c r="D58" s="61">
        <v>254</v>
      </c>
      <c r="E58" s="61">
        <v>3.49079254362171E-4</v>
      </c>
      <c r="F58" s="61">
        <v>10</v>
      </c>
      <c r="G58" s="61">
        <v>0.83204908094249896</v>
      </c>
      <c r="H58" s="66">
        <v>47</v>
      </c>
      <c r="I58" s="66" t="str">
        <f>H58&amp;"/"&amp;428</f>
        <v>47/428</v>
      </c>
      <c r="J58" s="68">
        <f>H58/428</f>
        <v>0.10981308411214953</v>
      </c>
      <c r="K58" s="18" t="s">
        <v>44</v>
      </c>
      <c r="L58" s="18" t="s">
        <v>87</v>
      </c>
      <c r="M58" s="58" t="s">
        <v>274</v>
      </c>
      <c r="N58" s="18">
        <f>[1]!f_prt_stocktonav(C58,"2017/03/31")</f>
        <v>89.51116943359375</v>
      </c>
      <c r="O58" s="20" t="str">
        <f>[1]!f_info_fundmanager(C58)</f>
        <v>李健伟</v>
      </c>
      <c r="P58" s="21">
        <v>0.17808219178082191</v>
      </c>
      <c r="Q58" s="34" t="s">
        <v>1686</v>
      </c>
      <c r="R58" s="34" t="s">
        <v>1687</v>
      </c>
      <c r="S58" s="34" t="s">
        <v>402</v>
      </c>
      <c r="T58" s="34">
        <v>20141217</v>
      </c>
      <c r="U58" s="45">
        <v>7.6651853172999997</v>
      </c>
      <c r="V58" s="46">
        <v>9.9429433912</v>
      </c>
      <c r="W58" s="34" t="s">
        <v>3776</v>
      </c>
      <c r="X58" s="34" t="s">
        <v>44</v>
      </c>
      <c r="Y58" s="34" t="s">
        <v>45</v>
      </c>
      <c r="Z58" s="34" t="s">
        <v>274</v>
      </c>
      <c r="AA58" s="34"/>
      <c r="AB58" s="34"/>
      <c r="AC58" s="22">
        <v>0.94402153015136714</v>
      </c>
      <c r="AD58" s="23" t="s">
        <v>1688</v>
      </c>
      <c r="AE58" s="24">
        <v>2.0575342465753423</v>
      </c>
      <c r="AF58" s="25">
        <v>6.8950565156059351E-2</v>
      </c>
      <c r="AG58" s="26">
        <v>0</v>
      </c>
      <c r="AH58" s="26">
        <v>0</v>
      </c>
      <c r="AI58" s="27">
        <v>0.34257411590491776</v>
      </c>
      <c r="AJ58" s="27">
        <v>0.34257411590491776</v>
      </c>
      <c r="AK58" s="27">
        <v>0.34257411590491776</v>
      </c>
      <c r="AL58" s="28" t="s">
        <v>1689</v>
      </c>
      <c r="AM58" s="29" t="s">
        <v>48</v>
      </c>
      <c r="AN58" s="29" t="s">
        <v>48</v>
      </c>
      <c r="AO58" s="29" t="s">
        <v>48</v>
      </c>
      <c r="AP58" s="47" t="s">
        <v>715</v>
      </c>
      <c r="AQ58" s="28">
        <v>0</v>
      </c>
      <c r="AR58" s="26">
        <v>1.4999999999999999E-2</v>
      </c>
      <c r="AS58" s="26">
        <v>0</v>
      </c>
    </row>
    <row r="59" spans="1:45" x14ac:dyDescent="0.15">
      <c r="A59" s="64">
        <v>572</v>
      </c>
      <c r="B59" s="64">
        <v>910</v>
      </c>
      <c r="C59" s="11">
        <v>20026</v>
      </c>
      <c r="D59" s="61">
        <v>255</v>
      </c>
      <c r="E59" s="61">
        <v>3.3174131035501603E-4</v>
      </c>
      <c r="F59" s="61">
        <v>95</v>
      </c>
      <c r="G59" s="61">
        <v>0.86455371227718303</v>
      </c>
      <c r="H59" s="66">
        <v>48</v>
      </c>
      <c r="I59" s="66" t="str">
        <f>H59&amp;"/"&amp;428</f>
        <v>48/428</v>
      </c>
      <c r="J59" s="68">
        <f>H59/428</f>
        <v>0.11214953271028037</v>
      </c>
      <c r="K59" s="18" t="s">
        <v>44</v>
      </c>
      <c r="L59" s="18" t="s">
        <v>45</v>
      </c>
      <c r="M59" s="58" t="s">
        <v>274</v>
      </c>
      <c r="N59" s="18">
        <f>[1]!f_prt_stocktonav(C59,"2017/03/31")</f>
        <v>72.000961303710938</v>
      </c>
      <c r="O59" s="20" t="str">
        <f>[1]!f_info_fundmanager(C59)</f>
        <v>申坤</v>
      </c>
      <c r="P59" s="21">
        <v>1.8246575342465754</v>
      </c>
      <c r="Q59" s="34" t="s">
        <v>2358</v>
      </c>
      <c r="R59" s="34" t="s">
        <v>2359</v>
      </c>
      <c r="S59" s="34" t="s">
        <v>663</v>
      </c>
      <c r="T59" s="34">
        <v>20120320</v>
      </c>
      <c r="U59" s="45">
        <v>4.0126704150999997</v>
      </c>
      <c r="V59" s="46">
        <v>4.6277049853000003</v>
      </c>
      <c r="W59" s="34" t="s">
        <v>3776</v>
      </c>
      <c r="X59" s="34" t="s">
        <v>44</v>
      </c>
      <c r="Y59" s="34" t="s">
        <v>45</v>
      </c>
      <c r="Z59" s="34" t="s">
        <v>274</v>
      </c>
      <c r="AA59" s="34"/>
      <c r="AB59" s="34"/>
      <c r="AC59" s="22">
        <v>0.73491981506347659</v>
      </c>
      <c r="AD59" s="23" t="s">
        <v>1786</v>
      </c>
      <c r="AE59" s="24">
        <v>1.5945205479452054</v>
      </c>
      <c r="AF59" s="25">
        <v>0.22524379974672826</v>
      </c>
      <c r="AG59" s="26">
        <v>0.2936298024874695</v>
      </c>
      <c r="AH59" s="26">
        <v>0</v>
      </c>
      <c r="AI59" s="27">
        <v>0.82301511859277909</v>
      </c>
      <c r="AJ59" s="27">
        <v>0.91556390422043288</v>
      </c>
      <c r="AK59" s="27">
        <v>0.82301511859277909</v>
      </c>
      <c r="AL59" s="28" t="s">
        <v>208</v>
      </c>
      <c r="AM59" s="29">
        <v>5</v>
      </c>
      <c r="AN59" s="29">
        <v>2</v>
      </c>
      <c r="AO59" s="29" t="s">
        <v>48</v>
      </c>
      <c r="AP59" s="47" t="s">
        <v>101</v>
      </c>
      <c r="AQ59" s="28">
        <v>0</v>
      </c>
      <c r="AR59" s="26">
        <v>1.4999999999999999E-2</v>
      </c>
      <c r="AS59" s="26">
        <v>0</v>
      </c>
    </row>
    <row r="60" spans="1:45" x14ac:dyDescent="0.15">
      <c r="A60" s="64">
        <v>194</v>
      </c>
      <c r="B60" s="64">
        <v>221</v>
      </c>
      <c r="C60" s="11">
        <v>1672</v>
      </c>
      <c r="D60" s="61">
        <v>256</v>
      </c>
      <c r="E60" s="61">
        <v>3.3157967251244702E-4</v>
      </c>
      <c r="F60" s="61">
        <v>80</v>
      </c>
      <c r="G60" s="61">
        <v>0.79592682189678399</v>
      </c>
      <c r="H60" s="66">
        <v>49</v>
      </c>
      <c r="I60" s="66" t="str">
        <f>H60&amp;"/"&amp;428</f>
        <v>49/428</v>
      </c>
      <c r="J60" s="68">
        <f>H60/428</f>
        <v>0.11448598130841121</v>
      </c>
      <c r="K60" s="18" t="s">
        <v>44</v>
      </c>
      <c r="L60" s="18" t="s">
        <v>45</v>
      </c>
      <c r="M60" s="58" t="s">
        <v>274</v>
      </c>
      <c r="N60" s="18">
        <f>[1]!f_prt_stocktonav(C60,"2017/03/31")</f>
        <v>91.420845031738281</v>
      </c>
      <c r="O60" s="20" t="str">
        <f>[1]!f_info_fundmanager(C60)</f>
        <v>吴坚,张琦</v>
      </c>
      <c r="P60" s="21">
        <v>1.5808219178082192</v>
      </c>
      <c r="Q60" s="34" t="s">
        <v>936</v>
      </c>
      <c r="R60" s="34" t="s">
        <v>937</v>
      </c>
      <c r="S60" s="34" t="s">
        <v>224</v>
      </c>
      <c r="T60" s="34">
        <v>20150901</v>
      </c>
      <c r="U60" s="45">
        <v>5.4009742095000002</v>
      </c>
      <c r="V60" s="46">
        <v>6.1088254107999997</v>
      </c>
      <c r="W60" s="34" t="s">
        <v>201</v>
      </c>
      <c r="X60" s="34" t="s">
        <v>44</v>
      </c>
      <c r="Y60" s="34" t="s">
        <v>45</v>
      </c>
      <c r="Z60" s="34" t="s">
        <v>274</v>
      </c>
      <c r="AA60" s="34"/>
      <c r="AB60" s="34"/>
      <c r="AC60" s="22">
        <v>0.86744850158691411</v>
      </c>
      <c r="AD60" s="23" t="s">
        <v>938</v>
      </c>
      <c r="AE60" s="24">
        <v>1.3506849315068492</v>
      </c>
      <c r="AF60" s="25">
        <v>7.0967610589473207E-2</v>
      </c>
      <c r="AG60" s="26">
        <v>0</v>
      </c>
      <c r="AH60" s="26">
        <v>0</v>
      </c>
      <c r="AI60" s="27">
        <v>0.36428543255079343</v>
      </c>
      <c r="AJ60" s="27">
        <v>0.36428543255079343</v>
      </c>
      <c r="AK60" s="27">
        <v>0.36428543255079343</v>
      </c>
      <c r="AL60" s="28" t="s">
        <v>819</v>
      </c>
      <c r="AM60" s="29" t="s">
        <v>48</v>
      </c>
      <c r="AN60" s="29" t="s">
        <v>48</v>
      </c>
      <c r="AO60" s="29" t="s">
        <v>48</v>
      </c>
      <c r="AP60" s="47" t="s">
        <v>939</v>
      </c>
      <c r="AQ60" s="28">
        <v>0</v>
      </c>
      <c r="AR60" s="26">
        <v>1.4999999999999999E-2</v>
      </c>
      <c r="AS60" s="26">
        <v>0</v>
      </c>
    </row>
    <row r="61" spans="1:45" x14ac:dyDescent="0.15">
      <c r="A61" s="64">
        <v>573</v>
      </c>
      <c r="B61" s="64">
        <v>480</v>
      </c>
      <c r="C61" s="11">
        <v>160127</v>
      </c>
      <c r="D61" s="61">
        <v>257</v>
      </c>
      <c r="E61" s="61">
        <v>3.2037685055261601E-4</v>
      </c>
      <c r="F61" s="61">
        <v>119</v>
      </c>
      <c r="G61" s="61">
        <v>0.78442955857949204</v>
      </c>
      <c r="H61" s="66">
        <v>50</v>
      </c>
      <c r="I61" s="66" t="str">
        <f>H61&amp;"/"&amp;428</f>
        <v>50/428</v>
      </c>
      <c r="J61" s="68">
        <f>H61/428</f>
        <v>0.11682242990654206</v>
      </c>
      <c r="K61" s="18" t="s">
        <v>44</v>
      </c>
      <c r="L61" s="18" t="s">
        <v>87</v>
      </c>
      <c r="M61" s="58" t="s">
        <v>274</v>
      </c>
      <c r="N61" s="18">
        <f>[1]!f_prt_stocktonav(C61,"2017/03/31")</f>
        <v>85.6929931640625</v>
      </c>
      <c r="O61" s="20" t="str">
        <f>[1]!f_info_fundmanager(C61)</f>
        <v>蒋秋洁,李佳亮</v>
      </c>
      <c r="P61" s="21">
        <v>2.2849315068493152</v>
      </c>
      <c r="Q61" s="34" t="s">
        <v>2360</v>
      </c>
      <c r="R61" s="34" t="s">
        <v>2361</v>
      </c>
      <c r="S61" s="34" t="s">
        <v>284</v>
      </c>
      <c r="T61" s="34">
        <v>20120313</v>
      </c>
      <c r="U61" s="45">
        <v>2.7355883504</v>
      </c>
      <c r="V61" s="46">
        <v>2.1274982944</v>
      </c>
      <c r="W61" s="34" t="s">
        <v>201</v>
      </c>
      <c r="X61" s="34" t="s">
        <v>44</v>
      </c>
      <c r="Y61" s="34" t="s">
        <v>45</v>
      </c>
      <c r="Z61" s="34" t="s">
        <v>274</v>
      </c>
      <c r="AA61" s="34"/>
      <c r="AB61" s="34" t="s">
        <v>3832</v>
      </c>
      <c r="AC61" s="22">
        <v>0.83442855834960938</v>
      </c>
      <c r="AD61" s="23" t="s">
        <v>2363</v>
      </c>
      <c r="AE61" s="24">
        <v>2.0547945205479454</v>
      </c>
      <c r="AF61" s="25">
        <v>0.13685351364459897</v>
      </c>
      <c r="AG61" s="26">
        <v>0.18632442692481721</v>
      </c>
      <c r="AH61" s="26">
        <v>0</v>
      </c>
      <c r="AI61" s="27">
        <v>0.59079784052470585</v>
      </c>
      <c r="AJ61" s="27">
        <v>0.71558860174609451</v>
      </c>
      <c r="AK61" s="27">
        <v>0.59079784052470585</v>
      </c>
      <c r="AL61" s="28" t="s">
        <v>2364</v>
      </c>
      <c r="AM61" s="29">
        <v>3</v>
      </c>
      <c r="AN61" s="29">
        <v>3</v>
      </c>
      <c r="AO61" s="29" t="s">
        <v>48</v>
      </c>
      <c r="AP61" s="47" t="s">
        <v>287</v>
      </c>
      <c r="AQ61" s="28">
        <v>0</v>
      </c>
      <c r="AR61" s="26">
        <v>1.4999999999999999E-2</v>
      </c>
      <c r="AS61" s="26">
        <v>0</v>
      </c>
    </row>
    <row r="62" spans="1:45" x14ac:dyDescent="0.15">
      <c r="A62" s="64">
        <v>144</v>
      </c>
      <c r="B62" s="64">
        <v>665</v>
      </c>
      <c r="C62" s="11">
        <v>2152</v>
      </c>
      <c r="D62" s="61">
        <v>262</v>
      </c>
      <c r="E62" s="61">
        <v>2.5990111338557203E-4</v>
      </c>
      <c r="F62" s="61">
        <v>60</v>
      </c>
      <c r="G62" s="61">
        <v>0.80814765589492898</v>
      </c>
      <c r="H62" s="66">
        <v>51</v>
      </c>
      <c r="I62" s="66" t="str">
        <f>H62&amp;"/"&amp;428</f>
        <v>51/428</v>
      </c>
      <c r="J62" s="68">
        <f>H62/428</f>
        <v>0.1191588785046729</v>
      </c>
      <c r="K62" s="18" t="s">
        <v>44</v>
      </c>
      <c r="L62" s="18" t="s">
        <v>45</v>
      </c>
      <c r="M62" s="58" t="s">
        <v>274</v>
      </c>
      <c r="N62" s="18">
        <f>[1]!f_prt_stocktonav(C62,"2017/03/31")</f>
        <v>80.980949401855469</v>
      </c>
      <c r="O62" s="20" t="str">
        <f>[1]!f_info_fundmanager(C62)</f>
        <v>胡戈游</v>
      </c>
      <c r="P62" s="21">
        <v>1.1917808219178083</v>
      </c>
      <c r="Q62" s="34" t="s">
        <v>735</v>
      </c>
      <c r="R62" s="34" t="s">
        <v>736</v>
      </c>
      <c r="S62" s="34" t="s">
        <v>737</v>
      </c>
      <c r="T62" s="34">
        <v>20160121</v>
      </c>
      <c r="U62" s="45">
        <v>2.0471647061999998</v>
      </c>
      <c r="V62" s="46">
        <v>2.7313459887999998</v>
      </c>
      <c r="W62" s="34" t="s">
        <v>3776</v>
      </c>
      <c r="X62" s="34" t="s">
        <v>44</v>
      </c>
      <c r="Y62" s="34" t="s">
        <v>45</v>
      </c>
      <c r="Z62" s="34" t="s">
        <v>65</v>
      </c>
      <c r="AA62" s="34"/>
      <c r="AB62" s="34"/>
      <c r="AC62" s="22">
        <v>0.78077156066894526</v>
      </c>
      <c r="AD62" s="23" t="s">
        <v>738</v>
      </c>
      <c r="AE62" s="24">
        <v>0.9616438356164384</v>
      </c>
      <c r="AF62" s="25">
        <v>-1.3708957677259215E-2</v>
      </c>
      <c r="AG62" s="26">
        <v>0</v>
      </c>
      <c r="AH62" s="26">
        <v>0</v>
      </c>
      <c r="AI62" s="27">
        <v>-0.25928172910799019</v>
      </c>
      <c r="AJ62" s="27">
        <v>-0.25928172910799019</v>
      </c>
      <c r="AK62" s="27">
        <v>-0.25928172910799019</v>
      </c>
      <c r="AL62" s="28" t="s">
        <v>240</v>
      </c>
      <c r="AM62" s="29" t="s">
        <v>48</v>
      </c>
      <c r="AN62" s="29" t="s">
        <v>48</v>
      </c>
      <c r="AO62" s="29" t="s">
        <v>48</v>
      </c>
      <c r="AP62" s="47" t="s">
        <v>739</v>
      </c>
      <c r="AQ62" s="28">
        <v>0</v>
      </c>
      <c r="AR62" s="26">
        <v>1.4999999999999999E-2</v>
      </c>
      <c r="AS62" s="26">
        <v>0</v>
      </c>
    </row>
    <row r="63" spans="1:45" x14ac:dyDescent="0.15">
      <c r="A63" s="64">
        <v>621</v>
      </c>
      <c r="B63" s="64">
        <v>234</v>
      </c>
      <c r="C63" s="11">
        <v>688888</v>
      </c>
      <c r="D63" s="61">
        <v>265</v>
      </c>
      <c r="E63" s="61">
        <v>2.3913026070669801E-4</v>
      </c>
      <c r="F63" s="61">
        <v>99</v>
      </c>
      <c r="G63" s="61">
        <v>0.86852837478690303</v>
      </c>
      <c r="H63" s="66">
        <v>52</v>
      </c>
      <c r="I63" s="66" t="str">
        <f>H63&amp;"/"&amp;428</f>
        <v>52/428</v>
      </c>
      <c r="J63" s="68">
        <f>H63/428</f>
        <v>0.12149532710280374</v>
      </c>
      <c r="K63" s="18" t="s">
        <v>44</v>
      </c>
      <c r="L63" s="18" t="s">
        <v>45</v>
      </c>
      <c r="M63" s="58" t="s">
        <v>274</v>
      </c>
      <c r="N63" s="18">
        <f>[1]!f_prt_stocktonav(C63,"2017/03/31")</f>
        <v>90.990280151367188</v>
      </c>
      <c r="O63" s="20" t="str">
        <f>[1]!f_info_fundmanager(C63)</f>
        <v>倪权生,唐桦</v>
      </c>
      <c r="P63" s="21">
        <v>1.8904109589041096</v>
      </c>
      <c r="Q63" s="34" t="s">
        <v>2521</v>
      </c>
      <c r="R63" s="34" t="s">
        <v>2522</v>
      </c>
      <c r="S63" s="34" t="s">
        <v>2377</v>
      </c>
      <c r="T63" s="34">
        <v>20110517</v>
      </c>
      <c r="U63" s="45">
        <v>6.0060998571999997</v>
      </c>
      <c r="V63" s="46">
        <v>7.9840529378999996</v>
      </c>
      <c r="W63" s="34" t="s">
        <v>3776</v>
      </c>
      <c r="X63" s="34" t="s">
        <v>44</v>
      </c>
      <c r="Y63" s="34" t="s">
        <v>45</v>
      </c>
      <c r="Z63" s="34" t="s">
        <v>274</v>
      </c>
      <c r="AA63" s="34"/>
      <c r="AB63" s="34"/>
      <c r="AC63" s="22">
        <v>0.93004943847656252</v>
      </c>
      <c r="AD63" s="23" t="s">
        <v>2523</v>
      </c>
      <c r="AE63" s="24">
        <v>1.6602739726027398</v>
      </c>
      <c r="AF63" s="25">
        <v>8.581007462667456E-2</v>
      </c>
      <c r="AG63" s="26">
        <v>0.21476191675314626</v>
      </c>
      <c r="AH63" s="26">
        <v>0.1366601153016167</v>
      </c>
      <c r="AI63" s="27">
        <v>0.4258163997694559</v>
      </c>
      <c r="AJ63" s="27">
        <v>0.86864168712629486</v>
      </c>
      <c r="AK63" s="27">
        <v>0.62093602464299991</v>
      </c>
      <c r="AL63" s="28" t="s">
        <v>1750</v>
      </c>
      <c r="AM63" s="29">
        <v>4</v>
      </c>
      <c r="AN63" s="29">
        <v>4</v>
      </c>
      <c r="AO63" s="29" t="s">
        <v>48</v>
      </c>
      <c r="AP63" s="47" t="s">
        <v>310</v>
      </c>
      <c r="AQ63" s="28">
        <v>0</v>
      </c>
      <c r="AR63" s="26">
        <v>1.4999999999999999E-2</v>
      </c>
      <c r="AS63" s="26">
        <v>0</v>
      </c>
    </row>
    <row r="64" spans="1:45" x14ac:dyDescent="0.15">
      <c r="A64" s="64">
        <v>523</v>
      </c>
      <c r="B64" s="64">
        <v>74</v>
      </c>
      <c r="C64" s="11">
        <v>519120</v>
      </c>
      <c r="D64" s="61">
        <v>266</v>
      </c>
      <c r="E64" s="61">
        <v>2.3102099181261101E-4</v>
      </c>
      <c r="F64" s="61">
        <v>207</v>
      </c>
      <c r="G64" s="61">
        <v>0.91373260945366097</v>
      </c>
      <c r="H64" s="66">
        <v>53</v>
      </c>
      <c r="I64" s="66" t="str">
        <f>H64&amp;"/"&amp;428</f>
        <v>53/428</v>
      </c>
      <c r="J64" s="68">
        <f>H64/428</f>
        <v>0.12383177570093458</v>
      </c>
      <c r="K64" s="18" t="s">
        <v>44</v>
      </c>
      <c r="L64" s="18" t="s">
        <v>87</v>
      </c>
      <c r="M64" s="58" t="s">
        <v>274</v>
      </c>
      <c r="N64" s="18">
        <f>[1]!f_prt_stocktonav(C64,"2017/03/31")</f>
        <v>94.024665832519531</v>
      </c>
      <c r="O64" s="20" t="str">
        <f>[1]!f_info_fundmanager(C64)</f>
        <v>吴勇</v>
      </c>
      <c r="P64" s="21">
        <v>4.0191780821917806</v>
      </c>
      <c r="Q64" s="34" t="s">
        <v>2185</v>
      </c>
      <c r="R64" s="34" t="s">
        <v>2186</v>
      </c>
      <c r="S64" s="34" t="s">
        <v>649</v>
      </c>
      <c r="T64" s="34">
        <v>20130325</v>
      </c>
      <c r="U64" s="45">
        <v>10.7747513584</v>
      </c>
      <c r="V64" s="46">
        <v>12.434439336100001</v>
      </c>
      <c r="W64" s="34" t="s">
        <v>201</v>
      </c>
      <c r="X64" s="34" t="s">
        <v>44</v>
      </c>
      <c r="Y64" s="34" t="s">
        <v>45</v>
      </c>
      <c r="Z64" s="34" t="s">
        <v>274</v>
      </c>
      <c r="AA64" s="34"/>
      <c r="AB64" s="34"/>
      <c r="AC64" s="22">
        <v>0.9399920654296875</v>
      </c>
      <c r="AD64" s="23" t="s">
        <v>650</v>
      </c>
      <c r="AE64" s="24">
        <v>3.7890410958904108</v>
      </c>
      <c r="AF64" s="25">
        <v>0.25889019761192977</v>
      </c>
      <c r="AG64" s="26">
        <v>0.28160096132790624</v>
      </c>
      <c r="AH64" s="26">
        <v>0</v>
      </c>
      <c r="AI64" s="27">
        <v>0.81716829036970406</v>
      </c>
      <c r="AJ64" s="27">
        <v>0.82349536659858769</v>
      </c>
      <c r="AK64" s="27">
        <v>0.81716829036970406</v>
      </c>
      <c r="AL64" s="28" t="s">
        <v>2187</v>
      </c>
      <c r="AM64" s="29" t="s">
        <v>48</v>
      </c>
      <c r="AN64" s="29" t="s">
        <v>48</v>
      </c>
      <c r="AO64" s="29" t="s">
        <v>48</v>
      </c>
      <c r="AP64" s="47" t="s">
        <v>652</v>
      </c>
      <c r="AQ64" s="28">
        <v>0</v>
      </c>
      <c r="AR64" s="26">
        <v>1.4999999999999999E-2</v>
      </c>
      <c r="AS64" s="26">
        <v>0</v>
      </c>
    </row>
    <row r="65" spans="1:45" x14ac:dyDescent="0.15">
      <c r="A65" s="64">
        <v>772</v>
      </c>
      <c r="B65" s="64">
        <v>874</v>
      </c>
      <c r="C65" s="11">
        <v>519668</v>
      </c>
      <c r="D65" s="61">
        <v>270</v>
      </c>
      <c r="E65" s="61">
        <v>1.9618303345750299E-4</v>
      </c>
      <c r="F65" s="61">
        <v>61</v>
      </c>
      <c r="G65" s="61">
        <v>0.907465541363076</v>
      </c>
      <c r="H65" s="66">
        <v>54</v>
      </c>
      <c r="I65" s="66" t="str">
        <f>H65&amp;"/"&amp;428</f>
        <v>54/428</v>
      </c>
      <c r="J65" s="68">
        <f>H65/428</f>
        <v>0.12616822429906541</v>
      </c>
      <c r="K65" s="18" t="s">
        <v>44</v>
      </c>
      <c r="L65" s="18" t="s">
        <v>45</v>
      </c>
      <c r="M65" s="58" t="s">
        <v>274</v>
      </c>
      <c r="N65" s="18">
        <f>[1]!f_prt_stocktonav(C65,"2017/03/31")</f>
        <v>73.708152770996094</v>
      </c>
      <c r="O65" s="20" t="str">
        <f>[1]!f_info_fundmanager(C65)</f>
        <v>祝建辉</v>
      </c>
      <c r="P65" s="21">
        <v>1.1616438356164382</v>
      </c>
      <c r="Q65" s="34" t="s">
        <v>3022</v>
      </c>
      <c r="R65" s="34" t="s">
        <v>3023</v>
      </c>
      <c r="S65" s="34" t="s">
        <v>807</v>
      </c>
      <c r="T65" s="34">
        <v>20080526</v>
      </c>
      <c r="U65" s="45">
        <v>2.6568669924999999</v>
      </c>
      <c r="V65" s="46">
        <v>3.8458009283000001</v>
      </c>
      <c r="W65" s="34" t="s">
        <v>231</v>
      </c>
      <c r="X65" s="34" t="s">
        <v>44</v>
      </c>
      <c r="Y65" s="34" t="s">
        <v>45</v>
      </c>
      <c r="Z65" s="34" t="s">
        <v>65</v>
      </c>
      <c r="AA65" s="34"/>
      <c r="AB65" s="34"/>
      <c r="AC65" s="22">
        <v>0.77277465820312496</v>
      </c>
      <c r="AD65" s="23" t="s">
        <v>3024</v>
      </c>
      <c r="AE65" s="24">
        <v>0.93150684931506844</v>
      </c>
      <c r="AF65" s="25">
        <v>0.17073015034476</v>
      </c>
      <c r="AG65" s="26">
        <v>0.18185708725315419</v>
      </c>
      <c r="AH65" s="26">
        <v>0.21585884821137349</v>
      </c>
      <c r="AI65" s="27">
        <v>0.6954285444895798</v>
      </c>
      <c r="AJ65" s="27">
        <v>0.63455830171140215</v>
      </c>
      <c r="AK65" s="27">
        <v>0.7930697090378801</v>
      </c>
      <c r="AL65" s="28" t="s">
        <v>1459</v>
      </c>
      <c r="AM65" s="29">
        <v>4</v>
      </c>
      <c r="AN65" s="29">
        <v>5</v>
      </c>
      <c r="AO65" s="29" t="s">
        <v>48</v>
      </c>
      <c r="AP65" s="47" t="s">
        <v>101</v>
      </c>
      <c r="AQ65" s="28">
        <v>0</v>
      </c>
      <c r="AR65" s="26">
        <v>1.4999999999999999E-2</v>
      </c>
      <c r="AS65" s="26">
        <v>0</v>
      </c>
    </row>
    <row r="66" spans="1:45" x14ac:dyDescent="0.15">
      <c r="A66" s="64">
        <v>253</v>
      </c>
      <c r="B66" s="64">
        <v>590</v>
      </c>
      <c r="C66" s="11">
        <v>1416</v>
      </c>
      <c r="D66" s="61">
        <v>272</v>
      </c>
      <c r="E66" s="61">
        <v>1.87546923637913E-4</v>
      </c>
      <c r="F66" s="61">
        <v>92</v>
      </c>
      <c r="G66" s="61">
        <v>0.88224551051577105</v>
      </c>
      <c r="H66" s="66">
        <v>55</v>
      </c>
      <c r="I66" s="66" t="str">
        <f>H66&amp;"/"&amp;428</f>
        <v>55/428</v>
      </c>
      <c r="J66" s="68">
        <f>H66/428</f>
        <v>0.12850467289719625</v>
      </c>
      <c r="K66" s="18" t="s">
        <v>44</v>
      </c>
      <c r="L66" s="18" t="s">
        <v>45</v>
      </c>
      <c r="M66" s="58" t="s">
        <v>274</v>
      </c>
      <c r="N66" s="18">
        <f>[1]!f_prt_stocktonav(C66,"2017/03/31")</f>
        <v>83.060638427734375</v>
      </c>
      <c r="O66" s="20" t="str">
        <f>[1]!f_info_fundmanager(C66)</f>
        <v>张自力,陶羽</v>
      </c>
      <c r="P66" s="21">
        <v>1.810958904109589</v>
      </c>
      <c r="Q66" s="34" t="s">
        <v>1167</v>
      </c>
      <c r="R66" s="34" t="s">
        <v>1168</v>
      </c>
      <c r="S66" s="34" t="s">
        <v>92</v>
      </c>
      <c r="T66" s="34">
        <v>20150609</v>
      </c>
      <c r="U66" s="45">
        <v>93.373692792200004</v>
      </c>
      <c r="V66" s="46">
        <v>99.967993300900005</v>
      </c>
      <c r="W66" s="34" t="s">
        <v>3789</v>
      </c>
      <c r="X66" s="34" t="s">
        <v>44</v>
      </c>
      <c r="Y66" s="34" t="s">
        <v>45</v>
      </c>
      <c r="Z66" s="34" t="s">
        <v>274</v>
      </c>
      <c r="AA66" s="34"/>
      <c r="AB66" s="34"/>
      <c r="AC66" s="22">
        <v>0.82519355773925784</v>
      </c>
      <c r="AD66" s="23" t="s">
        <v>1169</v>
      </c>
      <c r="AE66" s="24">
        <v>1.5808219178082192</v>
      </c>
      <c r="AF66" s="25">
        <v>-0.11278540456980257</v>
      </c>
      <c r="AG66" s="26">
        <v>0</v>
      </c>
      <c r="AH66" s="26">
        <v>0</v>
      </c>
      <c r="AI66" s="27">
        <v>-0.38675304158483137</v>
      </c>
      <c r="AJ66" s="27">
        <v>-0.38675304158483137</v>
      </c>
      <c r="AK66" s="27">
        <v>-0.38675304158483137</v>
      </c>
      <c r="AL66" s="28" t="s">
        <v>208</v>
      </c>
      <c r="AM66" s="29" t="s">
        <v>48</v>
      </c>
      <c r="AN66" s="29" t="s">
        <v>48</v>
      </c>
      <c r="AO66" s="29" t="s">
        <v>48</v>
      </c>
      <c r="AP66" s="47" t="s">
        <v>249</v>
      </c>
      <c r="AQ66" s="28">
        <v>0</v>
      </c>
      <c r="AR66" s="26">
        <v>1.4999999999999999E-2</v>
      </c>
      <c r="AS66" s="26">
        <v>0</v>
      </c>
    </row>
    <row r="67" spans="1:45" x14ac:dyDescent="0.15">
      <c r="A67" s="64">
        <v>206</v>
      </c>
      <c r="B67" s="64">
        <v>473</v>
      </c>
      <c r="C67" s="11">
        <v>1482</v>
      </c>
      <c r="D67" s="61">
        <v>274</v>
      </c>
      <c r="E67" s="61">
        <v>1.56924178399154E-4</v>
      </c>
      <c r="F67" s="61">
        <v>84</v>
      </c>
      <c r="G67" s="61">
        <v>0.95620806438108596</v>
      </c>
      <c r="H67" s="66">
        <v>56</v>
      </c>
      <c r="I67" s="66" t="str">
        <f>H67&amp;"/"&amp;428</f>
        <v>56/428</v>
      </c>
      <c r="J67" s="68">
        <f>H67/428</f>
        <v>0.13084112149532709</v>
      </c>
      <c r="K67" s="18" t="s">
        <v>44</v>
      </c>
      <c r="L67" s="19" t="s">
        <v>45</v>
      </c>
      <c r="M67" s="59" t="s">
        <v>274</v>
      </c>
      <c r="N67" s="18">
        <f>[1]!f_prt_stocktonav(C67,"2017/03/31")</f>
        <v>85.783668518066406</v>
      </c>
      <c r="O67" s="20" t="str">
        <f>[1]!f_info_fundmanager(C67)</f>
        <v>郭晨,杨景喻</v>
      </c>
      <c r="P67" s="21">
        <v>1.6520547945205479</v>
      </c>
      <c r="Q67" s="12" t="s">
        <v>980</v>
      </c>
      <c r="R67" s="13" t="s">
        <v>981</v>
      </c>
      <c r="S67" s="13" t="s">
        <v>511</v>
      </c>
      <c r="T67" s="13">
        <v>20150806</v>
      </c>
      <c r="U67" s="14">
        <v>1.0648891835000001</v>
      </c>
      <c r="V67" s="15" t="s">
        <v>3772</v>
      </c>
      <c r="W67" s="16" t="s">
        <v>40</v>
      </c>
      <c r="X67" s="17" t="s">
        <v>44</v>
      </c>
      <c r="Y67" s="17" t="s">
        <v>45</v>
      </c>
      <c r="Z67" s="17" t="s">
        <v>274</v>
      </c>
      <c r="AA67" s="13"/>
      <c r="AB67" s="13"/>
      <c r="AC67" s="22">
        <v>0.85720893859863279</v>
      </c>
      <c r="AD67" s="23" t="s">
        <v>982</v>
      </c>
      <c r="AE67" s="24">
        <v>1.4219178082191781</v>
      </c>
      <c r="AF67" s="25">
        <v>-7.2087894896674776E-2</v>
      </c>
      <c r="AG67" s="26">
        <v>0</v>
      </c>
      <c r="AH67" s="26">
        <v>0</v>
      </c>
      <c r="AI67" s="27">
        <v>-0.17868088679545358</v>
      </c>
      <c r="AJ67" s="27">
        <v>-0.17868088679545358</v>
      </c>
      <c r="AK67" s="27">
        <v>-0.17868088679545358</v>
      </c>
      <c r="AL67" s="28" t="s">
        <v>983</v>
      </c>
      <c r="AM67" s="29" t="s">
        <v>48</v>
      </c>
      <c r="AN67" s="29" t="s">
        <v>48</v>
      </c>
      <c r="AO67" s="29" t="s">
        <v>48</v>
      </c>
      <c r="AP67" s="23" t="s">
        <v>984</v>
      </c>
      <c r="AQ67" s="30">
        <v>0</v>
      </c>
      <c r="AR67" s="31">
        <v>1.4999999999999999E-2</v>
      </c>
      <c r="AS67" s="31">
        <v>0</v>
      </c>
    </row>
    <row r="68" spans="1:45" x14ac:dyDescent="0.15">
      <c r="A68" s="64">
        <v>262</v>
      </c>
      <c r="B68" s="64">
        <v>305</v>
      </c>
      <c r="C68" s="11">
        <v>1291</v>
      </c>
      <c r="D68" s="61">
        <v>275</v>
      </c>
      <c r="E68" s="61">
        <v>1.5103130541923801E-4</v>
      </c>
      <c r="F68" s="61">
        <v>88</v>
      </c>
      <c r="G68" s="61">
        <v>0.86062033157638695</v>
      </c>
      <c r="H68" s="66">
        <v>57</v>
      </c>
      <c r="I68" s="66" t="str">
        <f>H68&amp;"/"&amp;428</f>
        <v>57/428</v>
      </c>
      <c r="J68" s="68">
        <f>H68/428</f>
        <v>0.13317757009345793</v>
      </c>
      <c r="K68" s="18" t="s">
        <v>44</v>
      </c>
      <c r="L68" s="18" t="s">
        <v>64</v>
      </c>
      <c r="M68" s="58" t="s">
        <v>274</v>
      </c>
      <c r="N68" s="18">
        <f>[1]!f_prt_stocktonav(C68,"2017/03/31")</f>
        <v>89.323982238769531</v>
      </c>
      <c r="O68" s="20" t="str">
        <f>[1]!f_info_fundmanager(C68)</f>
        <v>杨雨龙</v>
      </c>
      <c r="P68" s="21">
        <v>1.6849315068493151</v>
      </c>
      <c r="Q68" s="34" t="s">
        <v>1203</v>
      </c>
      <c r="R68" s="34" t="s">
        <v>1204</v>
      </c>
      <c r="S68" s="34" t="s">
        <v>378</v>
      </c>
      <c r="T68" s="34">
        <v>20150602</v>
      </c>
      <c r="U68" s="45">
        <v>12.387316671400001</v>
      </c>
      <c r="V68" s="46">
        <v>16.564483599999999</v>
      </c>
      <c r="W68" s="34" t="s">
        <v>1235</v>
      </c>
      <c r="X68" s="34" t="s">
        <v>44</v>
      </c>
      <c r="Y68" s="34" t="s">
        <v>64</v>
      </c>
      <c r="Z68" s="34" t="s">
        <v>274</v>
      </c>
      <c r="AA68" s="34"/>
      <c r="AB68" s="34"/>
      <c r="AC68" s="22">
        <v>0.88773033142089841</v>
      </c>
      <c r="AD68" s="23" t="s">
        <v>1205</v>
      </c>
      <c r="AE68" s="24">
        <v>1.4547945205479451</v>
      </c>
      <c r="AF68" s="25">
        <v>1.0056748030855323E-2</v>
      </c>
      <c r="AG68" s="26">
        <v>0</v>
      </c>
      <c r="AH68" s="26">
        <v>0</v>
      </c>
      <c r="AI68" s="27">
        <v>0.10404559491458004</v>
      </c>
      <c r="AJ68" s="27">
        <v>0.10404559491458004</v>
      </c>
      <c r="AK68" s="27">
        <v>0.10404559491458004</v>
      </c>
      <c r="AL68" s="28" t="s">
        <v>1206</v>
      </c>
      <c r="AM68" s="29" t="s">
        <v>48</v>
      </c>
      <c r="AN68" s="29" t="s">
        <v>48</v>
      </c>
      <c r="AO68" s="29" t="s">
        <v>48</v>
      </c>
      <c r="AP68" s="47" t="s">
        <v>1207</v>
      </c>
      <c r="AQ68" s="28">
        <v>0</v>
      </c>
      <c r="AR68" s="26">
        <v>1.4999999999999999E-2</v>
      </c>
      <c r="AS68" s="26">
        <v>0</v>
      </c>
    </row>
    <row r="69" spans="1:45" x14ac:dyDescent="0.15">
      <c r="A69" s="64">
        <v>160</v>
      </c>
      <c r="B69" s="64">
        <v>627</v>
      </c>
      <c r="C69" s="11">
        <v>1959</v>
      </c>
      <c r="D69" s="61">
        <v>279</v>
      </c>
      <c r="E69" s="61">
        <v>1.1897360100066001E-4</v>
      </c>
      <c r="F69" s="61">
        <v>65</v>
      </c>
      <c r="G69" s="61">
        <v>0.95184139409095303</v>
      </c>
      <c r="H69" s="66">
        <v>58</v>
      </c>
      <c r="I69" s="66" t="str">
        <f>H69&amp;"/"&amp;428</f>
        <v>58/428</v>
      </c>
      <c r="J69" s="68">
        <f>H69/428</f>
        <v>0.13551401869158877</v>
      </c>
      <c r="K69" s="18" t="s">
        <v>44</v>
      </c>
      <c r="L69" s="18" t="s">
        <v>45</v>
      </c>
      <c r="M69" s="58" t="s">
        <v>274</v>
      </c>
      <c r="N69" s="18">
        <f>[1]!f_prt_stocktonav(C69,"2017/03/31")</f>
        <v>82.150665283203125</v>
      </c>
      <c r="O69" s="20" t="str">
        <f>[1]!f_info_fundmanager(C69)</f>
        <v>高兵</v>
      </c>
      <c r="P69" s="21">
        <v>1.284931506849315</v>
      </c>
      <c r="Q69" s="34" t="s">
        <v>802</v>
      </c>
      <c r="R69" s="34" t="s">
        <v>803</v>
      </c>
      <c r="S69" s="34" t="s">
        <v>387</v>
      </c>
      <c r="T69" s="34">
        <v>20151218</v>
      </c>
      <c r="U69" s="45">
        <v>2.8946121637000002</v>
      </c>
      <c r="V69" s="46">
        <v>3.1048258073000001</v>
      </c>
      <c r="W69" s="34" t="s">
        <v>3776</v>
      </c>
      <c r="X69" s="34" t="s">
        <v>44</v>
      </c>
      <c r="Y69" s="34" t="s">
        <v>45</v>
      </c>
      <c r="Z69" s="34" t="s">
        <v>274</v>
      </c>
      <c r="AA69" s="34"/>
      <c r="AB69" s="34"/>
      <c r="AC69" s="22">
        <v>0.8150014495849609</v>
      </c>
      <c r="AD69" s="23" t="s">
        <v>804</v>
      </c>
      <c r="AE69" s="24">
        <v>1.0547945205479452</v>
      </c>
      <c r="AF69" s="25">
        <v>-0.12134134383173156</v>
      </c>
      <c r="AG69" s="26">
        <v>0</v>
      </c>
      <c r="AH69" s="26">
        <v>0</v>
      </c>
      <c r="AI69" s="27">
        <v>-0.35335932542980036</v>
      </c>
      <c r="AJ69" s="27">
        <v>-0.35335932542980036</v>
      </c>
      <c r="AK69" s="27">
        <v>-0.35335932542980036</v>
      </c>
      <c r="AL69" s="28" t="s">
        <v>390</v>
      </c>
      <c r="AM69" s="29" t="s">
        <v>48</v>
      </c>
      <c r="AN69" s="29" t="s">
        <v>48</v>
      </c>
      <c r="AO69" s="29" t="s">
        <v>48</v>
      </c>
      <c r="AP69" s="47" t="s">
        <v>310</v>
      </c>
      <c r="AQ69" s="28">
        <v>0</v>
      </c>
      <c r="AR69" s="26">
        <v>1.4999999999999999E-2</v>
      </c>
      <c r="AS69" s="26">
        <v>0</v>
      </c>
    </row>
    <row r="70" spans="1:45" x14ac:dyDescent="0.15">
      <c r="A70" s="64">
        <v>172</v>
      </c>
      <c r="B70" s="64">
        <v>839</v>
      </c>
      <c r="C70" s="11">
        <v>1861</v>
      </c>
      <c r="D70" s="61">
        <v>282</v>
      </c>
      <c r="E70" s="61">
        <v>8.8025877666152305E-5</v>
      </c>
      <c r="F70" s="61">
        <v>66</v>
      </c>
      <c r="G70" s="61">
        <v>0.95516966006257897</v>
      </c>
      <c r="H70" s="66">
        <v>59</v>
      </c>
      <c r="I70" s="66" t="str">
        <f>H70&amp;"/"&amp;428</f>
        <v>59/428</v>
      </c>
      <c r="J70" s="68">
        <f>H70/428</f>
        <v>0.13785046728971961</v>
      </c>
      <c r="K70" s="18" t="s">
        <v>44</v>
      </c>
      <c r="L70" s="18" t="s">
        <v>45</v>
      </c>
      <c r="M70" s="58" t="s">
        <v>274</v>
      </c>
      <c r="N70" s="18">
        <f>[1]!f_prt_stocktonav(C70,"2017/03/31")</f>
        <v>75.186363220214844</v>
      </c>
      <c r="O70" s="20" t="str">
        <f>[1]!f_info_fundmanager(C70)</f>
        <v>李守峰,纪青</v>
      </c>
      <c r="P70" s="21">
        <v>1.2657534246575342</v>
      </c>
      <c r="Q70" s="34" t="s">
        <v>849</v>
      </c>
      <c r="R70" s="34" t="s">
        <v>850</v>
      </c>
      <c r="S70" s="34" t="s">
        <v>98</v>
      </c>
      <c r="T70" s="34">
        <v>20151125</v>
      </c>
      <c r="U70" s="45">
        <v>1.6139172044000001</v>
      </c>
      <c r="V70" s="46">
        <v>2.2346965810000001</v>
      </c>
      <c r="W70" s="34" t="s">
        <v>3789</v>
      </c>
      <c r="X70" s="34" t="s">
        <v>44</v>
      </c>
      <c r="Y70" s="17" t="s">
        <v>45</v>
      </c>
      <c r="Z70" s="17" t="s">
        <v>274</v>
      </c>
      <c r="AA70" s="34"/>
      <c r="AB70" s="34"/>
      <c r="AC70" s="22">
        <v>0.72789108276367187</v>
      </c>
      <c r="AD70" s="23" t="s">
        <v>851</v>
      </c>
      <c r="AE70" s="24">
        <v>1.0356164383561643</v>
      </c>
      <c r="AF70" s="25">
        <v>-1.6225930762399865E-2</v>
      </c>
      <c r="AG70" s="26">
        <v>0</v>
      </c>
      <c r="AH70" s="26">
        <v>0</v>
      </c>
      <c r="AI70" s="27">
        <v>-0.23336706804500451</v>
      </c>
      <c r="AJ70" s="27">
        <v>-0.23336706804500451</v>
      </c>
      <c r="AK70" s="27">
        <v>-0.23336706804500451</v>
      </c>
      <c r="AL70" s="28" t="s">
        <v>852</v>
      </c>
      <c r="AM70" s="29" t="s">
        <v>48</v>
      </c>
      <c r="AN70" s="29" t="s">
        <v>48</v>
      </c>
      <c r="AO70" s="29" t="s">
        <v>48</v>
      </c>
      <c r="AP70" s="47" t="s">
        <v>310</v>
      </c>
      <c r="AQ70" s="28">
        <v>0</v>
      </c>
      <c r="AR70" s="26">
        <v>1.4999999999999999E-2</v>
      </c>
      <c r="AS70" s="26">
        <v>0</v>
      </c>
    </row>
    <row r="71" spans="1:45" x14ac:dyDescent="0.15">
      <c r="A71" s="64">
        <v>660</v>
      </c>
      <c r="B71" s="64">
        <v>525</v>
      </c>
      <c r="C71" s="11">
        <v>610005</v>
      </c>
      <c r="D71" s="61">
        <v>284</v>
      </c>
      <c r="E71" s="61">
        <v>6.6568981466568299E-5</v>
      </c>
      <c r="F71" s="61">
        <v>64</v>
      </c>
      <c r="G71" s="61">
        <v>0.96756779211764199</v>
      </c>
      <c r="H71" s="66">
        <v>60</v>
      </c>
      <c r="I71" s="66" t="str">
        <f>H71&amp;"/"&amp;428</f>
        <v>60/428</v>
      </c>
      <c r="J71" s="68">
        <f>H71/428</f>
        <v>0.14018691588785046</v>
      </c>
      <c r="K71" s="18" t="s">
        <v>44</v>
      </c>
      <c r="L71" s="18" t="s">
        <v>87</v>
      </c>
      <c r="M71" s="58" t="s">
        <v>274</v>
      </c>
      <c r="N71" s="18">
        <f>[1]!f_prt_stocktonav(C71,"2017/03/31")</f>
        <v>84.66375732421875</v>
      </c>
      <c r="O71" s="20" t="str">
        <f>[1]!f_info_fundmanager(C71)</f>
        <v>王辉良</v>
      </c>
      <c r="P71" s="21">
        <v>1.2273972602739727</v>
      </c>
      <c r="Q71" s="34" t="s">
        <v>2655</v>
      </c>
      <c r="R71" s="34" t="s">
        <v>2656</v>
      </c>
      <c r="S71" s="34" t="s">
        <v>189</v>
      </c>
      <c r="T71" s="34">
        <v>20100728</v>
      </c>
      <c r="U71" s="45">
        <v>0.80015964390000005</v>
      </c>
      <c r="V71" s="46">
        <v>0.90401180640000001</v>
      </c>
      <c r="W71" s="34" t="s">
        <v>1235</v>
      </c>
      <c r="X71" s="34" t="s">
        <v>44</v>
      </c>
      <c r="Y71" s="34" t="s">
        <v>45</v>
      </c>
      <c r="Z71" s="34" t="s">
        <v>274</v>
      </c>
      <c r="AA71" s="34"/>
      <c r="AB71" s="34"/>
      <c r="AC71" s="22">
        <v>0.88789123535156245</v>
      </c>
      <c r="AD71" s="23" t="s">
        <v>2657</v>
      </c>
      <c r="AE71" s="24">
        <v>0.99726027397260275</v>
      </c>
      <c r="AF71" s="25">
        <v>2.8707494795307209E-2</v>
      </c>
      <c r="AG71" s="26">
        <v>0.15432168962253878</v>
      </c>
      <c r="AH71" s="26">
        <v>9.9865681919147242E-2</v>
      </c>
      <c r="AI71" s="27">
        <v>0.17975833042384221</v>
      </c>
      <c r="AJ71" s="27">
        <v>0.55540791946160828</v>
      </c>
      <c r="AK71" s="27">
        <v>0.43355391294660234</v>
      </c>
      <c r="AL71" s="28" t="s">
        <v>2658</v>
      </c>
      <c r="AM71" s="29">
        <v>2</v>
      </c>
      <c r="AN71" s="29">
        <v>4</v>
      </c>
      <c r="AO71" s="29" t="s">
        <v>48</v>
      </c>
      <c r="AP71" s="47" t="s">
        <v>1002</v>
      </c>
      <c r="AQ71" s="28">
        <v>0</v>
      </c>
      <c r="AR71" s="26">
        <v>1.4999999999999999E-2</v>
      </c>
      <c r="AS71" s="26">
        <v>0</v>
      </c>
    </row>
    <row r="72" spans="1:45" x14ac:dyDescent="0.15">
      <c r="A72" s="64">
        <v>788</v>
      </c>
      <c r="B72" s="64">
        <v>440</v>
      </c>
      <c r="C72" s="11">
        <v>360007</v>
      </c>
      <c r="D72" s="61">
        <v>285</v>
      </c>
      <c r="E72" s="61">
        <v>6.6256563226600704E-5</v>
      </c>
      <c r="F72" s="61">
        <v>87</v>
      </c>
      <c r="G72" s="61">
        <v>0.95356329048466004</v>
      </c>
      <c r="H72" s="66">
        <v>61</v>
      </c>
      <c r="I72" s="66" t="str">
        <f>H72&amp;"/"&amp;428</f>
        <v>61/428</v>
      </c>
      <c r="J72" s="68">
        <f>H72/428</f>
        <v>0.1425233644859813</v>
      </c>
      <c r="K72" s="18" t="s">
        <v>44</v>
      </c>
      <c r="L72" s="18" t="s">
        <v>45</v>
      </c>
      <c r="M72" s="58" t="s">
        <v>274</v>
      </c>
      <c r="N72" s="18">
        <f>[1]!f_prt_stocktonav(C72,"2017/03/31")</f>
        <v>86.473312377929688</v>
      </c>
      <c r="O72" s="20" t="str">
        <f>[1]!f_info_fundmanager(C72)</f>
        <v>何奇,王维诚</v>
      </c>
      <c r="P72" s="21">
        <v>1.6602739726027398</v>
      </c>
      <c r="Q72" s="34" t="s">
        <v>3073</v>
      </c>
      <c r="R72" s="34" t="s">
        <v>3074</v>
      </c>
      <c r="S72" s="34" t="s">
        <v>634</v>
      </c>
      <c r="T72" s="34">
        <v>20070824</v>
      </c>
      <c r="U72" s="45">
        <v>27.798812164800001</v>
      </c>
      <c r="V72" s="46">
        <v>29.5804183037</v>
      </c>
      <c r="W72" s="34" t="s">
        <v>231</v>
      </c>
      <c r="X72" s="34" t="s">
        <v>44</v>
      </c>
      <c r="Y72" s="34" t="s">
        <v>45</v>
      </c>
      <c r="Z72" s="34" t="s">
        <v>274</v>
      </c>
      <c r="AA72" s="34"/>
      <c r="AB72" s="34"/>
      <c r="AC72" s="22">
        <v>0.89091804504394534</v>
      </c>
      <c r="AD72" s="23" t="s">
        <v>3075</v>
      </c>
      <c r="AE72" s="24">
        <v>1.4301369863013698</v>
      </c>
      <c r="AF72" s="25">
        <v>3.2366332785919827E-2</v>
      </c>
      <c r="AG72" s="26">
        <v>0.21178559973216449</v>
      </c>
      <c r="AH72" s="26">
        <v>0.17031746690594218</v>
      </c>
      <c r="AI72" s="27">
        <v>0.19228171690435172</v>
      </c>
      <c r="AJ72" s="27">
        <v>0.8481435511969152</v>
      </c>
      <c r="AK72" s="27">
        <v>0.74912011501579523</v>
      </c>
      <c r="AL72" s="28" t="s">
        <v>2119</v>
      </c>
      <c r="AM72" s="29">
        <v>4</v>
      </c>
      <c r="AN72" s="29">
        <v>4</v>
      </c>
      <c r="AO72" s="29" t="s">
        <v>48</v>
      </c>
      <c r="AP72" s="47" t="s">
        <v>3076</v>
      </c>
      <c r="AQ72" s="28">
        <v>0</v>
      </c>
      <c r="AR72" s="26">
        <v>1.4999999999999999E-2</v>
      </c>
      <c r="AS72" s="26">
        <v>0</v>
      </c>
    </row>
    <row r="73" spans="1:45" x14ac:dyDescent="0.15">
      <c r="A73" s="64">
        <v>947</v>
      </c>
      <c r="B73" s="64">
        <v>593</v>
      </c>
      <c r="C73" s="11">
        <v>20001</v>
      </c>
      <c r="D73" s="61">
        <v>289</v>
      </c>
      <c r="E73" s="61">
        <v>5.5627851822079203E-5</v>
      </c>
      <c r="F73" s="61">
        <v>99</v>
      </c>
      <c r="G73" s="61">
        <v>0.97463175343415698</v>
      </c>
      <c r="H73" s="66">
        <v>62</v>
      </c>
      <c r="I73" s="66" t="str">
        <f>H73&amp;"/"&amp;428</f>
        <v>62/428</v>
      </c>
      <c r="J73" s="68">
        <f>H73/428</f>
        <v>0.14485981308411214</v>
      </c>
      <c r="K73" s="18" t="s">
        <v>44</v>
      </c>
      <c r="L73" s="18" t="s">
        <v>45</v>
      </c>
      <c r="M73" s="58" t="s">
        <v>274</v>
      </c>
      <c r="N73" s="18">
        <f>[1]!f_prt_stocktonav(C73,"2017/03/31")</f>
        <v>83.005928039550781</v>
      </c>
      <c r="O73" s="20" t="str">
        <f>[1]!f_info_fundmanager(C73)</f>
        <v>周伟锋</v>
      </c>
      <c r="P73" s="21">
        <v>1.8904109589041096</v>
      </c>
      <c r="Q73" s="34" t="s">
        <v>3677</v>
      </c>
      <c r="R73" s="34" t="s">
        <v>3678</v>
      </c>
      <c r="S73" s="34" t="s">
        <v>663</v>
      </c>
      <c r="T73" s="34">
        <v>20020508</v>
      </c>
      <c r="U73" s="45">
        <v>25.276249905499999</v>
      </c>
      <c r="V73" s="46">
        <v>25.699052719099999</v>
      </c>
      <c r="W73" s="34" t="s">
        <v>231</v>
      </c>
      <c r="X73" s="34" t="s">
        <v>44</v>
      </c>
      <c r="Y73" s="34" t="s">
        <v>45</v>
      </c>
      <c r="Z73" s="34" t="s">
        <v>274</v>
      </c>
      <c r="AA73" s="34"/>
      <c r="AB73" s="34"/>
      <c r="AC73" s="22">
        <v>0.75877578735351559</v>
      </c>
      <c r="AD73" s="23" t="s">
        <v>2651</v>
      </c>
      <c r="AE73" s="24">
        <v>1.6602739726027398</v>
      </c>
      <c r="AF73" s="25">
        <v>0.17346776192327606</v>
      </c>
      <c r="AG73" s="26">
        <v>0.23134280180215039</v>
      </c>
      <c r="AH73" s="26">
        <v>0.18846729045171795</v>
      </c>
      <c r="AI73" s="27">
        <v>0.72343985878210082</v>
      </c>
      <c r="AJ73" s="27">
        <v>0.7592960151950684</v>
      </c>
      <c r="AK73" s="27">
        <v>0.71439541425784026</v>
      </c>
      <c r="AL73" s="28" t="s">
        <v>3532</v>
      </c>
      <c r="AM73" s="29">
        <v>4</v>
      </c>
      <c r="AN73" s="29">
        <v>2</v>
      </c>
      <c r="AO73" s="29" t="s">
        <v>48</v>
      </c>
      <c r="AP73" s="47" t="s">
        <v>3560</v>
      </c>
      <c r="AQ73" s="28">
        <v>0</v>
      </c>
      <c r="AR73" s="26">
        <v>1.4999999999999999E-2</v>
      </c>
      <c r="AS73" s="26">
        <v>0</v>
      </c>
    </row>
    <row r="74" spans="1:45" x14ac:dyDescent="0.15">
      <c r="A74" s="64">
        <v>218</v>
      </c>
      <c r="B74" s="64">
        <v>560</v>
      </c>
      <c r="C74" s="11">
        <v>519965</v>
      </c>
      <c r="D74" s="61">
        <v>292</v>
      </c>
      <c r="E74" s="61">
        <v>3.1223085053869698E-5</v>
      </c>
      <c r="F74" s="61">
        <v>87</v>
      </c>
      <c r="G74" s="61">
        <v>0.97864649453683805</v>
      </c>
      <c r="H74" s="66">
        <v>63</v>
      </c>
      <c r="I74" s="66" t="str">
        <f>H74&amp;"/"&amp;428</f>
        <v>63/428</v>
      </c>
      <c r="J74" s="68">
        <f>H74/428</f>
        <v>0.14719626168224298</v>
      </c>
      <c r="K74" s="18" t="s">
        <v>44</v>
      </c>
      <c r="L74" s="18" t="s">
        <v>64</v>
      </c>
      <c r="M74" s="58" t="s">
        <v>274</v>
      </c>
      <c r="N74" s="18">
        <f>[1]!f_prt_stocktonav(C74,"2017/03/31")</f>
        <v>83.873954772949219</v>
      </c>
      <c r="O74" s="20" t="str">
        <f>[1]!f_info_fundmanager(C74)</f>
        <v>常松,左金保</v>
      </c>
      <c r="P74" s="21">
        <v>1.715068493150685</v>
      </c>
      <c r="Q74" s="34" t="s">
        <v>1024</v>
      </c>
      <c r="R74" s="34" t="s">
        <v>1025</v>
      </c>
      <c r="S74" s="34" t="s">
        <v>206</v>
      </c>
      <c r="T74" s="34">
        <v>20150714</v>
      </c>
      <c r="U74" s="45">
        <v>2.0941079222000001</v>
      </c>
      <c r="V74" s="46">
        <v>1.4602413825</v>
      </c>
      <c r="W74" s="34" t="s">
        <v>3789</v>
      </c>
      <c r="X74" s="34" t="s">
        <v>44</v>
      </c>
      <c r="Y74" s="34" t="s">
        <v>64</v>
      </c>
      <c r="Z74" s="34" t="s">
        <v>274</v>
      </c>
      <c r="AA74" s="34"/>
      <c r="AB74" s="34"/>
      <c r="AC74" s="22">
        <v>0.8473368072509766</v>
      </c>
      <c r="AD74" s="23" t="s">
        <v>1026</v>
      </c>
      <c r="AE74" s="24">
        <v>1.484931506849315</v>
      </c>
      <c r="AF74" s="25">
        <v>0.17577189940721816</v>
      </c>
      <c r="AG74" s="26">
        <v>0</v>
      </c>
      <c r="AH74" s="26">
        <v>0</v>
      </c>
      <c r="AI74" s="27">
        <v>0.61688714191026628</v>
      </c>
      <c r="AJ74" s="27">
        <v>0.61688714191026628</v>
      </c>
      <c r="AK74" s="27">
        <v>0.61688714191026628</v>
      </c>
      <c r="AL74" s="28" t="s">
        <v>1027</v>
      </c>
      <c r="AM74" s="29" t="s">
        <v>48</v>
      </c>
      <c r="AN74" s="29" t="s">
        <v>48</v>
      </c>
      <c r="AO74" s="29" t="s">
        <v>48</v>
      </c>
      <c r="AP74" s="47" t="s">
        <v>209</v>
      </c>
      <c r="AQ74" s="28">
        <v>0</v>
      </c>
      <c r="AR74" s="26">
        <v>1.4999999999999999E-2</v>
      </c>
      <c r="AS74" s="26">
        <v>0</v>
      </c>
    </row>
    <row r="75" spans="1:45" x14ac:dyDescent="0.15">
      <c r="A75" s="64">
        <v>614</v>
      </c>
      <c r="B75" s="64">
        <v>323</v>
      </c>
      <c r="C75" s="11">
        <v>206009</v>
      </c>
      <c r="D75" s="61">
        <v>295</v>
      </c>
      <c r="E75" s="61">
        <v>1.9396978309070902E-5</v>
      </c>
      <c r="F75" s="61">
        <v>296</v>
      </c>
      <c r="G75" s="61">
        <v>0.97913068899054601</v>
      </c>
      <c r="H75" s="66">
        <v>64</v>
      </c>
      <c r="I75" s="66" t="str">
        <f>H75&amp;"/"&amp;428</f>
        <v>64/428</v>
      </c>
      <c r="J75" s="68">
        <f>H75/428</f>
        <v>0.14953271028037382</v>
      </c>
      <c r="K75" s="18" t="s">
        <v>44</v>
      </c>
      <c r="L75" s="18" t="s">
        <v>87</v>
      </c>
      <c r="M75" s="58" t="s">
        <v>274</v>
      </c>
      <c r="N75" s="18">
        <f>[1]!f_prt_stocktonav(C75,"2017/03/31")</f>
        <v>88.972640991210938</v>
      </c>
      <c r="O75" s="20" t="str">
        <f>[1]!f_info_fundmanager(C75)</f>
        <v>梁浩</v>
      </c>
      <c r="P75" s="21">
        <v>5.7178082191780826</v>
      </c>
      <c r="Q75" s="34" t="s">
        <v>2497</v>
      </c>
      <c r="R75" s="34" t="s">
        <v>2498</v>
      </c>
      <c r="S75" s="34" t="s">
        <v>705</v>
      </c>
      <c r="T75" s="34">
        <v>20110615</v>
      </c>
      <c r="U75" s="45">
        <v>10.7135205508</v>
      </c>
      <c r="V75" s="46">
        <v>10.899868961799999</v>
      </c>
      <c r="W75" s="34" t="s">
        <v>3776</v>
      </c>
      <c r="X75" s="34" t="s">
        <v>44</v>
      </c>
      <c r="Y75" s="34" t="s">
        <v>45</v>
      </c>
      <c r="Z75" s="34" t="s">
        <v>274</v>
      </c>
      <c r="AA75" s="34"/>
      <c r="AB75" s="34"/>
      <c r="AC75" s="22">
        <v>0.74340675354003904</v>
      </c>
      <c r="AD75" s="23" t="s">
        <v>2499</v>
      </c>
      <c r="AE75" s="24">
        <v>5.4876712328767123</v>
      </c>
      <c r="AF75" s="25">
        <v>0.15414753977714235</v>
      </c>
      <c r="AG75" s="26">
        <v>0.21599981768730239</v>
      </c>
      <c r="AH75" s="26">
        <v>0.18444968786340987</v>
      </c>
      <c r="AI75" s="27">
        <v>0.69127726205961426</v>
      </c>
      <c r="AJ75" s="27">
        <v>0.8075062743250716</v>
      </c>
      <c r="AK75" s="27">
        <v>0.78145241926659337</v>
      </c>
      <c r="AL75" s="28" t="s">
        <v>2500</v>
      </c>
      <c r="AM75" s="29">
        <v>5</v>
      </c>
      <c r="AN75" s="29">
        <v>4</v>
      </c>
      <c r="AO75" s="29" t="s">
        <v>48</v>
      </c>
      <c r="AP75" s="47" t="s">
        <v>2501</v>
      </c>
      <c r="AQ75" s="28">
        <v>0</v>
      </c>
      <c r="AR75" s="26">
        <v>1.4999999999999999E-2</v>
      </c>
      <c r="AS75" s="26">
        <v>0</v>
      </c>
    </row>
    <row r="76" spans="1:45" x14ac:dyDescent="0.15">
      <c r="A76" s="64">
        <v>662</v>
      </c>
      <c r="B76" s="64">
        <v>21</v>
      </c>
      <c r="C76" s="11">
        <v>519672</v>
      </c>
      <c r="D76" s="61">
        <v>302</v>
      </c>
      <c r="E76" s="61">
        <v>-5.6026299792889598E-5</v>
      </c>
      <c r="F76" s="61">
        <v>66</v>
      </c>
      <c r="G76" s="61">
        <v>0.971372770360171</v>
      </c>
      <c r="H76" s="66">
        <v>66</v>
      </c>
      <c r="I76" s="66" t="str">
        <f>H76&amp;"/"&amp;428</f>
        <v>66/428</v>
      </c>
      <c r="J76" s="68">
        <f>H76/428</f>
        <v>0.1542056074766355</v>
      </c>
      <c r="K76" s="18" t="s">
        <v>44</v>
      </c>
      <c r="L76" s="18" t="s">
        <v>45</v>
      </c>
      <c r="M76" s="58" t="s">
        <v>274</v>
      </c>
      <c r="N76" s="18">
        <f>[1]!f_prt_stocktonav(C76,"2017/03/31")</f>
        <v>94.730911254882813</v>
      </c>
      <c r="O76" s="20" t="str">
        <f>[1]!f_info_fundmanager(C76)</f>
        <v>袁曦</v>
      </c>
      <c r="P76" s="21">
        <v>1.2575342465753425</v>
      </c>
      <c r="Q76" s="34" t="s">
        <v>2662</v>
      </c>
      <c r="R76" s="34" t="s">
        <v>2663</v>
      </c>
      <c r="S76" s="34" t="s">
        <v>807</v>
      </c>
      <c r="T76" s="34">
        <v>20100716</v>
      </c>
      <c r="U76" s="45">
        <v>1.0364519186000001</v>
      </c>
      <c r="V76" s="46">
        <v>1.0442765949999999</v>
      </c>
      <c r="W76" s="34" t="s">
        <v>201</v>
      </c>
      <c r="X76" s="34" t="s">
        <v>44</v>
      </c>
      <c r="Y76" s="34" t="s">
        <v>45</v>
      </c>
      <c r="Z76" s="34" t="s">
        <v>274</v>
      </c>
      <c r="AA76" s="34"/>
      <c r="AB76" s="34"/>
      <c r="AC76" s="22">
        <v>0.94599082946777346</v>
      </c>
      <c r="AD76" s="23" t="s">
        <v>2664</v>
      </c>
      <c r="AE76" s="24">
        <v>1.0273972602739727</v>
      </c>
      <c r="AF76" s="25">
        <v>8.8041453944193618E-2</v>
      </c>
      <c r="AG76" s="26">
        <v>0.17609337206981568</v>
      </c>
      <c r="AH76" s="26">
        <v>0.15796985087912119</v>
      </c>
      <c r="AI76" s="27">
        <v>0.39221102900917459</v>
      </c>
      <c r="AJ76" s="27">
        <v>0.58332028324125673</v>
      </c>
      <c r="AK76" s="27">
        <v>0.58967560183264622</v>
      </c>
      <c r="AL76" s="28" t="s">
        <v>1750</v>
      </c>
      <c r="AM76" s="29">
        <v>4</v>
      </c>
      <c r="AN76" s="29">
        <v>4</v>
      </c>
      <c r="AO76" s="29" t="s">
        <v>48</v>
      </c>
      <c r="AP76" s="47" t="s">
        <v>2665</v>
      </c>
      <c r="AQ76" s="28">
        <v>0</v>
      </c>
      <c r="AR76" s="26">
        <v>1.4999999999999999E-2</v>
      </c>
      <c r="AS76" s="26">
        <v>0</v>
      </c>
    </row>
    <row r="77" spans="1:45" x14ac:dyDescent="0.15">
      <c r="A77" s="64">
        <v>911</v>
      </c>
      <c r="B77" s="64">
        <v>733</v>
      </c>
      <c r="C77" s="11">
        <v>40004</v>
      </c>
      <c r="D77" s="61">
        <v>303</v>
      </c>
      <c r="E77" s="61">
        <v>-5.75795291778836E-5</v>
      </c>
      <c r="F77" s="61">
        <v>79</v>
      </c>
      <c r="G77" s="61">
        <v>0.96166027001328303</v>
      </c>
      <c r="H77" s="66">
        <v>67</v>
      </c>
      <c r="I77" s="66" t="str">
        <f>H77&amp;"/"&amp;428</f>
        <v>67/428</v>
      </c>
      <c r="J77" s="68">
        <f>H77/428</f>
        <v>0.15654205607476634</v>
      </c>
      <c r="K77" s="18" t="s">
        <v>44</v>
      </c>
      <c r="L77" s="18" t="s">
        <v>45</v>
      </c>
      <c r="M77" s="58" t="s">
        <v>274</v>
      </c>
      <c r="N77" s="18">
        <f>[1]!f_prt_stocktonav(C77,"2017/03/31")</f>
        <v>78.968910217285156</v>
      </c>
      <c r="O77" s="20" t="str">
        <f>[1]!f_info_fundmanager(C77)</f>
        <v>刘伟亭</v>
      </c>
      <c r="P77" s="21">
        <v>1.515068493150685</v>
      </c>
      <c r="Q77" s="34" t="s">
        <v>3537</v>
      </c>
      <c r="R77" s="34" t="s">
        <v>3538</v>
      </c>
      <c r="S77" s="34" t="s">
        <v>63</v>
      </c>
      <c r="T77" s="34">
        <v>20040824</v>
      </c>
      <c r="U77" s="45">
        <v>19.649106190000001</v>
      </c>
      <c r="V77" s="46">
        <v>20.984646007599999</v>
      </c>
      <c r="W77" s="34" t="s">
        <v>201</v>
      </c>
      <c r="X77" s="34" t="s">
        <v>44</v>
      </c>
      <c r="Y77" s="34" t="s">
        <v>45</v>
      </c>
      <c r="Z77" s="34" t="s">
        <v>274</v>
      </c>
      <c r="AA77" s="34"/>
      <c r="AB77" s="34"/>
      <c r="AC77" s="22">
        <v>0.78182006835937501</v>
      </c>
      <c r="AD77" s="23" t="s">
        <v>243</v>
      </c>
      <c r="AE77" s="24">
        <v>1.284931506849315</v>
      </c>
      <c r="AF77" s="25">
        <v>0.19714850645767013</v>
      </c>
      <c r="AG77" s="26">
        <v>0.19107489293384128</v>
      </c>
      <c r="AH77" s="26">
        <v>0.14085164418478957</v>
      </c>
      <c r="AI77" s="27">
        <v>0.87208376858037173</v>
      </c>
      <c r="AJ77" s="27">
        <v>0.70542447517764184</v>
      </c>
      <c r="AK77" s="27">
        <v>0.61385721098621171</v>
      </c>
      <c r="AL77" s="28" t="s">
        <v>3539</v>
      </c>
      <c r="AM77" s="29">
        <v>2</v>
      </c>
      <c r="AN77" s="29">
        <v>3</v>
      </c>
      <c r="AO77" s="29" t="s">
        <v>48</v>
      </c>
      <c r="AP77" s="47" t="s">
        <v>3540</v>
      </c>
      <c r="AQ77" s="28" t="s">
        <v>3541</v>
      </c>
      <c r="AR77" s="26">
        <v>1.2000000476837159E-2</v>
      </c>
      <c r="AS77" s="26">
        <v>0</v>
      </c>
    </row>
    <row r="78" spans="1:45" x14ac:dyDescent="0.15">
      <c r="A78" s="64">
        <v>511</v>
      </c>
      <c r="B78" s="64">
        <v>465</v>
      </c>
      <c r="C78" s="11">
        <v>519002</v>
      </c>
      <c r="D78" s="61">
        <v>304</v>
      </c>
      <c r="E78" s="61">
        <v>-6.2791662186109307E-5</v>
      </c>
      <c r="F78" s="61">
        <v>82</v>
      </c>
      <c r="G78" s="61">
        <v>0.976142787415897</v>
      </c>
      <c r="H78" s="66">
        <v>68</v>
      </c>
      <c r="I78" s="66" t="str">
        <f>H78&amp;"/"&amp;428</f>
        <v>68/428</v>
      </c>
      <c r="J78" s="68">
        <f>H78/428</f>
        <v>0.15887850467289719</v>
      </c>
      <c r="K78" s="18" t="s">
        <v>44</v>
      </c>
      <c r="L78" s="18" t="s">
        <v>87</v>
      </c>
      <c r="M78" s="58" t="s">
        <v>274</v>
      </c>
      <c r="N78" s="18">
        <f>[1]!f_prt_stocktonav(C78,"2017/03/31")</f>
        <v>85.940261840820313</v>
      </c>
      <c r="O78" s="20" t="str">
        <f>[1]!f_info_fundmanager(C78)</f>
        <v>饶晓鹏</v>
      </c>
      <c r="P78" s="21">
        <v>1.5643835616438355</v>
      </c>
      <c r="Q78" s="34" t="s">
        <v>2139</v>
      </c>
      <c r="R78" s="34" t="s">
        <v>2140</v>
      </c>
      <c r="S78" s="34" t="s">
        <v>63</v>
      </c>
      <c r="T78" s="34">
        <v>20130523</v>
      </c>
      <c r="U78" s="45">
        <v>5.6429939506000002</v>
      </c>
      <c r="V78" s="46">
        <v>5.0965031392000002</v>
      </c>
      <c r="W78" s="34" t="s">
        <v>3776</v>
      </c>
      <c r="X78" s="34" t="s">
        <v>44</v>
      </c>
      <c r="Y78" s="34" t="s">
        <v>45</v>
      </c>
      <c r="Z78" s="34" t="s">
        <v>274</v>
      </c>
      <c r="AA78" s="34"/>
      <c r="AB78" s="34"/>
      <c r="AC78" s="22">
        <v>0.91218879699707034</v>
      </c>
      <c r="AD78" s="23" t="s">
        <v>2141</v>
      </c>
      <c r="AE78" s="24">
        <v>1.3342465753424657</v>
      </c>
      <c r="AF78" s="25">
        <v>0.1319982057108291</v>
      </c>
      <c r="AG78" s="26">
        <v>0.18409666814072945</v>
      </c>
      <c r="AH78" s="26">
        <v>0</v>
      </c>
      <c r="AI78" s="27">
        <v>0.49123371228477924</v>
      </c>
      <c r="AJ78" s="27">
        <v>0.59316896665036223</v>
      </c>
      <c r="AK78" s="27">
        <v>0.49123371228477924</v>
      </c>
      <c r="AL78" s="28" t="s">
        <v>2142</v>
      </c>
      <c r="AM78" s="29">
        <v>3</v>
      </c>
      <c r="AN78" s="29">
        <v>4</v>
      </c>
      <c r="AO78" s="29" t="s">
        <v>48</v>
      </c>
      <c r="AP78" s="47" t="s">
        <v>2143</v>
      </c>
      <c r="AQ78" s="28">
        <v>0</v>
      </c>
      <c r="AR78" s="26">
        <v>1.4999999999999999E-2</v>
      </c>
      <c r="AS78" s="26">
        <v>0</v>
      </c>
    </row>
    <row r="79" spans="1:45" x14ac:dyDescent="0.15">
      <c r="A79" s="64">
        <v>239</v>
      </c>
      <c r="B79" s="64">
        <v>259</v>
      </c>
      <c r="C79" s="11">
        <v>1193</v>
      </c>
      <c r="D79" s="61">
        <v>306</v>
      </c>
      <c r="E79" s="61">
        <v>-7.9232985813158606E-5</v>
      </c>
      <c r="F79" s="61">
        <v>90</v>
      </c>
      <c r="G79" s="61">
        <v>0.96665975037697205</v>
      </c>
      <c r="H79" s="66">
        <v>69</v>
      </c>
      <c r="I79" s="66" t="str">
        <f>H79&amp;"/"&amp;428</f>
        <v>69/428</v>
      </c>
      <c r="J79" s="68">
        <f>H79/428</f>
        <v>0.16121495327102803</v>
      </c>
      <c r="K79" s="18" t="s">
        <v>44</v>
      </c>
      <c r="L79" s="18" t="s">
        <v>86</v>
      </c>
      <c r="M79" s="58" t="s">
        <v>274</v>
      </c>
      <c r="N79" s="18">
        <f>[1]!f_prt_stocktonav(C79,"2017/03/31")</f>
        <v>90.28076171875</v>
      </c>
      <c r="O79" s="20" t="str">
        <f>[1]!f_info_fundmanager(C79)</f>
        <v>郭党钰</v>
      </c>
      <c r="P79" s="21">
        <v>1.7698630136986302</v>
      </c>
      <c r="Q79" s="34" t="s">
        <v>1109</v>
      </c>
      <c r="R79" s="34" t="s">
        <v>1110</v>
      </c>
      <c r="S79" s="34" t="s">
        <v>1111</v>
      </c>
      <c r="T79" s="34">
        <v>20150624</v>
      </c>
      <c r="U79" s="45">
        <v>3.3241047728000002</v>
      </c>
      <c r="V79" s="46">
        <v>3.6825512470000001</v>
      </c>
      <c r="W79" s="34" t="s">
        <v>3789</v>
      </c>
      <c r="X79" s="34" t="s">
        <v>44</v>
      </c>
      <c r="Y79" s="34" t="s">
        <v>45</v>
      </c>
      <c r="Z79" s="34" t="s">
        <v>274</v>
      </c>
      <c r="AA79" s="34"/>
      <c r="AB79" s="34"/>
      <c r="AC79" s="22">
        <v>0.87849906921386722</v>
      </c>
      <c r="AD79" s="23" t="s">
        <v>1112</v>
      </c>
      <c r="AE79" s="24">
        <v>1.5397260273972602</v>
      </c>
      <c r="AF79" s="25">
        <v>-8.9969998484478508E-2</v>
      </c>
      <c r="AG79" s="26">
        <v>0</v>
      </c>
      <c r="AH79" s="26">
        <v>0</v>
      </c>
      <c r="AI79" s="27">
        <v>-0.1802613959269698</v>
      </c>
      <c r="AJ79" s="27">
        <v>-0.1802613959269698</v>
      </c>
      <c r="AK79" s="27">
        <v>-0.1802613959269698</v>
      </c>
      <c r="AL79" s="28" t="s">
        <v>1113</v>
      </c>
      <c r="AM79" s="29" t="s">
        <v>48</v>
      </c>
      <c r="AN79" s="29" t="s">
        <v>48</v>
      </c>
      <c r="AO79" s="29" t="s">
        <v>48</v>
      </c>
      <c r="AP79" s="47" t="s">
        <v>249</v>
      </c>
      <c r="AQ79" s="28">
        <v>0</v>
      </c>
      <c r="AR79" s="26">
        <v>1.4999999999999999E-2</v>
      </c>
      <c r="AS79" s="26">
        <v>0</v>
      </c>
    </row>
    <row r="80" spans="1:45" x14ac:dyDescent="0.15">
      <c r="A80" s="64">
        <v>554</v>
      </c>
      <c r="B80" s="64">
        <v>264</v>
      </c>
      <c r="C80" s="11">
        <v>180031</v>
      </c>
      <c r="D80" s="61">
        <v>315</v>
      </c>
      <c r="E80" s="61">
        <v>-1.3735961199842799E-4</v>
      </c>
      <c r="F80" s="61">
        <v>91</v>
      </c>
      <c r="G80" s="61">
        <v>0.92455008156927798</v>
      </c>
      <c r="H80" s="66">
        <v>70</v>
      </c>
      <c r="I80" s="66" t="str">
        <f>H80&amp;"/"&amp;428</f>
        <v>70/428</v>
      </c>
      <c r="J80" s="68">
        <f>H80/428</f>
        <v>0.16355140186915887</v>
      </c>
      <c r="K80" s="18" t="s">
        <v>44</v>
      </c>
      <c r="L80" s="18" t="s">
        <v>45</v>
      </c>
      <c r="M80" s="58" t="s">
        <v>274</v>
      </c>
      <c r="N80" s="18">
        <f>[1]!f_prt_stocktonav(C80,"2017/03/31")</f>
        <v>90.151214599609375</v>
      </c>
      <c r="O80" s="20" t="str">
        <f>[1]!f_info_fundmanager(C80)</f>
        <v>李晓星</v>
      </c>
      <c r="P80" s="21">
        <v>1.7342465753424658</v>
      </c>
      <c r="Q80" s="34" t="s">
        <v>2294</v>
      </c>
      <c r="R80" s="34" t="s">
        <v>2295</v>
      </c>
      <c r="S80" s="34" t="s">
        <v>57</v>
      </c>
      <c r="T80" s="34">
        <v>20120620</v>
      </c>
      <c r="U80" s="45">
        <v>23.325489314799999</v>
      </c>
      <c r="V80" s="46">
        <v>18.566687545200001</v>
      </c>
      <c r="W80" s="34" t="s">
        <v>3776</v>
      </c>
      <c r="X80" s="34" t="s">
        <v>44</v>
      </c>
      <c r="Y80" s="34" t="s">
        <v>45</v>
      </c>
      <c r="Z80" s="34" t="s">
        <v>274</v>
      </c>
      <c r="AA80" s="34"/>
      <c r="AB80" s="34"/>
      <c r="AC80" s="22">
        <v>0.93547477722167971</v>
      </c>
      <c r="AD80" s="23" t="s">
        <v>59</v>
      </c>
      <c r="AE80" s="24">
        <v>1.5041095890410958</v>
      </c>
      <c r="AF80" s="25">
        <v>0.306281113103265</v>
      </c>
      <c r="AG80" s="26">
        <v>0.35367372562457872</v>
      </c>
      <c r="AH80" s="26">
        <v>0</v>
      </c>
      <c r="AI80" s="27">
        <v>1.0656674081631987</v>
      </c>
      <c r="AJ80" s="27">
        <v>1.0491246790563846</v>
      </c>
      <c r="AK80" s="27">
        <v>1.0656674081631987</v>
      </c>
      <c r="AL80" s="28" t="s">
        <v>2296</v>
      </c>
      <c r="AM80" s="29">
        <v>5</v>
      </c>
      <c r="AN80" s="29">
        <v>5</v>
      </c>
      <c r="AO80" s="29" t="s">
        <v>48</v>
      </c>
      <c r="AP80" s="47" t="s">
        <v>2297</v>
      </c>
      <c r="AQ80" s="28">
        <v>0</v>
      </c>
      <c r="AR80" s="26">
        <v>1.4999999999999999E-2</v>
      </c>
      <c r="AS80" s="26">
        <v>0</v>
      </c>
    </row>
    <row r="81" spans="1:45" x14ac:dyDescent="0.15">
      <c r="A81" s="64">
        <v>946</v>
      </c>
      <c r="B81" s="64">
        <v>920</v>
      </c>
      <c r="C81" s="11">
        <v>100016</v>
      </c>
      <c r="D81" s="61">
        <v>317</v>
      </c>
      <c r="E81" s="61">
        <v>-1.53642986901507E-4</v>
      </c>
      <c r="F81" s="61">
        <v>127</v>
      </c>
      <c r="G81" s="61">
        <v>0.92338394147537395</v>
      </c>
      <c r="H81" s="66">
        <v>71</v>
      </c>
      <c r="I81" s="66" t="str">
        <f>H81&amp;"/"&amp;428</f>
        <v>71/428</v>
      </c>
      <c r="J81" s="68">
        <f>H81/428</f>
        <v>0.16588785046728971</v>
      </c>
      <c r="K81" s="18" t="s">
        <v>44</v>
      </c>
      <c r="L81" s="18" t="s">
        <v>45</v>
      </c>
      <c r="M81" s="58" t="s">
        <v>274</v>
      </c>
      <c r="N81" s="18">
        <f>[1]!f_prt_stocktonav(C81,"2017/03/31")</f>
        <v>71.6656494140625</v>
      </c>
      <c r="O81" s="20" t="str">
        <f>[1]!f_info_fundmanager(C81)</f>
        <v>曹晋</v>
      </c>
      <c r="P81" s="21">
        <v>2.4383561643835616</v>
      </c>
      <c r="Q81" s="34" t="s">
        <v>3674</v>
      </c>
      <c r="R81" s="34" t="s">
        <v>3675</v>
      </c>
      <c r="S81" s="34" t="s">
        <v>396</v>
      </c>
      <c r="T81" s="34">
        <v>20020816</v>
      </c>
      <c r="U81" s="45">
        <v>5.7058190083999998</v>
      </c>
      <c r="V81" s="46">
        <v>6.5617170530999998</v>
      </c>
      <c r="W81" s="34" t="s">
        <v>231</v>
      </c>
      <c r="X81" s="34" t="s">
        <v>41</v>
      </c>
      <c r="Y81" s="17" t="s">
        <v>42</v>
      </c>
      <c r="Z81" s="17" t="s">
        <v>181</v>
      </c>
      <c r="AA81" s="34"/>
      <c r="AB81" s="34"/>
      <c r="AC81" s="22">
        <v>0.68498435974121097</v>
      </c>
      <c r="AD81" s="23" t="s">
        <v>1634</v>
      </c>
      <c r="AE81" s="24">
        <v>2.2082191780821918</v>
      </c>
      <c r="AF81" s="25">
        <v>0.11831892666827626</v>
      </c>
      <c r="AG81" s="26">
        <v>0.16475722053837938</v>
      </c>
      <c r="AH81" s="26">
        <v>0.14659272148743541</v>
      </c>
      <c r="AI81" s="27">
        <v>0.61037584330808758</v>
      </c>
      <c r="AJ81" s="27">
        <v>0.70093857259595027</v>
      </c>
      <c r="AK81" s="27">
        <v>0.69217134245884626</v>
      </c>
      <c r="AL81" s="28" t="s">
        <v>3676</v>
      </c>
      <c r="AM81" s="29">
        <v>5</v>
      </c>
      <c r="AN81" s="29">
        <v>4</v>
      </c>
      <c r="AO81" s="29" t="s">
        <v>48</v>
      </c>
      <c r="AP81" s="47" t="s">
        <v>2095</v>
      </c>
      <c r="AQ81" s="28" t="s">
        <v>3099</v>
      </c>
      <c r="AR81" s="26">
        <v>1.4999999999999999E-2</v>
      </c>
      <c r="AS81" s="26">
        <v>0</v>
      </c>
    </row>
    <row r="82" spans="1:45" x14ac:dyDescent="0.15">
      <c r="A82" s="64">
        <v>612</v>
      </c>
      <c r="B82" s="64">
        <v>731</v>
      </c>
      <c r="C82" s="11">
        <v>519704</v>
      </c>
      <c r="D82" s="61">
        <v>318</v>
      </c>
      <c r="E82" s="61">
        <v>-1.5535861118363501E-4</v>
      </c>
      <c r="F82" s="61">
        <v>114</v>
      </c>
      <c r="G82" s="61">
        <v>0.90074228784713095</v>
      </c>
      <c r="H82" s="66">
        <v>72</v>
      </c>
      <c r="I82" s="66" t="str">
        <f>H82&amp;"/"&amp;428</f>
        <v>72/428</v>
      </c>
      <c r="J82" s="68">
        <f>H82/428</f>
        <v>0.16822429906542055</v>
      </c>
      <c r="K82" s="18" t="s">
        <v>44</v>
      </c>
      <c r="L82" s="18" t="s">
        <v>45</v>
      </c>
      <c r="M82" s="58" t="s">
        <v>274</v>
      </c>
      <c r="N82" s="18">
        <f>[1]!f_prt_stocktonav(C82,"2017/03/31")</f>
        <v>78.994483947753906</v>
      </c>
      <c r="O82" s="20" t="str">
        <f>[1]!f_info_fundmanager(C82)</f>
        <v>任相栋</v>
      </c>
      <c r="P82" s="21">
        <v>2.1917808219178081</v>
      </c>
      <c r="Q82" s="34" t="s">
        <v>2488</v>
      </c>
      <c r="R82" s="34" t="s">
        <v>2489</v>
      </c>
      <c r="S82" s="34" t="s">
        <v>138</v>
      </c>
      <c r="T82" s="34">
        <v>20110622</v>
      </c>
      <c r="U82" s="45">
        <v>26.3095988924</v>
      </c>
      <c r="V82" s="46">
        <v>15.8717842639</v>
      </c>
      <c r="W82" s="34" t="s">
        <v>201</v>
      </c>
      <c r="X82" s="34" t="s">
        <v>44</v>
      </c>
      <c r="Y82" s="34" t="s">
        <v>45</v>
      </c>
      <c r="Z82" s="34" t="s">
        <v>274</v>
      </c>
      <c r="AA82" s="34"/>
      <c r="AB82" s="34"/>
      <c r="AC82" s="22">
        <v>0.77617874145507815</v>
      </c>
      <c r="AD82" s="23" t="s">
        <v>186</v>
      </c>
      <c r="AE82" s="24">
        <v>1.9616438356164383</v>
      </c>
      <c r="AF82" s="25">
        <v>0.19718480563086671</v>
      </c>
      <c r="AG82" s="26">
        <v>0.32916228127684599</v>
      </c>
      <c r="AH82" s="26">
        <v>0.26494432516999078</v>
      </c>
      <c r="AI82" s="27">
        <v>0.77667656127322748</v>
      </c>
      <c r="AJ82" s="27">
        <v>1.0133829697691206</v>
      </c>
      <c r="AK82" s="27">
        <v>0.96330447299440858</v>
      </c>
      <c r="AL82" s="28" t="s">
        <v>2490</v>
      </c>
      <c r="AM82" s="29">
        <v>5</v>
      </c>
      <c r="AN82" s="29">
        <v>5</v>
      </c>
      <c r="AO82" s="29" t="s">
        <v>48</v>
      </c>
      <c r="AP82" s="47" t="s">
        <v>2272</v>
      </c>
      <c r="AQ82" s="28" t="s">
        <v>608</v>
      </c>
      <c r="AR82" s="26">
        <v>1.4999999999999999E-2</v>
      </c>
      <c r="AS82" s="26">
        <v>0</v>
      </c>
    </row>
    <row r="83" spans="1:45" x14ac:dyDescent="0.15">
      <c r="A83" s="64">
        <v>509</v>
      </c>
      <c r="B83" s="64">
        <v>84</v>
      </c>
      <c r="C83" s="11">
        <v>117</v>
      </c>
      <c r="D83" s="61">
        <v>320</v>
      </c>
      <c r="E83" s="61">
        <v>-1.9125161059038801E-4</v>
      </c>
      <c r="F83" s="61">
        <v>111</v>
      </c>
      <c r="G83" s="61">
        <v>0.92505003342261904</v>
      </c>
      <c r="H83" s="66">
        <v>73</v>
      </c>
      <c r="I83" s="66" t="str">
        <f>H83&amp;"/"&amp;428</f>
        <v>73/428</v>
      </c>
      <c r="J83" s="68">
        <f>H83/428</f>
        <v>0.17056074766355139</v>
      </c>
      <c r="K83" s="18" t="s">
        <v>44</v>
      </c>
      <c r="L83" s="18" t="s">
        <v>45</v>
      </c>
      <c r="M83" s="58" t="s">
        <v>274</v>
      </c>
      <c r="N83" s="18">
        <f>[1]!f_prt_stocktonav(C83,"2017/03/31")</f>
        <v>93.862113952636719</v>
      </c>
      <c r="O83" s="20" t="str">
        <f>[1]!f_info_fundmanager(C83)</f>
        <v>吴兴武</v>
      </c>
      <c r="P83" s="21">
        <v>2.1315068493150684</v>
      </c>
      <c r="Q83" s="34" t="s">
        <v>2131</v>
      </c>
      <c r="R83" s="34" t="s">
        <v>2132</v>
      </c>
      <c r="S83" s="34" t="s">
        <v>132</v>
      </c>
      <c r="T83" s="34">
        <v>20130528</v>
      </c>
      <c r="U83" s="45">
        <v>11.0846416052</v>
      </c>
      <c r="V83" s="46">
        <v>11.668985468900001</v>
      </c>
      <c r="W83" s="34" t="s">
        <v>3776</v>
      </c>
      <c r="X83" s="34" t="s">
        <v>44</v>
      </c>
      <c r="Y83" s="34" t="s">
        <v>45</v>
      </c>
      <c r="Z83" s="34" t="s">
        <v>274</v>
      </c>
      <c r="AA83" s="34"/>
      <c r="AB83" s="34"/>
      <c r="AC83" s="22">
        <v>0.89236587524414057</v>
      </c>
      <c r="AD83" s="23" t="s">
        <v>2133</v>
      </c>
      <c r="AE83" s="24">
        <v>1.9013698630136986</v>
      </c>
      <c r="AF83" s="25">
        <v>0.12354752747747488</v>
      </c>
      <c r="AG83" s="26">
        <v>0.15003150512302277</v>
      </c>
      <c r="AH83" s="26">
        <v>0</v>
      </c>
      <c r="AI83" s="27">
        <v>0.48298402730224055</v>
      </c>
      <c r="AJ83" s="27">
        <v>0.50806777478228993</v>
      </c>
      <c r="AK83" s="27">
        <v>0.48298402730224055</v>
      </c>
      <c r="AL83" s="28" t="s">
        <v>957</v>
      </c>
      <c r="AM83" s="29" t="s">
        <v>48</v>
      </c>
      <c r="AN83" s="29" t="s">
        <v>48</v>
      </c>
      <c r="AO83" s="29" t="s">
        <v>48</v>
      </c>
      <c r="AP83" s="47" t="s">
        <v>2134</v>
      </c>
      <c r="AQ83" s="28">
        <v>0</v>
      </c>
      <c r="AR83" s="26">
        <v>1.4999999999999999E-2</v>
      </c>
      <c r="AS83" s="26">
        <v>0</v>
      </c>
    </row>
    <row r="84" spans="1:45" x14ac:dyDescent="0.15">
      <c r="A84" s="64">
        <v>873</v>
      </c>
      <c r="B84" s="64">
        <v>278</v>
      </c>
      <c r="C84" s="11">
        <v>162607</v>
      </c>
      <c r="D84" s="61">
        <v>322</v>
      </c>
      <c r="E84" s="61">
        <v>-2.1802321581854399E-4</v>
      </c>
      <c r="F84" s="61">
        <v>74</v>
      </c>
      <c r="G84" s="61">
        <v>0.89099276403527405</v>
      </c>
      <c r="H84" s="66">
        <v>74</v>
      </c>
      <c r="I84" s="66" t="str">
        <f>H84&amp;"/"&amp;428</f>
        <v>74/428</v>
      </c>
      <c r="J84" s="68">
        <f>H84/428</f>
        <v>0.17289719626168223</v>
      </c>
      <c r="K84" s="18" t="s">
        <v>44</v>
      </c>
      <c r="L84" s="18" t="s">
        <v>45</v>
      </c>
      <c r="M84" s="58" t="s">
        <v>274</v>
      </c>
      <c r="N84" s="18">
        <f>[1]!f_prt_stocktonav(C84,"2017/03/31")</f>
        <v>89.867774963378906</v>
      </c>
      <c r="O84" s="20" t="str">
        <f>[1]!f_info_fundmanager(C84)</f>
        <v>杨锐文</v>
      </c>
      <c r="P84" s="21">
        <v>1.4219178082191781</v>
      </c>
      <c r="Q84" s="34" t="s">
        <v>3391</v>
      </c>
      <c r="R84" s="34" t="s">
        <v>3392</v>
      </c>
      <c r="S84" s="34" t="s">
        <v>353</v>
      </c>
      <c r="T84" s="34">
        <v>20060126</v>
      </c>
      <c r="U84" s="45">
        <v>14.9167965376</v>
      </c>
      <c r="V84" s="46">
        <v>14.5887051593</v>
      </c>
      <c r="W84" s="34" t="s">
        <v>231</v>
      </c>
      <c r="X84" s="34" t="s">
        <v>44</v>
      </c>
      <c r="Y84" s="34" t="s">
        <v>45</v>
      </c>
      <c r="Z84" s="34" t="s">
        <v>274</v>
      </c>
      <c r="AA84" s="34"/>
      <c r="AB84" s="34"/>
      <c r="AC84" s="22">
        <v>0.84637832641601563</v>
      </c>
      <c r="AD84" s="23" t="s">
        <v>581</v>
      </c>
      <c r="AE84" s="24">
        <v>1.1917808219178083</v>
      </c>
      <c r="AF84" s="25">
        <v>0.13224620159239953</v>
      </c>
      <c r="AG84" s="26">
        <v>9.486180231883079E-2</v>
      </c>
      <c r="AH84" s="26">
        <v>8.7721417575342672E-2</v>
      </c>
      <c r="AI84" s="27">
        <v>0.52659479175779422</v>
      </c>
      <c r="AJ84" s="27">
        <v>0.3854654965971725</v>
      </c>
      <c r="AK84" s="27">
        <v>0.38462372284000845</v>
      </c>
      <c r="AL84" s="28" t="s">
        <v>3393</v>
      </c>
      <c r="AM84" s="29">
        <v>1</v>
      </c>
      <c r="AN84" s="29">
        <v>2</v>
      </c>
      <c r="AO84" s="29" t="s">
        <v>48</v>
      </c>
      <c r="AP84" s="47" t="s">
        <v>3394</v>
      </c>
      <c r="AQ84" s="28">
        <v>0</v>
      </c>
      <c r="AR84" s="26">
        <v>1.4999999999999999E-2</v>
      </c>
      <c r="AS84" s="26">
        <v>0</v>
      </c>
    </row>
    <row r="85" spans="1:45" x14ac:dyDescent="0.15">
      <c r="A85" s="64">
        <v>43</v>
      </c>
      <c r="B85" s="64">
        <v>226</v>
      </c>
      <c r="C85" s="11">
        <v>162107</v>
      </c>
      <c r="D85" s="61">
        <v>330</v>
      </c>
      <c r="E85" s="61">
        <v>-2.7732401935476401E-4</v>
      </c>
      <c r="F85" s="61">
        <v>30</v>
      </c>
      <c r="G85" s="61">
        <v>0.84601630201778799</v>
      </c>
      <c r="H85" s="66">
        <v>75</v>
      </c>
      <c r="I85" s="66" t="str">
        <f>H85&amp;"/"&amp;428</f>
        <v>75/428</v>
      </c>
      <c r="J85" s="68">
        <f>H85/428</f>
        <v>0.17523364485981308</v>
      </c>
      <c r="K85" s="18" t="s">
        <v>44</v>
      </c>
      <c r="L85" s="18" t="s">
        <v>64</v>
      </c>
      <c r="M85" s="58" t="s">
        <v>274</v>
      </c>
      <c r="N85" s="18">
        <f>[1]!f_prt_stocktonav(C85,"2017/03/31")</f>
        <v>91.2252197265625</v>
      </c>
      <c r="O85" s="20" t="str">
        <f>[1]!f_info_fundmanager(C85)</f>
        <v>黄艳芳</v>
      </c>
      <c r="P85" s="21">
        <v>0.59726027397260273</v>
      </c>
      <c r="Q85" s="34" t="s">
        <v>271</v>
      </c>
      <c r="R85" s="34" t="s">
        <v>272</v>
      </c>
      <c r="S85" s="34" t="s">
        <v>273</v>
      </c>
      <c r="T85" s="34">
        <v>20160825</v>
      </c>
      <c r="U85" s="45">
        <v>0.1723738611</v>
      </c>
      <c r="V85" s="46">
        <v>0.18607892109999999</v>
      </c>
      <c r="W85" s="34" t="s">
        <v>201</v>
      </c>
      <c r="X85" s="34" t="s">
        <v>44</v>
      </c>
      <c r="Y85" s="34" t="s">
        <v>64</v>
      </c>
      <c r="Z85" s="34" t="s">
        <v>274</v>
      </c>
      <c r="AA85" s="34"/>
      <c r="AB85" s="34"/>
      <c r="AC85" s="22">
        <v>0.92862594604492188</v>
      </c>
      <c r="AD85" s="23" t="s">
        <v>275</v>
      </c>
      <c r="AE85" s="24">
        <v>0.36712328767123287</v>
      </c>
      <c r="AF85" s="25">
        <v>8.3443100483445498E-2</v>
      </c>
      <c r="AG85" s="26">
        <v>0</v>
      </c>
      <c r="AH85" s="26">
        <v>0</v>
      </c>
      <c r="AI85" s="27">
        <v>0.46536335164909304</v>
      </c>
      <c r="AJ85" s="27">
        <v>0.46536335164909304</v>
      </c>
      <c r="AK85" s="27">
        <v>0.46536335164909304</v>
      </c>
      <c r="AL85" s="28" t="s">
        <v>276</v>
      </c>
      <c r="AM85" s="29" t="s">
        <v>48</v>
      </c>
      <c r="AN85" s="29" t="s">
        <v>48</v>
      </c>
      <c r="AO85" s="29" t="s">
        <v>48</v>
      </c>
      <c r="AP85" s="47" t="s">
        <v>214</v>
      </c>
      <c r="AQ85" s="28">
        <v>0</v>
      </c>
      <c r="AR85" s="26">
        <v>1.4999999999999999E-2</v>
      </c>
      <c r="AS85" s="26">
        <v>0</v>
      </c>
    </row>
    <row r="86" spans="1:45" x14ac:dyDescent="0.15">
      <c r="A86" s="64">
        <v>441</v>
      </c>
      <c r="B86" s="64">
        <v>735</v>
      </c>
      <c r="C86" s="11">
        <v>587</v>
      </c>
      <c r="D86" s="61">
        <v>334</v>
      </c>
      <c r="E86" s="61">
        <v>-3.1485072709358899E-4</v>
      </c>
      <c r="F86" s="61">
        <v>79</v>
      </c>
      <c r="G86" s="61">
        <v>0.83796504090339696</v>
      </c>
      <c r="H86" s="66">
        <v>76</v>
      </c>
      <c r="I86" s="66" t="str">
        <f>H86&amp;"/"&amp;428</f>
        <v>76/428</v>
      </c>
      <c r="J86" s="68">
        <f>H86/428</f>
        <v>0.17757009345794392</v>
      </c>
      <c r="K86" s="18" t="s">
        <v>44</v>
      </c>
      <c r="L86" s="18" t="s">
        <v>45</v>
      </c>
      <c r="M86" s="58" t="s">
        <v>274</v>
      </c>
      <c r="N86" s="18">
        <f>[1]!f_prt_stocktonav(C86,"2017/03/31")</f>
        <v>78.953315734863281</v>
      </c>
      <c r="O86" s="20" t="str">
        <f>[1]!f_info_fundmanager(C86)</f>
        <v>孙蓓琳</v>
      </c>
      <c r="P86" s="21">
        <v>1.5041095890410958</v>
      </c>
      <c r="Q86" s="34" t="s">
        <v>1882</v>
      </c>
      <c r="R86" s="34" t="s">
        <v>1883</v>
      </c>
      <c r="S86" s="34" t="s">
        <v>486</v>
      </c>
      <c r="T86" s="34">
        <v>20140514</v>
      </c>
      <c r="U86" s="45">
        <v>7.2131392983999998</v>
      </c>
      <c r="V86" s="46">
        <v>3.8013924448999998</v>
      </c>
      <c r="W86" s="34" t="s">
        <v>3789</v>
      </c>
      <c r="X86" s="34" t="s">
        <v>44</v>
      </c>
      <c r="Y86" s="34" t="s">
        <v>45</v>
      </c>
      <c r="Z86" s="34" t="s">
        <v>274</v>
      </c>
      <c r="AA86" s="34"/>
      <c r="AB86" s="34"/>
      <c r="AC86" s="22">
        <v>0.82786712646484373</v>
      </c>
      <c r="AD86" s="23" t="s">
        <v>1884</v>
      </c>
      <c r="AE86" s="24">
        <v>1.273972602739726</v>
      </c>
      <c r="AF86" s="25">
        <v>0.29667958132615646</v>
      </c>
      <c r="AG86" s="26">
        <v>0</v>
      </c>
      <c r="AH86" s="26">
        <v>0</v>
      </c>
      <c r="AI86" s="27">
        <v>0.89488053854638749</v>
      </c>
      <c r="AJ86" s="27">
        <v>0.89488053854638749</v>
      </c>
      <c r="AK86" s="27">
        <v>0.89488053854638749</v>
      </c>
      <c r="AL86" s="28" t="s">
        <v>1885</v>
      </c>
      <c r="AM86" s="29" t="s">
        <v>48</v>
      </c>
      <c r="AN86" s="29" t="s">
        <v>48</v>
      </c>
      <c r="AO86" s="29" t="s">
        <v>48</v>
      </c>
      <c r="AP86" s="47" t="s">
        <v>101</v>
      </c>
      <c r="AQ86" s="28">
        <v>0</v>
      </c>
      <c r="AR86" s="26">
        <v>1.4999999999999999E-2</v>
      </c>
      <c r="AS86" s="26">
        <v>0</v>
      </c>
    </row>
    <row r="87" spans="1:45" x14ac:dyDescent="0.15">
      <c r="A87" s="64">
        <v>233</v>
      </c>
      <c r="B87" s="64">
        <v>688</v>
      </c>
      <c r="C87" s="11">
        <v>1403</v>
      </c>
      <c r="D87" s="61">
        <v>335</v>
      </c>
      <c r="E87" s="61">
        <v>-3.1816807362957501E-4</v>
      </c>
      <c r="F87" s="61">
        <v>89</v>
      </c>
      <c r="G87" s="61">
        <v>0.86828030780919097</v>
      </c>
      <c r="H87" s="66">
        <v>77</v>
      </c>
      <c r="I87" s="66" t="str">
        <f>H87&amp;"/"&amp;428</f>
        <v>77/428</v>
      </c>
      <c r="J87" s="68">
        <f>H87/428</f>
        <v>0.17990654205607476</v>
      </c>
      <c r="K87" s="18" t="s">
        <v>44</v>
      </c>
      <c r="L87" s="18" t="s">
        <v>87</v>
      </c>
      <c r="M87" s="58" t="s">
        <v>274</v>
      </c>
      <c r="N87" s="18">
        <f>[1]!f_prt_stocktonav(C87,"2017/03/31")</f>
        <v>80.425552368164062</v>
      </c>
      <c r="O87" s="20" t="str">
        <f>[1]!f_info_fundmanager(C87)</f>
        <v>李亚</v>
      </c>
      <c r="P87" s="21">
        <v>1.7287671232876711</v>
      </c>
      <c r="Q87" s="34" t="s">
        <v>1082</v>
      </c>
      <c r="R87" s="34" t="s">
        <v>1083</v>
      </c>
      <c r="S87" s="34" t="s">
        <v>165</v>
      </c>
      <c r="T87" s="34">
        <v>20150629</v>
      </c>
      <c r="U87" s="45">
        <v>13.1948155391</v>
      </c>
      <c r="V87" s="46">
        <v>14.7081979902</v>
      </c>
      <c r="W87" s="34" t="s">
        <v>3789</v>
      </c>
      <c r="X87" s="34" t="s">
        <v>44</v>
      </c>
      <c r="Y87" s="34" t="s">
        <v>87</v>
      </c>
      <c r="Z87" s="34" t="s">
        <v>274</v>
      </c>
      <c r="AA87" s="34" t="s">
        <v>3795</v>
      </c>
      <c r="AB87" s="34"/>
      <c r="AC87" s="22">
        <v>0.77383338928222656</v>
      </c>
      <c r="AD87" s="23" t="s">
        <v>1085</v>
      </c>
      <c r="AE87" s="24">
        <v>1.526027397260274</v>
      </c>
      <c r="AF87" s="25">
        <v>-7.4849867983548424E-2</v>
      </c>
      <c r="AG87" s="26">
        <v>0</v>
      </c>
      <c r="AH87" s="26">
        <v>0</v>
      </c>
      <c r="AI87" s="27">
        <v>-0.3031563894765304</v>
      </c>
      <c r="AJ87" s="27">
        <v>-0.3031563894765304</v>
      </c>
      <c r="AK87" s="27">
        <v>-0.3031563894765304</v>
      </c>
      <c r="AL87" s="33" t="s">
        <v>1086</v>
      </c>
      <c r="AM87" s="29" t="s">
        <v>48</v>
      </c>
      <c r="AN87" s="29" t="s">
        <v>48</v>
      </c>
      <c r="AO87" s="29" t="s">
        <v>48</v>
      </c>
      <c r="AP87" s="47" t="s">
        <v>961</v>
      </c>
      <c r="AQ87" s="28">
        <v>0</v>
      </c>
      <c r="AR87" s="26">
        <v>1.4999999999999999E-2</v>
      </c>
      <c r="AS87" s="26">
        <v>0</v>
      </c>
    </row>
    <row r="88" spans="1:45" x14ac:dyDescent="0.15">
      <c r="A88" s="64">
        <v>238</v>
      </c>
      <c r="B88" s="64">
        <v>912</v>
      </c>
      <c r="C88" s="11">
        <v>1384</v>
      </c>
      <c r="D88" s="61">
        <v>336</v>
      </c>
      <c r="E88" s="61">
        <v>-3.2440439343141498E-4</v>
      </c>
      <c r="F88" s="61">
        <v>90</v>
      </c>
      <c r="G88" s="61">
        <v>0.91105419554295497</v>
      </c>
      <c r="H88" s="66">
        <v>78</v>
      </c>
      <c r="I88" s="66" t="str">
        <f>H88&amp;"/"&amp;428</f>
        <v>78/428</v>
      </c>
      <c r="J88" s="68">
        <f>H88/428</f>
        <v>0.1822429906542056</v>
      </c>
      <c r="K88" s="18" t="s">
        <v>44</v>
      </c>
      <c r="L88" s="18" t="s">
        <v>45</v>
      </c>
      <c r="M88" s="58" t="s">
        <v>274</v>
      </c>
      <c r="N88" s="18">
        <f>[1]!f_prt_stocktonav(C88,"2017/03/31")</f>
        <v>71.820274353027344</v>
      </c>
      <c r="O88" s="20" t="str">
        <f>[1]!f_info_fundmanager(C88)</f>
        <v>王然,姚航</v>
      </c>
      <c r="P88" s="21">
        <v>1.7671232876712328</v>
      </c>
      <c r="Q88" s="34" t="s">
        <v>1104</v>
      </c>
      <c r="R88" s="34" t="s">
        <v>1105</v>
      </c>
      <c r="S88" s="34" t="s">
        <v>252</v>
      </c>
      <c r="T88" s="34">
        <v>20150625</v>
      </c>
      <c r="U88" s="45">
        <v>7.0533719599999998</v>
      </c>
      <c r="V88" s="46">
        <v>8.1611929128000007</v>
      </c>
      <c r="W88" s="34" t="s">
        <v>3789</v>
      </c>
      <c r="X88" s="34" t="s">
        <v>41</v>
      </c>
      <c r="Y88" s="17" t="s">
        <v>42</v>
      </c>
      <c r="Z88" s="17" t="s">
        <v>181</v>
      </c>
      <c r="AA88" s="34"/>
      <c r="AB88" s="34"/>
      <c r="AC88" s="22">
        <v>0.69784629821777344</v>
      </c>
      <c r="AD88" s="23" t="s">
        <v>1106</v>
      </c>
      <c r="AE88" s="24">
        <v>1.536986301369863</v>
      </c>
      <c r="AF88" s="25">
        <v>-0.14664484678903322</v>
      </c>
      <c r="AG88" s="26">
        <v>0</v>
      </c>
      <c r="AH88" s="26">
        <v>0</v>
      </c>
      <c r="AI88" s="27">
        <v>-0.28802799969859089</v>
      </c>
      <c r="AJ88" s="27">
        <v>-0.28802799969859089</v>
      </c>
      <c r="AK88" s="27">
        <v>-0.28802799969859089</v>
      </c>
      <c r="AL88" s="28" t="s">
        <v>1107</v>
      </c>
      <c r="AM88" s="29" t="s">
        <v>48</v>
      </c>
      <c r="AN88" s="29" t="s">
        <v>48</v>
      </c>
      <c r="AO88" s="29" t="s">
        <v>48</v>
      </c>
      <c r="AP88" s="47" t="s">
        <v>1108</v>
      </c>
      <c r="AQ88" s="28">
        <v>0</v>
      </c>
      <c r="AR88" s="26">
        <v>0.01</v>
      </c>
      <c r="AS88" s="26">
        <v>0</v>
      </c>
    </row>
    <row r="89" spans="1:45" x14ac:dyDescent="0.15">
      <c r="A89" s="64">
        <v>113</v>
      </c>
      <c r="B89" s="64">
        <v>210</v>
      </c>
      <c r="C89" s="11">
        <v>2244</v>
      </c>
      <c r="D89" s="61">
        <v>337</v>
      </c>
      <c r="E89" s="61">
        <v>-3.2637927252002598E-4</v>
      </c>
      <c r="F89" s="61">
        <v>54</v>
      </c>
      <c r="G89" s="61">
        <v>0.85452639406687003</v>
      </c>
      <c r="H89" s="66">
        <v>79</v>
      </c>
      <c r="I89" s="66" t="str">
        <f>H89&amp;"/"&amp;428</f>
        <v>79/428</v>
      </c>
      <c r="J89" s="68">
        <f>H89/428</f>
        <v>0.18457943925233644</v>
      </c>
      <c r="K89" s="18" t="s">
        <v>44</v>
      </c>
      <c r="L89" s="18" t="s">
        <v>87</v>
      </c>
      <c r="M89" s="58" t="s">
        <v>274</v>
      </c>
      <c r="N89" s="18">
        <f>[1]!f_prt_stocktonav(C89,"2017/03/31")</f>
        <v>91.609054565429688</v>
      </c>
      <c r="O89" s="20" t="str">
        <f>[1]!f_info_fundmanager(C89)</f>
        <v>李孟海</v>
      </c>
      <c r="P89" s="21">
        <v>1.0547945205479452</v>
      </c>
      <c r="Q89" s="34" t="s">
        <v>593</v>
      </c>
      <c r="R89" s="34" t="s">
        <v>594</v>
      </c>
      <c r="S89" s="34" t="s">
        <v>353</v>
      </c>
      <c r="T89" s="34">
        <v>20160311</v>
      </c>
      <c r="U89" s="45">
        <v>2.8817164703999998</v>
      </c>
      <c r="V89" s="46">
        <v>3.1672036379000001</v>
      </c>
      <c r="W89" s="34" t="s">
        <v>201</v>
      </c>
      <c r="X89" s="34" t="s">
        <v>44</v>
      </c>
      <c r="Y89" s="34" t="s">
        <v>87</v>
      </c>
      <c r="Z89" s="34" t="s">
        <v>65</v>
      </c>
      <c r="AA89" s="34" t="s">
        <v>3785</v>
      </c>
      <c r="AB89" s="34"/>
      <c r="AC89" s="22">
        <v>0.90730964660644531</v>
      </c>
      <c r="AD89" s="23" t="s">
        <v>596</v>
      </c>
      <c r="AE89" s="24">
        <v>0.8246575342465754</v>
      </c>
      <c r="AF89" s="25">
        <v>0.19353419936175834</v>
      </c>
      <c r="AG89" s="26">
        <v>0</v>
      </c>
      <c r="AH89" s="26">
        <v>0</v>
      </c>
      <c r="AI89" s="27">
        <v>0.86272976844678939</v>
      </c>
      <c r="AJ89" s="27">
        <v>0.86272976844678939</v>
      </c>
      <c r="AK89" s="27">
        <v>0.86272976844678939</v>
      </c>
      <c r="AL89" s="33" t="s">
        <v>115</v>
      </c>
      <c r="AM89" s="29" t="s">
        <v>48</v>
      </c>
      <c r="AN89" s="29" t="s">
        <v>48</v>
      </c>
      <c r="AO89" s="29" t="s">
        <v>48</v>
      </c>
      <c r="AP89" s="47" t="s">
        <v>82</v>
      </c>
      <c r="AQ89" s="28">
        <v>0</v>
      </c>
      <c r="AR89" s="26">
        <v>1.4999999999999999E-2</v>
      </c>
      <c r="AS89" s="26">
        <v>0</v>
      </c>
    </row>
    <row r="90" spans="1:45" x14ac:dyDescent="0.15">
      <c r="A90" s="64">
        <v>812</v>
      </c>
      <c r="B90" s="64">
        <v>661</v>
      </c>
      <c r="C90" s="11">
        <v>540003</v>
      </c>
      <c r="D90" s="61">
        <v>340</v>
      </c>
      <c r="E90" s="61">
        <v>-3.51844349347881E-4</v>
      </c>
      <c r="F90" s="61">
        <v>97</v>
      </c>
      <c r="G90" s="61">
        <v>0.78133197432420198</v>
      </c>
      <c r="H90" s="66">
        <v>80</v>
      </c>
      <c r="I90" s="66" t="str">
        <f>H90&amp;"/"&amp;428</f>
        <v>80/428</v>
      </c>
      <c r="J90" s="68">
        <f>H90/428</f>
        <v>0.18691588785046728</v>
      </c>
      <c r="K90" s="18" t="s">
        <v>44</v>
      </c>
      <c r="L90" s="18" t="s">
        <v>45</v>
      </c>
      <c r="M90" s="58" t="s">
        <v>274</v>
      </c>
      <c r="N90" s="18">
        <f>[1]!f_prt_stocktonav(C90,"2017/03/31")</f>
        <v>81.163246154785156</v>
      </c>
      <c r="O90" s="20" t="str">
        <f>[1]!f_info_fundmanager(C90)</f>
        <v>郭敏</v>
      </c>
      <c r="P90" s="21">
        <v>1.8575342465753424</v>
      </c>
      <c r="Q90" s="34" t="s">
        <v>3160</v>
      </c>
      <c r="R90" s="34" t="s">
        <v>3161</v>
      </c>
      <c r="S90" s="34" t="s">
        <v>149</v>
      </c>
      <c r="T90" s="34">
        <v>20070409</v>
      </c>
      <c r="U90" s="45">
        <v>9.0754085360999994</v>
      </c>
      <c r="V90" s="46">
        <v>10.1946535294</v>
      </c>
      <c r="W90" s="34" t="s">
        <v>231</v>
      </c>
      <c r="X90" s="34" t="s">
        <v>44</v>
      </c>
      <c r="Y90" s="34" t="s">
        <v>45</v>
      </c>
      <c r="Z90" s="34" t="s">
        <v>274</v>
      </c>
      <c r="AA90" s="34"/>
      <c r="AB90" s="34"/>
      <c r="AC90" s="22">
        <v>0.76808441162109375</v>
      </c>
      <c r="AD90" s="23" t="s">
        <v>3162</v>
      </c>
      <c r="AE90" s="24">
        <v>1.6273972602739726</v>
      </c>
      <c r="AF90" s="25">
        <v>9.3639902088952245E-2</v>
      </c>
      <c r="AG90" s="26">
        <v>0.26376912346802039</v>
      </c>
      <c r="AH90" s="26">
        <v>0.17619412291378267</v>
      </c>
      <c r="AI90" s="27">
        <v>0.42331162772996817</v>
      </c>
      <c r="AJ90" s="27">
        <v>0.87558272785868352</v>
      </c>
      <c r="AK90" s="27">
        <v>0.68581320534017132</v>
      </c>
      <c r="AL90" s="28" t="s">
        <v>3163</v>
      </c>
      <c r="AM90" s="29">
        <v>5</v>
      </c>
      <c r="AN90" s="29">
        <v>5</v>
      </c>
      <c r="AO90" s="29" t="s">
        <v>48</v>
      </c>
      <c r="AP90" s="47" t="s">
        <v>410</v>
      </c>
      <c r="AQ90" s="28">
        <v>0</v>
      </c>
      <c r="AR90" s="26">
        <v>1.4999999999999999E-2</v>
      </c>
      <c r="AS90" s="26">
        <v>0</v>
      </c>
    </row>
    <row r="91" spans="1:45" x14ac:dyDescent="0.15">
      <c r="A91" s="64">
        <v>279</v>
      </c>
      <c r="B91" s="64">
        <v>837</v>
      </c>
      <c r="C91" s="11">
        <v>1279</v>
      </c>
      <c r="D91" s="61">
        <v>351</v>
      </c>
      <c r="E91" s="61">
        <v>-4.2151896447666201E-4</v>
      </c>
      <c r="F91" s="61">
        <v>95</v>
      </c>
      <c r="G91" s="61">
        <v>0.83761982568008198</v>
      </c>
      <c r="H91" s="66">
        <v>81</v>
      </c>
      <c r="I91" s="66" t="str">
        <f>H91&amp;"/"&amp;428</f>
        <v>81/428</v>
      </c>
      <c r="J91" s="68">
        <f>H91/428</f>
        <v>0.18925233644859812</v>
      </c>
      <c r="K91" s="18" t="s">
        <v>44</v>
      </c>
      <c r="L91" s="18" t="s">
        <v>45</v>
      </c>
      <c r="M91" s="58" t="s">
        <v>274</v>
      </c>
      <c r="N91" s="18">
        <f>[1]!f_prt_stocktonav(C91,"2017/03/31")</f>
        <v>75.344436645507813</v>
      </c>
      <c r="O91" s="20" t="str">
        <f>[1]!f_info_fundmanager(C91)</f>
        <v>左剑</v>
      </c>
      <c r="P91" s="21">
        <v>1.8657534246575342</v>
      </c>
      <c r="Q91" s="34" t="s">
        <v>1282</v>
      </c>
      <c r="R91" s="34" t="s">
        <v>1283</v>
      </c>
      <c r="S91" s="34" t="s">
        <v>505</v>
      </c>
      <c r="T91" s="34">
        <v>20150520</v>
      </c>
      <c r="U91" s="45">
        <v>3.6376572736999999</v>
      </c>
      <c r="V91" s="46">
        <v>4.1250007020000004</v>
      </c>
      <c r="W91" s="34" t="s">
        <v>3789</v>
      </c>
      <c r="X91" s="34" t="s">
        <v>44</v>
      </c>
      <c r="Y91" s="34" t="s">
        <v>45</v>
      </c>
      <c r="Z91" s="34" t="s">
        <v>65</v>
      </c>
      <c r="AA91" s="34"/>
      <c r="AB91" s="34"/>
      <c r="AC91" s="22">
        <v>0.70857276916503908</v>
      </c>
      <c r="AD91" s="23" t="s">
        <v>1284</v>
      </c>
      <c r="AE91" s="24">
        <v>1.6356164383561644</v>
      </c>
      <c r="AF91" s="25">
        <v>-0.11583190776598486</v>
      </c>
      <c r="AG91" s="26">
        <v>0</v>
      </c>
      <c r="AH91" s="26">
        <v>0</v>
      </c>
      <c r="AI91" s="27">
        <v>-0.61629362874462468</v>
      </c>
      <c r="AJ91" s="27">
        <v>-0.61629362874462468</v>
      </c>
      <c r="AK91" s="27">
        <v>-0.61629362874462468</v>
      </c>
      <c r="AL91" s="28" t="s">
        <v>1285</v>
      </c>
      <c r="AM91" s="29" t="s">
        <v>48</v>
      </c>
      <c r="AN91" s="29" t="s">
        <v>48</v>
      </c>
      <c r="AO91" s="29" t="s">
        <v>48</v>
      </c>
      <c r="AP91" s="47" t="s">
        <v>1286</v>
      </c>
      <c r="AQ91" s="28">
        <v>0</v>
      </c>
      <c r="AR91" s="26">
        <v>1.4999999999999999E-2</v>
      </c>
      <c r="AS91" s="26">
        <v>0</v>
      </c>
    </row>
    <row r="92" spans="1:45" x14ac:dyDescent="0.15">
      <c r="A92" s="64">
        <v>634</v>
      </c>
      <c r="B92" s="64">
        <v>104</v>
      </c>
      <c r="C92" s="11">
        <v>519097</v>
      </c>
      <c r="D92" s="61">
        <v>353</v>
      </c>
      <c r="E92" s="61">
        <v>-4.3352957326971001E-4</v>
      </c>
      <c r="F92" s="61">
        <v>41</v>
      </c>
      <c r="G92" s="61">
        <v>0.70528181843914195</v>
      </c>
      <c r="H92" s="66">
        <v>82</v>
      </c>
      <c r="I92" s="66" t="str">
        <f>H92&amp;"/"&amp;428</f>
        <v>82/428</v>
      </c>
      <c r="J92" s="68">
        <f>H92/428</f>
        <v>0.19158878504672897</v>
      </c>
      <c r="K92" s="18" t="s">
        <v>44</v>
      </c>
      <c r="L92" s="18" t="s">
        <v>45</v>
      </c>
      <c r="M92" s="58" t="s">
        <v>274</v>
      </c>
      <c r="N92" s="18">
        <f>[1]!f_prt_stocktonav(C92,"2017/03/31")</f>
        <v>93.569061279296875</v>
      </c>
      <c r="O92" s="20" t="str">
        <f>[1]!f_info_fundmanager(C92)</f>
        <v>付伟</v>
      </c>
      <c r="P92" s="21">
        <v>0.78630136986301369</v>
      </c>
      <c r="Q92" s="34" t="s">
        <v>2564</v>
      </c>
      <c r="R92" s="34" t="s">
        <v>2565</v>
      </c>
      <c r="S92" s="34" t="s">
        <v>569</v>
      </c>
      <c r="T92" s="34">
        <v>20110128</v>
      </c>
      <c r="U92" s="45">
        <v>1.7576094578999999</v>
      </c>
      <c r="V92" s="46">
        <v>3.6371486754000002</v>
      </c>
      <c r="W92" s="34" t="s">
        <v>201</v>
      </c>
      <c r="X92" s="34" t="s">
        <v>44</v>
      </c>
      <c r="Y92" s="34" t="s">
        <v>45</v>
      </c>
      <c r="Z92" s="34" t="s">
        <v>274</v>
      </c>
      <c r="AA92" s="34"/>
      <c r="AB92" s="34"/>
      <c r="AC92" s="22">
        <v>0.86205291748046875</v>
      </c>
      <c r="AD92" s="23" t="s">
        <v>2566</v>
      </c>
      <c r="AE92" s="24">
        <v>0.55616438356164388</v>
      </c>
      <c r="AF92" s="25">
        <v>0.1469924922466368</v>
      </c>
      <c r="AG92" s="26">
        <v>0.29527565239108888</v>
      </c>
      <c r="AH92" s="26">
        <v>0.22581595624585618</v>
      </c>
      <c r="AI92" s="27">
        <v>0.6388912104802611</v>
      </c>
      <c r="AJ92" s="27">
        <v>1.0114978876901848</v>
      </c>
      <c r="AK92" s="27">
        <v>0.89400037534810373</v>
      </c>
      <c r="AL92" s="28" t="s">
        <v>2567</v>
      </c>
      <c r="AM92" s="29">
        <v>5</v>
      </c>
      <c r="AN92" s="29">
        <v>5</v>
      </c>
      <c r="AO92" s="29" t="s">
        <v>48</v>
      </c>
      <c r="AP92" s="47" t="s">
        <v>310</v>
      </c>
      <c r="AQ92" s="28">
        <v>0</v>
      </c>
      <c r="AR92" s="26">
        <v>1.4999999999999999E-2</v>
      </c>
      <c r="AS92" s="26">
        <v>0</v>
      </c>
    </row>
    <row r="93" spans="1:45" x14ac:dyDescent="0.15">
      <c r="A93" s="64">
        <v>203</v>
      </c>
      <c r="B93" s="64">
        <v>559</v>
      </c>
      <c r="C93" s="11">
        <v>1541</v>
      </c>
      <c r="D93" s="61">
        <v>357</v>
      </c>
      <c r="E93" s="61">
        <v>-4.4016451726077598E-4</v>
      </c>
      <c r="F93" s="61">
        <v>84</v>
      </c>
      <c r="G93" s="61">
        <v>0.79340034239287704</v>
      </c>
      <c r="H93" s="66">
        <v>83</v>
      </c>
      <c r="I93" s="66" t="str">
        <f>H93&amp;"/"&amp;428</f>
        <v>83/428</v>
      </c>
      <c r="J93" s="68">
        <f>H93/428</f>
        <v>0.19392523364485981</v>
      </c>
      <c r="K93" s="18" t="s">
        <v>44</v>
      </c>
      <c r="L93" s="18" t="s">
        <v>87</v>
      </c>
      <c r="M93" s="58" t="s">
        <v>274</v>
      </c>
      <c r="N93" s="18">
        <f>[1]!f_prt_stocktonav(C93,"2017/03/31")</f>
        <v>83.874259948730469</v>
      </c>
      <c r="O93" s="20" t="str">
        <f>[1]!f_info_fundmanager(C93)</f>
        <v>谭志强</v>
      </c>
      <c r="P93" s="21">
        <v>1.6493150684931508</v>
      </c>
      <c r="Q93" s="34" t="s">
        <v>969</v>
      </c>
      <c r="R93" s="34" t="s">
        <v>970</v>
      </c>
      <c r="S93" s="34" t="s">
        <v>331</v>
      </c>
      <c r="T93" s="34">
        <v>20150807</v>
      </c>
      <c r="U93" s="45">
        <v>8.1601362002000002</v>
      </c>
      <c r="V93" s="46">
        <v>9.2257181818999996</v>
      </c>
      <c r="W93" s="34" t="s">
        <v>3789</v>
      </c>
      <c r="X93" s="34" t="s">
        <v>44</v>
      </c>
      <c r="Y93" s="34" t="s">
        <v>45</v>
      </c>
      <c r="Z93" s="34" t="s">
        <v>274</v>
      </c>
      <c r="AA93" s="34"/>
      <c r="AB93" s="34"/>
      <c r="AC93" s="22">
        <v>0.84118995666503904</v>
      </c>
      <c r="AD93" s="23" t="s">
        <v>971</v>
      </c>
      <c r="AE93" s="24">
        <v>1.4191780821917808</v>
      </c>
      <c r="AF93" s="25">
        <v>-8.104176300956023E-2</v>
      </c>
      <c r="AG93" s="26">
        <v>0</v>
      </c>
      <c r="AH93" s="26">
        <v>0</v>
      </c>
      <c r="AI93" s="27">
        <v>-0.36350424416135413</v>
      </c>
      <c r="AJ93" s="27">
        <v>-0.36350424416135413</v>
      </c>
      <c r="AK93" s="27">
        <v>-0.36350424416135413</v>
      </c>
      <c r="AL93" s="28" t="s">
        <v>972</v>
      </c>
      <c r="AM93" s="29" t="s">
        <v>48</v>
      </c>
      <c r="AN93" s="29" t="s">
        <v>48</v>
      </c>
      <c r="AO93" s="29" t="s">
        <v>48</v>
      </c>
      <c r="AP93" s="47" t="s">
        <v>334</v>
      </c>
      <c r="AQ93" s="28">
        <v>0</v>
      </c>
      <c r="AR93" s="26">
        <v>1.4999999999999999E-2</v>
      </c>
      <c r="AS93" s="26">
        <v>0</v>
      </c>
    </row>
    <row r="94" spans="1:45" x14ac:dyDescent="0.15">
      <c r="A94" s="64">
        <v>648</v>
      </c>
      <c r="B94" s="64">
        <v>638</v>
      </c>
      <c r="C94" s="11">
        <v>450009</v>
      </c>
      <c r="D94" s="61">
        <v>359</v>
      </c>
      <c r="E94" s="61">
        <v>-4.54444408906838E-4</v>
      </c>
      <c r="F94" s="61">
        <v>325</v>
      </c>
      <c r="G94" s="61">
        <v>0.54682249487239698</v>
      </c>
      <c r="H94" s="66">
        <v>84</v>
      </c>
      <c r="I94" s="66" t="str">
        <f>H94&amp;"/"&amp;428</f>
        <v>84/428</v>
      </c>
      <c r="J94" s="68">
        <f>H94/428</f>
        <v>0.19626168224299065</v>
      </c>
      <c r="K94" s="18" t="s">
        <v>44</v>
      </c>
      <c r="L94" s="18" t="s">
        <v>45</v>
      </c>
      <c r="M94" s="58" t="s">
        <v>274</v>
      </c>
      <c r="N94" s="18">
        <f>[1]!f_prt_stocktonav(C94,"2017/03/31")</f>
        <v>81.896354675292969</v>
      </c>
      <c r="O94" s="20" t="str">
        <f>[1]!f_info_fundmanager(C94)</f>
        <v>赵晓东</v>
      </c>
      <c r="P94" s="21">
        <v>6.3561643835616435</v>
      </c>
      <c r="Q94" s="34" t="s">
        <v>2615</v>
      </c>
      <c r="R94" s="34" t="s">
        <v>2616</v>
      </c>
      <c r="S94" s="34" t="s">
        <v>742</v>
      </c>
      <c r="T94" s="34">
        <v>20101123</v>
      </c>
      <c r="U94" s="45">
        <v>5.3256884638999997</v>
      </c>
      <c r="V94" s="46">
        <v>5.2271766543</v>
      </c>
      <c r="W94" s="34" t="s">
        <v>3776</v>
      </c>
      <c r="X94" s="34" t="s">
        <v>44</v>
      </c>
      <c r="Y94" s="34" t="s">
        <v>45</v>
      </c>
      <c r="Z94" s="34" t="s">
        <v>274</v>
      </c>
      <c r="AA94" s="34"/>
      <c r="AB94" s="34"/>
      <c r="AC94" s="22">
        <v>0.88025436401367185</v>
      </c>
      <c r="AD94" s="23" t="s">
        <v>2617</v>
      </c>
      <c r="AE94" s="24">
        <v>6.1260273972602741</v>
      </c>
      <c r="AF94" s="25">
        <v>0.11666489658807698</v>
      </c>
      <c r="AG94" s="26">
        <v>0.26706140407531165</v>
      </c>
      <c r="AH94" s="26">
        <v>0.18474493519882038</v>
      </c>
      <c r="AI94" s="27">
        <v>0.49940949659583561</v>
      </c>
      <c r="AJ94" s="27">
        <v>0.87652252684148657</v>
      </c>
      <c r="AK94" s="27">
        <v>0.70648584632113998</v>
      </c>
      <c r="AL94" s="28" t="s">
        <v>2618</v>
      </c>
      <c r="AM94" s="29">
        <v>4</v>
      </c>
      <c r="AN94" s="29">
        <v>4</v>
      </c>
      <c r="AO94" s="29" t="s">
        <v>48</v>
      </c>
      <c r="AP94" s="47" t="s">
        <v>2619</v>
      </c>
      <c r="AQ94" s="28">
        <v>0</v>
      </c>
      <c r="AR94" s="26">
        <v>1.4999999999999999E-2</v>
      </c>
      <c r="AS94" s="26">
        <v>0</v>
      </c>
    </row>
    <row r="95" spans="1:45" x14ac:dyDescent="0.15">
      <c r="A95" s="64">
        <v>709</v>
      </c>
      <c r="B95" s="64">
        <v>942</v>
      </c>
      <c r="C95" s="11">
        <v>50012</v>
      </c>
      <c r="D95" s="61">
        <v>360</v>
      </c>
      <c r="E95" s="61">
        <v>-4.6124339376436401E-4</v>
      </c>
      <c r="F95" s="61">
        <v>80</v>
      </c>
      <c r="G95" s="61">
        <v>0.66139010965353695</v>
      </c>
      <c r="H95" s="66">
        <v>85</v>
      </c>
      <c r="I95" s="66" t="str">
        <f>H95&amp;"/"&amp;428</f>
        <v>85/428</v>
      </c>
      <c r="J95" s="68">
        <f>H95/428</f>
        <v>0.19859813084112149</v>
      </c>
      <c r="K95" s="18" t="s">
        <v>44</v>
      </c>
      <c r="L95" s="18" t="s">
        <v>45</v>
      </c>
      <c r="M95" s="58" t="s">
        <v>274</v>
      </c>
      <c r="N95" s="18">
        <f>[1]!f_prt_stocktonav(C95,"2017/03/31")</f>
        <v>70.673683166503906</v>
      </c>
      <c r="O95" s="20" t="str">
        <f>[1]!f_info_fundmanager(C95)</f>
        <v>孙少锋</v>
      </c>
      <c r="P95" s="21">
        <v>1.5205479452054795</v>
      </c>
      <c r="Q95" s="34" t="s">
        <v>2810</v>
      </c>
      <c r="R95" s="34" t="s">
        <v>2811</v>
      </c>
      <c r="S95" s="34" t="s">
        <v>413</v>
      </c>
      <c r="T95" s="34">
        <v>20090811</v>
      </c>
      <c r="U95" s="45">
        <v>4.6792393961999998</v>
      </c>
      <c r="V95" s="46">
        <v>4.7371497811000003</v>
      </c>
      <c r="W95" s="34" t="s">
        <v>3776</v>
      </c>
      <c r="X95" s="34" t="s">
        <v>41</v>
      </c>
      <c r="Y95" s="34" t="s">
        <v>42</v>
      </c>
      <c r="Z95" s="34" t="s">
        <v>181</v>
      </c>
      <c r="AA95" s="34"/>
      <c r="AB95" s="34"/>
      <c r="AC95" s="22">
        <v>0.69432594299316408</v>
      </c>
      <c r="AD95" s="23" t="s">
        <v>2812</v>
      </c>
      <c r="AE95" s="24">
        <v>1.2904109589041095</v>
      </c>
      <c r="AF95" s="25">
        <v>3.4519179896328245E-2</v>
      </c>
      <c r="AG95" s="26">
        <v>0.142595517536106</v>
      </c>
      <c r="AH95" s="26">
        <v>9.4136294624773922E-2</v>
      </c>
      <c r="AI95" s="27">
        <v>0.19816640752986914</v>
      </c>
      <c r="AJ95" s="27">
        <v>0.62297444603732277</v>
      </c>
      <c r="AK95" s="27">
        <v>0.46226925279411141</v>
      </c>
      <c r="AL95" s="28" t="s">
        <v>678</v>
      </c>
      <c r="AM95" s="29">
        <v>2</v>
      </c>
      <c r="AN95" s="29">
        <v>3</v>
      </c>
      <c r="AO95" s="29" t="s">
        <v>48</v>
      </c>
      <c r="AP95" s="47" t="s">
        <v>417</v>
      </c>
      <c r="AQ95" s="28">
        <v>0</v>
      </c>
      <c r="AR95" s="26">
        <v>1.4999999999999999E-2</v>
      </c>
      <c r="AS95" s="26">
        <v>0</v>
      </c>
    </row>
    <row r="96" spans="1:45" x14ac:dyDescent="0.15">
      <c r="A96" s="64">
        <v>220</v>
      </c>
      <c r="B96" s="64">
        <v>432</v>
      </c>
      <c r="C96" s="11">
        <v>1490</v>
      </c>
      <c r="D96" s="61">
        <v>366</v>
      </c>
      <c r="E96" s="61">
        <v>-4.9915659131568603E-4</v>
      </c>
      <c r="F96" s="61">
        <v>88</v>
      </c>
      <c r="G96" s="61">
        <v>0.80705676765592604</v>
      </c>
      <c r="H96" s="66">
        <v>86</v>
      </c>
      <c r="I96" s="66" t="str">
        <f>H96&amp;"/"&amp;428</f>
        <v>86/428</v>
      </c>
      <c r="J96" s="68">
        <f>H96/428</f>
        <v>0.20093457943925233</v>
      </c>
      <c r="K96" s="18" t="s">
        <v>44</v>
      </c>
      <c r="L96" s="18" t="s">
        <v>87</v>
      </c>
      <c r="M96" s="58" t="s">
        <v>274</v>
      </c>
      <c r="N96" s="18">
        <f>[1]!f_prt_stocktonav(C96,"2017/03/31")</f>
        <v>86.642601013183594</v>
      </c>
      <c r="O96" s="20" t="str">
        <f>[1]!f_info_fundmanager(C96)</f>
        <v>劳杰男,李威</v>
      </c>
      <c r="P96" s="21">
        <v>1.726027397260274</v>
      </c>
      <c r="Q96" s="34" t="s">
        <v>1031</v>
      </c>
      <c r="R96" s="34" t="s">
        <v>1032</v>
      </c>
      <c r="S96" s="34" t="s">
        <v>331</v>
      </c>
      <c r="T96" s="34">
        <v>20150710</v>
      </c>
      <c r="U96" s="45">
        <v>14.4492950951</v>
      </c>
      <c r="V96" s="46">
        <v>15.8931068474</v>
      </c>
      <c r="W96" s="34" t="s">
        <v>3789</v>
      </c>
      <c r="X96" s="34" t="s">
        <v>44</v>
      </c>
      <c r="Y96" s="34" t="s">
        <v>45</v>
      </c>
      <c r="Z96" s="34" t="s">
        <v>274</v>
      </c>
      <c r="AA96" s="34"/>
      <c r="AB96" s="34"/>
      <c r="AC96" s="22">
        <v>0.89853477478027344</v>
      </c>
      <c r="AD96" s="23" t="s">
        <v>1033</v>
      </c>
      <c r="AE96" s="24">
        <v>1.4958904109589042</v>
      </c>
      <c r="AF96" s="25">
        <v>-1.6256128894639565E-2</v>
      </c>
      <c r="AG96" s="26">
        <v>0</v>
      </c>
      <c r="AH96" s="26">
        <v>0</v>
      </c>
      <c r="AI96" s="27">
        <v>1.6142225723765773E-2</v>
      </c>
      <c r="AJ96" s="27">
        <v>1.6142225723765773E-2</v>
      </c>
      <c r="AK96" s="27">
        <v>1.6142225723765773E-2</v>
      </c>
      <c r="AL96" s="28" t="s">
        <v>1034</v>
      </c>
      <c r="AM96" s="29" t="s">
        <v>48</v>
      </c>
      <c r="AN96" s="29" t="s">
        <v>48</v>
      </c>
      <c r="AO96" s="29" t="s">
        <v>48</v>
      </c>
      <c r="AP96" s="47" t="s">
        <v>334</v>
      </c>
      <c r="AQ96" s="28">
        <v>0</v>
      </c>
      <c r="AR96" s="26">
        <v>1.4999999999999999E-2</v>
      </c>
      <c r="AS96" s="26">
        <v>0</v>
      </c>
    </row>
    <row r="97" spans="1:45" x14ac:dyDescent="0.15">
      <c r="A97" s="64">
        <v>459</v>
      </c>
      <c r="B97" s="64">
        <v>183</v>
      </c>
      <c r="C97" s="11">
        <v>522</v>
      </c>
      <c r="D97" s="61">
        <v>368</v>
      </c>
      <c r="E97" s="61">
        <v>-5.2526373954454202E-4</v>
      </c>
      <c r="F97" s="61">
        <v>34</v>
      </c>
      <c r="G97" s="61">
        <v>0.82963622292323802</v>
      </c>
      <c r="H97" s="66">
        <v>87</v>
      </c>
      <c r="I97" s="66" t="str">
        <f>H97&amp;"/"&amp;428</f>
        <v>87/428</v>
      </c>
      <c r="J97" s="68">
        <f>H97/428</f>
        <v>0.20327102803738317</v>
      </c>
      <c r="K97" s="18" t="s">
        <v>44</v>
      </c>
      <c r="L97" s="18" t="s">
        <v>87</v>
      </c>
      <c r="M97" s="58" t="s">
        <v>274</v>
      </c>
      <c r="N97" s="18">
        <f>[1]!f_prt_stocktonav(C97,"2017/03/31")</f>
        <v>92.067176818847656</v>
      </c>
      <c r="O97" s="20" t="str">
        <f>[1]!f_info_fundmanager(C97)</f>
        <v>袁华涛</v>
      </c>
      <c r="P97" s="21">
        <v>0.65205479452054793</v>
      </c>
      <c r="Q97" s="34" t="s">
        <v>1950</v>
      </c>
      <c r="R97" s="34" t="s">
        <v>1951</v>
      </c>
      <c r="S97" s="34" t="s">
        <v>1813</v>
      </c>
      <c r="T97" s="34">
        <v>20140331</v>
      </c>
      <c r="U97" s="45">
        <v>0.51384335250000002</v>
      </c>
      <c r="V97" s="46">
        <v>0.52886024300000001</v>
      </c>
      <c r="W97" s="34" t="s">
        <v>3776</v>
      </c>
      <c r="X97" s="34" t="s">
        <v>44</v>
      </c>
      <c r="Y97" s="34" t="s">
        <v>45</v>
      </c>
      <c r="Z97" s="34" t="s">
        <v>65</v>
      </c>
      <c r="AA97" s="34"/>
      <c r="AB97" s="34"/>
      <c r="AC97" s="22">
        <v>0.92307609558105463</v>
      </c>
      <c r="AD97" s="23" t="s">
        <v>1952</v>
      </c>
      <c r="AE97" s="24">
        <v>0.42191780821917807</v>
      </c>
      <c r="AF97" s="25">
        <v>0.14015168163937752</v>
      </c>
      <c r="AG97" s="26">
        <v>0</v>
      </c>
      <c r="AH97" s="26">
        <v>0</v>
      </c>
      <c r="AI97" s="27">
        <v>0.50674521763771363</v>
      </c>
      <c r="AJ97" s="27">
        <v>0.50674521763771363</v>
      </c>
      <c r="AK97" s="27">
        <v>0.50674521763771363</v>
      </c>
      <c r="AL97" s="28" t="s">
        <v>1953</v>
      </c>
      <c r="AM97" s="29" t="s">
        <v>48</v>
      </c>
      <c r="AN97" s="29" t="s">
        <v>48</v>
      </c>
      <c r="AO97" s="29" t="s">
        <v>48</v>
      </c>
      <c r="AP97" s="47" t="s">
        <v>702</v>
      </c>
      <c r="AQ97" s="28">
        <v>0</v>
      </c>
      <c r="AR97" s="26">
        <v>1.4999999999999999E-2</v>
      </c>
      <c r="AS97" s="26">
        <v>0</v>
      </c>
    </row>
    <row r="98" spans="1:45" x14ac:dyDescent="0.15">
      <c r="A98" s="64">
        <v>157</v>
      </c>
      <c r="B98" s="64">
        <v>3</v>
      </c>
      <c r="C98" s="11">
        <v>1740</v>
      </c>
      <c r="D98" s="61">
        <v>370</v>
      </c>
      <c r="E98" s="61">
        <v>-5.3975929554150404E-4</v>
      </c>
      <c r="F98" s="61">
        <v>61</v>
      </c>
      <c r="G98" s="61">
        <v>0.72171934477090605</v>
      </c>
      <c r="H98" s="66">
        <v>88</v>
      </c>
      <c r="I98" s="66" t="str">
        <f>H98&amp;"/"&amp;428</f>
        <v>88/428</v>
      </c>
      <c r="J98" s="68">
        <f>H98/428</f>
        <v>0.20560747663551401</v>
      </c>
      <c r="K98" s="18" t="s">
        <v>44</v>
      </c>
      <c r="L98" s="18" t="s">
        <v>87</v>
      </c>
      <c r="M98" s="58" t="s">
        <v>274</v>
      </c>
      <c r="N98" s="18">
        <f>[1]!f_prt_stocktonav(C98,"2017/03/31")</f>
        <v>94.995529174804688</v>
      </c>
      <c r="O98" s="20" t="str">
        <f>[1]!f_info_fundmanager(C98)</f>
        <v>何奇</v>
      </c>
      <c r="P98" s="21">
        <v>1.1561643835616437</v>
      </c>
      <c r="Q98" s="34" t="s">
        <v>789</v>
      </c>
      <c r="R98" s="34" t="s">
        <v>790</v>
      </c>
      <c r="S98" s="34" t="s">
        <v>634</v>
      </c>
      <c r="T98" s="34">
        <v>20151223</v>
      </c>
      <c r="U98" s="45">
        <v>2.6075777287999999</v>
      </c>
      <c r="V98" s="46">
        <v>2.1117480228000001</v>
      </c>
      <c r="W98" s="34" t="s">
        <v>1235</v>
      </c>
      <c r="X98" s="34" t="s">
        <v>44</v>
      </c>
      <c r="Y98" s="17" t="s">
        <v>45</v>
      </c>
      <c r="Z98" s="17" t="s">
        <v>65</v>
      </c>
      <c r="AA98" s="34"/>
      <c r="AB98" s="34"/>
      <c r="AC98" s="22">
        <v>0.94870429992675787</v>
      </c>
      <c r="AD98" s="23" t="s">
        <v>791</v>
      </c>
      <c r="AE98" s="24">
        <v>1.0410958904109588</v>
      </c>
      <c r="AF98" s="25">
        <v>4.5718449185344401E-2</v>
      </c>
      <c r="AG98" s="26">
        <v>0</v>
      </c>
      <c r="AH98" s="26">
        <v>0</v>
      </c>
      <c r="AI98" s="27">
        <v>0.27359527181294857</v>
      </c>
      <c r="AJ98" s="27">
        <v>0.27359527181294857</v>
      </c>
      <c r="AK98" s="27">
        <v>0.27359527181294857</v>
      </c>
      <c r="AL98" s="28" t="s">
        <v>792</v>
      </c>
      <c r="AM98" s="29" t="s">
        <v>48</v>
      </c>
      <c r="AN98" s="29" t="s">
        <v>48</v>
      </c>
      <c r="AO98" s="29" t="s">
        <v>48</v>
      </c>
      <c r="AP98" s="47" t="s">
        <v>793</v>
      </c>
      <c r="AQ98" s="28">
        <v>0</v>
      </c>
      <c r="AR98" s="26">
        <v>1.4999999999999999E-2</v>
      </c>
      <c r="AS98" s="26">
        <v>0</v>
      </c>
    </row>
    <row r="99" spans="1:45" x14ac:dyDescent="0.15">
      <c r="A99" s="64">
        <v>626</v>
      </c>
      <c r="B99" s="64">
        <v>671</v>
      </c>
      <c r="C99" s="11">
        <v>40020</v>
      </c>
      <c r="D99" s="61">
        <v>382</v>
      </c>
      <c r="E99" s="61">
        <v>-5.8839585880019797E-4</v>
      </c>
      <c r="F99" s="61">
        <v>82</v>
      </c>
      <c r="G99" s="61">
        <v>0.78563281930393702</v>
      </c>
      <c r="H99" s="66">
        <v>89</v>
      </c>
      <c r="I99" s="66" t="str">
        <f>H99&amp;"/"&amp;428</f>
        <v>89/428</v>
      </c>
      <c r="J99" s="68">
        <f>H99/428</f>
        <v>0.20794392523364486</v>
      </c>
      <c r="K99" s="18" t="s">
        <v>44</v>
      </c>
      <c r="L99" s="18" t="s">
        <v>87</v>
      </c>
      <c r="M99" s="58" t="s">
        <v>274</v>
      </c>
      <c r="N99" s="18">
        <f>[1]!f_prt_stocktonav(C99,"2017/03/31")</f>
        <v>80.796478271484375</v>
      </c>
      <c r="O99" s="20" t="str">
        <f>[1]!f_info_fundmanager(C99)</f>
        <v>饶晓鹏</v>
      </c>
      <c r="P99" s="21">
        <v>1.5643835616438355</v>
      </c>
      <c r="Q99" s="34" t="s">
        <v>2538</v>
      </c>
      <c r="R99" s="34" t="s">
        <v>2539</v>
      </c>
      <c r="S99" s="34" t="s">
        <v>63</v>
      </c>
      <c r="T99" s="34">
        <v>20110422</v>
      </c>
      <c r="U99" s="45">
        <v>8.1512565443000007</v>
      </c>
      <c r="V99" s="46">
        <v>9.9320439776999994</v>
      </c>
      <c r="W99" s="34" t="s">
        <v>201</v>
      </c>
      <c r="X99" s="34" t="s">
        <v>44</v>
      </c>
      <c r="Y99" s="34" t="s">
        <v>87</v>
      </c>
      <c r="Z99" s="34" t="s">
        <v>274</v>
      </c>
      <c r="AA99" s="34" t="s">
        <v>3836</v>
      </c>
      <c r="AB99" s="34"/>
      <c r="AC99" s="22">
        <v>0.92600578308105463</v>
      </c>
      <c r="AD99" s="23" t="s">
        <v>2141</v>
      </c>
      <c r="AE99" s="24">
        <v>1.3342465753424657</v>
      </c>
      <c r="AF99" s="25">
        <v>8.8711988644698328E-2</v>
      </c>
      <c r="AG99" s="26">
        <v>0.16378429023754351</v>
      </c>
      <c r="AH99" s="26">
        <v>0.14891200747716016</v>
      </c>
      <c r="AI99" s="27">
        <v>0.38545748307751154</v>
      </c>
      <c r="AJ99" s="27">
        <v>0.54468161002754933</v>
      </c>
      <c r="AK99" s="27">
        <v>0.5509443838169622</v>
      </c>
      <c r="AL99" s="33" t="s">
        <v>110</v>
      </c>
      <c r="AM99" s="29">
        <v>1</v>
      </c>
      <c r="AN99" s="29">
        <v>2</v>
      </c>
      <c r="AO99" s="29" t="s">
        <v>48</v>
      </c>
      <c r="AP99" s="47" t="s">
        <v>2260</v>
      </c>
      <c r="AQ99" s="28">
        <v>0</v>
      </c>
      <c r="AR99" s="26">
        <v>1.4999999999999999E-2</v>
      </c>
      <c r="AS99" s="26">
        <v>0</v>
      </c>
    </row>
    <row r="100" spans="1:45" x14ac:dyDescent="0.15">
      <c r="A100" s="64">
        <v>841</v>
      </c>
      <c r="B100" s="64">
        <v>724</v>
      </c>
      <c r="C100" s="11">
        <v>519993</v>
      </c>
      <c r="D100" s="61">
        <v>386</v>
      </c>
      <c r="E100" s="61">
        <v>-6.3774134795869597E-4</v>
      </c>
      <c r="F100" s="61">
        <v>107</v>
      </c>
      <c r="G100" s="61">
        <v>0.639192601130813</v>
      </c>
      <c r="H100" s="66">
        <v>90</v>
      </c>
      <c r="I100" s="66" t="str">
        <f>H100&amp;"/"&amp;428</f>
        <v>90/428</v>
      </c>
      <c r="J100" s="68">
        <f>H100/428</f>
        <v>0.2102803738317757</v>
      </c>
      <c r="K100" s="18" t="s">
        <v>44</v>
      </c>
      <c r="L100" s="18" t="s">
        <v>45</v>
      </c>
      <c r="M100" s="58" t="s">
        <v>274</v>
      </c>
      <c r="N100" s="18">
        <f>[1]!f_prt_stocktonav(C100,"2017/03/31")</f>
        <v>79.35797119140625</v>
      </c>
      <c r="O100" s="20" t="str">
        <f>[1]!f_info_fundmanager(C100)</f>
        <v>叶松</v>
      </c>
      <c r="P100" s="21">
        <v>2.0520547945205481</v>
      </c>
      <c r="Q100" s="34" t="s">
        <v>3267</v>
      </c>
      <c r="R100" s="34" t="s">
        <v>3268</v>
      </c>
      <c r="S100" s="34" t="s">
        <v>206</v>
      </c>
      <c r="T100" s="34">
        <v>20061109</v>
      </c>
      <c r="U100" s="45">
        <v>14.178035685199999</v>
      </c>
      <c r="V100" s="46">
        <v>13.6595098392</v>
      </c>
      <c r="W100" s="34" t="s">
        <v>231</v>
      </c>
      <c r="X100" s="34" t="s">
        <v>44</v>
      </c>
      <c r="Y100" s="34" t="s">
        <v>45</v>
      </c>
      <c r="Z100" s="34" t="s">
        <v>274</v>
      </c>
      <c r="AA100" s="34"/>
      <c r="AB100" s="34"/>
      <c r="AC100" s="22">
        <v>0.78088142395019533</v>
      </c>
      <c r="AD100" s="23" t="s">
        <v>207</v>
      </c>
      <c r="AE100" s="24">
        <v>1.821917808219178</v>
      </c>
      <c r="AF100" s="25">
        <v>0.13153019915555597</v>
      </c>
      <c r="AG100" s="26">
        <v>0.26685012151312582</v>
      </c>
      <c r="AH100" s="26">
        <v>0.19695418458806557</v>
      </c>
      <c r="AI100" s="27">
        <v>0.53070393567978047</v>
      </c>
      <c r="AJ100" s="27">
        <v>0.82993661278091868</v>
      </c>
      <c r="AK100" s="27">
        <v>0.7300425798008412</v>
      </c>
      <c r="AL100" s="28" t="s">
        <v>882</v>
      </c>
      <c r="AM100" s="29">
        <v>5</v>
      </c>
      <c r="AN100" s="29">
        <v>4</v>
      </c>
      <c r="AO100" s="29" t="s">
        <v>48</v>
      </c>
      <c r="AP100" s="47" t="s">
        <v>209</v>
      </c>
      <c r="AQ100" s="28" t="s">
        <v>608</v>
      </c>
      <c r="AR100" s="26">
        <v>1.4999999999999999E-2</v>
      </c>
      <c r="AS100" s="26">
        <v>0</v>
      </c>
    </row>
    <row r="101" spans="1:45" x14ac:dyDescent="0.15">
      <c r="A101" s="64">
        <v>210</v>
      </c>
      <c r="B101" s="64">
        <v>49</v>
      </c>
      <c r="C101" s="11">
        <v>1456</v>
      </c>
      <c r="D101" s="61">
        <v>388</v>
      </c>
      <c r="E101" s="61">
        <v>-6.4831994384981705E-4</v>
      </c>
      <c r="F101" s="61">
        <v>84</v>
      </c>
      <c r="G101" s="61">
        <v>0.81759843266324495</v>
      </c>
      <c r="H101" s="66">
        <v>91</v>
      </c>
      <c r="I101" s="66" t="str">
        <f>H101&amp;"/"&amp;428</f>
        <v>91/428</v>
      </c>
      <c r="J101" s="68">
        <f>H101/428</f>
        <v>0.21261682242990654</v>
      </c>
      <c r="K101" s="18" t="s">
        <v>44</v>
      </c>
      <c r="L101" s="18" t="s">
        <v>87</v>
      </c>
      <c r="M101" s="58" t="s">
        <v>274</v>
      </c>
      <c r="N101" s="18">
        <f>[1]!f_prt_stocktonav(C101,"2017/03/31")</f>
        <v>94.32965087890625</v>
      </c>
      <c r="O101" s="20" t="str">
        <f>[1]!f_info_fundmanager(C101)</f>
        <v>李灿</v>
      </c>
      <c r="P101" s="21">
        <v>1.6575342465753424</v>
      </c>
      <c r="Q101" s="34" t="s">
        <v>994</v>
      </c>
      <c r="R101" s="34" t="s">
        <v>995</v>
      </c>
      <c r="S101" s="34" t="s">
        <v>880</v>
      </c>
      <c r="T101" s="34">
        <v>20150804</v>
      </c>
      <c r="U101" s="45">
        <v>0.75880026550000002</v>
      </c>
      <c r="V101" s="46">
        <v>0.8544904338</v>
      </c>
      <c r="W101" s="34" t="s">
        <v>3789</v>
      </c>
      <c r="X101" s="34" t="s">
        <v>44</v>
      </c>
      <c r="Y101" s="34" t="s">
        <v>45</v>
      </c>
      <c r="Z101" s="34" t="s">
        <v>274</v>
      </c>
      <c r="AA101" s="34"/>
      <c r="AB101" s="34"/>
      <c r="AC101" s="22">
        <v>0.90502883911132814</v>
      </c>
      <c r="AD101" s="23" t="s">
        <v>996</v>
      </c>
      <c r="AE101" s="24">
        <v>1.4273972602739726</v>
      </c>
      <c r="AF101" s="25">
        <v>-7.9125821577496147E-2</v>
      </c>
      <c r="AG101" s="26">
        <v>0</v>
      </c>
      <c r="AH101" s="26">
        <v>0</v>
      </c>
      <c r="AI101" s="27">
        <v>-0.2271847854918741</v>
      </c>
      <c r="AJ101" s="27">
        <v>-0.2271847854918741</v>
      </c>
      <c r="AK101" s="27">
        <v>-0.2271847854918741</v>
      </c>
      <c r="AL101" s="28" t="s">
        <v>997</v>
      </c>
      <c r="AM101" s="29" t="s">
        <v>48</v>
      </c>
      <c r="AN101" s="29" t="s">
        <v>48</v>
      </c>
      <c r="AO101" s="29" t="s">
        <v>48</v>
      </c>
      <c r="AP101" s="47" t="s">
        <v>405</v>
      </c>
      <c r="AQ101" s="28">
        <v>0</v>
      </c>
      <c r="AR101" s="26">
        <v>1.4999999999999999E-2</v>
      </c>
      <c r="AS101" s="26">
        <v>0</v>
      </c>
    </row>
    <row r="102" spans="1:45" x14ac:dyDescent="0.15">
      <c r="A102" s="64">
        <v>759</v>
      </c>
      <c r="B102" s="64">
        <v>48</v>
      </c>
      <c r="C102" s="11">
        <v>519089</v>
      </c>
      <c r="D102" s="61">
        <v>390</v>
      </c>
      <c r="E102" s="61">
        <v>-6.5984930600843995E-4</v>
      </c>
      <c r="F102" s="61">
        <v>84</v>
      </c>
      <c r="G102" s="61">
        <v>0.60632735514807201</v>
      </c>
      <c r="H102" s="66">
        <v>92</v>
      </c>
      <c r="I102" s="66" t="str">
        <f>H102&amp;"/"&amp;428</f>
        <v>92/428</v>
      </c>
      <c r="J102" s="68">
        <f>H102/428</f>
        <v>0.21495327102803738</v>
      </c>
      <c r="K102" s="18" t="s">
        <v>44</v>
      </c>
      <c r="L102" s="18" t="s">
        <v>45</v>
      </c>
      <c r="M102" s="58" t="s">
        <v>274</v>
      </c>
      <c r="N102" s="18">
        <f>[1]!f_prt_stocktonav(C102,"2017/03/31")</f>
        <v>94.337821960449219</v>
      </c>
      <c r="O102" s="20" t="str">
        <f>[1]!f_info_fundmanager(C102)</f>
        <v>付伟</v>
      </c>
      <c r="P102" s="21">
        <v>1.6</v>
      </c>
      <c r="Q102" s="34" t="s">
        <v>2979</v>
      </c>
      <c r="R102" s="34" t="s">
        <v>2980</v>
      </c>
      <c r="S102" s="34" t="s">
        <v>569</v>
      </c>
      <c r="T102" s="34">
        <v>20080725</v>
      </c>
      <c r="U102" s="45">
        <v>3.8996446063999999</v>
      </c>
      <c r="V102" s="46">
        <v>4.0688356564000001</v>
      </c>
      <c r="W102" s="34" t="s">
        <v>231</v>
      </c>
      <c r="X102" s="34" t="s">
        <v>44</v>
      </c>
      <c r="Y102" s="34" t="s">
        <v>45</v>
      </c>
      <c r="Z102" s="34" t="s">
        <v>274</v>
      </c>
      <c r="AA102" s="34"/>
      <c r="AB102" s="34"/>
      <c r="AC102" s="22">
        <v>0.79964790344238279</v>
      </c>
      <c r="AD102" s="23" t="s">
        <v>2566</v>
      </c>
      <c r="AE102" s="24">
        <v>1.3698630136986301</v>
      </c>
      <c r="AF102" s="25">
        <v>0.13588298818004207</v>
      </c>
      <c r="AG102" s="26">
        <v>7.914115970935276E-2</v>
      </c>
      <c r="AH102" s="26">
        <v>9.8709691826037518E-2</v>
      </c>
      <c r="AI102" s="27">
        <v>0.55252436604192878</v>
      </c>
      <c r="AJ102" s="27">
        <v>0.34454750149094754</v>
      </c>
      <c r="AK102" s="27">
        <v>0.41734102817725427</v>
      </c>
      <c r="AL102" s="28" t="s">
        <v>726</v>
      </c>
      <c r="AM102" s="29">
        <v>1</v>
      </c>
      <c r="AN102" s="29">
        <v>2</v>
      </c>
      <c r="AO102" s="29" t="s">
        <v>48</v>
      </c>
      <c r="AP102" s="47" t="s">
        <v>310</v>
      </c>
      <c r="AQ102" s="28">
        <v>0</v>
      </c>
      <c r="AR102" s="26">
        <v>1.4999999999999999E-2</v>
      </c>
      <c r="AS102" s="26">
        <v>0</v>
      </c>
    </row>
    <row r="103" spans="1:45" x14ac:dyDescent="0.15">
      <c r="A103" s="64">
        <v>565</v>
      </c>
      <c r="B103" s="64">
        <v>464</v>
      </c>
      <c r="C103" s="11">
        <v>660012</v>
      </c>
      <c r="D103" s="61">
        <v>391</v>
      </c>
      <c r="E103" s="61">
        <v>-6.6982522924608498E-4</v>
      </c>
      <c r="F103" s="61">
        <v>253</v>
      </c>
      <c r="G103" s="61">
        <v>0.56766998535812596</v>
      </c>
      <c r="H103" s="66">
        <v>93</v>
      </c>
      <c r="I103" s="66" t="str">
        <f>H103&amp;"/"&amp;428</f>
        <v>93/428</v>
      </c>
      <c r="J103" s="68">
        <f>H103/428</f>
        <v>0.21728971962616822</v>
      </c>
      <c r="K103" s="18" t="s">
        <v>44</v>
      </c>
      <c r="L103" s="19" t="s">
        <v>87</v>
      </c>
      <c r="M103" s="59" t="s">
        <v>274</v>
      </c>
      <c r="N103" s="18">
        <f>[1]!f_prt_stocktonav(C103,"2017/03/31")</f>
        <v>85.976936340332031</v>
      </c>
      <c r="O103" s="20" t="str">
        <f>[1]!f_info_fundmanager(C103)</f>
        <v>付娟,徐文卉</v>
      </c>
      <c r="P103" s="21">
        <v>4.9369863013698634</v>
      </c>
      <c r="Q103" s="32" t="s">
        <v>2330</v>
      </c>
      <c r="R103" s="13" t="s">
        <v>2331</v>
      </c>
      <c r="S103" s="13" t="s">
        <v>424</v>
      </c>
      <c r="T103" s="13">
        <v>20120424</v>
      </c>
      <c r="U103" s="14">
        <v>12.511935719</v>
      </c>
      <c r="V103" s="15" t="s">
        <v>3782</v>
      </c>
      <c r="W103" s="16" t="s">
        <v>40</v>
      </c>
      <c r="X103" s="17" t="s">
        <v>44</v>
      </c>
      <c r="Y103" s="17" t="s">
        <v>87</v>
      </c>
      <c r="Z103" s="17" t="s">
        <v>274</v>
      </c>
      <c r="AA103" s="13"/>
      <c r="AB103" s="13"/>
      <c r="AC103" s="22">
        <v>0.80630226135253902</v>
      </c>
      <c r="AD103" s="23" t="s">
        <v>2332</v>
      </c>
      <c r="AE103" s="24">
        <v>4.7068493150684931</v>
      </c>
      <c r="AF103" s="25">
        <v>0.21741805737987985</v>
      </c>
      <c r="AG103" s="26">
        <v>0.1510674789466282</v>
      </c>
      <c r="AH103" s="26">
        <v>0</v>
      </c>
      <c r="AI103" s="27">
        <v>0.77320956381385431</v>
      </c>
      <c r="AJ103" s="27">
        <v>0.52284534013551498</v>
      </c>
      <c r="AK103" s="27">
        <v>0.77320956381385431</v>
      </c>
      <c r="AL103" s="33" t="s">
        <v>2119</v>
      </c>
      <c r="AM103" s="29">
        <v>5</v>
      </c>
      <c r="AN103" s="29">
        <v>4</v>
      </c>
      <c r="AO103" s="29" t="s">
        <v>48</v>
      </c>
      <c r="AP103" s="23" t="s">
        <v>2333</v>
      </c>
      <c r="AQ103" s="30">
        <v>0</v>
      </c>
      <c r="AR103" s="31">
        <v>1.4999999999999999E-2</v>
      </c>
      <c r="AS103" s="31">
        <v>0</v>
      </c>
    </row>
    <row r="104" spans="1:45" x14ac:dyDescent="0.15">
      <c r="A104" s="64">
        <v>247</v>
      </c>
      <c r="B104" s="64">
        <v>551</v>
      </c>
      <c r="C104" s="11">
        <v>1417</v>
      </c>
      <c r="D104" s="61">
        <v>394</v>
      </c>
      <c r="E104" s="61">
        <v>-6.98953907321618E-4</v>
      </c>
      <c r="F104" s="61">
        <v>91</v>
      </c>
      <c r="G104" s="61">
        <v>0.56936630666586396</v>
      </c>
      <c r="H104" s="66">
        <v>94</v>
      </c>
      <c r="I104" s="66" t="str">
        <f>H104&amp;"/"&amp;428</f>
        <v>94/428</v>
      </c>
      <c r="J104" s="68">
        <f>H104/428</f>
        <v>0.21962616822429906</v>
      </c>
      <c r="K104" s="18" t="s">
        <v>44</v>
      </c>
      <c r="L104" s="18" t="s">
        <v>86</v>
      </c>
      <c r="M104" s="58" t="s">
        <v>274</v>
      </c>
      <c r="N104" s="18">
        <f>[1]!f_prt_stocktonav(C104,"2017/03/31")</f>
        <v>84.008094787597656</v>
      </c>
      <c r="O104" s="20" t="str">
        <f>[1]!f_info_fundmanager(C104)</f>
        <v>刘江</v>
      </c>
      <c r="P104" s="21">
        <v>1.7863013698630137</v>
      </c>
      <c r="Q104" s="34" t="s">
        <v>1144</v>
      </c>
      <c r="R104" s="34" t="s">
        <v>1145</v>
      </c>
      <c r="S104" s="34" t="s">
        <v>331</v>
      </c>
      <c r="T104" s="34">
        <v>20150618</v>
      </c>
      <c r="U104" s="45">
        <v>151.24353962590001</v>
      </c>
      <c r="V104" s="46">
        <v>166.4902932043</v>
      </c>
      <c r="W104" s="34" t="s">
        <v>3789</v>
      </c>
      <c r="X104" s="34" t="s">
        <v>44</v>
      </c>
      <c r="Y104" s="34" t="s">
        <v>45</v>
      </c>
      <c r="Z104" s="34" t="s">
        <v>274</v>
      </c>
      <c r="AA104" s="34"/>
      <c r="AB104" s="34"/>
      <c r="AC104" s="22">
        <v>0.71843162536621097</v>
      </c>
      <c r="AD104" s="23" t="s">
        <v>1146</v>
      </c>
      <c r="AE104" s="24">
        <v>1.5561643835616439</v>
      </c>
      <c r="AF104" s="25">
        <v>-0.11794726465618301</v>
      </c>
      <c r="AG104" s="26">
        <v>0</v>
      </c>
      <c r="AH104" s="26">
        <v>0</v>
      </c>
      <c r="AI104" s="27">
        <v>-0.4811708196336949</v>
      </c>
      <c r="AJ104" s="27">
        <v>-0.4811708196336949</v>
      </c>
      <c r="AK104" s="27">
        <v>-0.4811708196336949</v>
      </c>
      <c r="AL104" s="28" t="s">
        <v>1147</v>
      </c>
      <c r="AM104" s="29" t="s">
        <v>48</v>
      </c>
      <c r="AN104" s="29" t="s">
        <v>48</v>
      </c>
      <c r="AO104" s="29" t="s">
        <v>48</v>
      </c>
      <c r="AP104" s="47" t="s">
        <v>1148</v>
      </c>
      <c r="AQ104" s="28">
        <v>0</v>
      </c>
      <c r="AR104" s="26">
        <v>1.4999999999999999E-2</v>
      </c>
      <c r="AS104" s="26">
        <v>0</v>
      </c>
    </row>
    <row r="105" spans="1:45" x14ac:dyDescent="0.15">
      <c r="A105" s="64">
        <v>679</v>
      </c>
      <c r="B105" s="64">
        <v>200</v>
      </c>
      <c r="C105" s="11">
        <v>210004</v>
      </c>
      <c r="D105" s="61">
        <v>395</v>
      </c>
      <c r="E105" s="61">
        <v>-7.0166933706858E-4</v>
      </c>
      <c r="F105" s="61">
        <v>94</v>
      </c>
      <c r="G105" s="61">
        <v>0.69350845451085796</v>
      </c>
      <c r="H105" s="66">
        <v>95</v>
      </c>
      <c r="I105" s="66" t="str">
        <f>H105&amp;"/"&amp;428</f>
        <v>95/428</v>
      </c>
      <c r="J105" s="68">
        <f>H105/428</f>
        <v>0.2219626168224299</v>
      </c>
      <c r="K105" s="18" t="s">
        <v>44</v>
      </c>
      <c r="L105" s="18" t="s">
        <v>45</v>
      </c>
      <c r="M105" s="58" t="s">
        <v>274</v>
      </c>
      <c r="N105" s="18">
        <f>[1]!f_prt_stocktonav(C105,"2017/03/31")</f>
        <v>91.794212341308594</v>
      </c>
      <c r="O105" s="20" t="str">
        <f>[1]!f_info_fundmanager(C105)</f>
        <v>陈颖</v>
      </c>
      <c r="P105" s="21">
        <v>1.8054794520547945</v>
      </c>
      <c r="Q105" s="34" t="s">
        <v>2716</v>
      </c>
      <c r="R105" s="34" t="s">
        <v>2717</v>
      </c>
      <c r="S105" s="34" t="s">
        <v>273</v>
      </c>
      <c r="T105" s="34">
        <v>20100414</v>
      </c>
      <c r="U105" s="45">
        <v>29.394732791199999</v>
      </c>
      <c r="V105" s="46">
        <v>4.9023471666000003</v>
      </c>
      <c r="W105" s="34" t="s">
        <v>3776</v>
      </c>
      <c r="X105" s="34" t="s">
        <v>44</v>
      </c>
      <c r="Y105" s="34" t="s">
        <v>45</v>
      </c>
      <c r="Z105" s="34" t="s">
        <v>274</v>
      </c>
      <c r="AA105" s="34"/>
      <c r="AB105" s="34"/>
      <c r="AC105" s="22">
        <v>0.92978462219238278</v>
      </c>
      <c r="AD105" s="23" t="s">
        <v>2718</v>
      </c>
      <c r="AE105" s="24">
        <v>1.5753424657534247</v>
      </c>
      <c r="AF105" s="25">
        <v>0.1518474582124969</v>
      </c>
      <c r="AG105" s="26">
        <v>0.38079050897356104</v>
      </c>
      <c r="AH105" s="26">
        <v>0.26606240611061738</v>
      </c>
      <c r="AI105" s="27">
        <v>0.5922276027582758</v>
      </c>
      <c r="AJ105" s="27">
        <v>1.0253912593611025</v>
      </c>
      <c r="AK105" s="27">
        <v>0.88017798041107742</v>
      </c>
      <c r="AL105" s="28" t="s">
        <v>1868</v>
      </c>
      <c r="AM105" s="29">
        <v>5</v>
      </c>
      <c r="AN105" s="29">
        <v>5</v>
      </c>
      <c r="AO105" s="29" t="s">
        <v>48</v>
      </c>
      <c r="AP105" s="47" t="s">
        <v>592</v>
      </c>
      <c r="AQ105" s="28">
        <v>0</v>
      </c>
      <c r="AR105" s="26">
        <v>1.4999999999999999E-2</v>
      </c>
      <c r="AS105" s="26">
        <v>0</v>
      </c>
    </row>
    <row r="106" spans="1:45" x14ac:dyDescent="0.15">
      <c r="A106" s="64">
        <v>196</v>
      </c>
      <c r="B106" s="64">
        <v>459</v>
      </c>
      <c r="C106" s="11">
        <v>1692</v>
      </c>
      <c r="D106" s="61">
        <v>396</v>
      </c>
      <c r="E106" s="61">
        <v>-7.0495682895078602E-4</v>
      </c>
      <c r="F106" s="61">
        <v>81</v>
      </c>
      <c r="G106" s="61">
        <v>0.51467730580055704</v>
      </c>
      <c r="H106" s="66">
        <v>96</v>
      </c>
      <c r="I106" s="66" t="str">
        <f>H106&amp;"/"&amp;428</f>
        <v>96/428</v>
      </c>
      <c r="J106" s="68">
        <f>H106/428</f>
        <v>0.22429906542056074</v>
      </c>
      <c r="K106" s="18" t="s">
        <v>44</v>
      </c>
      <c r="L106" s="18" t="s">
        <v>45</v>
      </c>
      <c r="M106" s="58" t="s">
        <v>274</v>
      </c>
      <c r="N106" s="18">
        <f>[1]!f_prt_stocktonav(C106,"2017/03/31")</f>
        <v>86.127906799316406</v>
      </c>
      <c r="O106" s="20" t="str">
        <f>[1]!f_info_fundmanager(C106)</f>
        <v>刘霄汉</v>
      </c>
      <c r="P106" s="21">
        <v>1.5972602739726027</v>
      </c>
      <c r="Q106" s="34" t="s">
        <v>944</v>
      </c>
      <c r="R106" s="34" t="s">
        <v>945</v>
      </c>
      <c r="S106" s="34" t="s">
        <v>284</v>
      </c>
      <c r="T106" s="34">
        <v>20150826</v>
      </c>
      <c r="U106" s="45">
        <v>2.8005623818999998</v>
      </c>
      <c r="V106" s="46">
        <v>3.3014352692000002</v>
      </c>
      <c r="W106" s="34" t="s">
        <v>1235</v>
      </c>
      <c r="X106" s="34" t="s">
        <v>44</v>
      </c>
      <c r="Y106" s="34" t="s">
        <v>45</v>
      </c>
      <c r="Z106" s="34" t="s">
        <v>274</v>
      </c>
      <c r="AA106" s="34"/>
      <c r="AB106" s="34"/>
      <c r="AC106" s="22">
        <v>0.86909667968750004</v>
      </c>
      <c r="AD106" s="23" t="s">
        <v>780</v>
      </c>
      <c r="AE106" s="24">
        <v>1.3671232876712329</v>
      </c>
      <c r="AF106" s="25">
        <v>5.1585644280402354E-2</v>
      </c>
      <c r="AG106" s="26">
        <v>0</v>
      </c>
      <c r="AH106" s="26">
        <v>0</v>
      </c>
      <c r="AI106" s="27">
        <v>0.20573593917301961</v>
      </c>
      <c r="AJ106" s="27">
        <v>0.20573593917301961</v>
      </c>
      <c r="AK106" s="27">
        <v>0.20573593917301961</v>
      </c>
      <c r="AL106" s="28" t="s">
        <v>946</v>
      </c>
      <c r="AM106" s="29" t="s">
        <v>48</v>
      </c>
      <c r="AN106" s="29" t="s">
        <v>48</v>
      </c>
      <c r="AO106" s="29" t="s">
        <v>48</v>
      </c>
      <c r="AP106" s="47" t="s">
        <v>287</v>
      </c>
      <c r="AQ106" s="28">
        <v>0</v>
      </c>
      <c r="AR106" s="26">
        <v>1.4999999999999999E-2</v>
      </c>
      <c r="AS106" s="26">
        <v>0</v>
      </c>
    </row>
    <row r="107" spans="1:45" x14ac:dyDescent="0.15">
      <c r="A107" s="64">
        <v>119</v>
      </c>
      <c r="B107" s="64">
        <v>756</v>
      </c>
      <c r="C107" s="11">
        <v>1933</v>
      </c>
      <c r="D107" s="61">
        <v>397</v>
      </c>
      <c r="E107" s="61">
        <v>-7.1065345317103997E-4</v>
      </c>
      <c r="F107" s="61">
        <v>56</v>
      </c>
      <c r="G107" s="61">
        <v>0.55376041828640399</v>
      </c>
      <c r="H107" s="66">
        <v>97</v>
      </c>
      <c r="I107" s="66" t="str">
        <f>H107&amp;"/"&amp;428</f>
        <v>97/428</v>
      </c>
      <c r="J107" s="68">
        <f>H107/428</f>
        <v>0.22663551401869159</v>
      </c>
      <c r="K107" s="18" t="s">
        <v>44</v>
      </c>
      <c r="L107" s="18" t="s">
        <v>45</v>
      </c>
      <c r="M107" s="58" t="s">
        <v>274</v>
      </c>
      <c r="N107" s="18">
        <f>[1]!f_prt_stocktonav(C107,"2017/03/31")</f>
        <v>78.136100769042969</v>
      </c>
      <c r="O107" s="20" t="str">
        <f>[1]!f_info_fundmanager(C107)</f>
        <v>何奇峰</v>
      </c>
      <c r="P107" s="21">
        <v>1.095890410958904</v>
      </c>
      <c r="Q107" s="34" t="s">
        <v>616</v>
      </c>
      <c r="R107" s="34" t="s">
        <v>617</v>
      </c>
      <c r="S107" s="34" t="s">
        <v>387</v>
      </c>
      <c r="T107" s="34">
        <v>20160225</v>
      </c>
      <c r="U107" s="45">
        <v>0.68787585350000002</v>
      </c>
      <c r="V107" s="46">
        <v>0.9767104056</v>
      </c>
      <c r="W107" s="34" t="s">
        <v>3776</v>
      </c>
      <c r="X107" s="34" t="s">
        <v>41</v>
      </c>
      <c r="Y107" s="34" t="s">
        <v>42</v>
      </c>
      <c r="Z107" s="34" t="s">
        <v>388</v>
      </c>
      <c r="AA107" s="34"/>
      <c r="AB107" s="34"/>
      <c r="AC107" s="22">
        <v>0.69111549377441406</v>
      </c>
      <c r="AD107" s="23" t="s">
        <v>618</v>
      </c>
      <c r="AE107" s="24">
        <v>0.86575342465753424</v>
      </c>
      <c r="AF107" s="25">
        <v>1.2922259487428756E-2</v>
      </c>
      <c r="AG107" s="26">
        <v>0</v>
      </c>
      <c r="AH107" s="26">
        <v>0</v>
      </c>
      <c r="AI107" s="27">
        <v>-2.1669693308341686E-2</v>
      </c>
      <c r="AJ107" s="27">
        <v>-2.1669693308341686E-2</v>
      </c>
      <c r="AK107" s="27">
        <v>-2.1669693308341686E-2</v>
      </c>
      <c r="AL107" s="28" t="s">
        <v>619</v>
      </c>
      <c r="AM107" s="29" t="s">
        <v>48</v>
      </c>
      <c r="AN107" s="29" t="s">
        <v>48</v>
      </c>
      <c r="AO107" s="29" t="s">
        <v>48</v>
      </c>
      <c r="AP107" s="47" t="s">
        <v>310</v>
      </c>
      <c r="AQ107" s="28">
        <v>0</v>
      </c>
      <c r="AR107" s="26">
        <v>1.4999999999999999E-2</v>
      </c>
      <c r="AS107" s="26">
        <v>0</v>
      </c>
    </row>
    <row r="108" spans="1:45" x14ac:dyDescent="0.15">
      <c r="A108" s="64">
        <v>549</v>
      </c>
      <c r="B108" s="64">
        <v>662</v>
      </c>
      <c r="C108" s="11">
        <v>160916</v>
      </c>
      <c r="D108" s="61">
        <v>399</v>
      </c>
      <c r="E108" s="61">
        <v>-7.2450346911352096E-4</v>
      </c>
      <c r="F108" s="61">
        <v>97</v>
      </c>
      <c r="G108" s="61">
        <v>0.65427440969213202</v>
      </c>
      <c r="H108" s="66">
        <v>98</v>
      </c>
      <c r="I108" s="66" t="str">
        <f>H108&amp;"/"&amp;428</f>
        <v>98/428</v>
      </c>
      <c r="J108" s="68">
        <f>H108/428</f>
        <v>0.22897196261682243</v>
      </c>
      <c r="K108" s="18" t="s">
        <v>44</v>
      </c>
      <c r="L108" s="18" t="s">
        <v>45</v>
      </c>
      <c r="M108" s="58" t="s">
        <v>274</v>
      </c>
      <c r="N108" s="18">
        <f>[1]!f_prt_stocktonav(C108,"2017/03/31")</f>
        <v>81.127700805664063</v>
      </c>
      <c r="O108" s="20" t="str">
        <f>[1]!f_info_fundmanager(C108)</f>
        <v>戴军</v>
      </c>
      <c r="P108" s="21">
        <v>1.8630136986301369</v>
      </c>
      <c r="Q108" s="34" t="s">
        <v>2278</v>
      </c>
      <c r="R108" s="34" t="s">
        <v>2279</v>
      </c>
      <c r="S108" s="34" t="s">
        <v>486</v>
      </c>
      <c r="T108" s="34">
        <v>20120727</v>
      </c>
      <c r="U108" s="45">
        <v>6.3741696244000003</v>
      </c>
      <c r="V108" s="46">
        <v>7.3352441605000003</v>
      </c>
      <c r="W108" s="34" t="s">
        <v>3789</v>
      </c>
      <c r="X108" s="34" t="s">
        <v>44</v>
      </c>
      <c r="Y108" s="34" t="s">
        <v>45</v>
      </c>
      <c r="Z108" s="34" t="s">
        <v>274</v>
      </c>
      <c r="AA108" s="34"/>
      <c r="AB108" s="34"/>
      <c r="AC108" s="22">
        <v>0.70312538146972658</v>
      </c>
      <c r="AD108" s="23" t="s">
        <v>2280</v>
      </c>
      <c r="AE108" s="24">
        <v>1.6328767123287671</v>
      </c>
      <c r="AF108" s="25">
        <v>0.18791308675740681</v>
      </c>
      <c r="AG108" s="26">
        <v>0.25257934415781214</v>
      </c>
      <c r="AH108" s="26">
        <v>0</v>
      </c>
      <c r="AI108" s="27">
        <v>0.77577337828205917</v>
      </c>
      <c r="AJ108" s="27">
        <v>0.93130853827863869</v>
      </c>
      <c r="AK108" s="27">
        <v>0.77577337828205917</v>
      </c>
      <c r="AL108" s="28" t="s">
        <v>208</v>
      </c>
      <c r="AM108" s="29">
        <v>4</v>
      </c>
      <c r="AN108" s="29">
        <v>4</v>
      </c>
      <c r="AO108" s="29" t="s">
        <v>48</v>
      </c>
      <c r="AP108" s="47" t="s">
        <v>2281</v>
      </c>
      <c r="AQ108" s="28">
        <v>0</v>
      </c>
      <c r="AR108" s="26">
        <v>1.2500000000000001E-2</v>
      </c>
      <c r="AS108" s="26">
        <v>0</v>
      </c>
    </row>
    <row r="109" spans="1:45" x14ac:dyDescent="0.15">
      <c r="A109" s="64">
        <v>577</v>
      </c>
      <c r="B109" s="64">
        <v>752</v>
      </c>
      <c r="C109" s="11">
        <v>166801</v>
      </c>
      <c r="D109" s="61">
        <v>402</v>
      </c>
      <c r="E109" s="61">
        <v>-7.3211870204498305E-4</v>
      </c>
      <c r="F109" s="61">
        <v>105</v>
      </c>
      <c r="G109" s="61">
        <v>0.55356223064874999</v>
      </c>
      <c r="H109" s="66">
        <v>99</v>
      </c>
      <c r="I109" s="66" t="str">
        <f>H109&amp;"/"&amp;428</f>
        <v>99/428</v>
      </c>
      <c r="J109" s="68">
        <f>H109/428</f>
        <v>0.23130841121495327</v>
      </c>
      <c r="K109" s="18" t="s">
        <v>44</v>
      </c>
      <c r="L109" s="18" t="s">
        <v>45</v>
      </c>
      <c r="M109" s="58" t="s">
        <v>274</v>
      </c>
      <c r="N109" s="18">
        <f>[1]!f_prt_stocktonav(C109,"2017/03/31")</f>
        <v>78.232795715332031</v>
      </c>
      <c r="O109" s="20" t="str">
        <f>[1]!f_info_fundmanager(C109)</f>
        <v>倪权生</v>
      </c>
      <c r="P109" s="21">
        <v>2.0054794520547947</v>
      </c>
      <c r="Q109" s="34" t="s">
        <v>2375</v>
      </c>
      <c r="R109" s="34" t="s">
        <v>2376</v>
      </c>
      <c r="S109" s="34" t="s">
        <v>2377</v>
      </c>
      <c r="T109" s="34">
        <v>20120308</v>
      </c>
      <c r="U109" s="45">
        <v>15.6912406337</v>
      </c>
      <c r="V109" s="46">
        <v>5.1533978248999999</v>
      </c>
      <c r="W109" s="34" t="s">
        <v>1235</v>
      </c>
      <c r="X109" s="34" t="s">
        <v>44</v>
      </c>
      <c r="Y109" s="34" t="s">
        <v>45</v>
      </c>
      <c r="Z109" s="34" t="s">
        <v>274</v>
      </c>
      <c r="AA109" s="34"/>
      <c r="AB109" s="34"/>
      <c r="AC109" s="22">
        <v>0.72385643005371092</v>
      </c>
      <c r="AD109" s="23" t="s">
        <v>2378</v>
      </c>
      <c r="AE109" s="24">
        <v>1.7753424657534247</v>
      </c>
      <c r="AF109" s="25">
        <v>0.20957840515288417</v>
      </c>
      <c r="AG109" s="26">
        <v>0.28053879382152669</v>
      </c>
      <c r="AH109" s="26">
        <v>0</v>
      </c>
      <c r="AI109" s="27">
        <v>0.9713133095373383</v>
      </c>
      <c r="AJ109" s="27">
        <v>1.1111281391215611</v>
      </c>
      <c r="AK109" s="27">
        <v>0.9713133095373383</v>
      </c>
      <c r="AL109" s="28" t="s">
        <v>240</v>
      </c>
      <c r="AM109" s="29">
        <v>5</v>
      </c>
      <c r="AN109" s="29">
        <v>5</v>
      </c>
      <c r="AO109" s="29" t="s">
        <v>48</v>
      </c>
      <c r="AP109" s="47" t="s">
        <v>310</v>
      </c>
      <c r="AQ109" s="28">
        <v>0</v>
      </c>
      <c r="AR109" s="26">
        <v>1.4999999999999999E-2</v>
      </c>
      <c r="AS109" s="26">
        <v>0</v>
      </c>
    </row>
    <row r="110" spans="1:45" x14ac:dyDescent="0.15">
      <c r="A110" s="64">
        <v>658</v>
      </c>
      <c r="B110" s="64">
        <v>759</v>
      </c>
      <c r="C110" s="11">
        <v>160215</v>
      </c>
      <c r="D110" s="61">
        <v>403</v>
      </c>
      <c r="E110" s="61">
        <v>-7.4300435910925504E-4</v>
      </c>
      <c r="F110" s="61">
        <v>159</v>
      </c>
      <c r="G110" s="61">
        <v>0.57392035412938502</v>
      </c>
      <c r="H110" s="66">
        <v>100</v>
      </c>
      <c r="I110" s="66" t="str">
        <f>H110&amp;"/"&amp;428</f>
        <v>100/428</v>
      </c>
      <c r="J110" s="68">
        <f>H110/428</f>
        <v>0.23364485981308411</v>
      </c>
      <c r="K110" s="18" t="s">
        <v>44</v>
      </c>
      <c r="L110" s="18" t="s">
        <v>45</v>
      </c>
      <c r="M110" s="58" t="s">
        <v>274</v>
      </c>
      <c r="N110" s="18">
        <f>[1]!f_prt_stocktonav(C110,"2017/03/31")</f>
        <v>77.994422912597656</v>
      </c>
      <c r="O110" s="20" t="str">
        <f>[1]!f_info_fundmanager(C110)</f>
        <v>周伟锋</v>
      </c>
      <c r="P110" s="21">
        <v>3.0410958904109591</v>
      </c>
      <c r="Q110" s="34" t="s">
        <v>2649</v>
      </c>
      <c r="R110" s="34" t="s">
        <v>2650</v>
      </c>
      <c r="S110" s="34" t="s">
        <v>663</v>
      </c>
      <c r="T110" s="34">
        <v>20100813</v>
      </c>
      <c r="U110" s="45">
        <v>14.773902508500001</v>
      </c>
      <c r="V110" s="46">
        <v>13.047346509500001</v>
      </c>
      <c r="W110" s="34" t="s">
        <v>3776</v>
      </c>
      <c r="X110" s="34" t="s">
        <v>44</v>
      </c>
      <c r="Y110" s="34" t="s">
        <v>45</v>
      </c>
      <c r="Z110" s="34" t="s">
        <v>274</v>
      </c>
      <c r="AA110" s="34"/>
      <c r="AB110" s="34"/>
      <c r="AC110" s="22">
        <v>0.74951210021972658</v>
      </c>
      <c r="AD110" s="23" t="s">
        <v>2651</v>
      </c>
      <c r="AE110" s="24">
        <v>2.8109589041095893</v>
      </c>
      <c r="AF110" s="25">
        <v>9.3807187668894829E-2</v>
      </c>
      <c r="AG110" s="26">
        <v>0.27539562697883335</v>
      </c>
      <c r="AH110" s="26">
        <v>0.18472474253032245</v>
      </c>
      <c r="AI110" s="27">
        <v>0.42403701217933149</v>
      </c>
      <c r="AJ110" s="27">
        <v>0.9038435963575262</v>
      </c>
      <c r="AK110" s="27">
        <v>0.70543793219905226</v>
      </c>
      <c r="AL110" s="28" t="s">
        <v>276</v>
      </c>
      <c r="AM110" s="29">
        <v>4</v>
      </c>
      <c r="AN110" s="29">
        <v>3</v>
      </c>
      <c r="AO110" s="29" t="s">
        <v>48</v>
      </c>
      <c r="AP110" s="47" t="s">
        <v>101</v>
      </c>
      <c r="AQ110" s="28">
        <v>0</v>
      </c>
      <c r="AR110" s="26">
        <v>1.4999999999999999E-2</v>
      </c>
      <c r="AS110" s="26">
        <v>0</v>
      </c>
    </row>
    <row r="111" spans="1:45" x14ac:dyDescent="0.15">
      <c r="A111" s="64">
        <v>805</v>
      </c>
      <c r="B111" s="64">
        <v>906</v>
      </c>
      <c r="C111" s="11">
        <v>160611</v>
      </c>
      <c r="D111" s="61">
        <v>404</v>
      </c>
      <c r="E111" s="61">
        <v>-7.4858364947494598E-4</v>
      </c>
      <c r="F111" s="61">
        <v>69</v>
      </c>
      <c r="G111" s="61">
        <v>0.52766064638663202</v>
      </c>
      <c r="H111" s="66">
        <v>101</v>
      </c>
      <c r="I111" s="66" t="str">
        <f>H111&amp;"/"&amp;428</f>
        <v>101/428</v>
      </c>
      <c r="J111" s="68">
        <f>H111/428</f>
        <v>0.23598130841121495</v>
      </c>
      <c r="K111" s="18" t="s">
        <v>44</v>
      </c>
      <c r="L111" s="18" t="s">
        <v>45</v>
      </c>
      <c r="M111" s="58" t="s">
        <v>274</v>
      </c>
      <c r="N111" s="18">
        <f>[1]!f_prt_stocktonav(C111,"2017/03/31")</f>
        <v>72.246231079101563</v>
      </c>
      <c r="O111" s="20" t="str">
        <f>[1]!f_info_fundmanager(C111)</f>
        <v>胡东健</v>
      </c>
      <c r="P111" s="21">
        <v>1.3232876712328767</v>
      </c>
      <c r="Q111" s="34" t="s">
        <v>3138</v>
      </c>
      <c r="R111" s="34" t="s">
        <v>3139</v>
      </c>
      <c r="S111" s="34" t="s">
        <v>705</v>
      </c>
      <c r="T111" s="34">
        <v>20070425</v>
      </c>
      <c r="U111" s="45">
        <v>12.6669359394</v>
      </c>
      <c r="V111" s="46">
        <v>13.3556213273</v>
      </c>
      <c r="W111" s="34" t="s">
        <v>231</v>
      </c>
      <c r="X111" s="34" t="s">
        <v>41</v>
      </c>
      <c r="Y111" s="17" t="s">
        <v>42</v>
      </c>
      <c r="Z111" s="17" t="s">
        <v>181</v>
      </c>
      <c r="AA111" s="34"/>
      <c r="AB111" s="34"/>
      <c r="AC111" s="22">
        <v>0.69071968078613277</v>
      </c>
      <c r="AD111" s="23" t="s">
        <v>3140</v>
      </c>
      <c r="AE111" s="24">
        <v>1.9068493150684931</v>
      </c>
      <c r="AF111" s="25">
        <v>1.1055353729971795E-3</v>
      </c>
      <c r="AG111" s="26">
        <v>2.6400429347624543E-2</v>
      </c>
      <c r="AH111" s="26">
        <v>2.8710923225466312E-2</v>
      </c>
      <c r="AI111" s="27">
        <v>5.592996883442853E-2</v>
      </c>
      <c r="AJ111" s="27">
        <v>0.16557690676051812</v>
      </c>
      <c r="AK111" s="27">
        <v>0.16954186320432804</v>
      </c>
      <c r="AL111" s="28" t="s">
        <v>2966</v>
      </c>
      <c r="AM111" s="29">
        <v>1</v>
      </c>
      <c r="AN111" s="29">
        <v>3</v>
      </c>
      <c r="AO111" s="29" t="s">
        <v>48</v>
      </c>
      <c r="AP111" s="47" t="s">
        <v>2905</v>
      </c>
      <c r="AQ111" s="28">
        <v>0</v>
      </c>
      <c r="AR111" s="26">
        <v>1.4999999999999999E-2</v>
      </c>
      <c r="AS111" s="26">
        <v>0</v>
      </c>
    </row>
    <row r="112" spans="1:45" x14ac:dyDescent="0.15">
      <c r="A112" s="64">
        <v>692</v>
      </c>
      <c r="B112" s="64">
        <v>714</v>
      </c>
      <c r="C112" s="11">
        <v>40015</v>
      </c>
      <c r="D112" s="61">
        <v>410</v>
      </c>
      <c r="E112" s="61">
        <v>-7.9539855906514802E-4</v>
      </c>
      <c r="F112" s="61">
        <v>94</v>
      </c>
      <c r="G112" s="61">
        <v>0.66467372232881194</v>
      </c>
      <c r="H112" s="66">
        <v>102</v>
      </c>
      <c r="I112" s="66" t="str">
        <f>H112&amp;"/"&amp;428</f>
        <v>102/428</v>
      </c>
      <c r="J112" s="68">
        <f>H112/428</f>
        <v>0.23831775700934579</v>
      </c>
      <c r="K112" s="18" t="s">
        <v>44</v>
      </c>
      <c r="L112" s="18" t="s">
        <v>45</v>
      </c>
      <c r="M112" s="58" t="s">
        <v>274</v>
      </c>
      <c r="N112" s="18">
        <f>[1]!f_prt_stocktonav(C112,"2017/03/31")</f>
        <v>79.597747802734375</v>
      </c>
      <c r="O112" s="20" t="str">
        <f>[1]!f_info_fundmanager(C112)</f>
        <v>蒋璆</v>
      </c>
      <c r="P112" s="21">
        <v>1.7917808219178082</v>
      </c>
      <c r="Q112" s="34" t="s">
        <v>2754</v>
      </c>
      <c r="R112" s="34" t="s">
        <v>2755</v>
      </c>
      <c r="S112" s="34" t="s">
        <v>63</v>
      </c>
      <c r="T112" s="34">
        <v>20091222</v>
      </c>
      <c r="U112" s="45">
        <v>2.4854736277999998</v>
      </c>
      <c r="V112" s="46">
        <v>2.5994283498000001</v>
      </c>
      <c r="W112" s="34" t="s">
        <v>40</v>
      </c>
      <c r="X112" s="34" t="s">
        <v>44</v>
      </c>
      <c r="Y112" s="34" t="s">
        <v>45</v>
      </c>
      <c r="Z112" s="34" t="s">
        <v>274</v>
      </c>
      <c r="AA112" s="34"/>
      <c r="AB112" s="34"/>
      <c r="AC112" s="22">
        <v>0.79070426940917971</v>
      </c>
      <c r="AD112" s="23" t="s">
        <v>2756</v>
      </c>
      <c r="AE112" s="24">
        <v>1.5616438356164384</v>
      </c>
      <c r="AF112" s="25">
        <v>0.11732360600963121</v>
      </c>
      <c r="AG112" s="26">
        <v>0.26809270143704578</v>
      </c>
      <c r="AH112" s="26">
        <v>0.20188663761907555</v>
      </c>
      <c r="AI112" s="27">
        <v>0.51924710650882755</v>
      </c>
      <c r="AJ112" s="27">
        <v>0.86181402504883697</v>
      </c>
      <c r="AK112" s="27">
        <v>0.76776721140172288</v>
      </c>
      <c r="AL112" s="28" t="s">
        <v>678</v>
      </c>
      <c r="AM112" s="29">
        <v>5</v>
      </c>
      <c r="AN112" s="29">
        <v>3</v>
      </c>
      <c r="AO112" s="29" t="s">
        <v>48</v>
      </c>
      <c r="AP112" s="47" t="s">
        <v>2757</v>
      </c>
      <c r="AQ112" s="28">
        <v>0</v>
      </c>
      <c r="AR112" s="26">
        <v>1.4999999999999999E-2</v>
      </c>
      <c r="AS112" s="26">
        <v>0</v>
      </c>
    </row>
    <row r="113" spans="1:45" x14ac:dyDescent="0.15">
      <c r="A113" s="64">
        <v>476</v>
      </c>
      <c r="B113" s="64">
        <v>300</v>
      </c>
      <c r="C113" s="11">
        <v>432</v>
      </c>
      <c r="D113" s="61">
        <v>411</v>
      </c>
      <c r="E113" s="61">
        <v>-8.0358992724111902E-4</v>
      </c>
      <c r="F113" s="61">
        <v>88</v>
      </c>
      <c r="G113" s="61">
        <v>0.53904589361247801</v>
      </c>
      <c r="H113" s="66">
        <v>103</v>
      </c>
      <c r="I113" s="66" t="str">
        <f>H113&amp;"/"&amp;428</f>
        <v>103/428</v>
      </c>
      <c r="J113" s="68">
        <f>H113/428</f>
        <v>0.24065420560747663</v>
      </c>
      <c r="K113" s="18" t="s">
        <v>44</v>
      </c>
      <c r="L113" s="18" t="s">
        <v>45</v>
      </c>
      <c r="M113" s="58" t="s">
        <v>274</v>
      </c>
      <c r="N113" s="18">
        <f>[1]!f_prt_stocktonav(C113,"2017/03/31")</f>
        <v>89.445060729980469</v>
      </c>
      <c r="O113" s="20" t="str">
        <f>[1]!f_info_fundmanager(C113)</f>
        <v>赵志华</v>
      </c>
      <c r="P113" s="21">
        <v>1.6794520547945206</v>
      </c>
      <c r="Q113" s="34" t="s">
        <v>2018</v>
      </c>
      <c r="R113" s="34" t="s">
        <v>2019</v>
      </c>
      <c r="S113" s="34" t="s">
        <v>71</v>
      </c>
      <c r="T113" s="34">
        <v>20140128</v>
      </c>
      <c r="U113" s="45">
        <v>0.7022378776</v>
      </c>
      <c r="V113" s="46">
        <v>0.55113390839999998</v>
      </c>
      <c r="W113" s="34" t="s">
        <v>3776</v>
      </c>
      <c r="X113" s="34" t="s">
        <v>44</v>
      </c>
      <c r="Y113" s="34" t="s">
        <v>45</v>
      </c>
      <c r="Z113" s="34" t="s">
        <v>274</v>
      </c>
      <c r="AA113" s="34"/>
      <c r="AB113" s="34"/>
      <c r="AC113" s="22">
        <v>0.8716300964355469</v>
      </c>
      <c r="AD113" s="23" t="s">
        <v>73</v>
      </c>
      <c r="AE113" s="24">
        <v>1.4493150684931506</v>
      </c>
      <c r="AF113" s="25">
        <v>0.17030244544664286</v>
      </c>
      <c r="AG113" s="26">
        <v>0</v>
      </c>
      <c r="AH113" s="26">
        <v>0</v>
      </c>
      <c r="AI113" s="27">
        <v>0.61635970311923194</v>
      </c>
      <c r="AJ113" s="27">
        <v>0.61635970311923194</v>
      </c>
      <c r="AK113" s="27">
        <v>0.61635970311923194</v>
      </c>
      <c r="AL113" s="28" t="s">
        <v>167</v>
      </c>
      <c r="AM113" s="29" t="s">
        <v>48</v>
      </c>
      <c r="AN113" s="29" t="s">
        <v>48</v>
      </c>
      <c r="AO113" s="29" t="s">
        <v>48</v>
      </c>
      <c r="AP113" s="47" t="s">
        <v>845</v>
      </c>
      <c r="AQ113" s="28">
        <v>0</v>
      </c>
      <c r="AR113" s="26">
        <v>1.4999999999999999E-2</v>
      </c>
      <c r="AS113" s="26">
        <v>0</v>
      </c>
    </row>
    <row r="114" spans="1:45" x14ac:dyDescent="0.15">
      <c r="A114" s="64">
        <v>615</v>
      </c>
      <c r="B114" s="64">
        <v>589</v>
      </c>
      <c r="C114" s="11">
        <v>90015</v>
      </c>
      <c r="D114" s="61">
        <v>415</v>
      </c>
      <c r="E114" s="61">
        <v>-8.4621534166853904E-4</v>
      </c>
      <c r="F114" s="61">
        <v>238</v>
      </c>
      <c r="G114" s="61">
        <v>0.39982024414860601</v>
      </c>
      <c r="H114" s="66">
        <v>104</v>
      </c>
      <c r="I114" s="66" t="str">
        <f>H114&amp;"/"&amp;428</f>
        <v>104/428</v>
      </c>
      <c r="J114" s="68">
        <f>H114/428</f>
        <v>0.24299065420560748</v>
      </c>
      <c r="K114" s="18" t="s">
        <v>44</v>
      </c>
      <c r="L114" s="18" t="s">
        <v>45</v>
      </c>
      <c r="M114" s="58" t="s">
        <v>274</v>
      </c>
      <c r="N114" s="18">
        <f>[1]!f_prt_stocktonav(C114,"2017/03/31")</f>
        <v>83.063194274902344</v>
      </c>
      <c r="O114" s="20" t="str">
        <f>[1]!f_info_fundmanager(C114)</f>
        <v>李本刚,李博</v>
      </c>
      <c r="P114" s="21">
        <v>4.5726027397260278</v>
      </c>
      <c r="Q114" s="34" t="s">
        <v>2502</v>
      </c>
      <c r="R114" s="34" t="s">
        <v>2503</v>
      </c>
      <c r="S114" s="34" t="s">
        <v>486</v>
      </c>
      <c r="T114" s="34">
        <v>20110614</v>
      </c>
      <c r="U114" s="45">
        <v>6.0215489455000002</v>
      </c>
      <c r="V114" s="46">
        <v>6.2731229715000003</v>
      </c>
      <c r="W114" s="34" t="s">
        <v>201</v>
      </c>
      <c r="X114" s="34" t="s">
        <v>44</v>
      </c>
      <c r="Y114" s="34" t="s">
        <v>45</v>
      </c>
      <c r="Z114" s="34" t="s">
        <v>274</v>
      </c>
      <c r="AA114" s="34"/>
      <c r="AB114" s="34"/>
      <c r="AC114" s="22">
        <v>0.85264930725097654</v>
      </c>
      <c r="AD114" s="23" t="s">
        <v>2504</v>
      </c>
      <c r="AE114" s="24">
        <v>4.3424657534246576</v>
      </c>
      <c r="AF114" s="25">
        <v>0.15518873790764065</v>
      </c>
      <c r="AG114" s="26">
        <v>0.25636140268038665</v>
      </c>
      <c r="AH114" s="26">
        <v>0.21932902467038098</v>
      </c>
      <c r="AI114" s="27">
        <v>0.6042995230183652</v>
      </c>
      <c r="AJ114" s="27">
        <v>0.79316446006208807</v>
      </c>
      <c r="AK114" s="27">
        <v>0.77914270222427429</v>
      </c>
      <c r="AL114" s="28" t="s">
        <v>2357</v>
      </c>
      <c r="AM114" s="29">
        <v>5</v>
      </c>
      <c r="AN114" s="29">
        <v>4</v>
      </c>
      <c r="AO114" s="29" t="s">
        <v>48</v>
      </c>
      <c r="AP114" s="47" t="s">
        <v>1002</v>
      </c>
      <c r="AQ114" s="28">
        <v>0</v>
      </c>
      <c r="AR114" s="26">
        <v>1.4999999999999999E-2</v>
      </c>
      <c r="AS114" s="26">
        <v>0</v>
      </c>
    </row>
    <row r="115" spans="1:45" x14ac:dyDescent="0.15">
      <c r="A115" s="64">
        <v>139</v>
      </c>
      <c r="B115" s="64">
        <v>824</v>
      </c>
      <c r="C115" s="11">
        <v>1829</v>
      </c>
      <c r="D115" s="61">
        <v>419</v>
      </c>
      <c r="E115" s="61">
        <v>-8.8742069878036201E-4</v>
      </c>
      <c r="F115" s="61">
        <v>59</v>
      </c>
      <c r="G115" s="61">
        <v>0.52984074027197103</v>
      </c>
      <c r="H115" s="66">
        <v>105</v>
      </c>
      <c r="I115" s="66" t="str">
        <f>H115&amp;"/"&amp;428</f>
        <v>105/428</v>
      </c>
      <c r="J115" s="68">
        <f>H115/428</f>
        <v>0.24532710280373832</v>
      </c>
      <c r="K115" s="18" t="s">
        <v>44</v>
      </c>
      <c r="L115" s="18" t="s">
        <v>87</v>
      </c>
      <c r="M115" s="58" t="s">
        <v>274</v>
      </c>
      <c r="N115" s="18">
        <f>[1]!f_prt_stocktonav(C115,"2017/03/31")</f>
        <v>75.816932678222656</v>
      </c>
      <c r="O115" s="20" t="str">
        <f>[1]!f_info_fundmanager(C115)</f>
        <v>高峰</v>
      </c>
      <c r="P115" s="21">
        <v>1.1753424657534246</v>
      </c>
      <c r="Q115" s="34" t="s">
        <v>709</v>
      </c>
      <c r="R115" s="34" t="s">
        <v>710</v>
      </c>
      <c r="S115" s="34" t="s">
        <v>711</v>
      </c>
      <c r="T115" s="34">
        <v>20160127</v>
      </c>
      <c r="U115" s="45">
        <v>2.3136250054</v>
      </c>
      <c r="V115" s="46">
        <v>0.8290628874</v>
      </c>
      <c r="W115" s="34" t="s">
        <v>3776</v>
      </c>
      <c r="X115" s="34" t="s">
        <v>44</v>
      </c>
      <c r="Y115" s="34" t="s">
        <v>87</v>
      </c>
      <c r="Z115" s="34" t="s">
        <v>65</v>
      </c>
      <c r="AA115" s="34" t="s">
        <v>3788</v>
      </c>
      <c r="AB115" s="34"/>
      <c r="AC115" s="22">
        <v>0.94356727600097656</v>
      </c>
      <c r="AD115" s="23" t="s">
        <v>713</v>
      </c>
      <c r="AE115" s="24">
        <v>0.9452054794520548</v>
      </c>
      <c r="AF115" s="25">
        <v>0.12937194449061784</v>
      </c>
      <c r="AG115" s="26">
        <v>0</v>
      </c>
      <c r="AH115" s="26">
        <v>0</v>
      </c>
      <c r="AI115" s="27">
        <v>1.0724679355845872</v>
      </c>
      <c r="AJ115" s="27">
        <v>1.0724679355845872</v>
      </c>
      <c r="AK115" s="27">
        <v>1.0724679355845872</v>
      </c>
      <c r="AL115" s="33" t="s">
        <v>714</v>
      </c>
      <c r="AM115" s="29" t="s">
        <v>48</v>
      </c>
      <c r="AN115" s="29" t="s">
        <v>48</v>
      </c>
      <c r="AO115" s="29" t="s">
        <v>48</v>
      </c>
      <c r="AP115" s="47" t="s">
        <v>715</v>
      </c>
      <c r="AQ115" s="28">
        <v>0</v>
      </c>
      <c r="AR115" s="26">
        <v>1.4999999999999999E-2</v>
      </c>
      <c r="AS115" s="26">
        <v>0</v>
      </c>
    </row>
    <row r="116" spans="1:45" x14ac:dyDescent="0.15">
      <c r="A116" s="64">
        <v>358</v>
      </c>
      <c r="B116" s="64">
        <v>12</v>
      </c>
      <c r="C116" s="11">
        <v>913</v>
      </c>
      <c r="D116" s="61">
        <v>422</v>
      </c>
      <c r="E116" s="61">
        <v>-8.9365128509173697E-4</v>
      </c>
      <c r="F116" s="61">
        <v>84</v>
      </c>
      <c r="G116" s="61">
        <v>0.564554569617705</v>
      </c>
      <c r="H116" s="66">
        <v>106</v>
      </c>
      <c r="I116" s="66" t="str">
        <f>H116&amp;"/"&amp;428</f>
        <v>106/428</v>
      </c>
      <c r="J116" s="68">
        <f>H116/428</f>
        <v>0.24766355140186916</v>
      </c>
      <c r="K116" s="18" t="s">
        <v>44</v>
      </c>
      <c r="L116" s="18" t="s">
        <v>86</v>
      </c>
      <c r="M116" s="58" t="s">
        <v>274</v>
      </c>
      <c r="N116" s="18">
        <f>[1]!f_prt_stocktonav(C116,"2017/03/31")</f>
        <v>94.814949035644531</v>
      </c>
      <c r="O116" s="20" t="str">
        <f>[1]!f_info_fundmanager(C116)</f>
        <v>徐治彪</v>
      </c>
      <c r="P116" s="21">
        <v>1.6136986301369862</v>
      </c>
      <c r="Q116" s="39" t="s">
        <v>1575</v>
      </c>
      <c r="R116" s="39" t="s">
        <v>1576</v>
      </c>
      <c r="S116" s="39" t="s">
        <v>424</v>
      </c>
      <c r="T116" s="39">
        <v>20150210</v>
      </c>
      <c r="U116" s="48">
        <v>20.8901084122</v>
      </c>
      <c r="V116" s="46">
        <v>26.9212110323</v>
      </c>
      <c r="W116" s="39" t="s">
        <v>201</v>
      </c>
      <c r="X116" s="39" t="s">
        <v>44</v>
      </c>
      <c r="Y116" s="39" t="s">
        <v>86</v>
      </c>
      <c r="Z116" s="55" t="s">
        <v>274</v>
      </c>
      <c r="AA116" s="34" t="s">
        <v>3815</v>
      </c>
      <c r="AB116" s="34"/>
      <c r="AC116" s="22">
        <v>0.93912590026855469</v>
      </c>
      <c r="AD116" s="23" t="s">
        <v>1578</v>
      </c>
      <c r="AE116" s="24">
        <v>1.3835616438356164</v>
      </c>
      <c r="AF116" s="25">
        <v>3.0126238220059998E-2</v>
      </c>
      <c r="AG116" s="26">
        <v>0</v>
      </c>
      <c r="AH116" s="26">
        <v>0</v>
      </c>
      <c r="AI116" s="27">
        <v>0.23584650411535563</v>
      </c>
      <c r="AJ116" s="27">
        <v>0.23584650411535563</v>
      </c>
      <c r="AK116" s="27">
        <v>0.23584650411535563</v>
      </c>
      <c r="AL116" s="40" t="s">
        <v>1579</v>
      </c>
      <c r="AM116" s="41" t="s">
        <v>48</v>
      </c>
      <c r="AN116" s="41" t="s">
        <v>48</v>
      </c>
      <c r="AO116" s="41" t="s">
        <v>48</v>
      </c>
      <c r="AP116" s="50" t="s">
        <v>702</v>
      </c>
      <c r="AQ116" s="51">
        <v>0</v>
      </c>
      <c r="AR116" s="52">
        <v>1.4999999999999999E-2</v>
      </c>
      <c r="AS116" s="52">
        <v>0</v>
      </c>
    </row>
    <row r="117" spans="1:45" x14ac:dyDescent="0.15">
      <c r="A117" s="64">
        <v>585</v>
      </c>
      <c r="B117" s="64">
        <v>800</v>
      </c>
      <c r="C117" s="11">
        <v>40025</v>
      </c>
      <c r="D117" s="61">
        <v>426</v>
      </c>
      <c r="E117" s="61">
        <v>-9.0999242972299101E-4</v>
      </c>
      <c r="F117" s="61">
        <v>105</v>
      </c>
      <c r="G117" s="61">
        <v>0.66969062638728805</v>
      </c>
      <c r="H117" s="66">
        <v>107</v>
      </c>
      <c r="I117" s="66" t="str">
        <f>H117&amp;"/"&amp;428</f>
        <v>107/428</v>
      </c>
      <c r="J117" s="68">
        <f>H117/428</f>
        <v>0.25</v>
      </c>
      <c r="K117" s="18" t="s">
        <v>44</v>
      </c>
      <c r="L117" s="18" t="s">
        <v>45</v>
      </c>
      <c r="M117" s="58" t="s">
        <v>274</v>
      </c>
      <c r="N117" s="18">
        <f>[1]!f_prt_stocktonav(C117,"2017/03/31")</f>
        <v>76.692092895507813</v>
      </c>
      <c r="O117" s="20" t="str">
        <f>[1]!f_info_fundmanager(C117)</f>
        <v>谢振东</v>
      </c>
      <c r="P117" s="21">
        <v>2.0191780821917806</v>
      </c>
      <c r="Q117" s="34" t="s">
        <v>2405</v>
      </c>
      <c r="R117" s="34" t="s">
        <v>2406</v>
      </c>
      <c r="S117" s="34" t="s">
        <v>63</v>
      </c>
      <c r="T117" s="34">
        <v>20111220</v>
      </c>
      <c r="U117" s="45">
        <v>8.9761411657999997</v>
      </c>
      <c r="V117" s="46">
        <v>7.4116772873999999</v>
      </c>
      <c r="W117" s="34" t="s">
        <v>1235</v>
      </c>
      <c r="X117" s="34" t="s">
        <v>44</v>
      </c>
      <c r="Y117" s="34" t="s">
        <v>45</v>
      </c>
      <c r="Z117" s="34" t="s">
        <v>274</v>
      </c>
      <c r="AA117" s="34"/>
      <c r="AB117" s="34"/>
      <c r="AC117" s="22">
        <v>0.86268363952636717</v>
      </c>
      <c r="AD117" s="23" t="s">
        <v>1890</v>
      </c>
      <c r="AE117" s="24">
        <v>1.789041095890411</v>
      </c>
      <c r="AF117" s="25">
        <v>0.26594719904131581</v>
      </c>
      <c r="AG117" s="26">
        <v>0.31617957052074086</v>
      </c>
      <c r="AH117" s="26">
        <v>0.26823941438138377</v>
      </c>
      <c r="AI117" s="27">
        <v>0.99110798085190666</v>
      </c>
      <c r="AJ117" s="27">
        <v>0.98433149863030678</v>
      </c>
      <c r="AK117" s="27">
        <v>0.99326053403164483</v>
      </c>
      <c r="AL117" s="28" t="s">
        <v>1393</v>
      </c>
      <c r="AM117" s="29">
        <v>5</v>
      </c>
      <c r="AN117" s="29">
        <v>4</v>
      </c>
      <c r="AO117" s="29" t="s">
        <v>48</v>
      </c>
      <c r="AP117" s="47" t="s">
        <v>2260</v>
      </c>
      <c r="AQ117" s="28">
        <v>0</v>
      </c>
      <c r="AR117" s="26">
        <v>1.4999999999999999E-2</v>
      </c>
      <c r="AS117" s="26">
        <v>0</v>
      </c>
    </row>
    <row r="118" spans="1:45" x14ac:dyDescent="0.15">
      <c r="A118" s="64">
        <v>295</v>
      </c>
      <c r="B118" s="64">
        <v>228</v>
      </c>
      <c r="C118" s="11">
        <v>1154</v>
      </c>
      <c r="D118" s="61">
        <v>428</v>
      </c>
      <c r="E118" s="61">
        <v>-9.2695218729794602E-4</v>
      </c>
      <c r="F118" s="61">
        <v>97</v>
      </c>
      <c r="G118" s="61">
        <v>0.77049920206101596</v>
      </c>
      <c r="H118" s="66">
        <v>108</v>
      </c>
      <c r="I118" s="66" t="str">
        <f>H118&amp;"/"&amp;428</f>
        <v>108/428</v>
      </c>
      <c r="J118" s="68">
        <f>H118/428</f>
        <v>0.25233644859813081</v>
      </c>
      <c r="K118" s="18" t="s">
        <v>44</v>
      </c>
      <c r="L118" s="18" t="s">
        <v>87</v>
      </c>
      <c r="M118" s="58" t="s">
        <v>274</v>
      </c>
      <c r="N118" s="18">
        <f>[1]!f_prt_stocktonav(C118,"2017/03/31")</f>
        <v>91.177772521972656</v>
      </c>
      <c r="O118" s="20" t="str">
        <f>[1]!f_info_fundmanager(C118)</f>
        <v>于军华,高峰</v>
      </c>
      <c r="P118" s="21">
        <v>1.9068493150684931</v>
      </c>
      <c r="Q118" s="34" t="s">
        <v>1340</v>
      </c>
      <c r="R118" s="34" t="s">
        <v>1341</v>
      </c>
      <c r="S118" s="34" t="s">
        <v>711</v>
      </c>
      <c r="T118" s="34">
        <v>20150505</v>
      </c>
      <c r="U118" s="45">
        <v>1.1551767111</v>
      </c>
      <c r="V118" s="46">
        <v>1.3606358742</v>
      </c>
      <c r="W118" s="34" t="s">
        <v>3789</v>
      </c>
      <c r="X118" s="34" t="s">
        <v>44</v>
      </c>
      <c r="Y118" s="34" t="s">
        <v>87</v>
      </c>
      <c r="Z118" s="34" t="s">
        <v>274</v>
      </c>
      <c r="AA118" s="34" t="s">
        <v>3805</v>
      </c>
      <c r="AB118" s="34"/>
      <c r="AC118" s="22">
        <v>0.95190261840820312</v>
      </c>
      <c r="AD118" s="23" t="s">
        <v>1343</v>
      </c>
      <c r="AE118" s="24">
        <v>1.6767123287671233</v>
      </c>
      <c r="AF118" s="25">
        <v>4.2693501025759417E-2</v>
      </c>
      <c r="AG118" s="26">
        <v>0</v>
      </c>
      <c r="AH118" s="26">
        <v>0</v>
      </c>
      <c r="AI118" s="27">
        <v>0.25563663897483302</v>
      </c>
      <c r="AJ118" s="27">
        <v>0.25563663897483302</v>
      </c>
      <c r="AK118" s="27">
        <v>0.25563663897483302</v>
      </c>
      <c r="AL118" s="33" t="s">
        <v>714</v>
      </c>
      <c r="AM118" s="29" t="s">
        <v>48</v>
      </c>
      <c r="AN118" s="29" t="s">
        <v>48</v>
      </c>
      <c r="AO118" s="29" t="s">
        <v>48</v>
      </c>
      <c r="AP118" s="47" t="s">
        <v>715</v>
      </c>
      <c r="AQ118" s="28">
        <v>0</v>
      </c>
      <c r="AR118" s="26">
        <v>1.4999999999999999E-2</v>
      </c>
      <c r="AS118" s="26">
        <v>0</v>
      </c>
    </row>
    <row r="119" spans="1:45" x14ac:dyDescent="0.15">
      <c r="A119" s="64">
        <v>252</v>
      </c>
      <c r="B119" s="64">
        <v>97</v>
      </c>
      <c r="C119" s="11">
        <v>1313</v>
      </c>
      <c r="D119" s="61">
        <v>432</v>
      </c>
      <c r="E119" s="61">
        <v>-9.4703551203497599E-4</v>
      </c>
      <c r="F119" s="61">
        <v>92</v>
      </c>
      <c r="G119" s="61">
        <v>0.65700092810641697</v>
      </c>
      <c r="H119" s="66">
        <v>109</v>
      </c>
      <c r="I119" s="66" t="str">
        <f>H119&amp;"/"&amp;428</f>
        <v>109/428</v>
      </c>
      <c r="J119" s="68">
        <f>H119/428</f>
        <v>0.25467289719626168</v>
      </c>
      <c r="K119" s="18" t="s">
        <v>44</v>
      </c>
      <c r="L119" s="19" t="s">
        <v>45</v>
      </c>
      <c r="M119" s="59" t="s">
        <v>274</v>
      </c>
      <c r="N119" s="18">
        <f>[1]!f_prt_stocktonav(C119,"2017/03/31")</f>
        <v>93.645721435546875</v>
      </c>
      <c r="O119" s="20" t="str">
        <f>[1]!f_info_fundmanager(C119)</f>
        <v>郭晨</v>
      </c>
      <c r="P119" s="21">
        <v>1.810958904109589</v>
      </c>
      <c r="Q119" s="32" t="s">
        <v>1163</v>
      </c>
      <c r="R119" s="13" t="s">
        <v>1164</v>
      </c>
      <c r="S119" s="13" t="s">
        <v>511</v>
      </c>
      <c r="T119" s="13">
        <v>20150609</v>
      </c>
      <c r="U119" s="14">
        <v>17.995362795799998</v>
      </c>
      <c r="V119" s="15" t="s">
        <v>72</v>
      </c>
      <c r="W119" s="16" t="s">
        <v>40</v>
      </c>
      <c r="X119" s="17" t="s">
        <v>44</v>
      </c>
      <c r="Y119" s="17" t="s">
        <v>45</v>
      </c>
      <c r="Z119" s="17" t="s">
        <v>274</v>
      </c>
      <c r="AA119" s="13"/>
      <c r="AB119" s="13"/>
      <c r="AC119" s="22">
        <v>0.89682846069335942</v>
      </c>
      <c r="AD119" s="23" t="s">
        <v>1165</v>
      </c>
      <c r="AE119" s="24">
        <v>1.5808219178082192</v>
      </c>
      <c r="AF119" s="25">
        <v>-0.23661892528126927</v>
      </c>
      <c r="AG119" s="26">
        <v>0</v>
      </c>
      <c r="AH119" s="26">
        <v>0</v>
      </c>
      <c r="AI119" s="27">
        <v>-0.63987764506525835</v>
      </c>
      <c r="AJ119" s="27">
        <v>-0.63987764506525835</v>
      </c>
      <c r="AK119" s="27">
        <v>-0.63987764506525835</v>
      </c>
      <c r="AL119" s="28" t="s">
        <v>983</v>
      </c>
      <c r="AM119" s="29" t="s">
        <v>48</v>
      </c>
      <c r="AN119" s="29" t="s">
        <v>48</v>
      </c>
      <c r="AO119" s="29" t="s">
        <v>48</v>
      </c>
      <c r="AP119" s="23" t="s">
        <v>1166</v>
      </c>
      <c r="AQ119" s="30">
        <v>0</v>
      </c>
      <c r="AR119" s="31">
        <v>1.4999999999999999E-2</v>
      </c>
      <c r="AS119" s="31">
        <v>0</v>
      </c>
    </row>
    <row r="120" spans="1:45" x14ac:dyDescent="0.15">
      <c r="A120" s="64">
        <v>272</v>
      </c>
      <c r="B120" s="64">
        <v>276</v>
      </c>
      <c r="C120" s="11">
        <v>519171</v>
      </c>
      <c r="D120" s="61">
        <v>433</v>
      </c>
      <c r="E120" s="61">
        <v>-9.5154711343509103E-4</v>
      </c>
      <c r="F120" s="61">
        <v>94</v>
      </c>
      <c r="G120" s="61">
        <v>0.46490752581130501</v>
      </c>
      <c r="H120" s="66">
        <v>110</v>
      </c>
      <c r="I120" s="66" t="str">
        <f>H120&amp;"/"&amp;428</f>
        <v>110/428</v>
      </c>
      <c r="J120" s="68">
        <f>H120/428</f>
        <v>0.2570093457943925</v>
      </c>
      <c r="K120" s="18" t="s">
        <v>44</v>
      </c>
      <c r="L120" s="18" t="s">
        <v>86</v>
      </c>
      <c r="M120" s="58" t="s">
        <v>274</v>
      </c>
      <c r="N120" s="18">
        <f>[1]!f_prt_stocktonav(C120,"2017/03/31")</f>
        <v>89.884231567382813</v>
      </c>
      <c r="O120" s="20" t="str">
        <f>[1]!f_info_fundmanager(C120)</f>
        <v>陈蔚丰</v>
      </c>
      <c r="P120" s="21">
        <v>1.8520547945205479</v>
      </c>
      <c r="Q120" s="34" t="s">
        <v>1250</v>
      </c>
      <c r="R120" s="34" t="s">
        <v>1251</v>
      </c>
      <c r="S120" s="34" t="s">
        <v>649</v>
      </c>
      <c r="T120" s="34">
        <v>20150525</v>
      </c>
      <c r="U120" s="45">
        <v>17.2890975836</v>
      </c>
      <c r="V120" s="46">
        <v>18.4694829064</v>
      </c>
      <c r="W120" s="34" t="s">
        <v>3789</v>
      </c>
      <c r="X120" s="34" t="s">
        <v>44</v>
      </c>
      <c r="Y120" s="34" t="s">
        <v>45</v>
      </c>
      <c r="Z120" s="34" t="s">
        <v>274</v>
      </c>
      <c r="AA120" s="34"/>
      <c r="AB120" s="34"/>
      <c r="AC120" s="22">
        <v>0.89311592102050785</v>
      </c>
      <c r="AD120" s="23" t="s">
        <v>1252</v>
      </c>
      <c r="AE120" s="24">
        <v>1.6219178082191781</v>
      </c>
      <c r="AF120" s="25">
        <v>-0.16102543895092758</v>
      </c>
      <c r="AG120" s="26">
        <v>0</v>
      </c>
      <c r="AH120" s="26">
        <v>0</v>
      </c>
      <c r="AI120" s="27">
        <v>-0.47478540779906403</v>
      </c>
      <c r="AJ120" s="27">
        <v>-0.47478540779906403</v>
      </c>
      <c r="AK120" s="27">
        <v>-0.47478540779906403</v>
      </c>
      <c r="AL120" s="28" t="s">
        <v>1253</v>
      </c>
      <c r="AM120" s="29" t="s">
        <v>48</v>
      </c>
      <c r="AN120" s="29" t="s">
        <v>48</v>
      </c>
      <c r="AO120" s="29" t="s">
        <v>48</v>
      </c>
      <c r="AP120" s="47" t="s">
        <v>652</v>
      </c>
      <c r="AQ120" s="28">
        <v>0</v>
      </c>
      <c r="AR120" s="26">
        <v>1.4999999999999999E-2</v>
      </c>
      <c r="AS120" s="26">
        <v>0</v>
      </c>
    </row>
    <row r="121" spans="1:45" x14ac:dyDescent="0.15">
      <c r="A121" s="64">
        <v>171</v>
      </c>
      <c r="B121" s="64">
        <v>80</v>
      </c>
      <c r="C121" s="11">
        <v>1924</v>
      </c>
      <c r="D121" s="61">
        <v>434</v>
      </c>
      <c r="E121" s="61">
        <v>-9.5177563134044203E-4</v>
      </c>
      <c r="F121" s="61">
        <v>68</v>
      </c>
      <c r="G121" s="61">
        <v>0.55295437896894395</v>
      </c>
      <c r="H121" s="66">
        <v>111</v>
      </c>
      <c r="I121" s="66" t="str">
        <f>H121&amp;"/"&amp;428</f>
        <v>111/428</v>
      </c>
      <c r="J121" s="68">
        <f>H121/428</f>
        <v>0.25934579439252337</v>
      </c>
      <c r="K121" s="18" t="s">
        <v>44</v>
      </c>
      <c r="L121" s="18" t="s">
        <v>45</v>
      </c>
      <c r="M121" s="58" t="s">
        <v>274</v>
      </c>
      <c r="N121" s="18">
        <f>[1]!f_prt_stocktonav(C121,"2017/03/31")</f>
        <v>93.898643493652344</v>
      </c>
      <c r="O121" s="20" t="str">
        <f>[1]!f_info_fundmanager(C121)</f>
        <v>郑晓辉</v>
      </c>
      <c r="P121" s="21">
        <v>1.3479452054794521</v>
      </c>
      <c r="Q121" s="34" t="s">
        <v>846</v>
      </c>
      <c r="R121" s="34" t="s">
        <v>847</v>
      </c>
      <c r="S121" s="34" t="s">
        <v>143</v>
      </c>
      <c r="T121" s="34">
        <v>20151125</v>
      </c>
      <c r="U121" s="45">
        <v>15.3624941502</v>
      </c>
      <c r="V121" s="46">
        <v>18.883555912399999</v>
      </c>
      <c r="W121" s="34" t="s">
        <v>1235</v>
      </c>
      <c r="X121" s="34" t="s">
        <v>44</v>
      </c>
      <c r="Y121" s="17" t="s">
        <v>45</v>
      </c>
      <c r="Z121" s="17" t="s">
        <v>274</v>
      </c>
      <c r="AA121" s="34"/>
      <c r="AB121" s="34"/>
      <c r="AC121" s="22">
        <v>0.92050109863281249</v>
      </c>
      <c r="AD121" s="23" t="s">
        <v>848</v>
      </c>
      <c r="AE121" s="24">
        <v>1.1178082191780823</v>
      </c>
      <c r="AF121" s="25">
        <v>-0.12584495859284262</v>
      </c>
      <c r="AG121" s="26">
        <v>0</v>
      </c>
      <c r="AH121" s="26">
        <v>0</v>
      </c>
      <c r="AI121" s="27">
        <v>-0.75561072410104724</v>
      </c>
      <c r="AJ121" s="27">
        <v>-0.75561072410104724</v>
      </c>
      <c r="AK121" s="27">
        <v>-0.75561072410104724</v>
      </c>
      <c r="AL121" s="28" t="s">
        <v>191</v>
      </c>
      <c r="AM121" s="29" t="s">
        <v>48</v>
      </c>
      <c r="AN121" s="29" t="s">
        <v>48</v>
      </c>
      <c r="AO121" s="29" t="s">
        <v>48</v>
      </c>
      <c r="AP121" s="47" t="s">
        <v>101</v>
      </c>
      <c r="AQ121" s="28">
        <v>0</v>
      </c>
      <c r="AR121" s="26">
        <v>1.4999999999999999E-2</v>
      </c>
      <c r="AS121" s="26">
        <v>0</v>
      </c>
    </row>
    <row r="122" spans="1:45" x14ac:dyDescent="0.15">
      <c r="A122" s="64">
        <v>753</v>
      </c>
      <c r="B122" s="64">
        <v>193</v>
      </c>
      <c r="C122" s="11">
        <v>257040</v>
      </c>
      <c r="D122" s="61">
        <v>435</v>
      </c>
      <c r="E122" s="61">
        <v>-9.5198887746198303E-4</v>
      </c>
      <c r="F122" s="61">
        <v>102</v>
      </c>
      <c r="G122" s="61">
        <v>0.60085757724642996</v>
      </c>
      <c r="H122" s="66">
        <v>112</v>
      </c>
      <c r="I122" s="66" t="str">
        <f>H122&amp;"/"&amp;428</f>
        <v>112/428</v>
      </c>
      <c r="J122" s="68">
        <f>H122/428</f>
        <v>0.26168224299065418</v>
      </c>
      <c r="K122" s="18" t="s">
        <v>44</v>
      </c>
      <c r="L122" s="18" t="s">
        <v>45</v>
      </c>
      <c r="M122" s="58" t="s">
        <v>274</v>
      </c>
      <c r="N122" s="18">
        <f>[1]!f_prt_stocktonav(C122,"2017/03/31")</f>
        <v>91.966529846191406</v>
      </c>
      <c r="O122" s="20" t="str">
        <f>[1]!f_info_fundmanager(C122)</f>
        <v>潘明,郑青</v>
      </c>
      <c r="P122" s="21">
        <v>1.9561643835616438</v>
      </c>
      <c r="Q122" s="34" t="s">
        <v>2960</v>
      </c>
      <c r="R122" s="34" t="s">
        <v>2961</v>
      </c>
      <c r="S122" s="34" t="s">
        <v>724</v>
      </c>
      <c r="T122" s="34">
        <v>20081022</v>
      </c>
      <c r="U122" s="45">
        <v>1.3453835305999999</v>
      </c>
      <c r="V122" s="46">
        <v>1.4631985333999999</v>
      </c>
      <c r="W122" s="34" t="s">
        <v>231</v>
      </c>
      <c r="X122" s="34" t="s">
        <v>44</v>
      </c>
      <c r="Y122" s="34" t="s">
        <v>45</v>
      </c>
      <c r="Z122" s="34" t="s">
        <v>274</v>
      </c>
      <c r="AA122" s="34"/>
      <c r="AB122" s="34"/>
      <c r="AC122" s="22">
        <v>0.94143882751464847</v>
      </c>
      <c r="AD122" s="23" t="s">
        <v>2962</v>
      </c>
      <c r="AE122" s="24">
        <v>1.726027397260274</v>
      </c>
      <c r="AF122" s="25">
        <v>0.11863842484616981</v>
      </c>
      <c r="AG122" s="26">
        <v>0.20555415609702732</v>
      </c>
      <c r="AH122" s="26">
        <v>0.18594406473432978</v>
      </c>
      <c r="AI122" s="27">
        <v>0.50272003656942066</v>
      </c>
      <c r="AJ122" s="27">
        <v>0.66931232509365102</v>
      </c>
      <c r="AK122" s="27">
        <v>0.67979582258173343</v>
      </c>
      <c r="AL122" s="28" t="s">
        <v>726</v>
      </c>
      <c r="AM122" s="29">
        <v>4</v>
      </c>
      <c r="AN122" s="29">
        <v>5</v>
      </c>
      <c r="AO122" s="29" t="s">
        <v>48</v>
      </c>
      <c r="AP122" s="47" t="s">
        <v>2809</v>
      </c>
      <c r="AQ122" s="28" t="s">
        <v>2963</v>
      </c>
      <c r="AR122" s="26">
        <v>1.4999999999999999E-2</v>
      </c>
      <c r="AS122" s="26">
        <v>0</v>
      </c>
    </row>
    <row r="123" spans="1:45" x14ac:dyDescent="0.15">
      <c r="A123" s="64">
        <v>623</v>
      </c>
      <c r="B123" s="64">
        <v>878</v>
      </c>
      <c r="C123" s="11">
        <v>590006</v>
      </c>
      <c r="D123" s="61">
        <v>441</v>
      </c>
      <c r="E123" s="61">
        <v>-1.0094651160114201E-3</v>
      </c>
      <c r="F123" s="61">
        <v>223</v>
      </c>
      <c r="G123" s="61">
        <v>0.31247584638403098</v>
      </c>
      <c r="H123" s="66">
        <v>113</v>
      </c>
      <c r="I123" s="66" t="str">
        <f>H123&amp;"/"&amp;428</f>
        <v>113/428</v>
      </c>
      <c r="J123" s="68">
        <f>H123/428</f>
        <v>0.26401869158878505</v>
      </c>
      <c r="K123" s="18" t="s">
        <v>44</v>
      </c>
      <c r="L123" s="18" t="s">
        <v>45</v>
      </c>
      <c r="M123" s="58" t="s">
        <v>274</v>
      </c>
      <c r="N123" s="18">
        <f>[1]!f_prt_stocktonav(C123,"2017/03/31")</f>
        <v>73.61700439453125</v>
      </c>
      <c r="O123" s="20" t="str">
        <f>[1]!f_info_fundmanager(C123)</f>
        <v>许进财,杨欢</v>
      </c>
      <c r="P123" s="21">
        <v>4.2767123287671236</v>
      </c>
      <c r="Q123" s="34" t="s">
        <v>2527</v>
      </c>
      <c r="R123" s="34" t="s">
        <v>2528</v>
      </c>
      <c r="S123" s="34" t="s">
        <v>85</v>
      </c>
      <c r="T123" s="34">
        <v>20110510</v>
      </c>
      <c r="U123" s="45">
        <v>6.9950446633999999</v>
      </c>
      <c r="V123" s="46">
        <v>8.8587207767000002</v>
      </c>
      <c r="W123" s="34" t="s">
        <v>40</v>
      </c>
      <c r="X123" s="34" t="s">
        <v>41</v>
      </c>
      <c r="Y123" s="17" t="s">
        <v>42</v>
      </c>
      <c r="Z123" s="17" t="s">
        <v>181</v>
      </c>
      <c r="AA123" s="34"/>
      <c r="AB123" s="34"/>
      <c r="AC123" s="22">
        <v>0.69575187683105466</v>
      </c>
      <c r="AD123" s="23" t="s">
        <v>2529</v>
      </c>
      <c r="AE123" s="24">
        <v>4.0465753424657533</v>
      </c>
      <c r="AF123" s="25">
        <v>0.11784904521137873</v>
      </c>
      <c r="AG123" s="26">
        <v>0.24399858293457277</v>
      </c>
      <c r="AH123" s="26">
        <v>0.17869669233667618</v>
      </c>
      <c r="AI123" s="27">
        <v>0.49137675124237851</v>
      </c>
      <c r="AJ123" s="27">
        <v>0.76802542996275591</v>
      </c>
      <c r="AK123" s="27">
        <v>0.66583036193251788</v>
      </c>
      <c r="AL123" s="28" t="s">
        <v>2530</v>
      </c>
      <c r="AM123" s="29">
        <v>5</v>
      </c>
      <c r="AN123" s="29">
        <v>3</v>
      </c>
      <c r="AO123" s="29" t="s">
        <v>48</v>
      </c>
      <c r="AP123" s="47" t="s">
        <v>310</v>
      </c>
      <c r="AQ123" s="28">
        <v>0</v>
      </c>
      <c r="AR123" s="26">
        <v>1.4999999999999999E-2</v>
      </c>
      <c r="AS123" s="26">
        <v>0</v>
      </c>
    </row>
    <row r="124" spans="1:45" x14ac:dyDescent="0.15">
      <c r="A124" s="64">
        <v>715</v>
      </c>
      <c r="B124" s="64">
        <v>511</v>
      </c>
      <c r="C124" s="11">
        <v>210003</v>
      </c>
      <c r="D124" s="61">
        <v>444</v>
      </c>
      <c r="E124" s="61">
        <v>-1.0215140334281501E-3</v>
      </c>
      <c r="F124" s="61">
        <v>94</v>
      </c>
      <c r="G124" s="61">
        <v>0.57019516709388895</v>
      </c>
      <c r="H124" s="66">
        <v>114</v>
      </c>
      <c r="I124" s="66" t="str">
        <f>H124&amp;"/"&amp;428</f>
        <v>114/428</v>
      </c>
      <c r="J124" s="68">
        <f>H124/428</f>
        <v>0.26635514018691586</v>
      </c>
      <c r="K124" s="18" t="s">
        <v>44</v>
      </c>
      <c r="L124" s="18" t="s">
        <v>45</v>
      </c>
      <c r="M124" s="58" t="s">
        <v>274</v>
      </c>
      <c r="N124" s="18">
        <f>[1]!f_prt_stocktonav(C124,"2017/03/31")</f>
        <v>85.02581787109375</v>
      </c>
      <c r="O124" s="20" t="str">
        <f>[1]!f_info_fundmanager(C124)</f>
        <v>倪超</v>
      </c>
      <c r="P124" s="21">
        <v>1.8054794520547945</v>
      </c>
      <c r="Q124" s="34" t="s">
        <v>2830</v>
      </c>
      <c r="R124" s="34" t="s">
        <v>2831</v>
      </c>
      <c r="S124" s="34" t="s">
        <v>273</v>
      </c>
      <c r="T124" s="34">
        <v>20090701</v>
      </c>
      <c r="U124" s="45">
        <v>1.7389827443000001</v>
      </c>
      <c r="V124" s="46">
        <v>1.8626777670000001</v>
      </c>
      <c r="W124" s="34" t="s">
        <v>201</v>
      </c>
      <c r="X124" s="34" t="s">
        <v>44</v>
      </c>
      <c r="Y124" s="34" t="s">
        <v>45</v>
      </c>
      <c r="Z124" s="34" t="s">
        <v>274</v>
      </c>
      <c r="AA124" s="34"/>
      <c r="AB124" s="34"/>
      <c r="AC124" s="22">
        <v>0.83710395812988281</v>
      </c>
      <c r="AD124" s="23" t="s">
        <v>2832</v>
      </c>
      <c r="AE124" s="24">
        <v>1.5753424657534247</v>
      </c>
      <c r="AF124" s="25">
        <v>4.0326472423824367E-2</v>
      </c>
      <c r="AG124" s="26">
        <v>0.18609495608350479</v>
      </c>
      <c r="AH124" s="26">
        <v>0.12116761563684107</v>
      </c>
      <c r="AI124" s="27">
        <v>0.22750677550044088</v>
      </c>
      <c r="AJ124" s="27">
        <v>0.66506320269862473</v>
      </c>
      <c r="AK124" s="27">
        <v>0.49676447409857377</v>
      </c>
      <c r="AL124" s="28" t="s">
        <v>1868</v>
      </c>
      <c r="AM124" s="29">
        <v>3</v>
      </c>
      <c r="AN124" s="29">
        <v>4</v>
      </c>
      <c r="AO124" s="29" t="s">
        <v>48</v>
      </c>
      <c r="AP124" s="47" t="s">
        <v>410</v>
      </c>
      <c r="AQ124" s="28">
        <v>0</v>
      </c>
      <c r="AR124" s="26">
        <v>1.4999999999999999E-2</v>
      </c>
      <c r="AS124" s="26">
        <v>0</v>
      </c>
    </row>
    <row r="125" spans="1:45" x14ac:dyDescent="0.15">
      <c r="A125" s="64">
        <v>300</v>
      </c>
      <c r="B125" s="64">
        <v>955</v>
      </c>
      <c r="C125" s="11">
        <v>1179</v>
      </c>
      <c r="D125" s="61">
        <v>447</v>
      </c>
      <c r="E125" s="61">
        <v>-1.03539673908751E-3</v>
      </c>
      <c r="F125" s="61">
        <v>95</v>
      </c>
      <c r="G125" s="61">
        <v>0.58678242364613098</v>
      </c>
      <c r="H125" s="66">
        <v>115</v>
      </c>
      <c r="I125" s="66" t="str">
        <f>H125&amp;"/"&amp;428</f>
        <v>115/428</v>
      </c>
      <c r="J125" s="68">
        <f>H125/428</f>
        <v>0.26869158878504673</v>
      </c>
      <c r="K125" s="18" t="s">
        <v>44</v>
      </c>
      <c r="L125" s="18" t="s">
        <v>45</v>
      </c>
      <c r="M125" s="58" t="s">
        <v>274</v>
      </c>
      <c r="N125" s="18">
        <f>[1]!f_prt_stocktonav(C125,"2017/03/31")</f>
        <v>70.235870361328125</v>
      </c>
      <c r="O125" s="20" t="str">
        <f>[1]!f_info_fundmanager(C125)</f>
        <v>黎莹</v>
      </c>
      <c r="P125" s="21">
        <v>1.8246575342465754</v>
      </c>
      <c r="Q125" s="34" t="s">
        <v>1360</v>
      </c>
      <c r="R125" s="34" t="s">
        <v>1361</v>
      </c>
      <c r="S125" s="34" t="s">
        <v>1362</v>
      </c>
      <c r="T125" s="34">
        <v>20150429</v>
      </c>
      <c r="U125" s="45">
        <v>2.1995895595000001</v>
      </c>
      <c r="V125" s="46">
        <v>2.3654149669</v>
      </c>
      <c r="W125" s="34" t="s">
        <v>3789</v>
      </c>
      <c r="X125" s="34" t="s">
        <v>44</v>
      </c>
      <c r="Y125" s="34" t="s">
        <v>45</v>
      </c>
      <c r="Z125" s="34" t="s">
        <v>274</v>
      </c>
      <c r="AA125" s="34"/>
      <c r="AB125" s="34"/>
      <c r="AC125" s="22">
        <v>0.89341598510742193</v>
      </c>
      <c r="AD125" s="23" t="s">
        <v>1363</v>
      </c>
      <c r="AE125" s="24">
        <v>1.5945205479452054</v>
      </c>
      <c r="AF125" s="25">
        <v>-0.10771289303324882</v>
      </c>
      <c r="AG125" s="26">
        <v>0</v>
      </c>
      <c r="AH125" s="26">
        <v>0</v>
      </c>
      <c r="AI125" s="27">
        <v>-0.18863539262584533</v>
      </c>
      <c r="AJ125" s="27">
        <v>-0.18863539262584533</v>
      </c>
      <c r="AK125" s="27">
        <v>-0.18863539262584533</v>
      </c>
      <c r="AL125" s="28" t="s">
        <v>1364</v>
      </c>
      <c r="AM125" s="29" t="s">
        <v>48</v>
      </c>
      <c r="AN125" s="29" t="s">
        <v>48</v>
      </c>
      <c r="AO125" s="29" t="s">
        <v>48</v>
      </c>
      <c r="AP125" s="47" t="s">
        <v>845</v>
      </c>
      <c r="AQ125" s="28">
        <v>0</v>
      </c>
      <c r="AR125" s="26">
        <v>1.4999999999999999E-2</v>
      </c>
      <c r="AS125" s="26">
        <v>0</v>
      </c>
    </row>
    <row r="126" spans="1:45" x14ac:dyDescent="0.15">
      <c r="A126" s="64">
        <v>430</v>
      </c>
      <c r="B126" s="64">
        <v>224</v>
      </c>
      <c r="C126" s="11">
        <v>160133</v>
      </c>
      <c r="D126" s="61">
        <v>449</v>
      </c>
      <c r="E126" s="61">
        <v>-1.0441417364548699E-3</v>
      </c>
      <c r="F126" s="61">
        <v>94</v>
      </c>
      <c r="G126" s="61">
        <v>0.51826148278615902</v>
      </c>
      <c r="H126" s="66">
        <v>116</v>
      </c>
      <c r="I126" s="66" t="str">
        <f>H126&amp;"/"&amp;428</f>
        <v>116/428</v>
      </c>
      <c r="J126" s="68">
        <f>H126/428</f>
        <v>0.27102803738317754</v>
      </c>
      <c r="K126" s="18" t="s">
        <v>44</v>
      </c>
      <c r="L126" s="18" t="s">
        <v>45</v>
      </c>
      <c r="M126" s="58" t="s">
        <v>274</v>
      </c>
      <c r="N126" s="18">
        <f>[1]!f_prt_stocktonav(C126,"2017/03/31")</f>
        <v>91.298973083496094</v>
      </c>
      <c r="O126" s="20" t="str">
        <f>[1]!f_info_fundmanager(C126)</f>
        <v>蒋秋洁</v>
      </c>
      <c r="P126" s="21">
        <v>1.7917808219178082</v>
      </c>
      <c r="Q126" s="34" t="s">
        <v>1844</v>
      </c>
      <c r="R126" s="34" t="s">
        <v>1845</v>
      </c>
      <c r="S126" s="34" t="s">
        <v>284</v>
      </c>
      <c r="T126" s="34">
        <v>20140703</v>
      </c>
      <c r="U126" s="45">
        <v>5.0188276482000003</v>
      </c>
      <c r="V126" s="46">
        <v>5.2163355436999996</v>
      </c>
      <c r="W126" s="34" t="s">
        <v>3776</v>
      </c>
      <c r="X126" s="34" t="s">
        <v>44</v>
      </c>
      <c r="Y126" s="34" t="s">
        <v>45</v>
      </c>
      <c r="Z126" s="34" t="s">
        <v>274</v>
      </c>
      <c r="AA126" s="34"/>
      <c r="AB126" s="34"/>
      <c r="AC126" s="22">
        <v>0.80374893188476559</v>
      </c>
      <c r="AD126" s="23" t="s">
        <v>1846</v>
      </c>
      <c r="AE126" s="24">
        <v>1.5616438356164384</v>
      </c>
      <c r="AF126" s="25">
        <v>0.25461362031813972</v>
      </c>
      <c r="AG126" s="26">
        <v>0</v>
      </c>
      <c r="AH126" s="26">
        <v>0</v>
      </c>
      <c r="AI126" s="27">
        <v>0.85816075846430206</v>
      </c>
      <c r="AJ126" s="27">
        <v>0.85816075846430206</v>
      </c>
      <c r="AK126" s="27">
        <v>0.85816075846430206</v>
      </c>
      <c r="AL126" s="28" t="s">
        <v>1459</v>
      </c>
      <c r="AM126" s="29">
        <v>5</v>
      </c>
      <c r="AN126" s="29">
        <v>2</v>
      </c>
      <c r="AO126" s="29" t="s">
        <v>48</v>
      </c>
      <c r="AP126" s="47" t="s">
        <v>1847</v>
      </c>
      <c r="AQ126" s="28">
        <v>0</v>
      </c>
      <c r="AR126" s="26">
        <v>1.4999999999999999E-2</v>
      </c>
      <c r="AS126" s="26">
        <v>0</v>
      </c>
    </row>
    <row r="127" spans="1:45" x14ac:dyDescent="0.15">
      <c r="A127" s="64">
        <v>268</v>
      </c>
      <c r="B127" s="64">
        <v>846</v>
      </c>
      <c r="C127" s="11">
        <v>1220</v>
      </c>
      <c r="D127" s="61">
        <v>450</v>
      </c>
      <c r="E127" s="61">
        <v>-1.0499489869160599E-3</v>
      </c>
      <c r="F127" s="61">
        <v>94</v>
      </c>
      <c r="G127" s="61">
        <v>0.48527868630045101</v>
      </c>
      <c r="H127" s="66">
        <v>117</v>
      </c>
      <c r="I127" s="66" t="str">
        <f>H127&amp;"/"&amp;428</f>
        <v>117/428</v>
      </c>
      <c r="J127" s="68">
        <f>H127/428</f>
        <v>0.27336448598130841</v>
      </c>
      <c r="K127" s="18" t="s">
        <v>44</v>
      </c>
      <c r="L127" s="18" t="s">
        <v>45</v>
      </c>
      <c r="M127" s="58" t="s">
        <v>274</v>
      </c>
      <c r="N127" s="18">
        <f>[1]!f_prt_stocktonav(C127,"2017/03/31")</f>
        <v>74.606918334960937</v>
      </c>
      <c r="O127" s="20" t="str">
        <f>[1]!f_info_fundmanager(C127)</f>
        <v>宋磊</v>
      </c>
      <c r="P127" s="21">
        <v>1.8465753424657534</v>
      </c>
      <c r="Q127" s="34" t="s">
        <v>1232</v>
      </c>
      <c r="R127" s="34" t="s">
        <v>1233</v>
      </c>
      <c r="S127" s="34" t="s">
        <v>1234</v>
      </c>
      <c r="T127" s="34">
        <v>20150527</v>
      </c>
      <c r="U127" s="45">
        <v>14.777214430200001</v>
      </c>
      <c r="V127" s="46">
        <v>16.107988771399999</v>
      </c>
      <c r="W127" s="34" t="s">
        <v>3776</v>
      </c>
      <c r="X127" s="34" t="s">
        <v>41</v>
      </c>
      <c r="Y127" s="17" t="s">
        <v>42</v>
      </c>
      <c r="Z127" s="17" t="s">
        <v>181</v>
      </c>
      <c r="AA127" s="34"/>
      <c r="AB127" s="34"/>
      <c r="AC127" s="22">
        <v>0.60928226470947267</v>
      </c>
      <c r="AD127" s="23" t="s">
        <v>1236</v>
      </c>
      <c r="AE127" s="24">
        <v>1.6164383561643836</v>
      </c>
      <c r="AF127" s="25">
        <v>-0.11780614755741305</v>
      </c>
      <c r="AG127" s="26">
        <v>0</v>
      </c>
      <c r="AH127" s="26">
        <v>0</v>
      </c>
      <c r="AI127" s="27">
        <v>-0.54509093303454637</v>
      </c>
      <c r="AJ127" s="27">
        <v>-0.54509093303454637</v>
      </c>
      <c r="AK127" s="27">
        <v>-0.54509093303454637</v>
      </c>
      <c r="AL127" s="28" t="s">
        <v>1237</v>
      </c>
      <c r="AM127" s="29" t="s">
        <v>48</v>
      </c>
      <c r="AN127" s="29" t="s">
        <v>48</v>
      </c>
      <c r="AO127" s="29" t="s">
        <v>48</v>
      </c>
      <c r="AP127" s="47" t="s">
        <v>1238</v>
      </c>
      <c r="AQ127" s="28">
        <v>0</v>
      </c>
      <c r="AR127" s="26">
        <v>1.4999999999999999E-2</v>
      </c>
      <c r="AS127" s="26">
        <v>0</v>
      </c>
    </row>
    <row r="128" spans="1:45" x14ac:dyDescent="0.15">
      <c r="A128" s="64">
        <v>725</v>
      </c>
      <c r="B128" s="64">
        <v>670</v>
      </c>
      <c r="C128" s="11">
        <v>20015</v>
      </c>
      <c r="D128" s="61">
        <v>452</v>
      </c>
      <c r="E128" s="61">
        <v>-1.0726503692110501E-3</v>
      </c>
      <c r="F128" s="61">
        <v>402</v>
      </c>
      <c r="G128" s="61">
        <v>0.19812638053096901</v>
      </c>
      <c r="H128" s="66">
        <v>118</v>
      </c>
      <c r="I128" s="66" t="str">
        <f>H128&amp;"/"&amp;428</f>
        <v>118/428</v>
      </c>
      <c r="J128" s="68">
        <f>H128/428</f>
        <v>0.27570093457943923</v>
      </c>
      <c r="K128" s="18" t="s">
        <v>44</v>
      </c>
      <c r="L128" s="18" t="s">
        <v>45</v>
      </c>
      <c r="M128" s="58" t="s">
        <v>274</v>
      </c>
      <c r="N128" s="18">
        <f>[1]!f_prt_stocktonav(C128,"2017/03/31")</f>
        <v>80.819572448730469</v>
      </c>
      <c r="O128" s="20" t="str">
        <f>[1]!f_info_fundmanager(C128)</f>
        <v>邓时锋,饶玉涵</v>
      </c>
      <c r="P128" s="21">
        <v>7.8493150684931505</v>
      </c>
      <c r="Q128" s="34" t="s">
        <v>2866</v>
      </c>
      <c r="R128" s="34" t="s">
        <v>2867</v>
      </c>
      <c r="S128" s="34" t="s">
        <v>663</v>
      </c>
      <c r="T128" s="34">
        <v>20090527</v>
      </c>
      <c r="U128" s="45">
        <v>2.0352063150999999</v>
      </c>
      <c r="V128" s="46">
        <v>2.1147426005000001</v>
      </c>
      <c r="W128" s="34" t="s">
        <v>201</v>
      </c>
      <c r="X128" s="34" t="s">
        <v>44</v>
      </c>
      <c r="Y128" s="34" t="s">
        <v>45</v>
      </c>
      <c r="Z128" s="34" t="s">
        <v>274</v>
      </c>
      <c r="AA128" s="34"/>
      <c r="AB128" s="34"/>
      <c r="AC128" s="22">
        <v>0.83284500122070315</v>
      </c>
      <c r="AD128" s="23" t="s">
        <v>942</v>
      </c>
      <c r="AE128" s="24">
        <v>7.6191780821917812</v>
      </c>
      <c r="AF128" s="25">
        <v>0.11235119720802868</v>
      </c>
      <c r="AG128" s="26">
        <v>0.17934661292504916</v>
      </c>
      <c r="AH128" s="26">
        <v>0.16067341652014178</v>
      </c>
      <c r="AI128" s="27">
        <v>0.50271679674600644</v>
      </c>
      <c r="AJ128" s="27">
        <v>0.63415951558732708</v>
      </c>
      <c r="AK128" s="27">
        <v>0.63038399910059906</v>
      </c>
      <c r="AL128" s="28" t="s">
        <v>1459</v>
      </c>
      <c r="AM128" s="29">
        <v>4</v>
      </c>
      <c r="AN128" s="29">
        <v>2</v>
      </c>
      <c r="AO128" s="29" t="s">
        <v>48</v>
      </c>
      <c r="AP128" s="47" t="s">
        <v>101</v>
      </c>
      <c r="AQ128" s="28">
        <v>0</v>
      </c>
      <c r="AR128" s="26">
        <v>1.4999999999999999E-2</v>
      </c>
      <c r="AS128" s="26">
        <v>0</v>
      </c>
    </row>
    <row r="129" spans="1:45" x14ac:dyDescent="0.15">
      <c r="A129" s="64">
        <v>230</v>
      </c>
      <c r="B129" s="64">
        <v>630</v>
      </c>
      <c r="C129" s="11">
        <v>1294</v>
      </c>
      <c r="D129" s="61">
        <v>454</v>
      </c>
      <c r="E129" s="61">
        <v>-1.0803369482320401E-3</v>
      </c>
      <c r="F129" s="61">
        <v>89</v>
      </c>
      <c r="G129" s="61">
        <v>0.637290990978026</v>
      </c>
      <c r="H129" s="66">
        <v>119</v>
      </c>
      <c r="I129" s="66" t="str">
        <f>H129&amp;"/"&amp;428</f>
        <v>119/428</v>
      </c>
      <c r="J129" s="68">
        <f>H129/428</f>
        <v>0.2780373831775701</v>
      </c>
      <c r="K129" s="18" t="s">
        <v>44</v>
      </c>
      <c r="L129" s="18" t="s">
        <v>87</v>
      </c>
      <c r="M129" s="58" t="s">
        <v>274</v>
      </c>
      <c r="N129" s="18">
        <f>[1]!f_prt_stocktonav(C129,"2017/03/31")</f>
        <v>82.0592041015625</v>
      </c>
      <c r="O129" s="20" t="str">
        <f>[1]!f_info_fundmanager(C129)</f>
        <v>付伟,崔建波</v>
      </c>
      <c r="P129" s="21">
        <v>1.7561643835616438</v>
      </c>
      <c r="Q129" s="34" t="s">
        <v>1070</v>
      </c>
      <c r="R129" s="34" t="s">
        <v>1071</v>
      </c>
      <c r="S129" s="34" t="s">
        <v>569</v>
      </c>
      <c r="T129" s="34">
        <v>20150629</v>
      </c>
      <c r="U129" s="45">
        <v>3.3651455539000001</v>
      </c>
      <c r="V129" s="46">
        <v>5.9627675492999996</v>
      </c>
      <c r="W129" s="34" t="s">
        <v>3789</v>
      </c>
      <c r="X129" s="34" t="s">
        <v>44</v>
      </c>
      <c r="Y129" s="34" t="s">
        <v>45</v>
      </c>
      <c r="Z129" s="34" t="s">
        <v>274</v>
      </c>
      <c r="AA129" s="34"/>
      <c r="AB129" s="34"/>
      <c r="AC129" s="22">
        <v>0.88543708801269527</v>
      </c>
      <c r="AD129" s="23" t="s">
        <v>1072</v>
      </c>
      <c r="AE129" s="24">
        <v>1.526027397260274</v>
      </c>
      <c r="AF129" s="25">
        <v>-0.10049321788985865</v>
      </c>
      <c r="AG129" s="26">
        <v>0</v>
      </c>
      <c r="AH129" s="26">
        <v>0</v>
      </c>
      <c r="AI129" s="27">
        <v>-0.34394932752195462</v>
      </c>
      <c r="AJ129" s="27">
        <v>-0.34394932752195462</v>
      </c>
      <c r="AK129" s="27">
        <v>-0.34394932752195462</v>
      </c>
      <c r="AL129" s="28" t="s">
        <v>1073</v>
      </c>
      <c r="AM129" s="29" t="s">
        <v>48</v>
      </c>
      <c r="AN129" s="29" t="s">
        <v>48</v>
      </c>
      <c r="AO129" s="29" t="s">
        <v>48</v>
      </c>
      <c r="AP129" s="47" t="s">
        <v>1074</v>
      </c>
      <c r="AQ129" s="28">
        <v>0</v>
      </c>
      <c r="AR129" s="26">
        <v>1.4999999999999999E-2</v>
      </c>
      <c r="AS129" s="26">
        <v>0</v>
      </c>
    </row>
    <row r="130" spans="1:45" x14ac:dyDescent="0.15">
      <c r="A130" s="64">
        <v>415</v>
      </c>
      <c r="B130" s="64">
        <v>34</v>
      </c>
      <c r="C130" s="11">
        <v>755</v>
      </c>
      <c r="D130" s="61">
        <v>455</v>
      </c>
      <c r="E130" s="61">
        <v>-1.0838129481468401E-3</v>
      </c>
      <c r="F130" s="61">
        <v>97</v>
      </c>
      <c r="G130" s="61">
        <v>0.69590686245502298</v>
      </c>
      <c r="H130" s="66">
        <v>120</v>
      </c>
      <c r="I130" s="66" t="str">
        <f>H130&amp;"/"&amp;428</f>
        <v>120/428</v>
      </c>
      <c r="J130" s="68">
        <f>H130/428</f>
        <v>0.28037383177570091</v>
      </c>
      <c r="K130" s="18" t="s">
        <v>44</v>
      </c>
      <c r="L130" s="18" t="s">
        <v>87</v>
      </c>
      <c r="M130" s="58" t="s">
        <v>274</v>
      </c>
      <c r="N130" s="18">
        <f>[1]!f_prt_stocktonav(C130,"2017/03/31")</f>
        <v>94.537864685058594</v>
      </c>
      <c r="O130" s="20" t="str">
        <f>[1]!f_info_fundmanager(C130)</f>
        <v>孙绍冰</v>
      </c>
      <c r="P130" s="21">
        <v>1.8602739726027397</v>
      </c>
      <c r="Q130" s="34" t="s">
        <v>1789</v>
      </c>
      <c r="R130" s="34" t="s">
        <v>1790</v>
      </c>
      <c r="S130" s="34" t="s">
        <v>98</v>
      </c>
      <c r="T130" s="34">
        <v>20140911</v>
      </c>
      <c r="U130" s="45">
        <v>0.63016816919999996</v>
      </c>
      <c r="V130" s="46">
        <v>0.83193752509999996</v>
      </c>
      <c r="W130" s="34" t="s">
        <v>3776</v>
      </c>
      <c r="X130" s="34" t="s">
        <v>44</v>
      </c>
      <c r="Y130" s="34" t="s">
        <v>45</v>
      </c>
      <c r="Z130" s="34" t="s">
        <v>274</v>
      </c>
      <c r="AA130" s="34"/>
      <c r="AB130" s="34"/>
      <c r="AC130" s="22">
        <v>0.79633033752441407</v>
      </c>
      <c r="AD130" s="23" t="s">
        <v>1791</v>
      </c>
      <c r="AE130" s="24">
        <v>1.6301369863013699</v>
      </c>
      <c r="AF130" s="25">
        <v>1.6364100400917403E-2</v>
      </c>
      <c r="AG130" s="26">
        <v>0</v>
      </c>
      <c r="AH130" s="26">
        <v>0</v>
      </c>
      <c r="AI130" s="27">
        <v>0.11038087228575164</v>
      </c>
      <c r="AJ130" s="27">
        <v>0.11038087228575164</v>
      </c>
      <c r="AK130" s="27">
        <v>0.11038087228575164</v>
      </c>
      <c r="AL130" s="28" t="s">
        <v>100</v>
      </c>
      <c r="AM130" s="29" t="s">
        <v>48</v>
      </c>
      <c r="AN130" s="29" t="s">
        <v>48</v>
      </c>
      <c r="AO130" s="29" t="s">
        <v>48</v>
      </c>
      <c r="AP130" s="47" t="s">
        <v>310</v>
      </c>
      <c r="AQ130" s="28">
        <v>0</v>
      </c>
      <c r="AR130" s="26">
        <v>1.4999999999999999E-2</v>
      </c>
      <c r="AS130" s="26">
        <v>0</v>
      </c>
    </row>
    <row r="131" spans="1:45" x14ac:dyDescent="0.15">
      <c r="A131" s="64">
        <v>683</v>
      </c>
      <c r="B131" s="64">
        <v>890</v>
      </c>
      <c r="C131" s="11">
        <v>163809</v>
      </c>
      <c r="D131" s="61">
        <v>460</v>
      </c>
      <c r="E131" s="61">
        <v>-1.1165244964506001E-3</v>
      </c>
      <c r="F131" s="61">
        <v>88</v>
      </c>
      <c r="G131" s="61">
        <v>0.47239693471947503</v>
      </c>
      <c r="H131" s="66">
        <v>121</v>
      </c>
      <c r="I131" s="66" t="str">
        <f>H131&amp;"/"&amp;428</f>
        <v>121/428</v>
      </c>
      <c r="J131" s="68">
        <f>H131/428</f>
        <v>0.28271028037383178</v>
      </c>
      <c r="K131" s="18" t="s">
        <v>44</v>
      </c>
      <c r="L131" s="18" t="s">
        <v>45</v>
      </c>
      <c r="M131" s="58" t="s">
        <v>274</v>
      </c>
      <c r="N131" s="18">
        <f>[1]!f_prt_stocktonav(C131,"2017/03/31")</f>
        <v>73.116012573242188</v>
      </c>
      <c r="O131" s="20" t="str">
        <f>[1]!f_info_fundmanager(C131)</f>
        <v>王帅</v>
      </c>
      <c r="P131" s="21">
        <v>1.6739726027397259</v>
      </c>
      <c r="Q131" s="34" t="s">
        <v>2727</v>
      </c>
      <c r="R131" s="34" t="s">
        <v>2728</v>
      </c>
      <c r="S131" s="34" t="s">
        <v>71</v>
      </c>
      <c r="T131" s="34">
        <v>20100211</v>
      </c>
      <c r="U131" s="45">
        <v>2.2869275659000001</v>
      </c>
      <c r="V131" s="46">
        <v>2.4325923292999998</v>
      </c>
      <c r="W131" s="34" t="s">
        <v>201</v>
      </c>
      <c r="X131" s="34" t="s">
        <v>41</v>
      </c>
      <c r="Y131" s="17" t="s">
        <v>42</v>
      </c>
      <c r="Z131" s="17" t="s">
        <v>181</v>
      </c>
      <c r="AA131" s="34"/>
      <c r="AB131" s="34"/>
      <c r="AC131" s="22">
        <v>0.68616157531738287</v>
      </c>
      <c r="AD131" s="23" t="s">
        <v>2729</v>
      </c>
      <c r="AE131" s="24">
        <v>1.4438356164383561</v>
      </c>
      <c r="AF131" s="25">
        <v>2.0762565242155917E-2</v>
      </c>
      <c r="AG131" s="26">
        <v>3.0976347254563219E-2</v>
      </c>
      <c r="AH131" s="26">
        <v>6.4286073364506091E-2</v>
      </c>
      <c r="AI131" s="27">
        <v>0.12991227711566261</v>
      </c>
      <c r="AJ131" s="27">
        <v>0.18060000985839481</v>
      </c>
      <c r="AK131" s="27">
        <v>0.32661913722816693</v>
      </c>
      <c r="AL131" s="28" t="s">
        <v>323</v>
      </c>
      <c r="AM131" s="29">
        <v>1</v>
      </c>
      <c r="AN131" s="29">
        <v>3</v>
      </c>
      <c r="AO131" s="29" t="s">
        <v>48</v>
      </c>
      <c r="AP131" s="47" t="s">
        <v>845</v>
      </c>
      <c r="AQ131" s="28">
        <v>0</v>
      </c>
      <c r="AR131" s="26">
        <v>1.4999999999999999E-2</v>
      </c>
      <c r="AS131" s="26">
        <v>0</v>
      </c>
    </row>
    <row r="132" spans="1:45" x14ac:dyDescent="0.15">
      <c r="A132" s="64">
        <v>749</v>
      </c>
      <c r="B132" s="64">
        <v>434</v>
      </c>
      <c r="C132" s="11">
        <v>110013</v>
      </c>
      <c r="D132" s="61">
        <v>461</v>
      </c>
      <c r="E132" s="61">
        <v>-1.12491009035164E-3</v>
      </c>
      <c r="F132" s="61">
        <v>151</v>
      </c>
      <c r="G132" s="61">
        <v>0.43652458864558702</v>
      </c>
      <c r="H132" s="66">
        <v>122</v>
      </c>
      <c r="I132" s="66" t="str">
        <f>H132&amp;"/"&amp;428</f>
        <v>122/428</v>
      </c>
      <c r="J132" s="68">
        <f>H132/428</f>
        <v>0.28504672897196259</v>
      </c>
      <c r="K132" s="18" t="s">
        <v>44</v>
      </c>
      <c r="L132" s="18" t="s">
        <v>87</v>
      </c>
      <c r="M132" s="58" t="s">
        <v>274</v>
      </c>
      <c r="N132" s="18">
        <f>[1]!f_prt_stocktonav(C132,"2017/03/31")</f>
        <v>86.588531494140625</v>
      </c>
      <c r="O132" s="20" t="str">
        <f>[1]!f_info_fundmanager(C132)</f>
        <v>陈皓</v>
      </c>
      <c r="P132" s="21">
        <v>2.893150684931507</v>
      </c>
      <c r="Q132" s="34" t="s">
        <v>2950</v>
      </c>
      <c r="R132" s="34" t="s">
        <v>2951</v>
      </c>
      <c r="S132" s="34" t="s">
        <v>218</v>
      </c>
      <c r="T132" s="34">
        <v>20081113</v>
      </c>
      <c r="U132" s="45">
        <v>26.960367568100001</v>
      </c>
      <c r="V132" s="46">
        <v>33.485322807999999</v>
      </c>
      <c r="W132" s="34" t="s">
        <v>231</v>
      </c>
      <c r="X132" s="34" t="s">
        <v>44</v>
      </c>
      <c r="Y132" s="34" t="s">
        <v>45</v>
      </c>
      <c r="Z132" s="34" t="s">
        <v>274</v>
      </c>
      <c r="AA132" s="34"/>
      <c r="AB132" s="34"/>
      <c r="AC132" s="22">
        <v>0.81307510375976566</v>
      </c>
      <c r="AD132" s="23" t="s">
        <v>1133</v>
      </c>
      <c r="AE132" s="24">
        <v>2.6630136986301371</v>
      </c>
      <c r="AF132" s="25">
        <v>0.17119185095755143</v>
      </c>
      <c r="AG132" s="26">
        <v>0.24486904390335762</v>
      </c>
      <c r="AH132" s="26">
        <v>0.20118566785021463</v>
      </c>
      <c r="AI132" s="27">
        <v>0.64933064613634539</v>
      </c>
      <c r="AJ132" s="27">
        <v>0.75929336048205653</v>
      </c>
      <c r="AK132" s="27">
        <v>0.71568642136840088</v>
      </c>
      <c r="AL132" s="28" t="s">
        <v>2952</v>
      </c>
      <c r="AM132" s="29">
        <v>4</v>
      </c>
      <c r="AN132" s="29">
        <v>5</v>
      </c>
      <c r="AO132" s="29" t="s">
        <v>48</v>
      </c>
      <c r="AP132" s="47" t="s">
        <v>2457</v>
      </c>
      <c r="AQ132" s="28">
        <v>0</v>
      </c>
      <c r="AR132" s="26">
        <v>1.4999999999999999E-2</v>
      </c>
      <c r="AS132" s="26">
        <v>0</v>
      </c>
    </row>
    <row r="133" spans="1:45" x14ac:dyDescent="0.15">
      <c r="A133" s="64">
        <v>632</v>
      </c>
      <c r="B133" s="64">
        <v>954</v>
      </c>
      <c r="C133" s="11">
        <v>260115</v>
      </c>
      <c r="D133" s="61">
        <v>464</v>
      </c>
      <c r="E133" s="61">
        <v>-1.16053133313424E-3</v>
      </c>
      <c r="F133" s="61">
        <v>308</v>
      </c>
      <c r="G133" s="61">
        <v>0.15585790329589799</v>
      </c>
      <c r="H133" s="66">
        <v>123</v>
      </c>
      <c r="I133" s="66" t="str">
        <f>H133&amp;"/"&amp;428</f>
        <v>123/428</v>
      </c>
      <c r="J133" s="68">
        <f>H133/428</f>
        <v>0.28738317757009346</v>
      </c>
      <c r="K133" s="18" t="s">
        <v>44</v>
      </c>
      <c r="L133" s="18" t="s">
        <v>45</v>
      </c>
      <c r="M133" s="58" t="s">
        <v>274</v>
      </c>
      <c r="N133" s="18">
        <f>[1]!f_prt_stocktonav(C133,"2017/03/31")</f>
        <v>70.244499206542969</v>
      </c>
      <c r="O133" s="20" t="str">
        <f>[1]!f_info_fundmanager(C133)</f>
        <v>杨鹏</v>
      </c>
      <c r="P133" s="21">
        <v>6.0301369863013701</v>
      </c>
      <c r="Q133" s="34" t="s">
        <v>2557</v>
      </c>
      <c r="R133" s="34" t="s">
        <v>2558</v>
      </c>
      <c r="S133" s="34" t="s">
        <v>353</v>
      </c>
      <c r="T133" s="34">
        <v>20110322</v>
      </c>
      <c r="U133" s="45">
        <v>2.27266843</v>
      </c>
      <c r="V133" s="46">
        <v>1.7005704933000001</v>
      </c>
      <c r="W133" s="34" t="s">
        <v>3776</v>
      </c>
      <c r="X133" s="34" t="s">
        <v>44</v>
      </c>
      <c r="Y133" s="34" t="s">
        <v>45</v>
      </c>
      <c r="Z133" s="34" t="s">
        <v>274</v>
      </c>
      <c r="AA133" s="34"/>
      <c r="AB133" s="34"/>
      <c r="AC133" s="22">
        <v>0.77340629577636721</v>
      </c>
      <c r="AD133" s="23" t="s">
        <v>2559</v>
      </c>
      <c r="AE133" s="24">
        <v>5.8</v>
      </c>
      <c r="AF133" s="25">
        <v>8.1606261237772801E-2</v>
      </c>
      <c r="AG133" s="26">
        <v>0.12089329391896353</v>
      </c>
      <c r="AH133" s="26">
        <v>0.14615752398588855</v>
      </c>
      <c r="AI133" s="27">
        <v>0.37436987106341735</v>
      </c>
      <c r="AJ133" s="27">
        <v>0.46844409057226238</v>
      </c>
      <c r="AK133" s="27">
        <v>0.58597973926382307</v>
      </c>
      <c r="AL133" s="28" t="s">
        <v>2560</v>
      </c>
      <c r="AM133" s="29">
        <v>3</v>
      </c>
      <c r="AN133" s="29">
        <v>3</v>
      </c>
      <c r="AO133" s="29" t="s">
        <v>48</v>
      </c>
      <c r="AP133" s="47" t="s">
        <v>209</v>
      </c>
      <c r="AQ133" s="28">
        <v>0</v>
      </c>
      <c r="AR133" s="26">
        <v>1.4999999999999999E-2</v>
      </c>
      <c r="AS133" s="26">
        <v>0</v>
      </c>
    </row>
    <row r="134" spans="1:45" x14ac:dyDescent="0.15">
      <c r="A134" s="64">
        <v>231</v>
      </c>
      <c r="B134" s="64">
        <v>644</v>
      </c>
      <c r="C134" s="11">
        <v>1480</v>
      </c>
      <c r="D134" s="61">
        <v>465</v>
      </c>
      <c r="E134" s="61">
        <v>-1.16908332092291E-3</v>
      </c>
      <c r="F134" s="61">
        <v>89</v>
      </c>
      <c r="G134" s="61">
        <v>0.67040825216856004</v>
      </c>
      <c r="H134" s="66">
        <v>124</v>
      </c>
      <c r="I134" s="66" t="str">
        <f>H134&amp;"/"&amp;428</f>
        <v>124/428</v>
      </c>
      <c r="J134" s="68">
        <f>H134/428</f>
        <v>0.28971962616822428</v>
      </c>
      <c r="K134" s="18" t="s">
        <v>44</v>
      </c>
      <c r="L134" s="18" t="s">
        <v>45</v>
      </c>
      <c r="M134" s="58" t="s">
        <v>274</v>
      </c>
      <c r="N134" s="18">
        <f>[1]!f_prt_stocktonav(C134,"2017/03/31")</f>
        <v>81.633125305175781</v>
      </c>
      <c r="O134" s="20" t="str">
        <f>[1]!f_info_fundmanager(C134)</f>
        <v>金梓才</v>
      </c>
      <c r="P134" s="21">
        <v>1.7561643835616438</v>
      </c>
      <c r="Q134" s="34" t="s">
        <v>1075</v>
      </c>
      <c r="R134" s="34" t="s">
        <v>1076</v>
      </c>
      <c r="S134" s="34" t="s">
        <v>238</v>
      </c>
      <c r="T134" s="34">
        <v>20150629</v>
      </c>
      <c r="U134" s="45">
        <v>7.3890675452999997</v>
      </c>
      <c r="V134" s="46">
        <v>8.2631185247999994</v>
      </c>
      <c r="W134" s="34" t="s">
        <v>1235</v>
      </c>
      <c r="X134" s="34" t="s">
        <v>44</v>
      </c>
      <c r="Y134" s="34" t="s">
        <v>45</v>
      </c>
      <c r="Z134" s="34" t="s">
        <v>274</v>
      </c>
      <c r="AA134" s="34"/>
      <c r="AB134" s="34"/>
      <c r="AC134" s="22">
        <v>0.72162231445312497</v>
      </c>
      <c r="AD134" s="23" t="s">
        <v>1077</v>
      </c>
      <c r="AE134" s="24">
        <v>1.526027397260274</v>
      </c>
      <c r="AF134" s="25">
        <v>-0.12509998281326162</v>
      </c>
      <c r="AG134" s="26">
        <v>0</v>
      </c>
      <c r="AH134" s="26">
        <v>0</v>
      </c>
      <c r="AI134" s="27">
        <v>-0.39997660549641706</v>
      </c>
      <c r="AJ134" s="27">
        <v>-0.39997660549641706</v>
      </c>
      <c r="AK134" s="27">
        <v>-0.39997660549641706</v>
      </c>
      <c r="AL134" s="28" t="s">
        <v>240</v>
      </c>
      <c r="AM134" s="29" t="s">
        <v>48</v>
      </c>
      <c r="AN134" s="29" t="s">
        <v>48</v>
      </c>
      <c r="AO134" s="29" t="s">
        <v>48</v>
      </c>
      <c r="AP134" s="47" t="s">
        <v>82</v>
      </c>
      <c r="AQ134" s="28">
        <v>0</v>
      </c>
      <c r="AR134" s="26">
        <v>1.4999999999999999E-2</v>
      </c>
      <c r="AS134" s="26">
        <v>0</v>
      </c>
    </row>
    <row r="135" spans="1:45" x14ac:dyDescent="0.15">
      <c r="A135" s="64">
        <v>474</v>
      </c>
      <c r="B135" s="64">
        <v>189</v>
      </c>
      <c r="C135" s="11">
        <v>471</v>
      </c>
      <c r="D135" s="61">
        <v>466</v>
      </c>
      <c r="E135" s="61">
        <v>-1.17984851515631E-3</v>
      </c>
      <c r="F135" s="61">
        <v>163</v>
      </c>
      <c r="G135" s="61">
        <v>0.34637779513034</v>
      </c>
      <c r="H135" s="66">
        <v>125</v>
      </c>
      <c r="I135" s="66" t="str">
        <f>H135&amp;"/"&amp;428</f>
        <v>125/428</v>
      </c>
      <c r="J135" s="68">
        <f>H135/428</f>
        <v>0.29205607476635514</v>
      </c>
      <c r="K135" s="18" t="s">
        <v>44</v>
      </c>
      <c r="L135" s="18" t="s">
        <v>45</v>
      </c>
      <c r="M135" s="58" t="s">
        <v>274</v>
      </c>
      <c r="N135" s="18">
        <f>[1]!f_prt_stocktonav(C135,"2017/03/31")</f>
        <v>92.002357482910156</v>
      </c>
      <c r="O135" s="20" t="str">
        <f>[1]!f_info_fundmanager(C135)</f>
        <v>汪鸣,毕天宇</v>
      </c>
      <c r="P135" s="21">
        <v>3.1726027397260275</v>
      </c>
      <c r="Q135" s="34" t="s">
        <v>2011</v>
      </c>
      <c r="R135" s="34" t="s">
        <v>2012</v>
      </c>
      <c r="S135" s="34" t="s">
        <v>396</v>
      </c>
      <c r="T135" s="34">
        <v>20140128</v>
      </c>
      <c r="U135" s="45">
        <v>40.860494884200001</v>
      </c>
      <c r="V135" s="46">
        <v>45.5907116331</v>
      </c>
      <c r="W135" s="34" t="s">
        <v>3776</v>
      </c>
      <c r="X135" s="34" t="s">
        <v>44</v>
      </c>
      <c r="Y135" s="34" t="s">
        <v>45</v>
      </c>
      <c r="Z135" s="34" t="s">
        <v>274</v>
      </c>
      <c r="AA135" s="34"/>
      <c r="AB135" s="34"/>
      <c r="AC135" s="22">
        <v>0.87761451721191408</v>
      </c>
      <c r="AD135" s="23" t="s">
        <v>2013</v>
      </c>
      <c r="AE135" s="24">
        <v>2.9424657534246577</v>
      </c>
      <c r="AF135" s="25">
        <v>0.37051997432956019</v>
      </c>
      <c r="AG135" s="26">
        <v>0</v>
      </c>
      <c r="AH135" s="26">
        <v>0</v>
      </c>
      <c r="AI135" s="27">
        <v>1.0345338018707864</v>
      </c>
      <c r="AJ135" s="27">
        <v>1.0345338018707864</v>
      </c>
      <c r="AK135" s="27">
        <v>1.0345338018707864</v>
      </c>
      <c r="AL135" s="28" t="s">
        <v>167</v>
      </c>
      <c r="AM135" s="29" t="s">
        <v>48</v>
      </c>
      <c r="AN135" s="29" t="s">
        <v>48</v>
      </c>
      <c r="AO135" s="29" t="s">
        <v>48</v>
      </c>
      <c r="AP135" s="47" t="s">
        <v>1854</v>
      </c>
      <c r="AQ135" s="28" t="s">
        <v>608</v>
      </c>
      <c r="AR135" s="26">
        <v>1.4999999999999999E-2</v>
      </c>
      <c r="AS135" s="26">
        <v>0</v>
      </c>
    </row>
    <row r="136" spans="1:45" x14ac:dyDescent="0.15">
      <c r="A136" s="64">
        <v>478</v>
      </c>
      <c r="B136" s="64">
        <v>381</v>
      </c>
      <c r="C136" s="11">
        <v>411</v>
      </c>
      <c r="D136" s="61">
        <v>467</v>
      </c>
      <c r="E136" s="61">
        <v>-1.18014200278877E-3</v>
      </c>
      <c r="F136" s="61">
        <v>86</v>
      </c>
      <c r="G136" s="61">
        <v>0.446241762549271</v>
      </c>
      <c r="H136" s="66">
        <v>126</v>
      </c>
      <c r="I136" s="66" t="str">
        <f>H136&amp;"/"&amp;428</f>
        <v>126/428</v>
      </c>
      <c r="J136" s="68">
        <f>H136/428</f>
        <v>0.29439252336448596</v>
      </c>
      <c r="K136" s="18" t="s">
        <v>44</v>
      </c>
      <c r="L136" s="18" t="s">
        <v>45</v>
      </c>
      <c r="M136" s="58" t="s">
        <v>274</v>
      </c>
      <c r="N136" s="18">
        <f>[1]!f_prt_stocktonav(C136,"2017/03/31")</f>
        <v>87.882102966308594</v>
      </c>
      <c r="O136" s="20" t="str">
        <f>[1]!f_info_fundmanager(C136)</f>
        <v>丁丹</v>
      </c>
      <c r="P136" s="21">
        <v>1.6383561643835616</v>
      </c>
      <c r="Q136" s="34" t="s">
        <v>2024</v>
      </c>
      <c r="R136" s="34" t="s">
        <v>2025</v>
      </c>
      <c r="S136" s="34" t="s">
        <v>353</v>
      </c>
      <c r="T136" s="34">
        <v>20140102</v>
      </c>
      <c r="U136" s="45">
        <v>0.55025872919999996</v>
      </c>
      <c r="V136" s="46">
        <v>1.5465789002999999</v>
      </c>
      <c r="W136" s="34" t="s">
        <v>3789</v>
      </c>
      <c r="X136" s="34" t="s">
        <v>44</v>
      </c>
      <c r="Y136" s="34" t="s">
        <v>45</v>
      </c>
      <c r="Z136" s="34" t="s">
        <v>274</v>
      </c>
      <c r="AA136" s="34"/>
      <c r="AB136" s="34"/>
      <c r="AC136" s="22">
        <v>0.90101425170898441</v>
      </c>
      <c r="AD136" s="23" t="s">
        <v>2026</v>
      </c>
      <c r="AE136" s="24">
        <v>1.4082191780821918</v>
      </c>
      <c r="AF136" s="25">
        <v>9.0078782286499473E-2</v>
      </c>
      <c r="AG136" s="26">
        <v>0</v>
      </c>
      <c r="AH136" s="26">
        <v>0</v>
      </c>
      <c r="AI136" s="27">
        <v>0.38352082523054248</v>
      </c>
      <c r="AJ136" s="27">
        <v>0.38352082523054248</v>
      </c>
      <c r="AK136" s="27">
        <v>0.38352082523054248</v>
      </c>
      <c r="AL136" s="28" t="s">
        <v>1468</v>
      </c>
      <c r="AM136" s="29" t="s">
        <v>48</v>
      </c>
      <c r="AN136" s="29" t="s">
        <v>48</v>
      </c>
      <c r="AO136" s="29" t="s">
        <v>48</v>
      </c>
      <c r="AP136" s="47" t="s">
        <v>1826</v>
      </c>
      <c r="AQ136" s="28">
        <v>0</v>
      </c>
      <c r="AR136" s="26">
        <v>1.4999999999999999E-2</v>
      </c>
      <c r="AS136" s="26">
        <v>0</v>
      </c>
    </row>
    <row r="137" spans="1:45" x14ac:dyDescent="0.15">
      <c r="A137" s="64">
        <v>844</v>
      </c>
      <c r="B137" s="64">
        <v>678</v>
      </c>
      <c r="C137" s="11">
        <v>163804</v>
      </c>
      <c r="D137" s="61">
        <v>468</v>
      </c>
      <c r="E137" s="61">
        <v>-1.18603847368945E-3</v>
      </c>
      <c r="F137" s="61">
        <v>448</v>
      </c>
      <c r="G137" s="61">
        <v>8.8195715523464197E-2</v>
      </c>
      <c r="H137" s="66">
        <v>127</v>
      </c>
      <c r="I137" s="66" t="str">
        <f>H137&amp;"/"&amp;428</f>
        <v>127/428</v>
      </c>
      <c r="J137" s="68">
        <f>H137/428</f>
        <v>0.29672897196261683</v>
      </c>
      <c r="K137" s="18" t="s">
        <v>44</v>
      </c>
      <c r="L137" s="18" t="s">
        <v>45</v>
      </c>
      <c r="M137" s="58" t="s">
        <v>274</v>
      </c>
      <c r="N137" s="18">
        <f>[1]!f_prt_stocktonav(C137,"2017/03/31")</f>
        <v>80.667587280273438</v>
      </c>
      <c r="O137" s="20" t="str">
        <f>[1]!f_info_fundmanager(C137)</f>
        <v>陈军</v>
      </c>
      <c r="P137" s="21">
        <v>10.476712328767123</v>
      </c>
      <c r="Q137" s="34" t="s">
        <v>3277</v>
      </c>
      <c r="R137" s="34" t="s">
        <v>3278</v>
      </c>
      <c r="S137" s="34" t="s">
        <v>71</v>
      </c>
      <c r="T137" s="34">
        <v>20061011</v>
      </c>
      <c r="U137" s="45">
        <v>16.330713767599999</v>
      </c>
      <c r="V137" s="46">
        <v>17.785427777300001</v>
      </c>
      <c r="W137" s="34" t="s">
        <v>231</v>
      </c>
      <c r="X137" s="34" t="s">
        <v>44</v>
      </c>
      <c r="Y137" s="34" t="s">
        <v>45</v>
      </c>
      <c r="Z137" s="34" t="s">
        <v>274</v>
      </c>
      <c r="AA137" s="34"/>
      <c r="AB137" s="34"/>
      <c r="AC137" s="22">
        <v>0.72615730285644531</v>
      </c>
      <c r="AD137" s="23" t="s">
        <v>3279</v>
      </c>
      <c r="AE137" s="24">
        <v>10.246575342465754</v>
      </c>
      <c r="AF137" s="25">
        <v>0.14681726748677981</v>
      </c>
      <c r="AG137" s="26">
        <v>0.14614940383367814</v>
      </c>
      <c r="AH137" s="26">
        <v>0.17500513857967182</v>
      </c>
      <c r="AI137" s="27">
        <v>0.64170905304520154</v>
      </c>
      <c r="AJ137" s="27">
        <v>0.55800953184451418</v>
      </c>
      <c r="AK137" s="27">
        <v>0.7329632123626435</v>
      </c>
      <c r="AL137" s="28" t="s">
        <v>3280</v>
      </c>
      <c r="AM137" s="29">
        <v>5</v>
      </c>
      <c r="AN137" s="29">
        <v>3</v>
      </c>
      <c r="AO137" s="29" t="s">
        <v>48</v>
      </c>
      <c r="AP137" s="47" t="s">
        <v>3281</v>
      </c>
      <c r="AQ137" s="28">
        <v>0</v>
      </c>
      <c r="AR137" s="26">
        <v>1.4999999999999999E-2</v>
      </c>
      <c r="AS137" s="26">
        <v>0</v>
      </c>
    </row>
    <row r="138" spans="1:45" x14ac:dyDescent="0.15">
      <c r="A138" s="64">
        <v>819</v>
      </c>
      <c r="B138" s="64">
        <v>317</v>
      </c>
      <c r="C138" s="11">
        <v>519068</v>
      </c>
      <c r="D138" s="61">
        <v>470</v>
      </c>
      <c r="E138" s="61">
        <v>-1.20854233284045E-3</v>
      </c>
      <c r="F138" s="61">
        <v>157</v>
      </c>
      <c r="G138" s="61">
        <v>0.40790330920729401</v>
      </c>
      <c r="H138" s="66">
        <v>128</v>
      </c>
      <c r="I138" s="66" t="str">
        <f>H138&amp;"/"&amp;428</f>
        <v>128/428</v>
      </c>
      <c r="J138" s="68">
        <f>H138/428</f>
        <v>0.29906542056074764</v>
      </c>
      <c r="K138" s="18" t="s">
        <v>44</v>
      </c>
      <c r="L138" s="18" t="s">
        <v>45</v>
      </c>
      <c r="M138" s="58" t="s">
        <v>274</v>
      </c>
      <c r="N138" s="18">
        <f>[1]!f_prt_stocktonav(C138,"2017/03/31")</f>
        <v>89.167327880859375</v>
      </c>
      <c r="O138" s="20" t="str">
        <f>[1]!f_info_fundmanager(C138)</f>
        <v>雷鸣</v>
      </c>
      <c r="P138" s="21">
        <v>3.0136986301369864</v>
      </c>
      <c r="Q138" s="34" t="s">
        <v>3188</v>
      </c>
      <c r="R138" s="34" t="s">
        <v>3189</v>
      </c>
      <c r="S138" s="34" t="s">
        <v>331</v>
      </c>
      <c r="T138" s="34">
        <v>20070312</v>
      </c>
      <c r="U138" s="45">
        <v>41.248770741199998</v>
      </c>
      <c r="V138" s="46">
        <v>48.682641243900001</v>
      </c>
      <c r="W138" s="34" t="s">
        <v>231</v>
      </c>
      <c r="X138" s="34" t="s">
        <v>44</v>
      </c>
      <c r="Y138" s="34" t="s">
        <v>45</v>
      </c>
      <c r="Z138" s="34" t="s">
        <v>274</v>
      </c>
      <c r="AA138" s="34"/>
      <c r="AB138" s="34"/>
      <c r="AC138" s="22">
        <v>0.87342460632324215</v>
      </c>
      <c r="AD138" s="23" t="s">
        <v>3190</v>
      </c>
      <c r="AE138" s="24">
        <v>2.7835616438356166</v>
      </c>
      <c r="AF138" s="25">
        <v>0.11291500383285857</v>
      </c>
      <c r="AG138" s="26">
        <v>0.25104225856599349</v>
      </c>
      <c r="AH138" s="26">
        <v>0.19137412590458069</v>
      </c>
      <c r="AI138" s="27">
        <v>0.48909988564512785</v>
      </c>
      <c r="AJ138" s="27">
        <v>0.79663407218364757</v>
      </c>
      <c r="AK138" s="27">
        <v>0.7235939321057262</v>
      </c>
      <c r="AL138" s="28" t="s">
        <v>1459</v>
      </c>
      <c r="AM138" s="29">
        <v>4</v>
      </c>
      <c r="AN138" s="29">
        <v>4</v>
      </c>
      <c r="AO138" s="29" t="s">
        <v>48</v>
      </c>
      <c r="AP138" s="47" t="s">
        <v>3191</v>
      </c>
      <c r="AQ138" s="28" t="s">
        <v>3192</v>
      </c>
      <c r="AR138" s="26">
        <v>1.4999999999999999E-2</v>
      </c>
      <c r="AS138" s="26">
        <v>0</v>
      </c>
    </row>
    <row r="139" spans="1:45" x14ac:dyDescent="0.15">
      <c r="A139" s="64">
        <v>607</v>
      </c>
      <c r="B139" s="64">
        <v>849</v>
      </c>
      <c r="C139" s="11">
        <v>165512</v>
      </c>
      <c r="D139" s="61">
        <v>471</v>
      </c>
      <c r="E139" s="61">
        <v>-1.2113118724384601E-3</v>
      </c>
      <c r="F139" s="61">
        <v>72</v>
      </c>
      <c r="G139" s="61">
        <v>0.31797701103940501</v>
      </c>
      <c r="H139" s="66">
        <v>129</v>
      </c>
      <c r="I139" s="66" t="str">
        <f>H139&amp;"/"&amp;428</f>
        <v>129/428</v>
      </c>
      <c r="J139" s="68">
        <f>H139/428</f>
        <v>0.30140186915887851</v>
      </c>
      <c r="K139" s="18" t="s">
        <v>44</v>
      </c>
      <c r="L139" s="18" t="s">
        <v>45</v>
      </c>
      <c r="M139" s="58" t="s">
        <v>274</v>
      </c>
      <c r="N139" s="18">
        <f>[1]!f_prt_stocktonav(C139,"2017/03/31")</f>
        <v>74.401229858398438</v>
      </c>
      <c r="O139" s="20" t="str">
        <f>[1]!f_info_fundmanager(C139)</f>
        <v>吴昊</v>
      </c>
      <c r="P139" s="21">
        <v>1.3671232876712329</v>
      </c>
      <c r="Q139" s="34" t="s">
        <v>2473</v>
      </c>
      <c r="R139" s="34" t="s">
        <v>2474</v>
      </c>
      <c r="S139" s="34" t="s">
        <v>456</v>
      </c>
      <c r="T139" s="34">
        <v>20110801</v>
      </c>
      <c r="U139" s="45">
        <v>0.28435869530000002</v>
      </c>
      <c r="V139" s="46">
        <v>0.30288980510000002</v>
      </c>
      <c r="W139" s="34" t="s">
        <v>1235</v>
      </c>
      <c r="X139" s="34" t="s">
        <v>44</v>
      </c>
      <c r="Y139" s="34" t="s">
        <v>45</v>
      </c>
      <c r="Z139" s="34" t="s">
        <v>274</v>
      </c>
      <c r="AA139" s="34"/>
      <c r="AB139" s="34"/>
      <c r="AC139" s="22">
        <v>0.76790580749511717</v>
      </c>
      <c r="AD139" s="23" t="s">
        <v>2475</v>
      </c>
      <c r="AE139" s="24">
        <v>2.3123287671232875</v>
      </c>
      <c r="AF139" s="25">
        <v>0.15253561108858738</v>
      </c>
      <c r="AG139" s="26">
        <v>0.18109188744862093</v>
      </c>
      <c r="AH139" s="26">
        <v>0.19618136730371272</v>
      </c>
      <c r="AI139" s="27">
        <v>0.62021558236684604</v>
      </c>
      <c r="AJ139" s="27">
        <v>0.65441189444462078</v>
      </c>
      <c r="AK139" s="27">
        <v>0.74778926365383103</v>
      </c>
      <c r="AL139" s="28" t="s">
        <v>380</v>
      </c>
      <c r="AM139" s="29">
        <v>5</v>
      </c>
      <c r="AN139" s="29">
        <v>3</v>
      </c>
      <c r="AO139" s="29" t="s">
        <v>48</v>
      </c>
      <c r="AP139" s="47" t="s">
        <v>310</v>
      </c>
      <c r="AQ139" s="28">
        <v>0</v>
      </c>
      <c r="AR139" s="26">
        <v>1.4999999999999999E-2</v>
      </c>
      <c r="AS139" s="26">
        <v>0</v>
      </c>
    </row>
    <row r="140" spans="1:45" x14ac:dyDescent="0.15">
      <c r="A140" s="64">
        <v>461</v>
      </c>
      <c r="B140" s="64">
        <v>642</v>
      </c>
      <c r="C140" s="11">
        <v>547</v>
      </c>
      <c r="D140" s="61">
        <v>472</v>
      </c>
      <c r="E140" s="61">
        <v>-1.2134803403686799E-3</v>
      </c>
      <c r="F140" s="61">
        <v>156</v>
      </c>
      <c r="G140" s="61">
        <v>0.27727387578012502</v>
      </c>
      <c r="H140" s="66">
        <v>130</v>
      </c>
      <c r="I140" s="66" t="str">
        <f>H140&amp;"/"&amp;428</f>
        <v>130/428</v>
      </c>
      <c r="J140" s="68">
        <f>H140/428</f>
        <v>0.30373831775700932</v>
      </c>
      <c r="K140" s="18" t="s">
        <v>44</v>
      </c>
      <c r="L140" s="18" t="s">
        <v>45</v>
      </c>
      <c r="M140" s="58" t="s">
        <v>274</v>
      </c>
      <c r="N140" s="18">
        <f>[1]!f_prt_stocktonav(C140,"2017/03/31")</f>
        <v>81.766632080078125</v>
      </c>
      <c r="O140" s="20" t="str">
        <f>[1]!f_info_fundmanager(C140)</f>
        <v>姜锋,孙晟</v>
      </c>
      <c r="P140" s="21">
        <v>3.0301369863013701</v>
      </c>
      <c r="Q140" s="34" t="s">
        <v>1958</v>
      </c>
      <c r="R140" s="34" t="s">
        <v>1959</v>
      </c>
      <c r="S140" s="34" t="s">
        <v>307</v>
      </c>
      <c r="T140" s="34">
        <v>20140321</v>
      </c>
      <c r="U140" s="45">
        <v>0.93594902270000002</v>
      </c>
      <c r="V140" s="46">
        <v>0.94679417180000003</v>
      </c>
      <c r="W140" s="34" t="s">
        <v>3776</v>
      </c>
      <c r="X140" s="34" t="s">
        <v>44</v>
      </c>
      <c r="Y140" s="34" t="s">
        <v>45</v>
      </c>
      <c r="Z140" s="34" t="s">
        <v>274</v>
      </c>
      <c r="AA140" s="34"/>
      <c r="AB140" s="34"/>
      <c r="AC140" s="22">
        <v>0.71977073669433589</v>
      </c>
      <c r="AD140" s="23" t="s">
        <v>1960</v>
      </c>
      <c r="AE140" s="24">
        <v>2.8</v>
      </c>
      <c r="AF140" s="25">
        <v>0.30309072277386595</v>
      </c>
      <c r="AG140" s="26">
        <v>0</v>
      </c>
      <c r="AH140" s="26">
        <v>0</v>
      </c>
      <c r="AI140" s="27">
        <v>1.0169787143195168</v>
      </c>
      <c r="AJ140" s="27">
        <v>1.0169787143195168</v>
      </c>
      <c r="AK140" s="27">
        <v>1.0169787143195168</v>
      </c>
      <c r="AL140" s="28" t="s">
        <v>1961</v>
      </c>
      <c r="AM140" s="29" t="s">
        <v>48</v>
      </c>
      <c r="AN140" s="29" t="s">
        <v>48</v>
      </c>
      <c r="AO140" s="29" t="s">
        <v>48</v>
      </c>
      <c r="AP140" s="47" t="s">
        <v>310</v>
      </c>
      <c r="AQ140" s="28">
        <v>0</v>
      </c>
      <c r="AR140" s="26">
        <v>1.4999999999999999E-2</v>
      </c>
      <c r="AS140" s="26">
        <v>0</v>
      </c>
    </row>
    <row r="141" spans="1:45" x14ac:dyDescent="0.15">
      <c r="A141" s="64">
        <v>567</v>
      </c>
      <c r="B141" s="64">
        <v>494</v>
      </c>
      <c r="C141" s="11">
        <v>206012</v>
      </c>
      <c r="D141" s="61">
        <v>473</v>
      </c>
      <c r="E141" s="61">
        <v>-1.2161987390095701E-3</v>
      </c>
      <c r="F141" s="61">
        <v>92</v>
      </c>
      <c r="G141" s="61">
        <v>0.28232305156175902</v>
      </c>
      <c r="H141" s="66">
        <v>131</v>
      </c>
      <c r="I141" s="66" t="str">
        <f>H141&amp;"/"&amp;428</f>
        <v>131/428</v>
      </c>
      <c r="J141" s="68">
        <f>H141/428</f>
        <v>0.30607476635514019</v>
      </c>
      <c r="K141" s="18" t="s">
        <v>44</v>
      </c>
      <c r="L141" s="18" t="s">
        <v>45</v>
      </c>
      <c r="M141" s="58" t="s">
        <v>274</v>
      </c>
      <c r="N141" s="18">
        <f>[1]!f_prt_stocktonav(C141,"2017/03/31")</f>
        <v>85.4632568359375</v>
      </c>
      <c r="O141" s="20" t="str">
        <f>[1]!f_info_fundmanager(C141)</f>
        <v>胡东健</v>
      </c>
      <c r="P141" s="21">
        <v>1.7643835616438357</v>
      </c>
      <c r="Q141" s="34" t="s">
        <v>2338</v>
      </c>
      <c r="R141" s="34" t="s">
        <v>2339</v>
      </c>
      <c r="S141" s="34" t="s">
        <v>705</v>
      </c>
      <c r="T141" s="34">
        <v>20120416</v>
      </c>
      <c r="U141" s="45">
        <v>0.62361749730000005</v>
      </c>
      <c r="V141" s="46">
        <v>0.70372933739999999</v>
      </c>
      <c r="W141" s="34" t="s">
        <v>3776</v>
      </c>
      <c r="X141" s="34" t="s">
        <v>44</v>
      </c>
      <c r="Y141" s="34" t="s">
        <v>45</v>
      </c>
      <c r="Z141" s="34" t="s">
        <v>274</v>
      </c>
      <c r="AA141" s="34"/>
      <c r="AB141" s="34"/>
      <c r="AC141" s="22">
        <v>0.90497116088867191</v>
      </c>
      <c r="AD141" s="23" t="s">
        <v>2340</v>
      </c>
      <c r="AE141" s="24">
        <v>1.5342465753424657</v>
      </c>
      <c r="AF141" s="25">
        <v>6.4710867317468113E-2</v>
      </c>
      <c r="AG141" s="26">
        <v>0.12024700668828704</v>
      </c>
      <c r="AH141" s="26">
        <v>0</v>
      </c>
      <c r="AI141" s="27">
        <v>0.3173849894420212</v>
      </c>
      <c r="AJ141" s="27">
        <v>0.48890181087015044</v>
      </c>
      <c r="AK141" s="27">
        <v>0.3173849894420212</v>
      </c>
      <c r="AL141" s="28" t="s">
        <v>1787</v>
      </c>
      <c r="AM141" s="29">
        <v>2</v>
      </c>
      <c r="AN141" s="29">
        <v>2</v>
      </c>
      <c r="AO141" s="29" t="s">
        <v>48</v>
      </c>
      <c r="AP141" s="47" t="s">
        <v>2341</v>
      </c>
      <c r="AQ141" s="28">
        <v>0</v>
      </c>
      <c r="AR141" s="26">
        <v>1.4999999999999999E-2</v>
      </c>
      <c r="AS141" s="26">
        <v>0</v>
      </c>
    </row>
    <row r="142" spans="1:45" x14ac:dyDescent="0.15">
      <c r="A142" s="64">
        <v>447</v>
      </c>
      <c r="B142" s="64">
        <v>151</v>
      </c>
      <c r="C142" s="11">
        <v>520</v>
      </c>
      <c r="D142" s="61">
        <v>474</v>
      </c>
      <c r="E142" s="61">
        <v>-1.23226302208209E-3</v>
      </c>
      <c r="F142" s="61">
        <v>99</v>
      </c>
      <c r="G142" s="61">
        <v>0.64875484280586904</v>
      </c>
      <c r="H142" s="66">
        <v>132</v>
      </c>
      <c r="I142" s="66" t="str">
        <f>H142&amp;"/"&amp;428</f>
        <v>132/428</v>
      </c>
      <c r="J142" s="68">
        <f>H142/428</f>
        <v>0.30841121495327101</v>
      </c>
      <c r="K142" s="18" t="s">
        <v>44</v>
      </c>
      <c r="L142" s="18" t="s">
        <v>45</v>
      </c>
      <c r="M142" s="58" t="s">
        <v>274</v>
      </c>
      <c r="N142" s="18">
        <f>[1]!f_prt_stocktonav(C142,"2017/03/31")</f>
        <v>92.705162048339844</v>
      </c>
      <c r="O142" s="20" t="str">
        <f>[1]!f_info_fundmanager(C142)</f>
        <v>赵治烨</v>
      </c>
      <c r="P142" s="21">
        <v>1.8849315068493151</v>
      </c>
      <c r="Q142" s="34" t="s">
        <v>1905</v>
      </c>
      <c r="R142" s="34" t="s">
        <v>1906</v>
      </c>
      <c r="S142" s="34" t="s">
        <v>1907</v>
      </c>
      <c r="T142" s="34">
        <v>20140506</v>
      </c>
      <c r="U142" s="45">
        <v>2.2049595621</v>
      </c>
      <c r="V142" s="46">
        <v>2.1919005168000001</v>
      </c>
      <c r="W142" s="34" t="s">
        <v>3789</v>
      </c>
      <c r="X142" s="34" t="s">
        <v>44</v>
      </c>
      <c r="Y142" s="34" t="s">
        <v>45</v>
      </c>
      <c r="Z142" s="34" t="s">
        <v>274</v>
      </c>
      <c r="AA142" s="34"/>
      <c r="AB142" s="34"/>
      <c r="AC142" s="22">
        <v>0.83301193237304683</v>
      </c>
      <c r="AD142" s="23" t="s">
        <v>1908</v>
      </c>
      <c r="AE142" s="24">
        <v>1.6547945205479453</v>
      </c>
      <c r="AF142" s="25">
        <v>0.28057549669812465</v>
      </c>
      <c r="AG142" s="26">
        <v>0</v>
      </c>
      <c r="AH142" s="26">
        <v>0</v>
      </c>
      <c r="AI142" s="27">
        <v>0.83568435571007249</v>
      </c>
      <c r="AJ142" s="27">
        <v>0.83568435571007249</v>
      </c>
      <c r="AK142" s="27">
        <v>0.83568435571007249</v>
      </c>
      <c r="AL142" s="28" t="s">
        <v>191</v>
      </c>
      <c r="AM142" s="29" t="s">
        <v>48</v>
      </c>
      <c r="AN142" s="29" t="s">
        <v>48</v>
      </c>
      <c r="AO142" s="29" t="s">
        <v>48</v>
      </c>
      <c r="AP142" s="47" t="s">
        <v>1909</v>
      </c>
      <c r="AQ142" s="28">
        <v>0</v>
      </c>
      <c r="AR142" s="26">
        <v>1.4999999999999999E-2</v>
      </c>
      <c r="AS142" s="26">
        <v>0</v>
      </c>
    </row>
    <row r="143" spans="1:45" x14ac:dyDescent="0.15">
      <c r="A143" s="64">
        <v>539</v>
      </c>
      <c r="B143" s="64">
        <v>382</v>
      </c>
      <c r="C143" s="11">
        <v>166301</v>
      </c>
      <c r="D143" s="61">
        <v>477</v>
      </c>
      <c r="E143" s="61">
        <v>-1.28742285970815E-3</v>
      </c>
      <c r="F143" s="61">
        <v>96</v>
      </c>
      <c r="G143" s="61">
        <v>0.37888078993886698</v>
      </c>
      <c r="H143" s="66">
        <v>133</v>
      </c>
      <c r="I143" s="66" t="str">
        <f>H143&amp;"/"&amp;428</f>
        <v>133/428</v>
      </c>
      <c r="J143" s="68">
        <f>H143/428</f>
        <v>0.31074766355140188</v>
      </c>
      <c r="K143" s="18" t="s">
        <v>44</v>
      </c>
      <c r="L143" s="18" t="s">
        <v>45</v>
      </c>
      <c r="M143" s="58" t="s">
        <v>274</v>
      </c>
      <c r="N143" s="18">
        <f>[1]!f_prt_stocktonav(C143,"2017/03/31")</f>
        <v>87.851531982421875</v>
      </c>
      <c r="O143" s="20" t="str">
        <f>[1]!f_info_fundmanager(C143)</f>
        <v>周海栋</v>
      </c>
      <c r="P143" s="21">
        <v>1.8821917808219177</v>
      </c>
      <c r="Q143" s="34" t="s">
        <v>2240</v>
      </c>
      <c r="R143" s="34" t="s">
        <v>2241</v>
      </c>
      <c r="S143" s="34" t="s">
        <v>387</v>
      </c>
      <c r="T143" s="34">
        <v>20120906</v>
      </c>
      <c r="U143" s="45">
        <v>1.0232511712000001</v>
      </c>
      <c r="V143" s="46">
        <v>1.0926593313999999</v>
      </c>
      <c r="W143" s="34" t="s">
        <v>201</v>
      </c>
      <c r="X143" s="34" t="s">
        <v>44</v>
      </c>
      <c r="Y143" s="17" t="s">
        <v>45</v>
      </c>
      <c r="Z143" s="17" t="s">
        <v>274</v>
      </c>
      <c r="AA143" s="34"/>
      <c r="AB143" s="34"/>
      <c r="AC143" s="22">
        <v>0.86877021789550779</v>
      </c>
      <c r="AD143" s="23" t="s">
        <v>2046</v>
      </c>
      <c r="AE143" s="24">
        <v>1.6520547945205479</v>
      </c>
      <c r="AF143" s="25">
        <v>-2.2022399268636916E-2</v>
      </c>
      <c r="AG143" s="26">
        <v>0</v>
      </c>
      <c r="AH143" s="26">
        <v>0</v>
      </c>
      <c r="AI143" s="27">
        <v>7.5331154296758199E-2</v>
      </c>
      <c r="AJ143" s="27">
        <v>7.5331154296758199E-2</v>
      </c>
      <c r="AK143" s="27">
        <v>7.5331154296758199E-2</v>
      </c>
      <c r="AL143" s="28" t="s">
        <v>1048</v>
      </c>
      <c r="AM143" s="29" t="s">
        <v>48</v>
      </c>
      <c r="AN143" s="29" t="s">
        <v>48</v>
      </c>
      <c r="AO143" s="29" t="s">
        <v>48</v>
      </c>
      <c r="AP143" s="47" t="s">
        <v>310</v>
      </c>
      <c r="AQ143" s="28">
        <v>0</v>
      </c>
      <c r="AR143" s="26">
        <v>1.4999999999999999E-2</v>
      </c>
      <c r="AS143" s="26">
        <v>0</v>
      </c>
    </row>
    <row r="144" spans="1:45" x14ac:dyDescent="0.15">
      <c r="A144" s="64">
        <v>711</v>
      </c>
      <c r="B144" s="64">
        <v>847</v>
      </c>
      <c r="C144" s="11">
        <v>519987</v>
      </c>
      <c r="D144" s="61">
        <v>483</v>
      </c>
      <c r="E144" s="61">
        <v>-1.30416193853372E-3</v>
      </c>
      <c r="F144" s="61">
        <v>313</v>
      </c>
      <c r="G144" s="61">
        <v>6.9205657528975895E-2</v>
      </c>
      <c r="H144" s="66">
        <v>134</v>
      </c>
      <c r="I144" s="66" t="str">
        <f>H144&amp;"/"&amp;428</f>
        <v>134/428</v>
      </c>
      <c r="J144" s="68">
        <f>H144/428</f>
        <v>0.31308411214953269</v>
      </c>
      <c r="K144" s="18" t="s">
        <v>44</v>
      </c>
      <c r="L144" s="18" t="s">
        <v>45</v>
      </c>
      <c r="M144" s="58" t="s">
        <v>274</v>
      </c>
      <c r="N144" s="18">
        <f>[1]!f_prt_stocktonav(C144,"2017/03/31")</f>
        <v>74.550933837890625</v>
      </c>
      <c r="O144" s="20" t="str">
        <f>[1]!f_info_fundmanager(C144)</f>
        <v>黄韵,叶松</v>
      </c>
      <c r="P144" s="21">
        <v>6.0109589041095894</v>
      </c>
      <c r="Q144" s="34" t="s">
        <v>2818</v>
      </c>
      <c r="R144" s="34" t="s">
        <v>2819</v>
      </c>
      <c r="S144" s="34" t="s">
        <v>206</v>
      </c>
      <c r="T144" s="34">
        <v>20090730</v>
      </c>
      <c r="U144" s="45">
        <v>0.3480454677</v>
      </c>
      <c r="V144" s="46">
        <v>0.37666290590000001</v>
      </c>
      <c r="W144" s="34" t="s">
        <v>3776</v>
      </c>
      <c r="X144" s="34" t="s">
        <v>44</v>
      </c>
      <c r="Y144" s="34" t="s">
        <v>45</v>
      </c>
      <c r="Z144" s="34" t="s">
        <v>274</v>
      </c>
      <c r="AA144" s="34"/>
      <c r="AB144" s="34"/>
      <c r="AC144" s="22">
        <v>0.70296775817871093</v>
      </c>
      <c r="AD144" s="23" t="s">
        <v>2820</v>
      </c>
      <c r="AE144" s="24">
        <v>5.7808219178082192</v>
      </c>
      <c r="AF144" s="25">
        <v>2.7448276305547026E-2</v>
      </c>
      <c r="AG144" s="26">
        <v>0.12624999632082234</v>
      </c>
      <c r="AH144" s="26">
        <v>0.12354764490974347</v>
      </c>
      <c r="AI144" s="27">
        <v>0.17708537270824451</v>
      </c>
      <c r="AJ144" s="27">
        <v>0.49096953016817746</v>
      </c>
      <c r="AK144" s="27">
        <v>0.51496156599426324</v>
      </c>
      <c r="AL144" s="28" t="s">
        <v>1948</v>
      </c>
      <c r="AM144" s="29">
        <v>3</v>
      </c>
      <c r="AN144" s="29">
        <v>3</v>
      </c>
      <c r="AO144" s="29" t="s">
        <v>48</v>
      </c>
      <c r="AP144" s="47" t="s">
        <v>209</v>
      </c>
      <c r="AQ144" s="28" t="s">
        <v>608</v>
      </c>
      <c r="AR144" s="26">
        <v>1.4999999999999999E-2</v>
      </c>
      <c r="AS144" s="26">
        <v>0</v>
      </c>
    </row>
    <row r="145" spans="1:45" x14ac:dyDescent="0.15">
      <c r="A145" s="64">
        <v>923</v>
      </c>
      <c r="B145" s="64">
        <v>869</v>
      </c>
      <c r="C145" s="11">
        <v>121002</v>
      </c>
      <c r="D145" s="61">
        <v>484</v>
      </c>
      <c r="E145" s="61">
        <v>-1.3262726981381799E-3</v>
      </c>
      <c r="F145" s="61">
        <v>97</v>
      </c>
      <c r="G145" s="61">
        <v>0.20616849854107799</v>
      </c>
      <c r="H145" s="66">
        <v>135</v>
      </c>
      <c r="I145" s="66" t="str">
        <f>H145&amp;"/"&amp;428</f>
        <v>135/428</v>
      </c>
      <c r="J145" s="68">
        <f>H145/428</f>
        <v>0.31542056074766356</v>
      </c>
      <c r="K145" s="18" t="s">
        <v>44</v>
      </c>
      <c r="L145" s="18" t="s">
        <v>45</v>
      </c>
      <c r="M145" s="58" t="s">
        <v>274</v>
      </c>
      <c r="N145" s="18">
        <f>[1]!f_prt_stocktonav(C145,"2017/03/31")</f>
        <v>73.860450744628906</v>
      </c>
      <c r="O145" s="20" t="str">
        <f>[1]!f_info_fundmanager(C145)</f>
        <v>伍智勇,綦缚鹏</v>
      </c>
      <c r="P145" s="21">
        <v>1.8575342465753424</v>
      </c>
      <c r="Q145" s="34" t="s">
        <v>3587</v>
      </c>
      <c r="R145" s="34" t="s">
        <v>3588</v>
      </c>
      <c r="S145" s="34" t="s">
        <v>452</v>
      </c>
      <c r="T145" s="34">
        <v>20040429</v>
      </c>
      <c r="U145" s="45">
        <v>7.8400456538999999</v>
      </c>
      <c r="V145" s="46">
        <v>8.5993597263999995</v>
      </c>
      <c r="W145" s="34" t="s">
        <v>231</v>
      </c>
      <c r="X145" s="34" t="s">
        <v>41</v>
      </c>
      <c r="Y145" s="17" t="s">
        <v>42</v>
      </c>
      <c r="Z145" s="17" t="s">
        <v>181</v>
      </c>
      <c r="AA145" s="34"/>
      <c r="AB145" s="34"/>
      <c r="AC145" s="22">
        <v>0.68076248168945308</v>
      </c>
      <c r="AD145" s="23" t="s">
        <v>3589</v>
      </c>
      <c r="AE145" s="24">
        <v>1.6273972602739726</v>
      </c>
      <c r="AF145" s="25">
        <v>0.14332851831827198</v>
      </c>
      <c r="AG145" s="26">
        <v>0.10581164704261425</v>
      </c>
      <c r="AH145" s="26">
        <v>9.4451601654566661E-2</v>
      </c>
      <c r="AI145" s="27">
        <v>0.73104904949144223</v>
      </c>
      <c r="AJ145" s="27">
        <v>0.51897257301428223</v>
      </c>
      <c r="AK145" s="27">
        <v>0.51436126710018792</v>
      </c>
      <c r="AL145" s="28" t="s">
        <v>3590</v>
      </c>
      <c r="AM145" s="29">
        <v>4</v>
      </c>
      <c r="AN145" s="29">
        <v>3</v>
      </c>
      <c r="AO145" s="29" t="s">
        <v>48</v>
      </c>
      <c r="AP145" s="47" t="s">
        <v>3051</v>
      </c>
      <c r="AQ145" s="28" t="s">
        <v>3259</v>
      </c>
      <c r="AR145" s="26">
        <v>1.4999999999999999E-2</v>
      </c>
      <c r="AS145" s="26">
        <v>0</v>
      </c>
    </row>
    <row r="146" spans="1:45" x14ac:dyDescent="0.15">
      <c r="A146" s="64">
        <v>84</v>
      </c>
      <c r="B146" s="64">
        <v>424</v>
      </c>
      <c r="C146" s="11">
        <v>2345</v>
      </c>
      <c r="D146" s="61">
        <v>486</v>
      </c>
      <c r="E146" s="61">
        <v>-1.3339402028207999E-3</v>
      </c>
      <c r="F146" s="61">
        <v>45</v>
      </c>
      <c r="G146" s="61">
        <v>0.59365304317988299</v>
      </c>
      <c r="H146" s="66">
        <v>136</v>
      </c>
      <c r="I146" s="66" t="str">
        <f>H146&amp;"/"&amp;428</f>
        <v>136/428</v>
      </c>
      <c r="J146" s="68">
        <f>H146/428</f>
        <v>0.31775700934579437</v>
      </c>
      <c r="K146" s="18" t="s">
        <v>44</v>
      </c>
      <c r="L146" s="18" t="s">
        <v>45</v>
      </c>
      <c r="M146" s="58" t="s">
        <v>274</v>
      </c>
      <c r="N146" s="18">
        <f>[1]!f_prt_stocktonav(C146,"2017/03/31")</f>
        <v>86.809188842773438</v>
      </c>
      <c r="O146" s="20" t="str">
        <f>[1]!f_info_fundmanager(C146)</f>
        <v>代瑞亮</v>
      </c>
      <c r="P146" s="21">
        <v>0.88767123287671235</v>
      </c>
      <c r="Q146" s="34" t="s">
        <v>469</v>
      </c>
      <c r="R146" s="34" t="s">
        <v>470</v>
      </c>
      <c r="S146" s="34" t="s">
        <v>143</v>
      </c>
      <c r="T146" s="34">
        <v>20160511</v>
      </c>
      <c r="U146" s="45">
        <v>2.9502391519</v>
      </c>
      <c r="V146" s="46">
        <v>4.9718047363000002</v>
      </c>
      <c r="W146" s="34" t="s">
        <v>3776</v>
      </c>
      <c r="X146" s="34" t="s">
        <v>44</v>
      </c>
      <c r="Y146" s="17" t="s">
        <v>45</v>
      </c>
      <c r="Z146" s="17" t="s">
        <v>65</v>
      </c>
      <c r="AA146" s="34"/>
      <c r="AB146" s="34"/>
      <c r="AC146" s="22">
        <v>0.92118141174316404</v>
      </c>
      <c r="AD146" s="23" t="s">
        <v>471</v>
      </c>
      <c r="AE146" s="24">
        <v>0.65753424657534243</v>
      </c>
      <c r="AF146" s="25">
        <v>3.9097300264809842E-2</v>
      </c>
      <c r="AG146" s="26">
        <v>0</v>
      </c>
      <c r="AH146" s="26">
        <v>0</v>
      </c>
      <c r="AI146" s="27">
        <v>0.22873922853894699</v>
      </c>
      <c r="AJ146" s="27">
        <v>0.22873922853894699</v>
      </c>
      <c r="AK146" s="27">
        <v>0.22873922853894699</v>
      </c>
      <c r="AL146" s="28" t="s">
        <v>191</v>
      </c>
      <c r="AM146" s="29" t="s">
        <v>48</v>
      </c>
      <c r="AN146" s="29" t="s">
        <v>48</v>
      </c>
      <c r="AO146" s="29" t="s">
        <v>48</v>
      </c>
      <c r="AP146" s="47" t="s">
        <v>101</v>
      </c>
      <c r="AQ146" s="28">
        <v>0</v>
      </c>
      <c r="AR146" s="26">
        <v>1.4999999999999999E-2</v>
      </c>
      <c r="AS146" s="26">
        <v>0</v>
      </c>
    </row>
    <row r="147" spans="1:45" x14ac:dyDescent="0.15">
      <c r="A147" s="64">
        <v>580</v>
      </c>
      <c r="B147" s="64">
        <v>102</v>
      </c>
      <c r="C147" s="11">
        <v>360016</v>
      </c>
      <c r="D147" s="61">
        <v>487</v>
      </c>
      <c r="E147" s="61">
        <v>-1.3435553727740601E-3</v>
      </c>
      <c r="F147" s="61">
        <v>163</v>
      </c>
      <c r="G147" s="61">
        <v>0.26625894951892198</v>
      </c>
      <c r="H147" s="66">
        <v>137</v>
      </c>
      <c r="I147" s="66" t="str">
        <f>H147&amp;"/"&amp;428</f>
        <v>137/428</v>
      </c>
      <c r="J147" s="68">
        <f>H147/428</f>
        <v>0.32009345794392524</v>
      </c>
      <c r="K147" s="18" t="s">
        <v>44</v>
      </c>
      <c r="L147" s="18" t="s">
        <v>45</v>
      </c>
      <c r="M147" s="58" t="s">
        <v>274</v>
      </c>
      <c r="N147" s="18">
        <f>[1]!f_prt_stocktonav(C147,"2017/03/31")</f>
        <v>93.573188781738281</v>
      </c>
      <c r="O147" s="20" t="str">
        <f>[1]!f_info_fundmanager(C147)</f>
        <v>黄兴亮</v>
      </c>
      <c r="P147" s="21">
        <v>3.1342465753424658</v>
      </c>
      <c r="Q147" s="34" t="s">
        <v>2388</v>
      </c>
      <c r="R147" s="34" t="s">
        <v>2389</v>
      </c>
      <c r="S147" s="34" t="s">
        <v>634</v>
      </c>
      <c r="T147" s="34">
        <v>20120215</v>
      </c>
      <c r="U147" s="45">
        <v>0.60289028789999999</v>
      </c>
      <c r="V147" s="46">
        <v>0.62052382750000001</v>
      </c>
      <c r="W147" s="34" t="s">
        <v>3789</v>
      </c>
      <c r="X147" s="34" t="s">
        <v>44</v>
      </c>
      <c r="Y147" s="34" t="s">
        <v>45</v>
      </c>
      <c r="Z147" s="34" t="s">
        <v>274</v>
      </c>
      <c r="AA147" s="34"/>
      <c r="AB147" s="34"/>
      <c r="AC147" s="22">
        <v>0.94669403076171876</v>
      </c>
      <c r="AD147" s="23" t="s">
        <v>1092</v>
      </c>
      <c r="AE147" s="24">
        <v>2.904109589041096</v>
      </c>
      <c r="AF147" s="25">
        <v>0.14513094910851265</v>
      </c>
      <c r="AG147" s="26">
        <v>0.20881407115572048</v>
      </c>
      <c r="AH147" s="26">
        <v>0</v>
      </c>
      <c r="AI147" s="27">
        <v>0.58947521685119786</v>
      </c>
      <c r="AJ147" s="27">
        <v>0.72482106572588911</v>
      </c>
      <c r="AK147" s="27">
        <v>0.58947521685119786</v>
      </c>
      <c r="AL147" s="28" t="s">
        <v>1868</v>
      </c>
      <c r="AM147" s="29">
        <v>2</v>
      </c>
      <c r="AN147" s="29">
        <v>3</v>
      </c>
      <c r="AO147" s="29" t="s">
        <v>48</v>
      </c>
      <c r="AP147" s="47" t="s">
        <v>2390</v>
      </c>
      <c r="AQ147" s="28">
        <v>0</v>
      </c>
      <c r="AR147" s="26">
        <v>1.4999999999999999E-2</v>
      </c>
      <c r="AS147" s="26">
        <v>0</v>
      </c>
    </row>
    <row r="148" spans="1:45" x14ac:dyDescent="0.15">
      <c r="A148" s="64">
        <v>784</v>
      </c>
      <c r="B148" s="64">
        <v>292</v>
      </c>
      <c r="C148" s="11">
        <v>160314</v>
      </c>
      <c r="D148" s="61">
        <v>488</v>
      </c>
      <c r="E148" s="61">
        <v>-1.34388421996203E-3</v>
      </c>
      <c r="F148" s="61">
        <v>272</v>
      </c>
      <c r="G148" s="61">
        <v>2.29692420038437E-2</v>
      </c>
      <c r="H148" s="66">
        <v>138</v>
      </c>
      <c r="I148" s="66" t="str">
        <f>H148&amp;"/"&amp;428</f>
        <v>138/428</v>
      </c>
      <c r="J148" s="68">
        <f>H148/428</f>
        <v>0.32242990654205606</v>
      </c>
      <c r="K148" s="18" t="s">
        <v>44</v>
      </c>
      <c r="L148" s="18" t="s">
        <v>45</v>
      </c>
      <c r="M148" s="58" t="s">
        <v>274</v>
      </c>
      <c r="N148" s="18">
        <f>[1]!f_prt_stocktonav(C148,"2017/03/31")</f>
        <v>89.591171264648438</v>
      </c>
      <c r="O148" s="20" t="str">
        <f>[1]!f_info_fundmanager(C148)</f>
        <v>孙彬,佟巍</v>
      </c>
      <c r="P148" s="21">
        <v>5.2191780821917808</v>
      </c>
      <c r="Q148" s="34" t="s">
        <v>3060</v>
      </c>
      <c r="R148" s="34" t="s">
        <v>3061</v>
      </c>
      <c r="S148" s="34" t="s">
        <v>143</v>
      </c>
      <c r="T148" s="34">
        <v>20071122</v>
      </c>
      <c r="U148" s="45">
        <v>28.040027554600002</v>
      </c>
      <c r="V148" s="46">
        <v>32.218991053300002</v>
      </c>
      <c r="W148" s="34" t="s">
        <v>231</v>
      </c>
      <c r="X148" s="34" t="s">
        <v>44</v>
      </c>
      <c r="Y148" s="34" t="s">
        <v>45</v>
      </c>
      <c r="Z148" s="34" t="s">
        <v>274</v>
      </c>
      <c r="AA148" s="34"/>
      <c r="AB148" s="34"/>
      <c r="AC148" s="22">
        <v>0.87525901794433592</v>
      </c>
      <c r="AD148" s="23" t="s">
        <v>3062</v>
      </c>
      <c r="AE148" s="24">
        <v>4.9890410958904106</v>
      </c>
      <c r="AF148" s="25">
        <v>5.0250915081629266E-2</v>
      </c>
      <c r="AG148" s="26">
        <v>0.15176152559393574</v>
      </c>
      <c r="AH148" s="26">
        <v>0.14555361154952196</v>
      </c>
      <c r="AI148" s="27">
        <v>0.26348683076765023</v>
      </c>
      <c r="AJ148" s="27">
        <v>0.57562768414740317</v>
      </c>
      <c r="AK148" s="27">
        <v>0.61610164945244827</v>
      </c>
      <c r="AL148" s="28" t="s">
        <v>1459</v>
      </c>
      <c r="AM148" s="29">
        <v>4</v>
      </c>
      <c r="AN148" s="29">
        <v>3</v>
      </c>
      <c r="AO148" s="29" t="s">
        <v>48</v>
      </c>
      <c r="AP148" s="47" t="s">
        <v>592</v>
      </c>
      <c r="AQ148" s="28">
        <v>0</v>
      </c>
      <c r="AR148" s="26">
        <v>1.4999999999999999E-2</v>
      </c>
      <c r="AS148" s="26">
        <v>0</v>
      </c>
    </row>
    <row r="149" spans="1:45" x14ac:dyDescent="0.15">
      <c r="A149" s="64">
        <v>768</v>
      </c>
      <c r="B149" s="64">
        <v>808</v>
      </c>
      <c r="C149" s="11">
        <v>80002</v>
      </c>
      <c r="D149" s="61">
        <v>490</v>
      </c>
      <c r="E149" s="61">
        <v>-1.36889839353229E-3</v>
      </c>
      <c r="F149" s="61">
        <v>79</v>
      </c>
      <c r="G149" s="61">
        <v>0.13275693008539499</v>
      </c>
      <c r="H149" s="66">
        <v>139</v>
      </c>
      <c r="I149" s="66" t="str">
        <f>H149&amp;"/"&amp;428</f>
        <v>139/428</v>
      </c>
      <c r="J149" s="68">
        <f>H149/428</f>
        <v>0.32476635514018692</v>
      </c>
      <c r="K149" s="18" t="s">
        <v>44</v>
      </c>
      <c r="L149" s="18" t="s">
        <v>45</v>
      </c>
      <c r="M149" s="58" t="s">
        <v>274</v>
      </c>
      <c r="N149" s="18">
        <f>[1]!f_prt_stocktonav(C149,"2017/03/31")</f>
        <v>76.376045227050781</v>
      </c>
      <c r="O149" s="20" t="str">
        <f>[1]!f_info_fundmanager(C149)</f>
        <v>赵宏宇</v>
      </c>
      <c r="P149" s="21">
        <v>1.5178082191780822</v>
      </c>
      <c r="Q149" s="34" t="s">
        <v>3009</v>
      </c>
      <c r="R149" s="34" t="s">
        <v>3010</v>
      </c>
      <c r="S149" s="34" t="s">
        <v>364</v>
      </c>
      <c r="T149" s="34">
        <v>20080604</v>
      </c>
      <c r="U149" s="45">
        <v>1.3446100057999999</v>
      </c>
      <c r="V149" s="46">
        <v>1.5327755590000001</v>
      </c>
      <c r="W149" s="34" t="s">
        <v>231</v>
      </c>
      <c r="X149" s="34" t="s">
        <v>44</v>
      </c>
      <c r="Y149" s="34" t="s">
        <v>45</v>
      </c>
      <c r="Z149" s="34" t="s">
        <v>274</v>
      </c>
      <c r="AA149" s="34"/>
      <c r="AB149" s="34"/>
      <c r="AC149" s="22">
        <v>0.74928833007812501</v>
      </c>
      <c r="AD149" s="23" t="s">
        <v>2160</v>
      </c>
      <c r="AE149" s="24">
        <v>1.2876712328767124</v>
      </c>
      <c r="AF149" s="25">
        <v>0.11764527510011401</v>
      </c>
      <c r="AG149" s="26">
        <v>0.15307177101128011</v>
      </c>
      <c r="AH149" s="26">
        <v>0.1398026947421267</v>
      </c>
      <c r="AI149" s="27">
        <v>0.55335060514932299</v>
      </c>
      <c r="AJ149" s="27">
        <v>0.58913821849487602</v>
      </c>
      <c r="AK149" s="27">
        <v>0.60423117012750793</v>
      </c>
      <c r="AL149" s="28" t="s">
        <v>2915</v>
      </c>
      <c r="AM149" s="29">
        <v>4</v>
      </c>
      <c r="AN149" s="29">
        <v>3</v>
      </c>
      <c r="AO149" s="29" t="s">
        <v>48</v>
      </c>
      <c r="AP149" s="47" t="s">
        <v>3011</v>
      </c>
      <c r="AQ149" s="28">
        <v>0</v>
      </c>
      <c r="AR149" s="26">
        <v>1.4999999999999999E-2</v>
      </c>
      <c r="AS149" s="26">
        <v>0</v>
      </c>
    </row>
    <row r="150" spans="1:45" x14ac:dyDescent="0.15">
      <c r="A150" s="64">
        <v>368</v>
      </c>
      <c r="B150" s="64">
        <v>395</v>
      </c>
      <c r="C150" s="11">
        <v>945</v>
      </c>
      <c r="D150" s="61">
        <v>492</v>
      </c>
      <c r="E150" s="61">
        <v>-1.3823897107454301E-3</v>
      </c>
      <c r="F150" s="61">
        <v>110</v>
      </c>
      <c r="G150" s="61">
        <v>0.386000936057602</v>
      </c>
      <c r="H150" s="66">
        <v>140</v>
      </c>
      <c r="I150" s="66" t="str">
        <f>H150&amp;"/"&amp;428</f>
        <v>140/428</v>
      </c>
      <c r="J150" s="68">
        <f>H150/428</f>
        <v>0.32710280373831774</v>
      </c>
      <c r="K150" s="18" t="s">
        <v>44</v>
      </c>
      <c r="L150" s="18" t="s">
        <v>86</v>
      </c>
      <c r="M150" s="58" t="s">
        <v>274</v>
      </c>
      <c r="N150" s="18">
        <f>[1]!f_prt_stocktonav(C150,"2017/03/31")</f>
        <v>87.600364685058594</v>
      </c>
      <c r="O150" s="20" t="str">
        <f>[1]!f_info_fundmanager(C150)</f>
        <v>陈斌</v>
      </c>
      <c r="P150" s="21">
        <v>2.1589041095890411</v>
      </c>
      <c r="Q150" s="34" t="s">
        <v>1611</v>
      </c>
      <c r="R150" s="34" t="s">
        <v>1612</v>
      </c>
      <c r="S150" s="34" t="s">
        <v>143</v>
      </c>
      <c r="T150" s="34">
        <v>20150202</v>
      </c>
      <c r="U150" s="45">
        <v>40.579032036299999</v>
      </c>
      <c r="V150" s="46">
        <v>43.244128632500001</v>
      </c>
      <c r="W150" s="34" t="s">
        <v>201</v>
      </c>
      <c r="X150" s="34" t="s">
        <v>44</v>
      </c>
      <c r="Y150" s="34" t="s">
        <v>45</v>
      </c>
      <c r="Z150" s="34" t="s">
        <v>274</v>
      </c>
      <c r="AA150" s="34"/>
      <c r="AB150" s="34"/>
      <c r="AC150" s="22">
        <v>0.86675354003906246</v>
      </c>
      <c r="AD150" s="23" t="s">
        <v>318</v>
      </c>
      <c r="AE150" s="24">
        <v>1.9287671232876713</v>
      </c>
      <c r="AF150" s="25">
        <v>0.17326705391835831</v>
      </c>
      <c r="AG150" s="26">
        <v>0</v>
      </c>
      <c r="AH150" s="26">
        <v>0</v>
      </c>
      <c r="AI150" s="27">
        <v>0.60139074167497919</v>
      </c>
      <c r="AJ150" s="27">
        <v>0.60139074167497919</v>
      </c>
      <c r="AK150" s="27">
        <v>0.60139074167497919</v>
      </c>
      <c r="AL150" s="28" t="s">
        <v>1613</v>
      </c>
      <c r="AM150" s="29" t="s">
        <v>48</v>
      </c>
      <c r="AN150" s="29" t="s">
        <v>48</v>
      </c>
      <c r="AO150" s="29" t="s">
        <v>48</v>
      </c>
      <c r="AP150" s="47" t="s">
        <v>1614</v>
      </c>
      <c r="AQ150" s="28">
        <v>0</v>
      </c>
      <c r="AR150" s="26">
        <v>1.4999999999999999E-2</v>
      </c>
      <c r="AS150" s="26">
        <v>0</v>
      </c>
    </row>
    <row r="151" spans="1:45" x14ac:dyDescent="0.15">
      <c r="A151" s="64">
        <v>682</v>
      </c>
      <c r="B151" s="64">
        <v>548</v>
      </c>
      <c r="C151" s="11">
        <v>660005</v>
      </c>
      <c r="D151" s="61">
        <v>493</v>
      </c>
      <c r="E151" s="61">
        <v>-1.3902628249184801E-3</v>
      </c>
      <c r="F151" s="61">
        <v>212</v>
      </c>
      <c r="G151" s="61">
        <v>0.304922729411783</v>
      </c>
      <c r="H151" s="66">
        <v>141</v>
      </c>
      <c r="I151" s="66" t="str">
        <f>H151&amp;"/"&amp;428</f>
        <v>141/428</v>
      </c>
      <c r="J151" s="68">
        <f>H151/428</f>
        <v>0.32943925233644861</v>
      </c>
      <c r="K151" s="18" t="s">
        <v>44</v>
      </c>
      <c r="L151" s="18" t="s">
        <v>45</v>
      </c>
      <c r="M151" s="58" t="s">
        <v>274</v>
      </c>
      <c r="N151" s="18">
        <f>[1]!f_prt_stocktonav(C151,"2017/03/31")</f>
        <v>84.064041137695312</v>
      </c>
      <c r="O151" s="20" t="str">
        <f>[1]!f_info_fundmanager(C151)</f>
        <v>付娟,徐文卉</v>
      </c>
      <c r="P151" s="21">
        <v>4.0739726027397261</v>
      </c>
      <c r="Q151" s="34" t="s">
        <v>2724</v>
      </c>
      <c r="R151" s="34" t="s">
        <v>2725</v>
      </c>
      <c r="S151" s="34" t="s">
        <v>424</v>
      </c>
      <c r="T151" s="34">
        <v>20100325</v>
      </c>
      <c r="U151" s="45">
        <v>12.2721569118</v>
      </c>
      <c r="V151" s="46">
        <v>16.9386498012</v>
      </c>
      <c r="W151" s="34" t="s">
        <v>201</v>
      </c>
      <c r="X151" s="34" t="s">
        <v>44</v>
      </c>
      <c r="Y151" s="34" t="s">
        <v>45</v>
      </c>
      <c r="Z151" s="34" t="s">
        <v>274</v>
      </c>
      <c r="AA151" s="34"/>
      <c r="AB151" s="34"/>
      <c r="AC151" s="22">
        <v>0.79882225036621091</v>
      </c>
      <c r="AD151" s="23" t="s">
        <v>2332</v>
      </c>
      <c r="AE151" s="24">
        <v>3.8438356164383563</v>
      </c>
      <c r="AF151" s="25">
        <v>0.14131647202734321</v>
      </c>
      <c r="AG151" s="26">
        <v>0.16906717838236829</v>
      </c>
      <c r="AH151" s="26">
        <v>0.2061032388685291</v>
      </c>
      <c r="AI151" s="27">
        <v>0.5713480376108302</v>
      </c>
      <c r="AJ151" s="27">
        <v>0.56383449373071515</v>
      </c>
      <c r="AK151" s="27">
        <v>0.73001652415930574</v>
      </c>
      <c r="AL151" s="28" t="s">
        <v>2726</v>
      </c>
      <c r="AM151" s="29">
        <v>5</v>
      </c>
      <c r="AN151" s="29">
        <v>3</v>
      </c>
      <c r="AO151" s="29" t="s">
        <v>48</v>
      </c>
      <c r="AP151" s="47" t="s">
        <v>702</v>
      </c>
      <c r="AQ151" s="28">
        <v>0</v>
      </c>
      <c r="AR151" s="26">
        <v>1.4999999999999999E-2</v>
      </c>
      <c r="AS151" s="26">
        <v>0</v>
      </c>
    </row>
    <row r="152" spans="1:45" x14ac:dyDescent="0.15">
      <c r="A152" s="64">
        <v>337</v>
      </c>
      <c r="B152" s="64">
        <v>339</v>
      </c>
      <c r="C152" s="11">
        <v>1070</v>
      </c>
      <c r="D152" s="61">
        <v>494</v>
      </c>
      <c r="E152" s="61">
        <v>-1.3950190083577201E-3</v>
      </c>
      <c r="F152" s="61">
        <v>103</v>
      </c>
      <c r="G152" s="61">
        <v>0.401863641539907</v>
      </c>
      <c r="H152" s="66">
        <v>142</v>
      </c>
      <c r="I152" s="66" t="str">
        <f>H152&amp;"/"&amp;428</f>
        <v>142/428</v>
      </c>
      <c r="J152" s="68">
        <f>H152/428</f>
        <v>0.33177570093457942</v>
      </c>
      <c r="K152" s="18" t="s">
        <v>44</v>
      </c>
      <c r="L152" s="18" t="s">
        <v>45</v>
      </c>
      <c r="M152" s="58" t="s">
        <v>274</v>
      </c>
      <c r="N152" s="18">
        <f>[1]!f_prt_stocktonav(C152,"2017/03/31")</f>
        <v>88.689994812011719</v>
      </c>
      <c r="O152" s="20" t="str">
        <f>[1]!f_info_fundmanager(C152)</f>
        <v>邵卓</v>
      </c>
      <c r="P152" s="21">
        <v>2.021917808219178</v>
      </c>
      <c r="Q152" s="34" t="s">
        <v>1497</v>
      </c>
      <c r="R152" s="34" t="s">
        <v>1498</v>
      </c>
      <c r="S152" s="34" t="s">
        <v>307</v>
      </c>
      <c r="T152" s="34">
        <v>20150324</v>
      </c>
      <c r="U152" s="45">
        <v>6.5685122402999996</v>
      </c>
      <c r="V152" s="46">
        <v>7.4295575706000001</v>
      </c>
      <c r="W152" s="34" t="s">
        <v>3776</v>
      </c>
      <c r="X152" s="34" t="s">
        <v>44</v>
      </c>
      <c r="Y152" s="34" t="s">
        <v>45</v>
      </c>
      <c r="Z152" s="34" t="s">
        <v>274</v>
      </c>
      <c r="AA152" s="34"/>
      <c r="AB152" s="34"/>
      <c r="AC152" s="22">
        <v>0.87798088073730474</v>
      </c>
      <c r="AD152" s="23" t="s">
        <v>1499</v>
      </c>
      <c r="AE152" s="24">
        <v>1.7917808219178082</v>
      </c>
      <c r="AF152" s="25">
        <v>5.9374039085126951E-2</v>
      </c>
      <c r="AG152" s="26">
        <v>0</v>
      </c>
      <c r="AH152" s="26">
        <v>0</v>
      </c>
      <c r="AI152" s="27">
        <v>0.29566863246384079</v>
      </c>
      <c r="AJ152" s="27">
        <v>0.29566863246384079</v>
      </c>
      <c r="AK152" s="27">
        <v>0.29566863246384079</v>
      </c>
      <c r="AL152" s="28" t="s">
        <v>1013</v>
      </c>
      <c r="AM152" s="29" t="s">
        <v>48</v>
      </c>
      <c r="AN152" s="29" t="s">
        <v>48</v>
      </c>
      <c r="AO152" s="29" t="s">
        <v>48</v>
      </c>
      <c r="AP152" s="47" t="s">
        <v>310</v>
      </c>
      <c r="AQ152" s="28">
        <v>0</v>
      </c>
      <c r="AR152" s="26">
        <v>1.4999999999999999E-2</v>
      </c>
      <c r="AS152" s="26">
        <v>0</v>
      </c>
    </row>
    <row r="153" spans="1:45" x14ac:dyDescent="0.15">
      <c r="A153" s="64">
        <v>149</v>
      </c>
      <c r="B153" s="64">
        <v>726</v>
      </c>
      <c r="C153" s="11">
        <v>2132</v>
      </c>
      <c r="D153" s="61">
        <v>495</v>
      </c>
      <c r="E153" s="61">
        <v>-1.39530848322373E-3</v>
      </c>
      <c r="F153" s="61">
        <v>61</v>
      </c>
      <c r="G153" s="61">
        <v>0.28807068019821802</v>
      </c>
      <c r="H153" s="66">
        <v>143</v>
      </c>
      <c r="I153" s="66" t="str">
        <f>H153&amp;"/"&amp;428</f>
        <v>143/428</v>
      </c>
      <c r="J153" s="68">
        <f>H153/428</f>
        <v>0.33411214953271029</v>
      </c>
      <c r="K153" s="18" t="s">
        <v>44</v>
      </c>
      <c r="L153" s="18" t="s">
        <v>45</v>
      </c>
      <c r="M153" s="58" t="s">
        <v>274</v>
      </c>
      <c r="N153" s="18">
        <f>[1]!f_prt_stocktonav(C153,"2017/03/31")</f>
        <v>79.273574829101563</v>
      </c>
      <c r="O153" s="20" t="str">
        <f>[1]!f_info_fundmanager(C153)</f>
        <v>易阳方</v>
      </c>
      <c r="P153" s="21">
        <v>1.189041095890411</v>
      </c>
      <c r="Q153" s="34" t="s">
        <v>758</v>
      </c>
      <c r="R153" s="34" t="s">
        <v>759</v>
      </c>
      <c r="S153" s="34" t="s">
        <v>132</v>
      </c>
      <c r="T153" s="34">
        <v>20160115</v>
      </c>
      <c r="U153" s="45">
        <v>2.8483703733999999</v>
      </c>
      <c r="V153" s="46">
        <v>3.0048090410000001</v>
      </c>
      <c r="W153" s="34" t="s">
        <v>3776</v>
      </c>
      <c r="X153" s="34" t="s">
        <v>41</v>
      </c>
      <c r="Y153" s="17" t="s">
        <v>42</v>
      </c>
      <c r="Z153" s="17" t="s">
        <v>181</v>
      </c>
      <c r="AA153" s="34"/>
      <c r="AB153" s="34"/>
      <c r="AC153" s="22">
        <v>0.56776550292968753</v>
      </c>
      <c r="AD153" s="23" t="s">
        <v>760</v>
      </c>
      <c r="AE153" s="24">
        <v>0.95890410958904104</v>
      </c>
      <c r="AF153" s="25">
        <v>-5.2832882628422444E-2</v>
      </c>
      <c r="AG153" s="26">
        <v>0</v>
      </c>
      <c r="AH153" s="26">
        <v>0</v>
      </c>
      <c r="AI153" s="27">
        <v>-0.68380150330196354</v>
      </c>
      <c r="AJ153" s="27">
        <v>-0.68380150330196354</v>
      </c>
      <c r="AK153" s="27">
        <v>-0.68380150330196354</v>
      </c>
      <c r="AL153" s="28" t="s">
        <v>134</v>
      </c>
      <c r="AM153" s="29" t="s">
        <v>48</v>
      </c>
      <c r="AN153" s="29" t="s">
        <v>48</v>
      </c>
      <c r="AO153" s="29" t="s">
        <v>48</v>
      </c>
      <c r="AP153" s="47" t="s">
        <v>281</v>
      </c>
      <c r="AQ153" s="28">
        <v>0</v>
      </c>
      <c r="AR153" s="26">
        <v>0.01</v>
      </c>
      <c r="AS153" s="26">
        <v>0</v>
      </c>
    </row>
    <row r="154" spans="1:45" x14ac:dyDescent="0.15">
      <c r="A154" s="64">
        <v>506</v>
      </c>
      <c r="B154" s="64">
        <v>738</v>
      </c>
      <c r="C154" s="11">
        <v>56</v>
      </c>
      <c r="D154" s="61">
        <v>499</v>
      </c>
      <c r="E154" s="61">
        <v>-1.4319847343873301E-3</v>
      </c>
      <c r="F154" s="61">
        <v>196</v>
      </c>
      <c r="G154" s="61">
        <v>5.3374305320282901E-2</v>
      </c>
      <c r="H154" s="66">
        <v>144</v>
      </c>
      <c r="I154" s="66" t="str">
        <f>H154&amp;"/"&amp;428</f>
        <v>144/428</v>
      </c>
      <c r="J154" s="68">
        <f>H154/428</f>
        <v>0.3364485981308411</v>
      </c>
      <c r="K154" s="18" t="s">
        <v>44</v>
      </c>
      <c r="L154" s="18" t="s">
        <v>45</v>
      </c>
      <c r="M154" s="58" t="s">
        <v>274</v>
      </c>
      <c r="N154" s="18">
        <f>[1]!f_prt_stocktonav(C154,"2017/03/31")</f>
        <v>78.817741394042969</v>
      </c>
      <c r="O154" s="20" t="str">
        <f>[1]!f_info_fundmanager(C154)</f>
        <v>邱宇航</v>
      </c>
      <c r="P154" s="21">
        <v>3.7972602739726029</v>
      </c>
      <c r="Q154" s="34" t="s">
        <v>2120</v>
      </c>
      <c r="R154" s="34" t="s">
        <v>2121</v>
      </c>
      <c r="S154" s="34" t="s">
        <v>307</v>
      </c>
      <c r="T154" s="34">
        <v>20130614</v>
      </c>
      <c r="U154" s="45">
        <v>0.6346382518</v>
      </c>
      <c r="V154" s="46">
        <v>0.62321057800000002</v>
      </c>
      <c r="W154" s="34" t="s">
        <v>3776</v>
      </c>
      <c r="X154" s="34" t="s">
        <v>44</v>
      </c>
      <c r="Y154" s="34" t="s">
        <v>45</v>
      </c>
      <c r="Z154" s="34" t="s">
        <v>274</v>
      </c>
      <c r="AA154" s="34"/>
      <c r="AB154" s="34"/>
      <c r="AC154" s="22">
        <v>0.71375946044921879</v>
      </c>
      <c r="AD154" s="23" t="s">
        <v>2122</v>
      </c>
      <c r="AE154" s="24">
        <v>3.5671232876712327</v>
      </c>
      <c r="AF154" s="25">
        <v>0.15114477209847954</v>
      </c>
      <c r="AG154" s="26">
        <v>0.18182105360894707</v>
      </c>
      <c r="AH154" s="26">
        <v>0</v>
      </c>
      <c r="AI154" s="27">
        <v>0.65561401747205128</v>
      </c>
      <c r="AJ154" s="27">
        <v>0.73674226670629805</v>
      </c>
      <c r="AK154" s="27">
        <v>0.65561401747205128</v>
      </c>
      <c r="AL154" s="28" t="s">
        <v>2074</v>
      </c>
      <c r="AM154" s="29" t="s">
        <v>48</v>
      </c>
      <c r="AN154" s="29" t="s">
        <v>48</v>
      </c>
      <c r="AO154" s="29" t="s">
        <v>48</v>
      </c>
      <c r="AP154" s="47" t="s">
        <v>310</v>
      </c>
      <c r="AQ154" s="28">
        <v>0</v>
      </c>
      <c r="AR154" s="26">
        <v>1.4999999999999999E-2</v>
      </c>
      <c r="AS154" s="26">
        <v>0</v>
      </c>
    </row>
    <row r="155" spans="1:45" x14ac:dyDescent="0.15">
      <c r="A155" s="64">
        <v>944</v>
      </c>
      <c r="B155" s="64">
        <v>891</v>
      </c>
      <c r="C155" s="11">
        <v>80001</v>
      </c>
      <c r="D155" s="61">
        <v>502</v>
      </c>
      <c r="E155" s="61">
        <v>-1.4456771534104901E-3</v>
      </c>
      <c r="F155" s="61">
        <v>93</v>
      </c>
      <c r="G155" s="61">
        <v>0.21182183018424999</v>
      </c>
      <c r="H155" s="66">
        <v>145</v>
      </c>
      <c r="I155" s="66" t="str">
        <f>H155&amp;"/"&amp;428</f>
        <v>145/428</v>
      </c>
      <c r="J155" s="68">
        <f>H155/428</f>
        <v>0.33878504672897197</v>
      </c>
      <c r="K155" s="18" t="s">
        <v>44</v>
      </c>
      <c r="L155" s="18" t="s">
        <v>45</v>
      </c>
      <c r="M155" s="58" t="s">
        <v>274</v>
      </c>
      <c r="N155" s="18">
        <f>[1]!f_prt_stocktonav(C155,"2017/03/31")</f>
        <v>72.991645812988281</v>
      </c>
      <c r="O155" s="20" t="str">
        <f>[1]!f_info_fundmanager(C155)</f>
        <v>冯雨生</v>
      </c>
      <c r="P155" s="21">
        <v>1.7863013698630137</v>
      </c>
      <c r="Q155" s="34" t="s">
        <v>3667</v>
      </c>
      <c r="R155" s="34" t="s">
        <v>3668</v>
      </c>
      <c r="S155" s="34" t="s">
        <v>364</v>
      </c>
      <c r="T155" s="34">
        <v>20020918</v>
      </c>
      <c r="U155" s="45">
        <v>6.2929642198</v>
      </c>
      <c r="V155" s="46">
        <v>7.4877177103000001</v>
      </c>
      <c r="W155" s="34" t="s">
        <v>231</v>
      </c>
      <c r="X155" s="34" t="s">
        <v>44</v>
      </c>
      <c r="Y155" s="34" t="s">
        <v>45</v>
      </c>
      <c r="Z155" s="34" t="s">
        <v>274</v>
      </c>
      <c r="AA155" s="34"/>
      <c r="AB155" s="34"/>
      <c r="AC155" s="22">
        <v>0.70712699890136721</v>
      </c>
      <c r="AD155" s="23" t="s">
        <v>1956</v>
      </c>
      <c r="AE155" s="24">
        <v>1.5561643835616439</v>
      </c>
      <c r="AF155" s="25">
        <v>0.14788794736385591</v>
      </c>
      <c r="AG155" s="26">
        <v>0.22500979748477801</v>
      </c>
      <c r="AH155" s="26">
        <v>0.1635948843790804</v>
      </c>
      <c r="AI155" s="27">
        <v>0.7138985074209071</v>
      </c>
      <c r="AJ155" s="27">
        <v>0.83089420098822631</v>
      </c>
      <c r="AK155" s="27">
        <v>0.73078171953836446</v>
      </c>
      <c r="AL155" s="28" t="s">
        <v>3669</v>
      </c>
      <c r="AM155" s="29">
        <v>5</v>
      </c>
      <c r="AN155" s="29">
        <v>3</v>
      </c>
      <c r="AO155" s="29" t="s">
        <v>48</v>
      </c>
      <c r="AP155" s="47" t="s">
        <v>3575</v>
      </c>
      <c r="AQ155" s="28">
        <v>0</v>
      </c>
      <c r="AR155" s="26">
        <v>1.4999999999999999E-2</v>
      </c>
      <c r="AS155" s="26">
        <v>0</v>
      </c>
    </row>
    <row r="156" spans="1:45" x14ac:dyDescent="0.15">
      <c r="A156" s="64">
        <v>639</v>
      </c>
      <c r="B156" s="64">
        <v>70</v>
      </c>
      <c r="C156" s="11">
        <v>519674</v>
      </c>
      <c r="D156" s="61">
        <v>503</v>
      </c>
      <c r="E156" s="61">
        <v>-1.45276124426923E-3</v>
      </c>
      <c r="F156" s="61">
        <v>61</v>
      </c>
      <c r="G156" s="61">
        <v>0.427847641477341</v>
      </c>
      <c r="H156" s="66">
        <v>146</v>
      </c>
      <c r="I156" s="66" t="str">
        <f>H156&amp;"/"&amp;428</f>
        <v>146/428</v>
      </c>
      <c r="J156" s="68">
        <f>H156/428</f>
        <v>0.34112149532710279</v>
      </c>
      <c r="K156" s="18" t="s">
        <v>44</v>
      </c>
      <c r="L156" s="18" t="s">
        <v>45</v>
      </c>
      <c r="M156" s="58" t="s">
        <v>274</v>
      </c>
      <c r="N156" s="18">
        <f>[1]!f_prt_stocktonav(C156,"2017/03/31")</f>
        <v>94.046035766601562</v>
      </c>
      <c r="O156" s="20" t="str">
        <f>[1]!f_info_fundmanager(C156)</f>
        <v>袁曦</v>
      </c>
      <c r="P156" s="21">
        <v>1.1589041095890411</v>
      </c>
      <c r="Q156" s="34" t="s">
        <v>2583</v>
      </c>
      <c r="R156" s="34" t="s">
        <v>2584</v>
      </c>
      <c r="S156" s="34" t="s">
        <v>807</v>
      </c>
      <c r="T156" s="34">
        <v>20101229</v>
      </c>
      <c r="U156" s="45">
        <v>2.2879604163999998</v>
      </c>
      <c r="V156" s="46">
        <v>3.3766045769000002</v>
      </c>
      <c r="W156" s="34" t="s">
        <v>3776</v>
      </c>
      <c r="X156" s="34" t="s">
        <v>44</v>
      </c>
      <c r="Y156" s="34" t="s">
        <v>45</v>
      </c>
      <c r="Z156" s="34" t="s">
        <v>274</v>
      </c>
      <c r="AA156" s="34"/>
      <c r="AB156" s="34"/>
      <c r="AC156" s="22">
        <v>0.91061622619628901</v>
      </c>
      <c r="AD156" s="23" t="s">
        <v>2585</v>
      </c>
      <c r="AE156" s="24">
        <v>0.92876712328767119</v>
      </c>
      <c r="AF156" s="25">
        <v>0.13331471714388088</v>
      </c>
      <c r="AG156" s="26">
        <v>0.16248333307854712</v>
      </c>
      <c r="AH156" s="26">
        <v>0.2097091032975813</v>
      </c>
      <c r="AI156" s="27">
        <v>0.55586125649764873</v>
      </c>
      <c r="AJ156" s="27">
        <v>0.57617792753161468</v>
      </c>
      <c r="AK156" s="27">
        <v>0.77349766161692524</v>
      </c>
      <c r="AL156" s="28" t="s">
        <v>2586</v>
      </c>
      <c r="AM156" s="29">
        <v>5</v>
      </c>
      <c r="AN156" s="29">
        <v>4</v>
      </c>
      <c r="AO156" s="29" t="s">
        <v>48</v>
      </c>
      <c r="AP156" s="47" t="s">
        <v>101</v>
      </c>
      <c r="AQ156" s="28">
        <v>0</v>
      </c>
      <c r="AR156" s="26">
        <v>1.4999999999999999E-2</v>
      </c>
      <c r="AS156" s="26">
        <v>0</v>
      </c>
    </row>
    <row r="157" spans="1:45" x14ac:dyDescent="0.15">
      <c r="A157" s="64">
        <v>643</v>
      </c>
      <c r="B157" s="64">
        <v>853</v>
      </c>
      <c r="C157" s="11">
        <v>290008</v>
      </c>
      <c r="D157" s="61">
        <v>505</v>
      </c>
      <c r="E157" s="61">
        <v>-1.47265802082811E-3</v>
      </c>
      <c r="F157" s="61">
        <v>62</v>
      </c>
      <c r="G157" s="61">
        <v>0.34712132500821402</v>
      </c>
      <c r="H157" s="66">
        <v>147</v>
      </c>
      <c r="I157" s="66" t="str">
        <f>H157&amp;"/"&amp;428</f>
        <v>147/428</v>
      </c>
      <c r="J157" s="68">
        <f>H157/428</f>
        <v>0.34345794392523366</v>
      </c>
      <c r="K157" s="18" t="s">
        <v>44</v>
      </c>
      <c r="L157" s="18" t="s">
        <v>87</v>
      </c>
      <c r="M157" s="58" t="s">
        <v>274</v>
      </c>
      <c r="N157" s="18">
        <f>[1]!f_prt_stocktonav(C157,"2017/03/31")</f>
        <v>74.299278259277344</v>
      </c>
      <c r="O157" s="20" t="str">
        <f>[1]!f_info_fundmanager(C157)</f>
        <v>钱鑫</v>
      </c>
      <c r="P157" s="21">
        <v>1.1753424657534246</v>
      </c>
      <c r="Q157" s="34" t="s">
        <v>2596</v>
      </c>
      <c r="R157" s="34" t="s">
        <v>2597</v>
      </c>
      <c r="S157" s="34" t="s">
        <v>889</v>
      </c>
      <c r="T157" s="34">
        <v>20101215</v>
      </c>
      <c r="U157" s="45">
        <v>0.67609813230000004</v>
      </c>
      <c r="V157" s="46">
        <v>0.67667586270000002</v>
      </c>
      <c r="W157" s="34" t="s">
        <v>3789</v>
      </c>
      <c r="X157" s="34" t="s">
        <v>44</v>
      </c>
      <c r="Y157" s="34" t="s">
        <v>87</v>
      </c>
      <c r="Z157" s="34" t="s">
        <v>65</v>
      </c>
      <c r="AA157" s="34" t="s">
        <v>3838</v>
      </c>
      <c r="AB157" s="34"/>
      <c r="AC157" s="22">
        <v>0.7688296508789062</v>
      </c>
      <c r="AD157" s="23" t="s">
        <v>2599</v>
      </c>
      <c r="AE157" s="24">
        <v>0.9452054794520548</v>
      </c>
      <c r="AF157" s="25">
        <v>7.1254656862935972E-2</v>
      </c>
      <c r="AG157" s="26">
        <v>0.15750936646211411</v>
      </c>
      <c r="AH157" s="26">
        <v>0.14372638167088714</v>
      </c>
      <c r="AI157" s="27">
        <v>0.33612630711492225</v>
      </c>
      <c r="AJ157" s="27">
        <v>0.53114769749919089</v>
      </c>
      <c r="AK157" s="27">
        <v>0.54907159445971676</v>
      </c>
      <c r="AL157" s="33" t="s">
        <v>2119</v>
      </c>
      <c r="AM157" s="29">
        <v>3</v>
      </c>
      <c r="AN157" s="29">
        <v>4</v>
      </c>
      <c r="AO157" s="29" t="s">
        <v>48</v>
      </c>
      <c r="AP157" s="47" t="s">
        <v>2600</v>
      </c>
      <c r="AQ157" s="28">
        <v>0</v>
      </c>
      <c r="AR157" s="26">
        <v>1.4999999999999999E-2</v>
      </c>
      <c r="AS157" s="26">
        <v>0</v>
      </c>
    </row>
    <row r="158" spans="1:45" x14ac:dyDescent="0.15">
      <c r="A158" s="64">
        <v>261</v>
      </c>
      <c r="B158" s="64">
        <v>764</v>
      </c>
      <c r="C158" s="11">
        <v>1219</v>
      </c>
      <c r="D158" s="61">
        <v>507</v>
      </c>
      <c r="E158" s="61">
        <v>-1.4749826906666501E-3</v>
      </c>
      <c r="F158" s="61">
        <v>93</v>
      </c>
      <c r="G158" s="61">
        <v>0.22815908868983401</v>
      </c>
      <c r="H158" s="66">
        <v>148</v>
      </c>
      <c r="I158" s="66" t="str">
        <f>H158&amp;"/"&amp;428</f>
        <v>148/428</v>
      </c>
      <c r="J158" s="68">
        <f>H158/428</f>
        <v>0.34579439252336447</v>
      </c>
      <c r="K158" s="18" t="s">
        <v>44</v>
      </c>
      <c r="L158" s="19" t="s">
        <v>64</v>
      </c>
      <c r="M158" s="59" t="s">
        <v>274</v>
      </c>
      <c r="N158" s="18">
        <f>[1]!f_prt_stocktonav(C158,"2017/03/31")</f>
        <v>77.760383605957031</v>
      </c>
      <c r="O158" s="20" t="str">
        <f>[1]!f_info_fundmanager(C158)</f>
        <v>黄栋</v>
      </c>
      <c r="P158" s="21">
        <v>1.8301369863013699</v>
      </c>
      <c r="Q158" s="32" t="s">
        <v>1200</v>
      </c>
      <c r="R158" s="13" t="s">
        <v>1201</v>
      </c>
      <c r="S158" s="13" t="s">
        <v>511</v>
      </c>
      <c r="T158" s="13">
        <v>20150602</v>
      </c>
      <c r="U158" s="14">
        <v>15.840061016</v>
      </c>
      <c r="V158" s="15" t="s">
        <v>3772</v>
      </c>
      <c r="W158" s="16" t="s">
        <v>40</v>
      </c>
      <c r="X158" s="17" t="s">
        <v>44</v>
      </c>
      <c r="Y158" s="17" t="s">
        <v>64</v>
      </c>
      <c r="Z158" s="17" t="s">
        <v>274</v>
      </c>
      <c r="AA158" s="13"/>
      <c r="AB158" s="13"/>
      <c r="AC158" s="22">
        <v>0.81013336181640627</v>
      </c>
      <c r="AD158" s="23" t="s">
        <v>1202</v>
      </c>
      <c r="AE158" s="24">
        <v>1.6</v>
      </c>
      <c r="AF158" s="25">
        <v>-6.6885149901401708E-2</v>
      </c>
      <c r="AG158" s="26">
        <v>0</v>
      </c>
      <c r="AH158" s="26">
        <v>0</v>
      </c>
      <c r="AI158" s="27">
        <v>-0.11215523961701253</v>
      </c>
      <c r="AJ158" s="27">
        <v>-0.11215523961701253</v>
      </c>
      <c r="AK158" s="27">
        <v>-0.11215523961701253</v>
      </c>
      <c r="AL158" s="28" t="s">
        <v>852</v>
      </c>
      <c r="AM158" s="29" t="s">
        <v>48</v>
      </c>
      <c r="AN158" s="29" t="s">
        <v>48</v>
      </c>
      <c r="AO158" s="29" t="s">
        <v>48</v>
      </c>
      <c r="AP158" s="23">
        <v>0</v>
      </c>
      <c r="AQ158" s="30">
        <v>0</v>
      </c>
      <c r="AR158" s="31">
        <v>1.4999999999999999E-2</v>
      </c>
      <c r="AS158" s="31">
        <v>0</v>
      </c>
    </row>
    <row r="159" spans="1:45" x14ac:dyDescent="0.15">
      <c r="A159" s="64">
        <v>932</v>
      </c>
      <c r="B159" s="64">
        <v>855</v>
      </c>
      <c r="C159" s="11">
        <v>260101</v>
      </c>
      <c r="D159" s="61">
        <v>508</v>
      </c>
      <c r="E159" s="61">
        <v>-1.49607151667113E-3</v>
      </c>
      <c r="F159" s="61">
        <v>127</v>
      </c>
      <c r="G159" s="61">
        <v>0.24357926074021799</v>
      </c>
      <c r="H159" s="66">
        <v>149</v>
      </c>
      <c r="I159" s="66" t="str">
        <f>H159&amp;"/"&amp;428</f>
        <v>149/428</v>
      </c>
      <c r="J159" s="68">
        <f>H159/428</f>
        <v>0.34813084112149534</v>
      </c>
      <c r="K159" s="18" t="s">
        <v>44</v>
      </c>
      <c r="L159" s="18" t="s">
        <v>45</v>
      </c>
      <c r="M159" s="58" t="s">
        <v>274</v>
      </c>
      <c r="N159" s="18">
        <f>[1]!f_prt_stocktonav(C159,"2017/03/31")</f>
        <v>74.254913330078125</v>
      </c>
      <c r="O159" s="20" t="str">
        <f>[1]!f_info_fundmanager(C159)</f>
        <v>杨锐文</v>
      </c>
      <c r="P159" s="21">
        <v>2.4328767123287673</v>
      </c>
      <c r="Q159" s="34" t="s">
        <v>3624</v>
      </c>
      <c r="R159" s="34" t="s">
        <v>3625</v>
      </c>
      <c r="S159" s="34" t="s">
        <v>353</v>
      </c>
      <c r="T159" s="34">
        <v>20031024</v>
      </c>
      <c r="U159" s="45">
        <v>11.823875451799999</v>
      </c>
      <c r="V159" s="46">
        <v>13.722168416400001</v>
      </c>
      <c r="W159" s="34" t="s">
        <v>231</v>
      </c>
      <c r="X159" s="34" t="s">
        <v>44</v>
      </c>
      <c r="Y159" s="34" t="s">
        <v>45</v>
      </c>
      <c r="Z159" s="34" t="s">
        <v>274</v>
      </c>
      <c r="AA159" s="34"/>
      <c r="AB159" s="34"/>
      <c r="AC159" s="22">
        <v>0.73627075195312497</v>
      </c>
      <c r="AD159" s="23" t="s">
        <v>581</v>
      </c>
      <c r="AE159" s="24">
        <v>2.2027397260273971</v>
      </c>
      <c r="AF159" s="25">
        <v>0.1699719851929451</v>
      </c>
      <c r="AG159" s="26">
        <v>0.17345013994880709</v>
      </c>
      <c r="AH159" s="26">
        <v>0.20867283975655718</v>
      </c>
      <c r="AI159" s="27">
        <v>0.7115750133124229</v>
      </c>
      <c r="AJ159" s="27">
        <v>0.61540896557613445</v>
      </c>
      <c r="AK159" s="27">
        <v>0.79495766561356762</v>
      </c>
      <c r="AL159" s="28" t="s">
        <v>3626</v>
      </c>
      <c r="AM159" s="29">
        <v>4</v>
      </c>
      <c r="AN159" s="29">
        <v>4</v>
      </c>
      <c r="AO159" s="29" t="s">
        <v>48</v>
      </c>
      <c r="AP159" s="47" t="s">
        <v>3627</v>
      </c>
      <c r="AQ159" s="28">
        <v>0</v>
      </c>
      <c r="AR159" s="26">
        <v>1.4999999999999999E-2</v>
      </c>
      <c r="AS159" s="26">
        <v>0</v>
      </c>
    </row>
    <row r="160" spans="1:45" x14ac:dyDescent="0.15">
      <c r="A160" s="64">
        <v>697</v>
      </c>
      <c r="B160" s="64">
        <v>124</v>
      </c>
      <c r="C160" s="11">
        <v>519115</v>
      </c>
      <c r="D160" s="61">
        <v>510</v>
      </c>
      <c r="E160" s="61">
        <v>-1.5069257223718499E-3</v>
      </c>
      <c r="F160" s="61">
        <v>63</v>
      </c>
      <c r="G160" s="61">
        <v>0.27256621702841299</v>
      </c>
      <c r="H160" s="66">
        <v>150</v>
      </c>
      <c r="I160" s="66" t="str">
        <f>H160&amp;"/"&amp;428</f>
        <v>150/428</v>
      </c>
      <c r="J160" s="68">
        <f>H160/428</f>
        <v>0.35046728971962615</v>
      </c>
      <c r="K160" s="18" t="s">
        <v>44</v>
      </c>
      <c r="L160" s="18" t="s">
        <v>87</v>
      </c>
      <c r="M160" s="58" t="s">
        <v>274</v>
      </c>
      <c r="N160" s="18">
        <f>[1]!f_prt_stocktonav(C160,"2017/03/31")</f>
        <v>93.184745788574219</v>
      </c>
      <c r="O160" s="20" t="str">
        <f>[1]!f_info_fundmanager(C160)</f>
        <v>陈蔚丰</v>
      </c>
      <c r="P160" s="21">
        <v>1.210958904109589</v>
      </c>
      <c r="Q160" s="34" t="s">
        <v>2773</v>
      </c>
      <c r="R160" s="34" t="s">
        <v>2774</v>
      </c>
      <c r="S160" s="34" t="s">
        <v>649</v>
      </c>
      <c r="T160" s="34">
        <v>20091203</v>
      </c>
      <c r="U160" s="45">
        <v>0.98456746390000005</v>
      </c>
      <c r="V160" s="46">
        <v>1.0214153982</v>
      </c>
      <c r="W160" s="34" t="s">
        <v>201</v>
      </c>
      <c r="X160" s="34" t="s">
        <v>44</v>
      </c>
      <c r="Y160" s="34" t="s">
        <v>45</v>
      </c>
      <c r="Z160" s="34" t="s">
        <v>274</v>
      </c>
      <c r="AA160" s="34"/>
      <c r="AB160" s="34"/>
      <c r="AC160" s="22">
        <v>0.90836441040039062</v>
      </c>
      <c r="AD160" s="23" t="s">
        <v>1252</v>
      </c>
      <c r="AE160" s="24">
        <v>0.98082191780821915</v>
      </c>
      <c r="AF160" s="25">
        <v>5.8599331216487416E-2</v>
      </c>
      <c r="AG160" s="26">
        <v>0.17832991110591359</v>
      </c>
      <c r="AH160" s="26">
        <v>0.15132521483616523</v>
      </c>
      <c r="AI160" s="27">
        <v>0.29605152624506714</v>
      </c>
      <c r="AJ160" s="27">
        <v>0.55013608023983906</v>
      </c>
      <c r="AK160" s="27">
        <v>0.53556434379189088</v>
      </c>
      <c r="AL160" s="28" t="s">
        <v>2775</v>
      </c>
      <c r="AM160" s="29">
        <v>1</v>
      </c>
      <c r="AN160" s="29">
        <v>2</v>
      </c>
      <c r="AO160" s="29" t="s">
        <v>48</v>
      </c>
      <c r="AP160" s="47" t="s">
        <v>334</v>
      </c>
      <c r="AQ160" s="28">
        <v>0</v>
      </c>
      <c r="AR160" s="26">
        <v>1.4999999999999999E-2</v>
      </c>
      <c r="AS160" s="26">
        <v>0</v>
      </c>
    </row>
    <row r="161" spans="1:45" x14ac:dyDescent="0.15">
      <c r="A161" s="64">
        <v>109</v>
      </c>
      <c r="B161" s="64">
        <v>65</v>
      </c>
      <c r="C161" s="11">
        <v>1917</v>
      </c>
      <c r="D161" s="61">
        <v>511</v>
      </c>
      <c r="E161" s="61">
        <v>-1.5159445297944401E-3</v>
      </c>
      <c r="F161" s="61">
        <v>53</v>
      </c>
      <c r="G161" s="61">
        <v>0.17083293008447301</v>
      </c>
      <c r="H161" s="66">
        <v>151</v>
      </c>
      <c r="I161" s="66" t="str">
        <f>H161&amp;"/"&amp;428</f>
        <v>151/428</v>
      </c>
      <c r="J161" s="68">
        <f>H161/428</f>
        <v>0.35280373831775702</v>
      </c>
      <c r="K161" s="18" t="s">
        <v>44</v>
      </c>
      <c r="L161" s="18" t="s">
        <v>64</v>
      </c>
      <c r="M161" s="58" t="s">
        <v>274</v>
      </c>
      <c r="N161" s="18">
        <f>[1]!f_prt_stocktonav(C161,"2017/03/31")</f>
        <v>94.119468688964844</v>
      </c>
      <c r="O161" s="20" t="str">
        <f>[1]!f_info_fundmanager(C161)</f>
        <v>王平</v>
      </c>
      <c r="P161" s="21">
        <v>1.0438356164383562</v>
      </c>
      <c r="Q161" s="34" t="s">
        <v>577</v>
      </c>
      <c r="R161" s="34" t="s">
        <v>578</v>
      </c>
      <c r="S161" s="34" t="s">
        <v>165</v>
      </c>
      <c r="T161" s="34">
        <v>20160315</v>
      </c>
      <c r="U161" s="45">
        <v>2.9169529477</v>
      </c>
      <c r="V161" s="46">
        <v>2.5243991973000002</v>
      </c>
      <c r="W161" s="34" t="s">
        <v>201</v>
      </c>
      <c r="X161" s="34" t="s">
        <v>44</v>
      </c>
      <c r="Y161" s="34" t="s">
        <v>64</v>
      </c>
      <c r="Z161" s="34" t="s">
        <v>274</v>
      </c>
      <c r="AA161" s="34"/>
      <c r="AB161" s="34"/>
      <c r="AC161" s="22">
        <v>0.94162178039550781</v>
      </c>
      <c r="AD161" s="23" t="s">
        <v>166</v>
      </c>
      <c r="AE161" s="24">
        <v>0.81369863013698629</v>
      </c>
      <c r="AF161" s="25">
        <v>0.16144728312836285</v>
      </c>
      <c r="AG161" s="26">
        <v>0</v>
      </c>
      <c r="AH161" s="26">
        <v>0</v>
      </c>
      <c r="AI161" s="27">
        <v>0.92854801137759602</v>
      </c>
      <c r="AJ161" s="27">
        <v>0.92854801137759602</v>
      </c>
      <c r="AK161" s="27">
        <v>0.92854801137759602</v>
      </c>
      <c r="AL161" s="28" t="s">
        <v>167</v>
      </c>
      <c r="AM161" s="29" t="s">
        <v>48</v>
      </c>
      <c r="AN161" s="29" t="s">
        <v>48</v>
      </c>
      <c r="AO161" s="29" t="s">
        <v>48</v>
      </c>
      <c r="AP161" s="47" t="s">
        <v>249</v>
      </c>
      <c r="AQ161" s="28">
        <v>0</v>
      </c>
      <c r="AR161" s="26">
        <v>1.4999999999999999E-2</v>
      </c>
      <c r="AS161" s="26">
        <v>0</v>
      </c>
    </row>
    <row r="162" spans="1:45" x14ac:dyDescent="0.15">
      <c r="A162" s="64">
        <v>401</v>
      </c>
      <c r="B162" s="64">
        <v>72</v>
      </c>
      <c r="C162" s="11">
        <v>828</v>
      </c>
      <c r="D162" s="61">
        <v>512</v>
      </c>
      <c r="E162" s="61">
        <v>-1.5167012096395599E-3</v>
      </c>
      <c r="F162" s="61">
        <v>67</v>
      </c>
      <c r="G162" s="61">
        <v>0.237069440156459</v>
      </c>
      <c r="H162" s="66">
        <v>152</v>
      </c>
      <c r="I162" s="66" t="str">
        <f>H162&amp;"/"&amp;428</f>
        <v>152/428</v>
      </c>
      <c r="J162" s="68">
        <f>H162/428</f>
        <v>0.35514018691588783</v>
      </c>
      <c r="K162" s="18" t="s">
        <v>44</v>
      </c>
      <c r="L162" s="18" t="s">
        <v>45</v>
      </c>
      <c r="M162" s="58" t="s">
        <v>274</v>
      </c>
      <c r="N162" s="18">
        <f>[1]!f_prt_stocktonav(C162,"2017/03/31")</f>
        <v>94.034423828125</v>
      </c>
      <c r="O162" s="20" t="str">
        <f>[1]!f_info_fundmanager(C162)</f>
        <v>张勋</v>
      </c>
      <c r="P162" s="21">
        <v>1.2712328767123289</v>
      </c>
      <c r="Q162" s="34" t="s">
        <v>1732</v>
      </c>
      <c r="R162" s="34" t="s">
        <v>1733</v>
      </c>
      <c r="S162" s="34" t="s">
        <v>263</v>
      </c>
      <c r="T162" s="34">
        <v>20141118</v>
      </c>
      <c r="U162" s="45">
        <v>1.0566268637</v>
      </c>
      <c r="V162" s="46">
        <v>1.1613550302</v>
      </c>
      <c r="W162" s="34" t="s">
        <v>3776</v>
      </c>
      <c r="X162" s="34" t="s">
        <v>44</v>
      </c>
      <c r="Y162" s="34" t="s">
        <v>45</v>
      </c>
      <c r="Z162" s="34" t="s">
        <v>274</v>
      </c>
      <c r="AA162" s="34"/>
      <c r="AB162" s="34"/>
      <c r="AC162" s="22">
        <v>0.87972030639648435</v>
      </c>
      <c r="AD162" s="23" t="s">
        <v>1734</v>
      </c>
      <c r="AE162" s="24">
        <v>1.0410958904109588</v>
      </c>
      <c r="AF162" s="25">
        <v>-6.6041583537489457E-3</v>
      </c>
      <c r="AG162" s="26">
        <v>0</v>
      </c>
      <c r="AH162" s="26">
        <v>0</v>
      </c>
      <c r="AI162" s="27">
        <v>0.12665180962237757</v>
      </c>
      <c r="AJ162" s="27">
        <v>0.12665180962237757</v>
      </c>
      <c r="AK162" s="27">
        <v>0.12665180962237757</v>
      </c>
      <c r="AL162" s="28" t="s">
        <v>1735</v>
      </c>
      <c r="AM162" s="29" t="s">
        <v>48</v>
      </c>
      <c r="AN162" s="29" t="s">
        <v>48</v>
      </c>
      <c r="AO162" s="29" t="s">
        <v>48</v>
      </c>
      <c r="AP162" s="47" t="s">
        <v>1736</v>
      </c>
      <c r="AQ162" s="28">
        <v>0</v>
      </c>
      <c r="AR162" s="26">
        <v>1.4999999999999999E-2</v>
      </c>
      <c r="AS162" s="26">
        <v>0</v>
      </c>
    </row>
    <row r="163" spans="1:45" x14ac:dyDescent="0.15">
      <c r="A163" s="64">
        <v>148</v>
      </c>
      <c r="B163" s="64">
        <v>267</v>
      </c>
      <c r="C163" s="11">
        <v>1877</v>
      </c>
      <c r="D163" s="61">
        <v>516</v>
      </c>
      <c r="E163" s="61">
        <v>-1.5339013060520501E-3</v>
      </c>
      <c r="F163" s="61">
        <v>40</v>
      </c>
      <c r="G163" s="61">
        <v>0.386158212070496</v>
      </c>
      <c r="H163" s="66">
        <v>153</v>
      </c>
      <c r="I163" s="66" t="str">
        <f>H163&amp;"/"&amp;428</f>
        <v>153/428</v>
      </c>
      <c r="J163" s="68">
        <f>H163/428</f>
        <v>0.3574766355140187</v>
      </c>
      <c r="K163" s="18" t="s">
        <v>44</v>
      </c>
      <c r="L163" s="18" t="s">
        <v>45</v>
      </c>
      <c r="M163" s="58" t="s">
        <v>274</v>
      </c>
      <c r="N163" s="18">
        <f>[1]!f_prt_stocktonav(C163,"2017/03/31")</f>
        <v>90.096855163574219</v>
      </c>
      <c r="O163" s="20" t="str">
        <f>[1]!f_info_fundmanager(C163)</f>
        <v>易祚兴</v>
      </c>
      <c r="P163" s="21">
        <v>0.75068493150684934</v>
      </c>
      <c r="Q163" s="34" t="s">
        <v>754</v>
      </c>
      <c r="R163" s="34" t="s">
        <v>755</v>
      </c>
      <c r="S163" s="34" t="s">
        <v>402</v>
      </c>
      <c r="T163" s="34">
        <v>20160120</v>
      </c>
      <c r="U163" s="45">
        <v>1.7798727080000001</v>
      </c>
      <c r="V163" s="46">
        <v>2.0987734274999998</v>
      </c>
      <c r="W163" s="34" t="s">
        <v>3776</v>
      </c>
      <c r="X163" s="34" t="s">
        <v>44</v>
      </c>
      <c r="Y163" s="34" t="s">
        <v>45</v>
      </c>
      <c r="Z163" s="34" t="s">
        <v>65</v>
      </c>
      <c r="AA163" s="34"/>
      <c r="AB163" s="34"/>
      <c r="AC163" s="22">
        <v>0.94507987976074215</v>
      </c>
      <c r="AD163" s="23" t="s">
        <v>756</v>
      </c>
      <c r="AE163" s="24">
        <v>0.96438356164383565</v>
      </c>
      <c r="AF163" s="25">
        <v>0.12025599233326201</v>
      </c>
      <c r="AG163" s="26">
        <v>0</v>
      </c>
      <c r="AH163" s="26">
        <v>0</v>
      </c>
      <c r="AI163" s="27">
        <v>0.82523841092297079</v>
      </c>
      <c r="AJ163" s="27">
        <v>0.82523841092297079</v>
      </c>
      <c r="AK163" s="27">
        <v>0.82523841092297079</v>
      </c>
      <c r="AL163" s="28" t="s">
        <v>757</v>
      </c>
      <c r="AM163" s="29" t="s">
        <v>48</v>
      </c>
      <c r="AN163" s="29" t="s">
        <v>48</v>
      </c>
      <c r="AO163" s="29" t="s">
        <v>48</v>
      </c>
      <c r="AP163" s="47" t="s">
        <v>405</v>
      </c>
      <c r="AQ163" s="28">
        <v>0</v>
      </c>
      <c r="AR163" s="26">
        <v>1.4999999999999999E-2</v>
      </c>
      <c r="AS163" s="26">
        <v>0</v>
      </c>
    </row>
    <row r="164" spans="1:45" x14ac:dyDescent="0.15">
      <c r="A164" s="64">
        <v>653</v>
      </c>
      <c r="B164" s="64">
        <v>310</v>
      </c>
      <c r="C164" s="11">
        <v>470006</v>
      </c>
      <c r="D164" s="61">
        <v>517</v>
      </c>
      <c r="E164" s="61">
        <v>-1.5412750133791499E-3</v>
      </c>
      <c r="F164" s="61">
        <v>265</v>
      </c>
      <c r="G164" s="61">
        <v>0.13156175701881101</v>
      </c>
      <c r="H164" s="66">
        <v>154</v>
      </c>
      <c r="I164" s="66" t="str">
        <f>H164&amp;"/"&amp;428</f>
        <v>154/428</v>
      </c>
      <c r="J164" s="68">
        <f>H164/428</f>
        <v>0.35981308411214952</v>
      </c>
      <c r="K164" s="18" t="s">
        <v>44</v>
      </c>
      <c r="L164" s="19" t="s">
        <v>86</v>
      </c>
      <c r="M164" s="59" t="s">
        <v>274</v>
      </c>
      <c r="N164" s="18">
        <f>[1]!f_prt_stocktonav(C164,"2017/03/31")</f>
        <v>89.298431396484375</v>
      </c>
      <c r="O164" s="20" t="str">
        <f>[1]!f_info_fundmanager(C164)</f>
        <v>周睿</v>
      </c>
      <c r="P164" s="21">
        <v>5.0821917808219181</v>
      </c>
      <c r="Q164" s="32" t="s">
        <v>2631</v>
      </c>
      <c r="R164" s="13" t="s">
        <v>2632</v>
      </c>
      <c r="S164" s="13" t="s">
        <v>331</v>
      </c>
      <c r="T164" s="13">
        <v>20100921</v>
      </c>
      <c r="U164" s="14">
        <v>39.067092066400001</v>
      </c>
      <c r="V164" s="15" t="s">
        <v>58</v>
      </c>
      <c r="W164" s="16" t="s">
        <v>40</v>
      </c>
      <c r="X164" s="17" t="s">
        <v>44</v>
      </c>
      <c r="Y164" s="17" t="s">
        <v>86</v>
      </c>
      <c r="Z164" s="17" t="s">
        <v>274</v>
      </c>
      <c r="AA164" s="13"/>
      <c r="AB164" s="13"/>
      <c r="AC164" s="22">
        <v>0.91372863769531254</v>
      </c>
      <c r="AD164" s="23" t="s">
        <v>2633</v>
      </c>
      <c r="AE164" s="24">
        <v>4.8520547945205479</v>
      </c>
      <c r="AF164" s="25">
        <v>8.5068726711223785E-2</v>
      </c>
      <c r="AG164" s="26">
        <v>0.1025541491385862</v>
      </c>
      <c r="AH164" s="26">
        <v>0.16784177224187324</v>
      </c>
      <c r="AI164" s="27">
        <v>0.38907421928905067</v>
      </c>
      <c r="AJ164" s="27">
        <v>0.4011253987906937</v>
      </c>
      <c r="AK164" s="27">
        <v>0.6467495564548944</v>
      </c>
      <c r="AL164" s="33" t="s">
        <v>2387</v>
      </c>
      <c r="AM164" s="29">
        <v>3</v>
      </c>
      <c r="AN164" s="29">
        <v>3</v>
      </c>
      <c r="AO164" s="29" t="s">
        <v>48</v>
      </c>
      <c r="AP164" s="23" t="s">
        <v>2634</v>
      </c>
      <c r="AQ164" s="30">
        <v>0</v>
      </c>
      <c r="AR164" s="31">
        <v>1.4999999999999999E-2</v>
      </c>
      <c r="AS164" s="31">
        <v>0</v>
      </c>
    </row>
    <row r="165" spans="1:45" x14ac:dyDescent="0.15">
      <c r="A165" s="64">
        <v>133</v>
      </c>
      <c r="B165" s="64">
        <v>157</v>
      </c>
      <c r="C165" s="11">
        <v>1604</v>
      </c>
      <c r="D165" s="61">
        <v>521</v>
      </c>
      <c r="E165" s="61">
        <v>-1.57398873023569E-3</v>
      </c>
      <c r="F165" s="61">
        <v>57</v>
      </c>
      <c r="G165" s="61">
        <v>0.194859533101986</v>
      </c>
      <c r="H165" s="66">
        <v>155</v>
      </c>
      <c r="I165" s="66" t="str">
        <f>H165&amp;"/"&amp;428</f>
        <v>155/428</v>
      </c>
      <c r="J165" s="68">
        <f>H165/428</f>
        <v>0.36214953271028039</v>
      </c>
      <c r="K165" s="18" t="s">
        <v>44</v>
      </c>
      <c r="L165" s="18" t="s">
        <v>45</v>
      </c>
      <c r="M165" s="58" t="s">
        <v>274</v>
      </c>
      <c r="N165" s="18">
        <f>[1]!f_prt_stocktonav(C165,"2017/03/31")</f>
        <v>92.609092712402344</v>
      </c>
      <c r="O165" s="20" t="str">
        <f>[1]!f_info_fundmanager(C165)</f>
        <v>赵语涛</v>
      </c>
      <c r="P165" s="21">
        <v>1.0849315068493151</v>
      </c>
      <c r="Q165" s="34" t="s">
        <v>680</v>
      </c>
      <c r="R165" s="34" t="s">
        <v>681</v>
      </c>
      <c r="S165" s="34" t="s">
        <v>682</v>
      </c>
      <c r="T165" s="34">
        <v>20160203</v>
      </c>
      <c r="U165" s="45">
        <v>0.56674230869999997</v>
      </c>
      <c r="V165" s="46">
        <v>0.68630218850000002</v>
      </c>
      <c r="W165" s="34" t="s">
        <v>3776</v>
      </c>
      <c r="X165" s="34" t="s">
        <v>44</v>
      </c>
      <c r="Y165" s="34" t="s">
        <v>45</v>
      </c>
      <c r="Z165" s="34" t="s">
        <v>65</v>
      </c>
      <c r="AA165" s="34"/>
      <c r="AB165" s="34"/>
      <c r="AC165" s="22">
        <v>0.86727607727050782</v>
      </c>
      <c r="AD165" s="23" t="s">
        <v>683</v>
      </c>
      <c r="AE165" s="24">
        <v>0.85479452054794525</v>
      </c>
      <c r="AF165" s="25">
        <v>-4.3758544043259635E-2</v>
      </c>
      <c r="AG165" s="26">
        <v>0</v>
      </c>
      <c r="AH165" s="26">
        <v>0</v>
      </c>
      <c r="AI165" s="27">
        <v>-0.89890105740714932</v>
      </c>
      <c r="AJ165" s="27">
        <v>-0.89890105740714932</v>
      </c>
      <c r="AK165" s="27">
        <v>-0.89890105740714932</v>
      </c>
      <c r="AL165" s="28" t="s">
        <v>684</v>
      </c>
      <c r="AM165" s="29" t="s">
        <v>48</v>
      </c>
      <c r="AN165" s="29" t="s">
        <v>48</v>
      </c>
      <c r="AO165" s="29" t="s">
        <v>48</v>
      </c>
      <c r="AP165" s="47" t="s">
        <v>367</v>
      </c>
      <c r="AQ165" s="28">
        <v>0</v>
      </c>
      <c r="AR165" s="26">
        <v>1.4999999999999999E-2</v>
      </c>
      <c r="AS165" s="26">
        <v>0</v>
      </c>
    </row>
    <row r="166" spans="1:45" x14ac:dyDescent="0.15">
      <c r="A166" s="64">
        <v>173</v>
      </c>
      <c r="B166" s="64">
        <v>798</v>
      </c>
      <c r="C166" s="11">
        <v>1808</v>
      </c>
      <c r="D166" s="61">
        <v>522</v>
      </c>
      <c r="E166" s="61">
        <v>-1.58255435566867E-3</v>
      </c>
      <c r="F166" s="61">
        <v>69</v>
      </c>
      <c r="G166" s="61">
        <v>0.34391429836655102</v>
      </c>
      <c r="H166" s="66">
        <v>156</v>
      </c>
      <c r="I166" s="66" t="str">
        <f>H166&amp;"/"&amp;428</f>
        <v>156/428</v>
      </c>
      <c r="J166" s="68">
        <f>H166/428</f>
        <v>0.3644859813084112</v>
      </c>
      <c r="K166" s="18" t="s">
        <v>44</v>
      </c>
      <c r="L166" s="18" t="s">
        <v>87</v>
      </c>
      <c r="M166" s="58" t="s">
        <v>274</v>
      </c>
      <c r="N166" s="18">
        <f>[1]!f_prt_stocktonav(C166,"2017/03/31")</f>
        <v>76.714668273925781</v>
      </c>
      <c r="O166" s="20" t="str">
        <f>[1]!f_info_fundmanager(C166)</f>
        <v>王浩</v>
      </c>
      <c r="P166" s="21">
        <v>1.3671232876712329</v>
      </c>
      <c r="Q166" s="34" t="s">
        <v>853</v>
      </c>
      <c r="R166" s="34" t="s">
        <v>854</v>
      </c>
      <c r="S166" s="34" t="s">
        <v>57</v>
      </c>
      <c r="T166" s="34">
        <v>20151118</v>
      </c>
      <c r="U166" s="45">
        <v>1.7992559909000001</v>
      </c>
      <c r="V166" s="46">
        <v>2.1641869133</v>
      </c>
      <c r="W166" s="34" t="s">
        <v>3789</v>
      </c>
      <c r="X166" s="34" t="s">
        <v>41</v>
      </c>
      <c r="Y166" s="34" t="s">
        <v>42</v>
      </c>
      <c r="Z166" s="34" t="s">
        <v>181</v>
      </c>
      <c r="AA166" s="34" t="s">
        <v>3792</v>
      </c>
      <c r="AB166" s="34"/>
      <c r="AC166" s="22">
        <v>0.63550441741943364</v>
      </c>
      <c r="AD166" s="23" t="s">
        <v>856</v>
      </c>
      <c r="AE166" s="24">
        <v>1.1369863013698631</v>
      </c>
      <c r="AF166" s="25">
        <v>-0.20392805539837067</v>
      </c>
      <c r="AG166" s="26">
        <v>0</v>
      </c>
      <c r="AH166" s="26">
        <v>0</v>
      </c>
      <c r="AI166" s="27">
        <v>-0.97999116906292938</v>
      </c>
      <c r="AJ166" s="27">
        <v>-0.97999116906292938</v>
      </c>
      <c r="AK166" s="27">
        <v>-0.97999116906292938</v>
      </c>
      <c r="AL166" s="33" t="s">
        <v>857</v>
      </c>
      <c r="AM166" s="29" t="s">
        <v>48</v>
      </c>
      <c r="AN166" s="29" t="s">
        <v>48</v>
      </c>
      <c r="AO166" s="29" t="s">
        <v>48</v>
      </c>
      <c r="AP166" s="47" t="s">
        <v>858</v>
      </c>
      <c r="AQ166" s="28">
        <v>0</v>
      </c>
      <c r="AR166" s="26">
        <v>1.4999999999999999E-2</v>
      </c>
      <c r="AS166" s="26">
        <v>0</v>
      </c>
    </row>
    <row r="167" spans="1:45" x14ac:dyDescent="0.15">
      <c r="A167" s="64">
        <v>814</v>
      </c>
      <c r="B167" s="64">
        <v>321</v>
      </c>
      <c r="C167" s="11">
        <v>110010</v>
      </c>
      <c r="D167" s="61">
        <v>525</v>
      </c>
      <c r="E167" s="61">
        <v>-1.5967996098934199E-3</v>
      </c>
      <c r="F167" s="61">
        <v>121</v>
      </c>
      <c r="G167" s="61">
        <v>0.24660025018853801</v>
      </c>
      <c r="H167" s="66">
        <v>157</v>
      </c>
      <c r="I167" s="66" t="str">
        <f>H167&amp;"/"&amp;428</f>
        <v>157/428</v>
      </c>
      <c r="J167" s="68">
        <f>H167/428</f>
        <v>0.36682242990654207</v>
      </c>
      <c r="K167" s="18" t="s">
        <v>44</v>
      </c>
      <c r="L167" s="18" t="s">
        <v>45</v>
      </c>
      <c r="M167" s="58" t="s">
        <v>274</v>
      </c>
      <c r="N167" s="18">
        <f>[1]!f_prt_stocktonav(C167,"2017/03/31")</f>
        <v>89.037467956542969</v>
      </c>
      <c r="O167" s="20" t="str">
        <f>[1]!f_info_fundmanager(C167)</f>
        <v>王义克</v>
      </c>
      <c r="P167" s="21">
        <v>2.3178082191780822</v>
      </c>
      <c r="Q167" s="34" t="s">
        <v>3169</v>
      </c>
      <c r="R167" s="34" t="s">
        <v>3170</v>
      </c>
      <c r="S167" s="34" t="s">
        <v>218</v>
      </c>
      <c r="T167" s="34">
        <v>20070402</v>
      </c>
      <c r="U167" s="45">
        <v>55.261799460900001</v>
      </c>
      <c r="V167" s="46">
        <v>58.110002330699999</v>
      </c>
      <c r="W167" s="34" t="s">
        <v>231</v>
      </c>
      <c r="X167" s="34" t="s">
        <v>44</v>
      </c>
      <c r="Y167" s="34" t="s">
        <v>45</v>
      </c>
      <c r="Z167" s="34" t="s">
        <v>274</v>
      </c>
      <c r="AA167" s="34"/>
      <c r="AB167" s="34"/>
      <c r="AC167" s="22">
        <v>0.83892997741699216</v>
      </c>
      <c r="AD167" s="23" t="s">
        <v>3171</v>
      </c>
      <c r="AE167" s="24">
        <v>2.0876712328767124</v>
      </c>
      <c r="AF167" s="25">
        <v>5.6820021582127955E-2</v>
      </c>
      <c r="AG167" s="26">
        <v>7.4942536698455298E-2</v>
      </c>
      <c r="AH167" s="26">
        <v>7.8801347443107295E-2</v>
      </c>
      <c r="AI167" s="27">
        <v>0.28427999158752104</v>
      </c>
      <c r="AJ167" s="27">
        <v>0.35534587160821623</v>
      </c>
      <c r="AK167" s="27">
        <v>0.36291922088141071</v>
      </c>
      <c r="AL167" s="28" t="s">
        <v>882</v>
      </c>
      <c r="AM167" s="29">
        <v>3</v>
      </c>
      <c r="AN167" s="29">
        <v>3</v>
      </c>
      <c r="AO167" s="29" t="s">
        <v>48</v>
      </c>
      <c r="AP167" s="47" t="s">
        <v>2457</v>
      </c>
      <c r="AQ167" s="28">
        <v>0</v>
      </c>
      <c r="AR167" s="26">
        <v>1.4999999999999999E-2</v>
      </c>
      <c r="AS167" s="26">
        <v>0</v>
      </c>
    </row>
    <row r="168" spans="1:45" x14ac:dyDescent="0.15">
      <c r="A168" s="64">
        <v>462</v>
      </c>
      <c r="B168" s="64">
        <v>842</v>
      </c>
      <c r="C168" s="11">
        <v>567</v>
      </c>
      <c r="D168" s="61">
        <v>526</v>
      </c>
      <c r="E168" s="61">
        <v>-1.60014477313173E-3</v>
      </c>
      <c r="F168" s="61">
        <v>156</v>
      </c>
      <c r="G168" s="61">
        <v>0.22636285714750001</v>
      </c>
      <c r="H168" s="66">
        <v>158</v>
      </c>
      <c r="I168" s="66" t="str">
        <f>H168&amp;"/"&amp;428</f>
        <v>158/428</v>
      </c>
      <c r="J168" s="68">
        <f>H168/428</f>
        <v>0.36915887850467288</v>
      </c>
      <c r="K168" s="18" t="s">
        <v>44</v>
      </c>
      <c r="L168" s="18" t="s">
        <v>45</v>
      </c>
      <c r="M168" s="58" t="s">
        <v>274</v>
      </c>
      <c r="N168" s="18">
        <f>[1]!f_prt_stocktonav(C168,"2017/03/31")</f>
        <v>74.92999267578125</v>
      </c>
      <c r="O168" s="20" t="str">
        <f>[1]!f_info_fundmanager(C168)</f>
        <v>易阳方</v>
      </c>
      <c r="P168" s="21">
        <v>3.0301369863013701</v>
      </c>
      <c r="Q168" s="34" t="s">
        <v>1962</v>
      </c>
      <c r="R168" s="34" t="s">
        <v>1963</v>
      </c>
      <c r="S168" s="34" t="s">
        <v>132</v>
      </c>
      <c r="T168" s="34">
        <v>20140321</v>
      </c>
      <c r="U168" s="45">
        <v>6.3862424174000001</v>
      </c>
      <c r="V168" s="46">
        <v>7.3935887140999998</v>
      </c>
      <c r="W168" s="34" t="s">
        <v>3776</v>
      </c>
      <c r="X168" s="34" t="s">
        <v>41</v>
      </c>
      <c r="Y168" s="17" t="s">
        <v>42</v>
      </c>
      <c r="Z168" s="17" t="s">
        <v>181</v>
      </c>
      <c r="AA168" s="34"/>
      <c r="AB168" s="34"/>
      <c r="AC168" s="22">
        <v>0.65476768493652349</v>
      </c>
      <c r="AD168" s="23" t="s">
        <v>760</v>
      </c>
      <c r="AE168" s="24">
        <v>2.8</v>
      </c>
      <c r="AF168" s="25">
        <v>0.19384633848523669</v>
      </c>
      <c r="AG168" s="26">
        <v>0</v>
      </c>
      <c r="AH168" s="26">
        <v>0</v>
      </c>
      <c r="AI168" s="27">
        <v>0.66706181538621645</v>
      </c>
      <c r="AJ168" s="27">
        <v>0.66706181538621645</v>
      </c>
      <c r="AK168" s="27">
        <v>0.66706181538621645</v>
      </c>
      <c r="AL168" s="28" t="s">
        <v>1964</v>
      </c>
      <c r="AM168" s="29" t="s">
        <v>48</v>
      </c>
      <c r="AN168" s="29" t="s">
        <v>48</v>
      </c>
      <c r="AO168" s="29" t="s">
        <v>48</v>
      </c>
      <c r="AP168" s="47" t="s">
        <v>1965</v>
      </c>
      <c r="AQ168" s="28">
        <v>0</v>
      </c>
      <c r="AR168" s="26">
        <v>1.4999999999999999E-2</v>
      </c>
      <c r="AS168" s="26">
        <v>0</v>
      </c>
    </row>
    <row r="169" spans="1:45" x14ac:dyDescent="0.15">
      <c r="A169" s="64">
        <v>875</v>
      </c>
      <c r="B169" s="64">
        <v>474</v>
      </c>
      <c r="C169" s="11">
        <v>400003</v>
      </c>
      <c r="D169" s="61">
        <v>527</v>
      </c>
      <c r="E169" s="61">
        <v>-1.60113172723451E-3</v>
      </c>
      <c r="F169" s="61">
        <v>86</v>
      </c>
      <c r="G169" s="61">
        <v>0.16726714467203499</v>
      </c>
      <c r="H169" s="66">
        <v>159</v>
      </c>
      <c r="I169" s="66" t="str">
        <f>H169&amp;"/"&amp;428</f>
        <v>159/428</v>
      </c>
      <c r="J169" s="68">
        <f>H169/428</f>
        <v>0.37149532710280375</v>
      </c>
      <c r="K169" s="18" t="s">
        <v>44</v>
      </c>
      <c r="L169" s="18" t="s">
        <v>45</v>
      </c>
      <c r="M169" s="58" t="s">
        <v>274</v>
      </c>
      <c r="N169" s="18">
        <f>[1]!f_prt_stocktonav(C169,"2017/03/31")</f>
        <v>85.767265319824219</v>
      </c>
      <c r="O169" s="20" t="str">
        <f>[1]!f_info_fundmanager(C169)</f>
        <v>朱晓栋</v>
      </c>
      <c r="P169" s="21">
        <v>1.6356164383561644</v>
      </c>
      <c r="Q169" s="34" t="s">
        <v>3399</v>
      </c>
      <c r="R169" s="34" t="s">
        <v>3400</v>
      </c>
      <c r="S169" s="34" t="s">
        <v>252</v>
      </c>
      <c r="T169" s="34">
        <v>20060111</v>
      </c>
      <c r="U169" s="45">
        <v>30.567494453599998</v>
      </c>
      <c r="V169" s="46">
        <v>33.126652794999998</v>
      </c>
      <c r="W169" s="34" t="s">
        <v>231</v>
      </c>
      <c r="X169" s="34" t="s">
        <v>44</v>
      </c>
      <c r="Y169" s="34" t="s">
        <v>45</v>
      </c>
      <c r="Z169" s="34" t="s">
        <v>274</v>
      </c>
      <c r="AA169" s="34"/>
      <c r="AB169" s="34"/>
      <c r="AC169" s="22">
        <v>0.86768157958984371</v>
      </c>
      <c r="AD169" s="23" t="s">
        <v>3401</v>
      </c>
      <c r="AE169" s="24">
        <v>1.6794520547945206</v>
      </c>
      <c r="AF169" s="25">
        <v>0.20101704461308056</v>
      </c>
      <c r="AG169" s="26">
        <v>0.17298350771662285</v>
      </c>
      <c r="AH169" s="26">
        <v>0.13189866235512837</v>
      </c>
      <c r="AI169" s="27">
        <v>0.74324648223311074</v>
      </c>
      <c r="AJ169" s="27">
        <v>0.62013190559262388</v>
      </c>
      <c r="AK169" s="27">
        <v>0.54162710859886065</v>
      </c>
      <c r="AL169" s="28" t="s">
        <v>3402</v>
      </c>
      <c r="AM169" s="29">
        <v>4</v>
      </c>
      <c r="AN169" s="29">
        <v>3</v>
      </c>
      <c r="AO169" s="29" t="s">
        <v>48</v>
      </c>
      <c r="AP169" s="47" t="s">
        <v>427</v>
      </c>
      <c r="AQ169" s="28" t="s">
        <v>2293</v>
      </c>
      <c r="AR169" s="26">
        <v>1.4999999999999999E-2</v>
      </c>
      <c r="AS169" s="26">
        <v>0</v>
      </c>
    </row>
    <row r="170" spans="1:45" x14ac:dyDescent="0.15">
      <c r="A170" s="64">
        <v>195</v>
      </c>
      <c r="B170" s="64">
        <v>687</v>
      </c>
      <c r="C170" s="11">
        <v>1626</v>
      </c>
      <c r="D170" s="61">
        <v>530</v>
      </c>
      <c r="E170" s="61">
        <v>-1.6181359495613501E-3</v>
      </c>
      <c r="F170" s="61">
        <v>80</v>
      </c>
      <c r="G170" s="61">
        <v>0.41220883507335898</v>
      </c>
      <c r="H170" s="66">
        <v>160</v>
      </c>
      <c r="I170" s="66" t="str">
        <f>H170&amp;"/"&amp;428</f>
        <v>160/428</v>
      </c>
      <c r="J170" s="68">
        <f>H170/428</f>
        <v>0.37383177570093457</v>
      </c>
      <c r="K170" s="18" t="s">
        <v>44</v>
      </c>
      <c r="L170" s="18" t="s">
        <v>87</v>
      </c>
      <c r="M170" s="58" t="s">
        <v>274</v>
      </c>
      <c r="N170" s="18">
        <f>[1]!f_prt_stocktonav(C170,"2017/03/31")</f>
        <v>80.437850952148438</v>
      </c>
      <c r="O170" s="20" t="str">
        <f>[1]!f_info_fundmanager(C170)</f>
        <v>邓时锋,饶玉涵</v>
      </c>
      <c r="P170" s="21">
        <v>1.5808219178082192</v>
      </c>
      <c r="Q170" s="34" t="s">
        <v>940</v>
      </c>
      <c r="R170" s="34" t="s">
        <v>941</v>
      </c>
      <c r="S170" s="34" t="s">
        <v>663</v>
      </c>
      <c r="T170" s="34">
        <v>20150901</v>
      </c>
      <c r="U170" s="45">
        <v>0.99435379219999998</v>
      </c>
      <c r="V170" s="46">
        <v>0.94592139090000005</v>
      </c>
      <c r="W170" s="34" t="s">
        <v>1235</v>
      </c>
      <c r="X170" s="34" t="s">
        <v>44</v>
      </c>
      <c r="Y170" s="34" t="s">
        <v>45</v>
      </c>
      <c r="Z170" s="34" t="s">
        <v>274</v>
      </c>
      <c r="AA170" s="34"/>
      <c r="AB170" s="34"/>
      <c r="AC170" s="22">
        <v>0.81753974914550787</v>
      </c>
      <c r="AD170" s="23" t="s">
        <v>942</v>
      </c>
      <c r="AE170" s="24">
        <v>1.3506849315068492</v>
      </c>
      <c r="AF170" s="25">
        <v>1.4177304621361797E-2</v>
      </c>
      <c r="AG170" s="26">
        <v>0</v>
      </c>
      <c r="AH170" s="26">
        <v>0</v>
      </c>
      <c r="AI170" s="27">
        <v>0.12041970266049269</v>
      </c>
      <c r="AJ170" s="27">
        <v>0.12041970266049269</v>
      </c>
      <c r="AK170" s="27">
        <v>0.12041970266049269</v>
      </c>
      <c r="AL170" s="28" t="s">
        <v>943</v>
      </c>
      <c r="AM170" s="29" t="s">
        <v>48</v>
      </c>
      <c r="AN170" s="29" t="s">
        <v>48</v>
      </c>
      <c r="AO170" s="29" t="s">
        <v>48</v>
      </c>
      <c r="AP170" s="47" t="s">
        <v>666</v>
      </c>
      <c r="AQ170" s="28">
        <v>0</v>
      </c>
      <c r="AR170" s="26">
        <v>1.4999999999999999E-2</v>
      </c>
      <c r="AS170" s="26">
        <v>0</v>
      </c>
    </row>
    <row r="171" spans="1:45" x14ac:dyDescent="0.15">
      <c r="A171" s="64">
        <v>750</v>
      </c>
      <c r="B171" s="64">
        <v>750</v>
      </c>
      <c r="C171" s="11">
        <v>571002</v>
      </c>
      <c r="D171" s="61">
        <v>531</v>
      </c>
      <c r="E171" s="61">
        <v>-1.6204201594516199E-3</v>
      </c>
      <c r="F171" s="61">
        <v>156</v>
      </c>
      <c r="G171" s="61">
        <v>8.4422419172171401E-2</v>
      </c>
      <c r="H171" s="66">
        <v>161</v>
      </c>
      <c r="I171" s="66" t="str">
        <f>H171&amp;"/"&amp;428</f>
        <v>161/428</v>
      </c>
      <c r="J171" s="68">
        <f>H171/428</f>
        <v>0.37616822429906543</v>
      </c>
      <c r="K171" s="18" t="s">
        <v>44</v>
      </c>
      <c r="L171" s="18" t="s">
        <v>87</v>
      </c>
      <c r="M171" s="58" t="s">
        <v>274</v>
      </c>
      <c r="N171" s="18">
        <f>[1]!f_prt_stocktonav(C171,"2017/03/31")</f>
        <v>78.2353515625</v>
      </c>
      <c r="O171" s="20" t="str">
        <f>[1]!f_info_fundmanager(C171)</f>
        <v>朱红</v>
      </c>
      <c r="P171" s="21">
        <v>3</v>
      </c>
      <c r="Q171" s="34" t="s">
        <v>2953</v>
      </c>
      <c r="R171" s="34" t="s">
        <v>2954</v>
      </c>
      <c r="S171" s="34" t="s">
        <v>2351</v>
      </c>
      <c r="T171" s="34">
        <v>20081105</v>
      </c>
      <c r="U171" s="45">
        <v>0.36728520269999998</v>
      </c>
      <c r="V171" s="46">
        <v>0.39080041939999999</v>
      </c>
      <c r="W171" s="34" t="s">
        <v>231</v>
      </c>
      <c r="X171" s="34" t="s">
        <v>44</v>
      </c>
      <c r="Y171" s="34" t="s">
        <v>45</v>
      </c>
      <c r="Z171" s="34" t="s">
        <v>274</v>
      </c>
      <c r="AA171" s="34"/>
      <c r="AB171" s="34"/>
      <c r="AC171" s="22">
        <v>0.7628326416015625</v>
      </c>
      <c r="AD171" s="23" t="s">
        <v>2955</v>
      </c>
      <c r="AE171" s="24">
        <v>2.7698630136986302</v>
      </c>
      <c r="AF171" s="25">
        <v>9.582847009768812E-2</v>
      </c>
      <c r="AG171" s="26">
        <v>0.20561885280025849</v>
      </c>
      <c r="AH171" s="26">
        <v>0.13145391883978763</v>
      </c>
      <c r="AI171" s="27">
        <v>0.44673758094873145</v>
      </c>
      <c r="AJ171" s="27">
        <v>0.74131277741555879</v>
      </c>
      <c r="AK171" s="27">
        <v>0.55596247606485838</v>
      </c>
      <c r="AL171" s="28" t="s">
        <v>1226</v>
      </c>
      <c r="AM171" s="29">
        <v>3</v>
      </c>
      <c r="AN171" s="29">
        <v>5</v>
      </c>
      <c r="AO171" s="29" t="s">
        <v>48</v>
      </c>
      <c r="AP171" s="47" t="s">
        <v>2672</v>
      </c>
      <c r="AQ171" s="28">
        <v>0</v>
      </c>
      <c r="AR171" s="26">
        <v>1.4999999999999999E-2</v>
      </c>
      <c r="AS171" s="26">
        <v>0</v>
      </c>
    </row>
    <row r="172" spans="1:45" x14ac:dyDescent="0.15">
      <c r="A172" s="64">
        <v>850</v>
      </c>
      <c r="B172" s="64">
        <v>148</v>
      </c>
      <c r="C172" s="11">
        <v>340006</v>
      </c>
      <c r="D172" s="61">
        <v>532</v>
      </c>
      <c r="E172" s="61">
        <v>-1.62525264363589E-3</v>
      </c>
      <c r="F172" s="61">
        <v>65</v>
      </c>
      <c r="G172" s="61">
        <v>0.23666300033342599</v>
      </c>
      <c r="H172" s="66">
        <v>162</v>
      </c>
      <c r="I172" s="66" t="str">
        <f>H172&amp;"/"&amp;428</f>
        <v>162/428</v>
      </c>
      <c r="J172" s="68">
        <f>H172/428</f>
        <v>0.37850467289719625</v>
      </c>
      <c r="K172" s="18" t="s">
        <v>44</v>
      </c>
      <c r="L172" s="18" t="s">
        <v>45</v>
      </c>
      <c r="M172" s="58" t="s">
        <v>274</v>
      </c>
      <c r="N172" s="18">
        <f>[1]!f_prt_stocktonav(C172,"2017/03/31")</f>
        <v>92.833595275878906</v>
      </c>
      <c r="O172" s="20" t="str">
        <f>[1]!f_info_fundmanager(C172)</f>
        <v>吴圣涛</v>
      </c>
      <c r="P172" s="21">
        <v>1.2493150684931507</v>
      </c>
      <c r="Q172" s="34" t="s">
        <v>3301</v>
      </c>
      <c r="R172" s="34" t="s">
        <v>3302</v>
      </c>
      <c r="S172" s="34" t="s">
        <v>2217</v>
      </c>
      <c r="T172" s="34">
        <v>20060920</v>
      </c>
      <c r="U172" s="45">
        <v>30.119267827200002</v>
      </c>
      <c r="V172" s="46">
        <v>33.327901738800001</v>
      </c>
      <c r="W172" s="34" t="s">
        <v>201</v>
      </c>
      <c r="X172" s="34" t="s">
        <v>44</v>
      </c>
      <c r="Y172" s="34" t="s">
        <v>45</v>
      </c>
      <c r="Z172" s="34" t="s">
        <v>274</v>
      </c>
      <c r="AA172" s="34"/>
      <c r="AB172" s="34"/>
      <c r="AC172" s="22">
        <v>0.93267799377441407</v>
      </c>
      <c r="AD172" s="23" t="s">
        <v>3303</v>
      </c>
      <c r="AE172" s="24">
        <v>1.0191780821917809</v>
      </c>
      <c r="AF172" s="25">
        <v>0.19612033303034651</v>
      </c>
      <c r="AG172" s="26">
        <v>0.17116888483564494</v>
      </c>
      <c r="AH172" s="26">
        <v>0.14704095834710773</v>
      </c>
      <c r="AI172" s="27">
        <v>0.80768052134262747</v>
      </c>
      <c r="AJ172" s="27">
        <v>0.65228390010252335</v>
      </c>
      <c r="AK172" s="27">
        <v>0.64420458579728801</v>
      </c>
      <c r="AL172" s="28" t="s">
        <v>3304</v>
      </c>
      <c r="AM172" s="29">
        <v>4</v>
      </c>
      <c r="AN172" s="29">
        <v>2</v>
      </c>
      <c r="AO172" s="29" t="s">
        <v>48</v>
      </c>
      <c r="AP172" s="47" t="s">
        <v>3305</v>
      </c>
      <c r="AQ172" s="28">
        <v>0</v>
      </c>
      <c r="AR172" s="26">
        <v>1.4999999999999999E-2</v>
      </c>
      <c r="AS172" s="26">
        <v>0</v>
      </c>
    </row>
    <row r="173" spans="1:45" x14ac:dyDescent="0.15">
      <c r="A173" s="64">
        <v>892</v>
      </c>
      <c r="B173" s="64">
        <v>695</v>
      </c>
      <c r="C173" s="11">
        <v>2011</v>
      </c>
      <c r="D173" s="61">
        <v>533</v>
      </c>
      <c r="E173" s="61">
        <v>-1.62672989229988E-3</v>
      </c>
      <c r="F173" s="61">
        <v>323</v>
      </c>
      <c r="G173" s="61">
        <v>7.3662536738635601E-4</v>
      </c>
      <c r="H173" s="66">
        <v>163</v>
      </c>
      <c r="I173" s="66" t="str">
        <f>H173&amp;"/"&amp;428</f>
        <v>163/428</v>
      </c>
      <c r="J173" s="68">
        <f>H173/428</f>
        <v>0.38084112149532712</v>
      </c>
      <c r="K173" s="18" t="s">
        <v>44</v>
      </c>
      <c r="L173" s="18" t="s">
        <v>45</v>
      </c>
      <c r="M173" s="58" t="s">
        <v>274</v>
      </c>
      <c r="N173" s="18">
        <f>[1]!f_prt_stocktonav(C173,"2017/03/31")</f>
        <v>80.118133544921875</v>
      </c>
      <c r="O173" s="20" t="str">
        <f>[1]!f_info_fundmanager(C173)</f>
        <v>赵航,陈虎,蔡向阳,孙萌</v>
      </c>
      <c r="P173" s="21">
        <v>6.2027397260273975</v>
      </c>
      <c r="Q173" s="34" t="s">
        <v>3463</v>
      </c>
      <c r="R173" s="34" t="s">
        <v>3464</v>
      </c>
      <c r="S173" s="34" t="s">
        <v>143</v>
      </c>
      <c r="T173" s="34">
        <v>20050630</v>
      </c>
      <c r="U173" s="45">
        <v>110.8145974454</v>
      </c>
      <c r="V173" s="46">
        <v>115.479976712</v>
      </c>
      <c r="W173" s="34" t="s">
        <v>201</v>
      </c>
      <c r="X173" s="34" t="s">
        <v>44</v>
      </c>
      <c r="Y173" s="34" t="s">
        <v>45</v>
      </c>
      <c r="Z173" s="34" t="s">
        <v>274</v>
      </c>
      <c r="AA173" s="34"/>
      <c r="AB173" s="34"/>
      <c r="AC173" s="22">
        <v>0.76618003845214844</v>
      </c>
      <c r="AD173" s="23" t="s">
        <v>3465</v>
      </c>
      <c r="AE173" s="24">
        <v>5.9726027397260273</v>
      </c>
      <c r="AF173" s="25">
        <v>0.21002303142568746</v>
      </c>
      <c r="AG173" s="26">
        <v>0.14519949663542597</v>
      </c>
      <c r="AH173" s="26">
        <v>0.11581621209370718</v>
      </c>
      <c r="AI173" s="27">
        <v>0.84792003457773424</v>
      </c>
      <c r="AJ173" s="27">
        <v>0.57140120208107437</v>
      </c>
      <c r="AK173" s="27">
        <v>0.51717272130583158</v>
      </c>
      <c r="AL173" s="28" t="s">
        <v>3466</v>
      </c>
      <c r="AM173" s="29">
        <v>4</v>
      </c>
      <c r="AN173" s="29">
        <v>3</v>
      </c>
      <c r="AO173" s="29" t="s">
        <v>48</v>
      </c>
      <c r="AP173" s="47" t="s">
        <v>3332</v>
      </c>
      <c r="AQ173" s="28" t="s">
        <v>3467</v>
      </c>
      <c r="AR173" s="26">
        <v>1.4999999999999999E-2</v>
      </c>
      <c r="AS173" s="26">
        <v>0</v>
      </c>
    </row>
    <row r="174" spans="1:45" x14ac:dyDescent="0.15">
      <c r="A174" s="64">
        <v>433</v>
      </c>
      <c r="B174" s="64">
        <v>880</v>
      </c>
      <c r="C174" s="11">
        <v>612</v>
      </c>
      <c r="D174" s="61">
        <v>535</v>
      </c>
      <c r="E174" s="61">
        <v>-1.63465751641209E-3</v>
      </c>
      <c r="F174" s="61">
        <v>111</v>
      </c>
      <c r="G174" s="61">
        <v>0.20267724395762099</v>
      </c>
      <c r="H174" s="66">
        <v>164</v>
      </c>
      <c r="I174" s="66" t="str">
        <f>H174&amp;"/"&amp;428</f>
        <v>164/428</v>
      </c>
      <c r="J174" s="68">
        <f>H174/428</f>
        <v>0.38317757009345793</v>
      </c>
      <c r="K174" s="18" t="s">
        <v>44</v>
      </c>
      <c r="L174" s="18" t="s">
        <v>45</v>
      </c>
      <c r="M174" s="58" t="s">
        <v>274</v>
      </c>
      <c r="N174" s="18">
        <f>[1]!f_prt_stocktonav(C174,"2017/03/31")</f>
        <v>73.476852416992188</v>
      </c>
      <c r="O174" s="20" t="str">
        <f>[1]!f_info_fundmanager(C174)</f>
        <v>区伟良,夏林锋</v>
      </c>
      <c r="P174" s="21">
        <v>2.117808219178082</v>
      </c>
      <c r="Q174" s="34" t="s">
        <v>1855</v>
      </c>
      <c r="R174" s="34" t="s">
        <v>1856</v>
      </c>
      <c r="S174" s="34" t="s">
        <v>737</v>
      </c>
      <c r="T174" s="34">
        <v>20140613</v>
      </c>
      <c r="U174" s="45">
        <v>10.1654816066</v>
      </c>
      <c r="V174" s="46">
        <v>10.8973780275</v>
      </c>
      <c r="W174" s="34" t="s">
        <v>3776</v>
      </c>
      <c r="X174" s="34" t="s">
        <v>44</v>
      </c>
      <c r="Y174" s="34" t="s">
        <v>45</v>
      </c>
      <c r="Z174" s="34" t="s">
        <v>274</v>
      </c>
      <c r="AA174" s="34"/>
      <c r="AB174" s="34"/>
      <c r="AC174" s="22">
        <v>0.83279373168945314</v>
      </c>
      <c r="AD174" s="23" t="s">
        <v>1857</v>
      </c>
      <c r="AE174" s="24">
        <v>1.8876712328767122</v>
      </c>
      <c r="AF174" s="25">
        <v>0.30236122076022953</v>
      </c>
      <c r="AG174" s="26">
        <v>0</v>
      </c>
      <c r="AH174" s="26">
        <v>0</v>
      </c>
      <c r="AI174" s="27">
        <v>0.87024880223373091</v>
      </c>
      <c r="AJ174" s="27">
        <v>0.87024880223373091</v>
      </c>
      <c r="AK174" s="27">
        <v>0.87024880223373091</v>
      </c>
      <c r="AL174" s="28" t="s">
        <v>1858</v>
      </c>
      <c r="AM174" s="29" t="s">
        <v>48</v>
      </c>
      <c r="AN174" s="29" t="s">
        <v>48</v>
      </c>
      <c r="AO174" s="29" t="s">
        <v>48</v>
      </c>
      <c r="AP174" s="47" t="s">
        <v>739</v>
      </c>
      <c r="AQ174" s="28">
        <v>0</v>
      </c>
      <c r="AR174" s="26">
        <v>1.4999999999999999E-2</v>
      </c>
      <c r="AS174" s="26">
        <v>0</v>
      </c>
    </row>
    <row r="175" spans="1:45" x14ac:dyDescent="0.15">
      <c r="A175" s="64">
        <v>583</v>
      </c>
      <c r="B175" s="64">
        <v>492</v>
      </c>
      <c r="C175" s="11">
        <v>730001</v>
      </c>
      <c r="D175" s="61">
        <v>536</v>
      </c>
      <c r="E175" s="61">
        <v>-1.6452492581365201E-3</v>
      </c>
      <c r="F175" s="61">
        <v>168</v>
      </c>
      <c r="G175" s="61">
        <v>0.18970797950969101</v>
      </c>
      <c r="H175" s="66">
        <v>165</v>
      </c>
      <c r="I175" s="66" t="str">
        <f>H175&amp;"/"&amp;428</f>
        <v>165/428</v>
      </c>
      <c r="J175" s="68">
        <f>H175/428</f>
        <v>0.3855140186915888</v>
      </c>
      <c r="K175" s="18" t="s">
        <v>44</v>
      </c>
      <c r="L175" s="18" t="s">
        <v>45</v>
      </c>
      <c r="M175" s="58" t="s">
        <v>274</v>
      </c>
      <c r="N175" s="18">
        <f>[1]!f_prt_stocktonav(C175,"2017/03/31")</f>
        <v>85.4833984375</v>
      </c>
      <c r="O175" s="20" t="str">
        <f>[1]!f_info_fundmanager(C175)</f>
        <v>沈毅,巩显峰</v>
      </c>
      <c r="P175" s="21">
        <v>3.2246575342465755</v>
      </c>
      <c r="Q175" s="34" t="s">
        <v>2397</v>
      </c>
      <c r="R175" s="34" t="s">
        <v>2398</v>
      </c>
      <c r="S175" s="34" t="s">
        <v>2399</v>
      </c>
      <c r="T175" s="34">
        <v>20111226</v>
      </c>
      <c r="U175" s="45">
        <v>0.42720057280000001</v>
      </c>
      <c r="V175" s="46">
        <v>0.47149500049999998</v>
      </c>
      <c r="W175" s="34" t="s">
        <v>3776</v>
      </c>
      <c r="X175" s="34" t="s">
        <v>44</v>
      </c>
      <c r="Y175" s="34" t="s">
        <v>45</v>
      </c>
      <c r="Z175" s="34" t="s">
        <v>274</v>
      </c>
      <c r="AA175" s="34"/>
      <c r="AB175" s="34"/>
      <c r="AC175" s="22">
        <v>0.8823956298828125</v>
      </c>
      <c r="AD175" s="23" t="s">
        <v>2400</v>
      </c>
      <c r="AE175" s="24">
        <v>2.9945205479452053</v>
      </c>
      <c r="AF175" s="25">
        <v>0.12518386885462407</v>
      </c>
      <c r="AG175" s="26">
        <v>0.17445350059219542</v>
      </c>
      <c r="AH175" s="26">
        <v>0.12599105646130071</v>
      </c>
      <c r="AI175" s="27">
        <v>0.51089685979743316</v>
      </c>
      <c r="AJ175" s="27">
        <v>0.60355956991432891</v>
      </c>
      <c r="AK175" s="27">
        <v>0.51207591142964337</v>
      </c>
      <c r="AL175" s="28" t="s">
        <v>276</v>
      </c>
      <c r="AM175" s="29">
        <v>4</v>
      </c>
      <c r="AN175" s="29">
        <v>4</v>
      </c>
      <c r="AO175" s="29" t="s">
        <v>48</v>
      </c>
      <c r="AP175" s="47" t="s">
        <v>101</v>
      </c>
      <c r="AQ175" s="28">
        <v>0</v>
      </c>
      <c r="AR175" s="26">
        <v>1.4999999999999999E-2</v>
      </c>
      <c r="AS175" s="26">
        <v>0</v>
      </c>
    </row>
    <row r="176" spans="1:45" x14ac:dyDescent="0.15">
      <c r="A176" s="64">
        <v>686</v>
      </c>
      <c r="B176" s="64">
        <v>419</v>
      </c>
      <c r="C176" s="11">
        <v>519093</v>
      </c>
      <c r="D176" s="61">
        <v>537</v>
      </c>
      <c r="E176" s="61">
        <v>-1.64803071007014E-3</v>
      </c>
      <c r="F176" s="61">
        <v>41</v>
      </c>
      <c r="G176" s="61">
        <v>9.8168016623999793E-2</v>
      </c>
      <c r="H176" s="66">
        <v>166</v>
      </c>
      <c r="I176" s="66" t="str">
        <f>H176&amp;"/"&amp;428</f>
        <v>166/428</v>
      </c>
      <c r="J176" s="68">
        <f>H176/428</f>
        <v>0.38785046728971961</v>
      </c>
      <c r="K176" s="18" t="s">
        <v>44</v>
      </c>
      <c r="L176" s="18" t="s">
        <v>45</v>
      </c>
      <c r="M176" s="58" t="s">
        <v>274</v>
      </c>
      <c r="N176" s="18">
        <f>[1]!f_prt_stocktonav(C176,"2017/03/31")</f>
        <v>86.945297241210938</v>
      </c>
      <c r="O176" s="20" t="str">
        <f>[1]!f_info_fundmanager(C176)</f>
        <v>付伟,蔡春红</v>
      </c>
      <c r="P176" s="21">
        <v>0.78630136986301369</v>
      </c>
      <c r="Q176" s="34" t="s">
        <v>2736</v>
      </c>
      <c r="R176" s="34" t="s">
        <v>2737</v>
      </c>
      <c r="S176" s="34" t="s">
        <v>569</v>
      </c>
      <c r="T176" s="34">
        <v>20100203</v>
      </c>
      <c r="U176" s="45">
        <v>4.4348282029000003</v>
      </c>
      <c r="V176" s="46">
        <v>4.6940611068000004</v>
      </c>
      <c r="W176" s="34" t="s">
        <v>201</v>
      </c>
      <c r="X176" s="34" t="s">
        <v>44</v>
      </c>
      <c r="Y176" s="34" t="s">
        <v>45</v>
      </c>
      <c r="Z176" s="34" t="s">
        <v>274</v>
      </c>
      <c r="AA176" s="34"/>
      <c r="AB176" s="34"/>
      <c r="AC176" s="22">
        <v>0.85420135498046879</v>
      </c>
      <c r="AD176" s="23" t="s">
        <v>2566</v>
      </c>
      <c r="AE176" s="24">
        <v>0.55616438356164388</v>
      </c>
      <c r="AF176" s="25">
        <v>9.6678246668969958E-2</v>
      </c>
      <c r="AG176" s="26">
        <v>0.20054312201010549</v>
      </c>
      <c r="AH176" s="26">
        <v>0.1714740297478452</v>
      </c>
      <c r="AI176" s="27">
        <v>0.46675843064930422</v>
      </c>
      <c r="AJ176" s="27">
        <v>0.80233734397011403</v>
      </c>
      <c r="AK176" s="27">
        <v>0.73588052190393249</v>
      </c>
      <c r="AL176" s="28" t="s">
        <v>1459</v>
      </c>
      <c r="AM176" s="29">
        <v>4</v>
      </c>
      <c r="AN176" s="29">
        <v>4</v>
      </c>
      <c r="AO176" s="29" t="s">
        <v>48</v>
      </c>
      <c r="AP176" s="47" t="s">
        <v>310</v>
      </c>
      <c r="AQ176" s="28">
        <v>0</v>
      </c>
      <c r="AR176" s="26">
        <v>1.4999999999999999E-2</v>
      </c>
      <c r="AS176" s="26">
        <v>0</v>
      </c>
    </row>
    <row r="177" spans="1:45" x14ac:dyDescent="0.15">
      <c r="A177" s="64">
        <v>703</v>
      </c>
      <c r="B177" s="64">
        <v>830</v>
      </c>
      <c r="C177" s="11">
        <v>660004</v>
      </c>
      <c r="D177" s="61">
        <v>538</v>
      </c>
      <c r="E177" s="61">
        <v>-1.6487240193113701E-3</v>
      </c>
      <c r="F177" s="61">
        <v>95</v>
      </c>
      <c r="G177" s="61">
        <v>0.24559084977329601</v>
      </c>
      <c r="H177" s="66">
        <v>167</v>
      </c>
      <c r="I177" s="66" t="str">
        <f>H177&amp;"/"&amp;428</f>
        <v>167/428</v>
      </c>
      <c r="J177" s="68">
        <f>H177/428</f>
        <v>0.39018691588785048</v>
      </c>
      <c r="K177" s="18" t="s">
        <v>44</v>
      </c>
      <c r="L177" s="18" t="s">
        <v>45</v>
      </c>
      <c r="M177" s="58" t="s">
        <v>274</v>
      </c>
      <c r="N177" s="18">
        <f>[1]!f_prt_stocktonav(C177,"2017/03/31")</f>
        <v>75.670600891113281</v>
      </c>
      <c r="O177" s="20" t="str">
        <f>[1]!f_info_fundmanager(C177)</f>
        <v>陈富权</v>
      </c>
      <c r="P177" s="21">
        <v>1.8191780821917809</v>
      </c>
      <c r="Q177" s="34" t="s">
        <v>2791</v>
      </c>
      <c r="R177" s="34" t="s">
        <v>2792</v>
      </c>
      <c r="S177" s="34" t="s">
        <v>424</v>
      </c>
      <c r="T177" s="34">
        <v>20090929</v>
      </c>
      <c r="U177" s="45">
        <v>3.4821936027999998</v>
      </c>
      <c r="V177" s="46">
        <v>3.5737115919</v>
      </c>
      <c r="W177" s="34" t="s">
        <v>201</v>
      </c>
      <c r="X177" s="34" t="s">
        <v>44</v>
      </c>
      <c r="Y177" s="34" t="s">
        <v>45</v>
      </c>
      <c r="Z177" s="34" t="s">
        <v>274</v>
      </c>
      <c r="AA177" s="34"/>
      <c r="AB177" s="34"/>
      <c r="AC177" s="22">
        <v>0.75731224060058588</v>
      </c>
      <c r="AD177" s="23" t="s">
        <v>2793</v>
      </c>
      <c r="AE177" s="24">
        <v>1.5890410958904109</v>
      </c>
      <c r="AF177" s="25">
        <v>7.1121776246858559E-2</v>
      </c>
      <c r="AG177" s="26">
        <v>0.10318597843831379</v>
      </c>
      <c r="AH177" s="26">
        <v>0.12050610046152599</v>
      </c>
      <c r="AI177" s="27">
        <v>0.34300465715288969</v>
      </c>
      <c r="AJ177" s="27">
        <v>0.41501691893628112</v>
      </c>
      <c r="AK177" s="27">
        <v>0.50101209669859115</v>
      </c>
      <c r="AL177" s="28" t="s">
        <v>2119</v>
      </c>
      <c r="AM177" s="29">
        <v>2</v>
      </c>
      <c r="AN177" s="29">
        <v>3</v>
      </c>
      <c r="AO177" s="29" t="s">
        <v>48</v>
      </c>
      <c r="AP177" s="47" t="s">
        <v>702</v>
      </c>
      <c r="AQ177" s="28">
        <v>0</v>
      </c>
      <c r="AR177" s="26">
        <v>1.4999999999999999E-2</v>
      </c>
      <c r="AS177" s="26">
        <v>0</v>
      </c>
    </row>
    <row r="178" spans="1:45" x14ac:dyDescent="0.15">
      <c r="A178" s="64">
        <v>546</v>
      </c>
      <c r="B178" s="64">
        <v>505</v>
      </c>
      <c r="C178" s="11">
        <v>530019</v>
      </c>
      <c r="D178" s="61">
        <v>539</v>
      </c>
      <c r="E178" s="61">
        <v>-1.6554160947878701E-3</v>
      </c>
      <c r="F178" s="61">
        <v>237</v>
      </c>
      <c r="G178" s="61">
        <v>0.12736585496733899</v>
      </c>
      <c r="H178" s="66">
        <v>168</v>
      </c>
      <c r="I178" s="66" t="str">
        <f>H178&amp;"/"&amp;428</f>
        <v>168/428</v>
      </c>
      <c r="J178" s="68">
        <f>H178/428</f>
        <v>0.3925233644859813</v>
      </c>
      <c r="K178" s="18" t="s">
        <v>44</v>
      </c>
      <c r="L178" s="18" t="s">
        <v>45</v>
      </c>
      <c r="M178" s="58" t="s">
        <v>274</v>
      </c>
      <c r="N178" s="18">
        <f>[1]!f_prt_stocktonav(C178,"2017/03/31")</f>
        <v>85.185531616210937</v>
      </c>
      <c r="O178" s="20" t="str">
        <f>[1]!f_info_fundmanager(C178)</f>
        <v>许杰</v>
      </c>
      <c r="P178" s="21">
        <v>4.6301369863013697</v>
      </c>
      <c r="Q178" s="34" t="s">
        <v>2266</v>
      </c>
      <c r="R178" s="34" t="s">
        <v>2267</v>
      </c>
      <c r="S178" s="34" t="s">
        <v>307</v>
      </c>
      <c r="T178" s="34">
        <v>20120814</v>
      </c>
      <c r="U178" s="45">
        <v>0.33646999570000002</v>
      </c>
      <c r="V178" s="46">
        <v>0.37498578729999998</v>
      </c>
      <c r="W178" s="34" t="s">
        <v>3789</v>
      </c>
      <c r="X178" s="34" t="s">
        <v>44</v>
      </c>
      <c r="Y178" s="34" t="s">
        <v>45</v>
      </c>
      <c r="Z178" s="34" t="s">
        <v>274</v>
      </c>
      <c r="AA178" s="34"/>
      <c r="AB178" s="34"/>
      <c r="AC178" s="22">
        <v>0.80127334594726563</v>
      </c>
      <c r="AD178" s="23" t="s">
        <v>1241</v>
      </c>
      <c r="AE178" s="24">
        <v>4.4000000000000004</v>
      </c>
      <c r="AF178" s="25">
        <v>0.16486347351230493</v>
      </c>
      <c r="AG178" s="26">
        <v>0.17366756564384134</v>
      </c>
      <c r="AH178" s="26">
        <v>0</v>
      </c>
      <c r="AI178" s="27">
        <v>0.67007797222702281</v>
      </c>
      <c r="AJ178" s="27">
        <v>0.65114888660222148</v>
      </c>
      <c r="AK178" s="27">
        <v>0.67007797222702281</v>
      </c>
      <c r="AL178" s="28" t="s">
        <v>2074</v>
      </c>
      <c r="AM178" s="29">
        <v>3</v>
      </c>
      <c r="AN178" s="29">
        <v>3</v>
      </c>
      <c r="AO178" s="29" t="s">
        <v>48</v>
      </c>
      <c r="AP178" s="47" t="s">
        <v>209</v>
      </c>
      <c r="AQ178" s="28">
        <v>0</v>
      </c>
      <c r="AR178" s="26">
        <v>1.4999999999999999E-2</v>
      </c>
      <c r="AS178" s="26">
        <v>0</v>
      </c>
    </row>
    <row r="179" spans="1:45" x14ac:dyDescent="0.15">
      <c r="A179" s="64">
        <v>22</v>
      </c>
      <c r="B179" s="64">
        <v>208</v>
      </c>
      <c r="C179" s="11">
        <v>3416</v>
      </c>
      <c r="D179" s="61">
        <v>541</v>
      </c>
      <c r="E179" s="61">
        <v>-1.6646205746992499E-3</v>
      </c>
      <c r="F179" s="61">
        <v>21</v>
      </c>
      <c r="G179" s="61">
        <v>0.45124591480784598</v>
      </c>
      <c r="H179" s="66">
        <v>169</v>
      </c>
      <c r="I179" s="66" t="str">
        <f>H179&amp;"/"&amp;428</f>
        <v>169/428</v>
      </c>
      <c r="J179" s="68">
        <f>H179/428</f>
        <v>0.39485981308411217</v>
      </c>
      <c r="K179" s="18" t="s">
        <v>44</v>
      </c>
      <c r="L179" s="19" t="s">
        <v>45</v>
      </c>
      <c r="M179" s="59" t="s">
        <v>274</v>
      </c>
      <c r="N179" s="18">
        <f>[1]!f_prt_stocktonav(C179,"2017/03/31")</f>
        <v>91.624961853027344</v>
      </c>
      <c r="O179" s="20" t="str">
        <f>[1]!f_info_fundmanager(C179)</f>
        <v>王平</v>
      </c>
      <c r="P179" s="21">
        <v>0.40821917808219177</v>
      </c>
      <c r="Q179" s="12" t="s">
        <v>163</v>
      </c>
      <c r="R179" s="13" t="s">
        <v>164</v>
      </c>
      <c r="S179" s="13" t="s">
        <v>165</v>
      </c>
      <c r="T179" s="13">
        <v>20161102</v>
      </c>
      <c r="U179" s="14">
        <v>0.81158502860000004</v>
      </c>
      <c r="V179" s="15" t="s">
        <v>58</v>
      </c>
      <c r="W179" s="16" t="s">
        <v>40</v>
      </c>
      <c r="X179" s="34" t="s">
        <v>41</v>
      </c>
      <c r="Y179" s="17" t="s">
        <v>42</v>
      </c>
      <c r="Z179" s="17" t="s">
        <v>43</v>
      </c>
      <c r="AA179" s="13"/>
      <c r="AB179" s="13"/>
      <c r="AC179" s="22">
        <v>0</v>
      </c>
      <c r="AD179" s="23" t="s">
        <v>166</v>
      </c>
      <c r="AE179" s="24">
        <v>0.17808219178082191</v>
      </c>
      <c r="AF179" s="25">
        <v>-9.9050254761676726E-2</v>
      </c>
      <c r="AG179" s="26">
        <v>0</v>
      </c>
      <c r="AH179" s="26">
        <v>0</v>
      </c>
      <c r="AI179" s="27">
        <v>-0.91721941364484605</v>
      </c>
      <c r="AJ179" s="27">
        <v>-0.91721941364484605</v>
      </c>
      <c r="AK179" s="27">
        <v>-0.91721941364484605</v>
      </c>
      <c r="AL179" s="28" t="s">
        <v>167</v>
      </c>
      <c r="AM179" s="29" t="s">
        <v>48</v>
      </c>
      <c r="AN179" s="29" t="s">
        <v>48</v>
      </c>
      <c r="AO179" s="29" t="s">
        <v>48</v>
      </c>
      <c r="AP179" s="23">
        <v>0</v>
      </c>
      <c r="AQ179" s="30">
        <v>0</v>
      </c>
      <c r="AR179" s="31">
        <v>1.4999999999999999E-2</v>
      </c>
      <c r="AS179" s="31">
        <v>0</v>
      </c>
    </row>
    <row r="180" spans="1:45" x14ac:dyDescent="0.15">
      <c r="A180" s="64">
        <v>776</v>
      </c>
      <c r="B180" s="64">
        <v>18</v>
      </c>
      <c r="C180" s="11">
        <v>519110</v>
      </c>
      <c r="D180" s="61">
        <v>543</v>
      </c>
      <c r="E180" s="61">
        <v>-1.6738690745246E-3</v>
      </c>
      <c r="F180" s="61">
        <v>349</v>
      </c>
      <c r="G180" s="61">
        <v>6.1108700889634202E-2</v>
      </c>
      <c r="H180" s="66">
        <v>170</v>
      </c>
      <c r="I180" s="66" t="str">
        <f>H180&amp;"/"&amp;428</f>
        <v>170/428</v>
      </c>
      <c r="J180" s="68">
        <f>H180/428</f>
        <v>0.39719626168224298</v>
      </c>
      <c r="K180" s="18" t="s">
        <v>44</v>
      </c>
      <c r="L180" s="19" t="s">
        <v>45</v>
      </c>
      <c r="M180" s="59" t="s">
        <v>274</v>
      </c>
      <c r="N180" s="18">
        <f>[1]!f_prt_stocktonav(C180,"2017/03/31")</f>
        <v>94.767753601074219</v>
      </c>
      <c r="O180" s="20" t="str">
        <f>[1]!f_info_fundmanager(C180)</f>
        <v>蒋建伟</v>
      </c>
      <c r="P180" s="21">
        <v>6.6986301369863011</v>
      </c>
      <c r="Q180" s="32" t="s">
        <v>3036</v>
      </c>
      <c r="R180" s="13" t="s">
        <v>3037</v>
      </c>
      <c r="S180" s="13" t="s">
        <v>649</v>
      </c>
      <c r="T180" s="13">
        <v>20080416</v>
      </c>
      <c r="U180" s="14">
        <v>20.630598944799999</v>
      </c>
      <c r="V180" s="15" t="s">
        <v>39</v>
      </c>
      <c r="W180" s="16" t="s">
        <v>40</v>
      </c>
      <c r="X180" s="17" t="s">
        <v>44</v>
      </c>
      <c r="Y180" s="17" t="s">
        <v>45</v>
      </c>
      <c r="Z180" s="17" t="s">
        <v>274</v>
      </c>
      <c r="AA180" s="13"/>
      <c r="AB180" s="13"/>
      <c r="AC180" s="22">
        <v>0.94758163452148436</v>
      </c>
      <c r="AD180" s="23" t="s">
        <v>1528</v>
      </c>
      <c r="AE180" s="24">
        <v>6.4684931506849317</v>
      </c>
      <c r="AF180" s="25">
        <v>6.2441717841110522E-2</v>
      </c>
      <c r="AG180" s="26">
        <v>0.20669786925597111</v>
      </c>
      <c r="AH180" s="26">
        <v>0.18652675957617545</v>
      </c>
      <c r="AI180" s="27">
        <v>0.30663624168397502</v>
      </c>
      <c r="AJ180" s="27">
        <v>0.63235451045782087</v>
      </c>
      <c r="AK180" s="27">
        <v>0.63723778249642637</v>
      </c>
      <c r="AL180" s="28" t="s">
        <v>2119</v>
      </c>
      <c r="AM180" s="29">
        <v>3</v>
      </c>
      <c r="AN180" s="29">
        <v>2</v>
      </c>
      <c r="AO180" s="29" t="s">
        <v>48</v>
      </c>
      <c r="AP180" s="23" t="s">
        <v>3038</v>
      </c>
      <c r="AQ180" s="30">
        <v>0</v>
      </c>
      <c r="AR180" s="31">
        <v>1.4999999999999999E-2</v>
      </c>
      <c r="AS180" s="31">
        <v>0</v>
      </c>
    </row>
    <row r="181" spans="1:45" x14ac:dyDescent="0.15">
      <c r="A181" s="64">
        <v>556</v>
      </c>
      <c r="B181" s="64">
        <v>708</v>
      </c>
      <c r="C181" s="11">
        <v>750001</v>
      </c>
      <c r="D181" s="61">
        <v>546</v>
      </c>
      <c r="E181" s="61">
        <v>-1.67852684986597E-3</v>
      </c>
      <c r="F181" s="61">
        <v>70</v>
      </c>
      <c r="G181" s="61">
        <v>0.20245578626997901</v>
      </c>
      <c r="H181" s="66">
        <v>171</v>
      </c>
      <c r="I181" s="66" t="str">
        <f>H181&amp;"/"&amp;428</f>
        <v>171/428</v>
      </c>
      <c r="J181" s="68">
        <f>H181/428</f>
        <v>0.39953271028037385</v>
      </c>
      <c r="K181" s="18" t="s">
        <v>44</v>
      </c>
      <c r="L181" s="18" t="s">
        <v>45</v>
      </c>
      <c r="M181" s="58" t="s">
        <v>274</v>
      </c>
      <c r="N181" s="18">
        <f>[1]!f_prt_stocktonav(C181,"2017/03/31")</f>
        <v>79.797019958496094</v>
      </c>
      <c r="O181" s="20" t="str">
        <f>[1]!f_info_fundmanager(C181)</f>
        <v>占冠良</v>
      </c>
      <c r="P181" s="21">
        <v>1.3315068493150686</v>
      </c>
      <c r="Q181" s="34" t="s">
        <v>2302</v>
      </c>
      <c r="R181" s="34" t="s">
        <v>2303</v>
      </c>
      <c r="S181" s="34" t="s">
        <v>975</v>
      </c>
      <c r="T181" s="34">
        <v>20120620</v>
      </c>
      <c r="U181" s="45">
        <v>1.1127243957999999</v>
      </c>
      <c r="V181" s="46">
        <v>0.56481307800000002</v>
      </c>
      <c r="W181" s="34" t="s">
        <v>201</v>
      </c>
      <c r="X181" s="34" t="s">
        <v>44</v>
      </c>
      <c r="Y181" s="34" t="s">
        <v>45</v>
      </c>
      <c r="Z181" s="34" t="s">
        <v>274</v>
      </c>
      <c r="AA181" s="34"/>
      <c r="AB181" s="34"/>
      <c r="AC181" s="22">
        <v>0.77330230712890624</v>
      </c>
      <c r="AD181" s="23" t="s">
        <v>2304</v>
      </c>
      <c r="AE181" s="24">
        <v>1.1013698630136985</v>
      </c>
      <c r="AF181" s="25">
        <v>0.11388242446045972</v>
      </c>
      <c r="AG181" s="26">
        <v>0.13051366784875773</v>
      </c>
      <c r="AH181" s="26">
        <v>0</v>
      </c>
      <c r="AI181" s="27">
        <v>0.5509446104689999</v>
      </c>
      <c r="AJ181" s="27">
        <v>0.587953435759484</v>
      </c>
      <c r="AK181" s="27">
        <v>0.5509446104689999</v>
      </c>
      <c r="AL181" s="28" t="s">
        <v>852</v>
      </c>
      <c r="AM181" s="29">
        <v>3</v>
      </c>
      <c r="AN181" s="29">
        <v>3</v>
      </c>
      <c r="AO181" s="29" t="s">
        <v>48</v>
      </c>
      <c r="AP181" s="47" t="s">
        <v>209</v>
      </c>
      <c r="AQ181" s="28">
        <v>0</v>
      </c>
      <c r="AR181" s="26">
        <v>1.4999999999999999E-2</v>
      </c>
      <c r="AS181" s="26">
        <v>0</v>
      </c>
    </row>
    <row r="182" spans="1:45" x14ac:dyDescent="0.15">
      <c r="A182" s="64">
        <v>785</v>
      </c>
      <c r="B182" s="64">
        <v>698</v>
      </c>
      <c r="C182" s="11">
        <v>202007</v>
      </c>
      <c r="D182" s="61">
        <v>547</v>
      </c>
      <c r="E182" s="61">
        <v>-1.6884965568105699E-3</v>
      </c>
      <c r="F182" s="61">
        <v>88</v>
      </c>
      <c r="G182" s="61">
        <v>0.22325141571962101</v>
      </c>
      <c r="H182" s="66">
        <v>172</v>
      </c>
      <c r="I182" s="66" t="str">
        <f>H182&amp;"/"&amp;428</f>
        <v>172/428</v>
      </c>
      <c r="J182" s="68">
        <f>H182/428</f>
        <v>0.40186915887850466</v>
      </c>
      <c r="K182" s="18" t="s">
        <v>44</v>
      </c>
      <c r="L182" s="18" t="s">
        <v>87</v>
      </c>
      <c r="M182" s="58" t="s">
        <v>274</v>
      </c>
      <c r="N182" s="18">
        <f>[1]!f_prt_stocktonav(C182,"2017/03/31")</f>
        <v>80.07183837890625</v>
      </c>
      <c r="O182" s="20" t="str">
        <f>[1]!f_info_fundmanager(C182)</f>
        <v>蒋秋洁</v>
      </c>
      <c r="P182" s="21">
        <v>1.6876712328767123</v>
      </c>
      <c r="Q182" s="34" t="s">
        <v>3063</v>
      </c>
      <c r="R182" s="34" t="s">
        <v>3064</v>
      </c>
      <c r="S182" s="34" t="s">
        <v>284</v>
      </c>
      <c r="T182" s="34">
        <v>20071109</v>
      </c>
      <c r="U182" s="45">
        <v>20.728114357900001</v>
      </c>
      <c r="V182" s="46">
        <v>21.3836204817</v>
      </c>
      <c r="W182" s="34" t="s">
        <v>231</v>
      </c>
      <c r="X182" s="34" t="s">
        <v>41</v>
      </c>
      <c r="Y182" s="34" t="s">
        <v>42</v>
      </c>
      <c r="Z182" s="34" t="s">
        <v>181</v>
      </c>
      <c r="AA182" s="34" t="s">
        <v>3065</v>
      </c>
      <c r="AB182" s="34"/>
      <c r="AC182" s="22">
        <v>0.64243644714355463</v>
      </c>
      <c r="AD182" s="23" t="s">
        <v>1846</v>
      </c>
      <c r="AE182" s="24">
        <v>1.4575342465753425</v>
      </c>
      <c r="AF182" s="25">
        <v>-4.3588106110292735E-2</v>
      </c>
      <c r="AG182" s="26">
        <v>9.9581043975197403E-2</v>
      </c>
      <c r="AH182" s="26">
        <v>6.025022266625446E-2</v>
      </c>
      <c r="AI182" s="27">
        <v>-8.3797879599432024E-2</v>
      </c>
      <c r="AJ182" s="27">
        <v>0.44230492498670892</v>
      </c>
      <c r="AK182" s="27">
        <v>0.29871665953011933</v>
      </c>
      <c r="AL182" s="33" t="s">
        <v>3066</v>
      </c>
      <c r="AM182" s="29">
        <v>1</v>
      </c>
      <c r="AN182" s="29">
        <v>2</v>
      </c>
      <c r="AO182" s="29" t="s">
        <v>48</v>
      </c>
      <c r="AP182" s="47" t="s">
        <v>287</v>
      </c>
      <c r="AQ182" s="28" t="s">
        <v>1843</v>
      </c>
      <c r="AR182" s="26">
        <v>1.4999999999999999E-2</v>
      </c>
      <c r="AS182" s="26">
        <v>0</v>
      </c>
    </row>
    <row r="183" spans="1:45" x14ac:dyDescent="0.15">
      <c r="A183" s="64">
        <v>467</v>
      </c>
      <c r="B183" s="64">
        <v>274</v>
      </c>
      <c r="C183" s="11">
        <v>529</v>
      </c>
      <c r="D183" s="61">
        <v>549</v>
      </c>
      <c r="E183" s="61">
        <v>-1.7091352535404301E-3</v>
      </c>
      <c r="F183" s="61">
        <v>111</v>
      </c>
      <c r="G183" s="61">
        <v>0.44059089068181301</v>
      </c>
      <c r="H183" s="66">
        <v>173</v>
      </c>
      <c r="I183" s="66" t="str">
        <f>H183&amp;"/"&amp;428</f>
        <v>173/428</v>
      </c>
      <c r="J183" s="68">
        <f>H183/428</f>
        <v>0.40420560747663553</v>
      </c>
      <c r="K183" s="18" t="s">
        <v>44</v>
      </c>
      <c r="L183" s="18" t="s">
        <v>45</v>
      </c>
      <c r="M183" s="58" t="s">
        <v>274</v>
      </c>
      <c r="N183" s="18">
        <f>[1]!f_prt_stocktonav(C183,"2017/03/31")</f>
        <v>90.001060485839844</v>
      </c>
      <c r="O183" s="20" t="str">
        <f>[1]!f_info_fundmanager(C183)</f>
        <v>苗宇</v>
      </c>
      <c r="P183" s="21">
        <v>2.117808219178082</v>
      </c>
      <c r="Q183" s="34" t="s">
        <v>1982</v>
      </c>
      <c r="R183" s="34" t="s">
        <v>1983</v>
      </c>
      <c r="S183" s="34" t="s">
        <v>132</v>
      </c>
      <c r="T183" s="34">
        <v>20140312</v>
      </c>
      <c r="U183" s="45">
        <v>5.8673162259999998</v>
      </c>
      <c r="V183" s="46">
        <v>6.4009062454999999</v>
      </c>
      <c r="W183" s="34" t="s">
        <v>3776</v>
      </c>
      <c r="X183" s="34" t="s">
        <v>44</v>
      </c>
      <c r="Y183" s="34" t="s">
        <v>45</v>
      </c>
      <c r="Z183" s="34" t="s">
        <v>274</v>
      </c>
      <c r="AA183" s="34"/>
      <c r="AB183" s="34"/>
      <c r="AC183" s="22">
        <v>0.89710494995117185</v>
      </c>
      <c r="AD183" s="23" t="s">
        <v>1984</v>
      </c>
      <c r="AE183" s="24">
        <v>1.8876712328767122</v>
      </c>
      <c r="AF183" s="25">
        <v>0.11617829077886821</v>
      </c>
      <c r="AG183" s="26">
        <v>0</v>
      </c>
      <c r="AH183" s="26">
        <v>0</v>
      </c>
      <c r="AI183" s="27">
        <v>0.45253348991926717</v>
      </c>
      <c r="AJ183" s="27">
        <v>0.45253348991926717</v>
      </c>
      <c r="AK183" s="27">
        <v>0.45253348991926717</v>
      </c>
      <c r="AL183" s="28" t="s">
        <v>1830</v>
      </c>
      <c r="AM183" s="29" t="s">
        <v>48</v>
      </c>
      <c r="AN183" s="29" t="s">
        <v>48</v>
      </c>
      <c r="AO183" s="29" t="s">
        <v>48</v>
      </c>
      <c r="AP183" s="47" t="s">
        <v>1985</v>
      </c>
      <c r="AQ183" s="28">
        <v>0</v>
      </c>
      <c r="AR183" s="26">
        <v>1.4999999999999999E-2</v>
      </c>
      <c r="AS183" s="26">
        <v>0</v>
      </c>
    </row>
    <row r="184" spans="1:45" x14ac:dyDescent="0.15">
      <c r="A184" s="64">
        <v>497</v>
      </c>
      <c r="B184" s="64">
        <v>818</v>
      </c>
      <c r="C184" s="11">
        <v>199</v>
      </c>
      <c r="D184" s="61">
        <v>553</v>
      </c>
      <c r="E184" s="61">
        <v>-1.7399561516832801E-3</v>
      </c>
      <c r="F184" s="61">
        <v>113</v>
      </c>
      <c r="G184" s="61">
        <v>0.24198344912259601</v>
      </c>
      <c r="H184" s="66">
        <v>174</v>
      </c>
      <c r="I184" s="66" t="str">
        <f>H184&amp;"/"&amp;428</f>
        <v>174/428</v>
      </c>
      <c r="J184" s="68">
        <f>H184/428</f>
        <v>0.40654205607476634</v>
      </c>
      <c r="K184" s="18" t="s">
        <v>44</v>
      </c>
      <c r="L184" s="18" t="s">
        <v>45</v>
      </c>
      <c r="M184" s="58" t="s">
        <v>274</v>
      </c>
      <c r="N184" s="18">
        <f>[1]!f_prt_stocktonav(C184,"2017/03/31")</f>
        <v>75.944778442382813</v>
      </c>
      <c r="O184" s="20" t="str">
        <f>[1]!f_info_fundmanager(C184)</f>
        <v>邱晓华,艾小军</v>
      </c>
      <c r="P184" s="21">
        <v>2.2054794520547945</v>
      </c>
      <c r="Q184" s="34" t="s">
        <v>2090</v>
      </c>
      <c r="R184" s="34" t="s">
        <v>2091</v>
      </c>
      <c r="S184" s="34" t="s">
        <v>663</v>
      </c>
      <c r="T184" s="34">
        <v>20130812</v>
      </c>
      <c r="U184" s="45">
        <v>0.43290286239999998</v>
      </c>
      <c r="V184" s="46">
        <v>0.50394128680000005</v>
      </c>
      <c r="W184" s="34" t="s">
        <v>201</v>
      </c>
      <c r="X184" s="34" t="s">
        <v>44</v>
      </c>
      <c r="Y184" s="34" t="s">
        <v>45</v>
      </c>
      <c r="Z184" s="34" t="s">
        <v>274</v>
      </c>
      <c r="AA184" s="34"/>
      <c r="AB184" s="34"/>
      <c r="AC184" s="22">
        <v>0.70417030334472652</v>
      </c>
      <c r="AD184" s="23" t="s">
        <v>2092</v>
      </c>
      <c r="AE184" s="24">
        <v>1.9753424657534246</v>
      </c>
      <c r="AF184" s="25">
        <v>0.16838533026666602</v>
      </c>
      <c r="AG184" s="26">
        <v>0</v>
      </c>
      <c r="AH184" s="26">
        <v>0</v>
      </c>
      <c r="AI184" s="27">
        <v>0.57166515817823693</v>
      </c>
      <c r="AJ184" s="27">
        <v>0.57166515817823693</v>
      </c>
      <c r="AK184" s="27">
        <v>0.57166515817823693</v>
      </c>
      <c r="AL184" s="28" t="s">
        <v>226</v>
      </c>
      <c r="AM184" s="29" t="s">
        <v>48</v>
      </c>
      <c r="AN184" s="29" t="s">
        <v>48</v>
      </c>
      <c r="AO184" s="29" t="s">
        <v>48</v>
      </c>
      <c r="AP184" s="47" t="s">
        <v>1420</v>
      </c>
      <c r="AQ184" s="28">
        <v>0</v>
      </c>
      <c r="AR184" s="26">
        <v>1.4999999999999999E-2</v>
      </c>
      <c r="AS184" s="26">
        <v>0</v>
      </c>
    </row>
    <row r="185" spans="1:45" x14ac:dyDescent="0.15">
      <c r="A185" s="64">
        <v>823</v>
      </c>
      <c r="B185" s="64">
        <v>286</v>
      </c>
      <c r="C185" s="11">
        <v>257030</v>
      </c>
      <c r="D185" s="61">
        <v>556</v>
      </c>
      <c r="E185" s="61">
        <v>-1.77377402247459E-3</v>
      </c>
      <c r="F185" s="61">
        <v>101</v>
      </c>
      <c r="G185" s="61">
        <v>0.223631187543059</v>
      </c>
      <c r="H185" s="66">
        <v>175</v>
      </c>
      <c r="I185" s="66" t="str">
        <f>H185&amp;"/"&amp;428</f>
        <v>175/428</v>
      </c>
      <c r="J185" s="68">
        <f>H185/428</f>
        <v>0.40887850467289721</v>
      </c>
      <c r="K185" s="18" t="s">
        <v>44</v>
      </c>
      <c r="L185" s="18" t="s">
        <v>45</v>
      </c>
      <c r="M185" s="58" t="s">
        <v>274</v>
      </c>
      <c r="N185" s="18">
        <f>[1]!f_prt_stocktonav(C185,"2017/03/31")</f>
        <v>89.6427001953125</v>
      </c>
      <c r="O185" s="20" t="str">
        <f>[1]!f_info_fundmanager(C185)</f>
        <v>刘斌</v>
      </c>
      <c r="P185" s="21">
        <v>1.9260273972602739</v>
      </c>
      <c r="Q185" s="34" t="s">
        <v>3203</v>
      </c>
      <c r="R185" s="34" t="s">
        <v>3204</v>
      </c>
      <c r="S185" s="34" t="s">
        <v>724</v>
      </c>
      <c r="T185" s="34">
        <v>20070124</v>
      </c>
      <c r="U185" s="45">
        <v>3.1022219323</v>
      </c>
      <c r="V185" s="46">
        <v>3.3079693762</v>
      </c>
      <c r="W185" s="34" t="s">
        <v>231</v>
      </c>
      <c r="X185" s="34" t="s">
        <v>44</v>
      </c>
      <c r="Y185" s="34" t="s">
        <v>45</v>
      </c>
      <c r="Z185" s="34" t="s">
        <v>274</v>
      </c>
      <c r="AA185" s="34"/>
      <c r="AB185" s="34"/>
      <c r="AC185" s="22">
        <v>0.89112007141113281</v>
      </c>
      <c r="AD185" s="23" t="s">
        <v>828</v>
      </c>
      <c r="AE185" s="24">
        <v>1.6958904109589041</v>
      </c>
      <c r="AF185" s="25">
        <v>7.648247346700443E-2</v>
      </c>
      <c r="AG185" s="26">
        <v>0.16634634945275661</v>
      </c>
      <c r="AH185" s="26">
        <v>0.14779335849809061</v>
      </c>
      <c r="AI185" s="27">
        <v>0.35628970340999999</v>
      </c>
      <c r="AJ185" s="27">
        <v>0.58860077650240239</v>
      </c>
      <c r="AK185" s="27">
        <v>0.5912013132982491</v>
      </c>
      <c r="AL185" s="28" t="s">
        <v>1948</v>
      </c>
      <c r="AM185" s="29">
        <v>3</v>
      </c>
      <c r="AN185" s="29">
        <v>3</v>
      </c>
      <c r="AO185" s="29" t="s">
        <v>48</v>
      </c>
      <c r="AP185" s="47" t="s">
        <v>3205</v>
      </c>
      <c r="AQ185" s="28" t="s">
        <v>2963</v>
      </c>
      <c r="AR185" s="26">
        <v>1.4999999999999999E-2</v>
      </c>
      <c r="AS185" s="26">
        <v>0</v>
      </c>
    </row>
    <row r="186" spans="1:45" x14ac:dyDescent="0.15">
      <c r="A186" s="64">
        <v>700</v>
      </c>
      <c r="B186" s="64">
        <v>709</v>
      </c>
      <c r="C186" s="11">
        <v>630005</v>
      </c>
      <c r="D186" s="61">
        <v>557</v>
      </c>
      <c r="E186" s="61">
        <v>-1.7782711589324901E-3</v>
      </c>
      <c r="F186" s="61">
        <v>376</v>
      </c>
      <c r="G186" s="61">
        <v>5.0800294566609401E-2</v>
      </c>
      <c r="H186" s="66">
        <v>176</v>
      </c>
      <c r="I186" s="66" t="str">
        <f>H186&amp;"/"&amp;428</f>
        <v>176/428</v>
      </c>
      <c r="J186" s="68">
        <f>H186/428</f>
        <v>0.41121495327102803</v>
      </c>
      <c r="K186" s="18" t="s">
        <v>44</v>
      </c>
      <c r="L186" s="18" t="s">
        <v>64</v>
      </c>
      <c r="M186" s="58" t="s">
        <v>274</v>
      </c>
      <c r="N186" s="18">
        <f>[1]!f_prt_stocktonav(C186,"2017/03/31")</f>
        <v>79.783920288085937</v>
      </c>
      <c r="O186" s="20" t="str">
        <f>[1]!f_info_fundmanager(C186)</f>
        <v>梁永强</v>
      </c>
      <c r="P186" s="21">
        <v>7.353424657534247</v>
      </c>
      <c r="Q186" s="34" t="s">
        <v>2782</v>
      </c>
      <c r="R186" s="34" t="s">
        <v>2783</v>
      </c>
      <c r="S186" s="34" t="s">
        <v>387</v>
      </c>
      <c r="T186" s="34">
        <v>20091124</v>
      </c>
      <c r="U186" s="45">
        <v>19.008126734800001</v>
      </c>
      <c r="V186" s="46">
        <v>20.480600447899999</v>
      </c>
      <c r="W186" s="34" t="s">
        <v>40</v>
      </c>
      <c r="X186" s="34" t="s">
        <v>44</v>
      </c>
      <c r="Y186" s="34" t="s">
        <v>45</v>
      </c>
      <c r="Z186" s="34" t="s">
        <v>274</v>
      </c>
      <c r="AA186" s="34"/>
      <c r="AB186" s="34"/>
      <c r="AC186" s="22">
        <v>0.7838605499267578</v>
      </c>
      <c r="AD186" s="23" t="s">
        <v>1749</v>
      </c>
      <c r="AE186" s="24">
        <v>7.1232876712328768</v>
      </c>
      <c r="AF186" s="25">
        <v>0.12214748056841751</v>
      </c>
      <c r="AG186" s="26">
        <v>0.20462887165003665</v>
      </c>
      <c r="AH186" s="26">
        <v>0.22190628569247117</v>
      </c>
      <c r="AI186" s="27">
        <v>0.5270975507560679</v>
      </c>
      <c r="AJ186" s="27">
        <v>0.70938773666901389</v>
      </c>
      <c r="AK186" s="27">
        <v>0.81800380254184801</v>
      </c>
      <c r="AL186" s="28" t="s">
        <v>240</v>
      </c>
      <c r="AM186" s="29">
        <v>5</v>
      </c>
      <c r="AN186" s="29">
        <v>3</v>
      </c>
      <c r="AO186" s="29" t="s">
        <v>48</v>
      </c>
      <c r="AP186" s="47" t="s">
        <v>1525</v>
      </c>
      <c r="AQ186" s="28">
        <v>0</v>
      </c>
      <c r="AR186" s="26">
        <v>1.4999999999999999E-2</v>
      </c>
      <c r="AS186" s="26">
        <v>0</v>
      </c>
    </row>
    <row r="187" spans="1:45" x14ac:dyDescent="0.15">
      <c r="A187" s="64">
        <v>677</v>
      </c>
      <c r="B187" s="64">
        <v>806</v>
      </c>
      <c r="C187" s="11">
        <v>270022</v>
      </c>
      <c r="D187" s="61">
        <v>561</v>
      </c>
      <c r="E187" s="61">
        <v>-1.8143508400608099E-3</v>
      </c>
      <c r="F187" s="61">
        <v>94</v>
      </c>
      <c r="G187" s="61">
        <v>0.33680158040956798</v>
      </c>
      <c r="H187" s="66">
        <v>177</v>
      </c>
      <c r="I187" s="66" t="str">
        <f>H187&amp;"/"&amp;428</f>
        <v>177/428</v>
      </c>
      <c r="J187" s="68">
        <f>H187/428</f>
        <v>0.4135514018691589</v>
      </c>
      <c r="K187" s="18" t="s">
        <v>44</v>
      </c>
      <c r="L187" s="18" t="s">
        <v>45</v>
      </c>
      <c r="M187" s="58" t="s">
        <v>274</v>
      </c>
      <c r="N187" s="18">
        <f>[1]!f_prt_stocktonav(C187,"2017/03/31")</f>
        <v>76.439498901367188</v>
      </c>
      <c r="O187" s="20" t="str">
        <f>[1]!f_info_fundmanager(C187)</f>
        <v>王小松</v>
      </c>
      <c r="P187" s="21">
        <v>1.8</v>
      </c>
      <c r="Q187" s="34" t="s">
        <v>2711</v>
      </c>
      <c r="R187" s="34" t="s">
        <v>2712</v>
      </c>
      <c r="S187" s="34" t="s">
        <v>132</v>
      </c>
      <c r="T187" s="34">
        <v>20100419</v>
      </c>
      <c r="U187" s="45">
        <v>3.827666072</v>
      </c>
      <c r="V187" s="46">
        <v>4.1551415281999997</v>
      </c>
      <c r="W187" s="34" t="s">
        <v>201</v>
      </c>
      <c r="X187" s="34" t="s">
        <v>44</v>
      </c>
      <c r="Y187" s="34" t="s">
        <v>45</v>
      </c>
      <c r="Z187" s="34" t="s">
        <v>274</v>
      </c>
      <c r="AA187" s="34"/>
      <c r="AB187" s="34"/>
      <c r="AC187" s="22">
        <v>0.77564102172851568</v>
      </c>
      <c r="AD187" s="23" t="s">
        <v>2713</v>
      </c>
      <c r="AE187" s="24">
        <v>1.5698630136986302</v>
      </c>
      <c r="AF187" s="25">
        <v>-9.9858917482708032E-3</v>
      </c>
      <c r="AG187" s="26">
        <v>8.3398584979160972E-2</v>
      </c>
      <c r="AH187" s="26">
        <v>2.1508924008243335E-2</v>
      </c>
      <c r="AI187" s="27">
        <v>4.0039036525428832E-2</v>
      </c>
      <c r="AJ187" s="27">
        <v>0.37749485953590378</v>
      </c>
      <c r="AK187" s="27">
        <v>0.16600028281395371</v>
      </c>
      <c r="AL187" s="28" t="s">
        <v>1964</v>
      </c>
      <c r="AM187" s="29">
        <v>1</v>
      </c>
      <c r="AN187" s="29">
        <v>1</v>
      </c>
      <c r="AO187" s="29" t="s">
        <v>48</v>
      </c>
      <c r="AP187" s="47" t="s">
        <v>287</v>
      </c>
      <c r="AQ187" s="28">
        <v>0</v>
      </c>
      <c r="AR187" s="26">
        <v>1.4999999999999999E-2</v>
      </c>
      <c r="AS187" s="26">
        <v>0</v>
      </c>
    </row>
    <row r="188" spans="1:45" x14ac:dyDescent="0.15">
      <c r="A188" s="64">
        <v>381</v>
      </c>
      <c r="B188" s="64">
        <v>206</v>
      </c>
      <c r="C188" s="11">
        <v>935</v>
      </c>
      <c r="D188" s="61">
        <v>564</v>
      </c>
      <c r="E188" s="61">
        <v>-1.84158600672809E-3</v>
      </c>
      <c r="F188" s="61">
        <v>55</v>
      </c>
      <c r="G188" s="61">
        <v>0.20565942915179</v>
      </c>
      <c r="H188" s="66">
        <v>178</v>
      </c>
      <c r="I188" s="66" t="str">
        <f>H188&amp;"/"&amp;428</f>
        <v>178/428</v>
      </c>
      <c r="J188" s="68">
        <f>H188/428</f>
        <v>0.41588785046728971</v>
      </c>
      <c r="K188" s="18" t="s">
        <v>44</v>
      </c>
      <c r="L188" s="18" t="s">
        <v>45</v>
      </c>
      <c r="M188" s="58" t="s">
        <v>274</v>
      </c>
      <c r="N188" s="18">
        <f>[1]!f_prt_stocktonav(C188,"2017/03/31")</f>
        <v>91.6627197265625</v>
      </c>
      <c r="O188" s="20" t="str">
        <f>[1]!f_info_fundmanager(C188)</f>
        <v>赵语涛</v>
      </c>
      <c r="P188" s="21">
        <v>1.0575342465753426</v>
      </c>
      <c r="Q188" s="34" t="s">
        <v>1657</v>
      </c>
      <c r="R188" s="34" t="s">
        <v>1658</v>
      </c>
      <c r="S188" s="34" t="s">
        <v>682</v>
      </c>
      <c r="T188" s="34">
        <v>20141230</v>
      </c>
      <c r="U188" s="45">
        <v>1.7586789022</v>
      </c>
      <c r="V188" s="46">
        <v>2.0499214791</v>
      </c>
      <c r="W188" s="34" t="s">
        <v>3776</v>
      </c>
      <c r="X188" s="34" t="s">
        <v>44</v>
      </c>
      <c r="Y188" s="34" t="s">
        <v>45</v>
      </c>
      <c r="Z188" s="34" t="s">
        <v>65</v>
      </c>
      <c r="AA188" s="34"/>
      <c r="AB188" s="34"/>
      <c r="AC188" s="22">
        <v>0.91100822448730467</v>
      </c>
      <c r="AD188" s="23" t="s">
        <v>683</v>
      </c>
      <c r="AE188" s="24">
        <v>0.82739726027397265</v>
      </c>
      <c r="AF188" s="25">
        <v>-0.13445007063481462</v>
      </c>
      <c r="AG188" s="26">
        <v>0</v>
      </c>
      <c r="AH188" s="26">
        <v>0</v>
      </c>
      <c r="AI188" s="27">
        <v>-0.25540631447607215</v>
      </c>
      <c r="AJ188" s="27">
        <v>-0.25540631447607215</v>
      </c>
      <c r="AK188" s="27">
        <v>-0.25540631447607215</v>
      </c>
      <c r="AL188" s="28" t="s">
        <v>1659</v>
      </c>
      <c r="AM188" s="29" t="s">
        <v>48</v>
      </c>
      <c r="AN188" s="29" t="s">
        <v>48</v>
      </c>
      <c r="AO188" s="29" t="s">
        <v>48</v>
      </c>
      <c r="AP188" s="47" t="s">
        <v>367</v>
      </c>
      <c r="AQ188" s="28">
        <v>0</v>
      </c>
      <c r="AR188" s="26">
        <v>1.4999999999999999E-2</v>
      </c>
      <c r="AS188" s="26">
        <v>0</v>
      </c>
    </row>
    <row r="189" spans="1:45" x14ac:dyDescent="0.15">
      <c r="A189" s="64">
        <v>611</v>
      </c>
      <c r="B189" s="64">
        <v>138</v>
      </c>
      <c r="C189" s="11">
        <v>519099</v>
      </c>
      <c r="D189" s="61">
        <v>566</v>
      </c>
      <c r="E189" s="61">
        <v>-1.84406697007201E-3</v>
      </c>
      <c r="F189" s="61">
        <v>94</v>
      </c>
      <c r="G189" s="61">
        <v>0.33747180462027698</v>
      </c>
      <c r="H189" s="66">
        <v>179</v>
      </c>
      <c r="I189" s="66" t="str">
        <f>H189&amp;"/"&amp;428</f>
        <v>179/428</v>
      </c>
      <c r="J189" s="68">
        <f>H189/428</f>
        <v>0.41822429906542058</v>
      </c>
      <c r="K189" s="18" t="s">
        <v>44</v>
      </c>
      <c r="L189" s="18" t="s">
        <v>87</v>
      </c>
      <c r="M189" s="58" t="s">
        <v>274</v>
      </c>
      <c r="N189" s="18">
        <f>[1]!f_prt_stocktonav(C189,"2017/03/31")</f>
        <v>92.927284240722656</v>
      </c>
      <c r="O189" s="20" t="str">
        <f>[1]!f_info_fundmanager(C189)</f>
        <v>李会忠</v>
      </c>
      <c r="P189" s="21">
        <v>1.8054794520547945</v>
      </c>
      <c r="Q189" s="34" t="s">
        <v>2486</v>
      </c>
      <c r="R189" s="34" t="s">
        <v>2487</v>
      </c>
      <c r="S189" s="34" t="s">
        <v>569</v>
      </c>
      <c r="T189" s="34">
        <v>20110713</v>
      </c>
      <c r="U189" s="45">
        <v>0.3603860753</v>
      </c>
      <c r="V189" s="46">
        <v>1.1796498987999999</v>
      </c>
      <c r="W189" s="34" t="s">
        <v>201</v>
      </c>
      <c r="X189" s="34" t="s">
        <v>44</v>
      </c>
      <c r="Y189" s="34" t="s">
        <v>45</v>
      </c>
      <c r="Z189" s="34" t="s">
        <v>274</v>
      </c>
      <c r="AA189" s="34"/>
      <c r="AB189" s="34"/>
      <c r="AC189" s="22">
        <v>0.9374730682373047</v>
      </c>
      <c r="AD189" s="23" t="s">
        <v>571</v>
      </c>
      <c r="AE189" s="24">
        <v>1.5753424657534247</v>
      </c>
      <c r="AF189" s="25">
        <v>0.10878267573827639</v>
      </c>
      <c r="AG189" s="26">
        <v>0.16969537667894799</v>
      </c>
      <c r="AH189" s="26">
        <v>0.16766437482537058</v>
      </c>
      <c r="AI189" s="27">
        <v>0.45892749449879672</v>
      </c>
      <c r="AJ189" s="27">
        <v>0.58942242596699335</v>
      </c>
      <c r="AK189" s="27">
        <v>0.63498329359624794</v>
      </c>
      <c r="AL189" s="28" t="s">
        <v>1459</v>
      </c>
      <c r="AM189" s="29">
        <v>3</v>
      </c>
      <c r="AN189" s="29">
        <v>4</v>
      </c>
      <c r="AO189" s="29" t="s">
        <v>48</v>
      </c>
      <c r="AP189" s="47" t="s">
        <v>310</v>
      </c>
      <c r="AQ189" s="28">
        <v>0</v>
      </c>
      <c r="AR189" s="26">
        <v>1.4999999999999999E-2</v>
      </c>
      <c r="AS189" s="26">
        <v>0</v>
      </c>
    </row>
    <row r="190" spans="1:45" x14ac:dyDescent="0.15">
      <c r="A190" s="64">
        <v>931</v>
      </c>
      <c r="B190" s="64">
        <v>924</v>
      </c>
      <c r="C190" s="11">
        <v>270001</v>
      </c>
      <c r="D190" s="61">
        <v>567</v>
      </c>
      <c r="E190" s="61">
        <v>-1.8489715212615899E-3</v>
      </c>
      <c r="F190" s="61">
        <v>111</v>
      </c>
      <c r="G190" s="61">
        <v>0.28030923702299998</v>
      </c>
      <c r="H190" s="66">
        <v>180</v>
      </c>
      <c r="I190" s="66" t="str">
        <f>H190&amp;"/"&amp;428</f>
        <v>180/428</v>
      </c>
      <c r="J190" s="68">
        <f>H190/428</f>
        <v>0.42056074766355139</v>
      </c>
      <c r="K190" s="18" t="s">
        <v>44</v>
      </c>
      <c r="L190" s="18" t="s">
        <v>45</v>
      </c>
      <c r="M190" s="58" t="s">
        <v>274</v>
      </c>
      <c r="N190" s="18">
        <f>[1]!f_prt_stocktonav(C190,"2017/03/31")</f>
        <v>71.350715637207031</v>
      </c>
      <c r="O190" s="20" t="str">
        <f>[1]!f_info_fundmanager(C190)</f>
        <v>苗宇</v>
      </c>
      <c r="P190" s="21">
        <v>2.1315068493150684</v>
      </c>
      <c r="Q190" s="34" t="s">
        <v>3622</v>
      </c>
      <c r="R190" s="34" t="s">
        <v>3623</v>
      </c>
      <c r="S190" s="34" t="s">
        <v>132</v>
      </c>
      <c r="T190" s="34">
        <v>20031203</v>
      </c>
      <c r="U190" s="45">
        <v>16.1817409495</v>
      </c>
      <c r="V190" s="46">
        <v>16.991779018999999</v>
      </c>
      <c r="W190" s="34" t="s">
        <v>231</v>
      </c>
      <c r="X190" s="34" t="s">
        <v>44</v>
      </c>
      <c r="Y190" s="34" t="s">
        <v>45</v>
      </c>
      <c r="Z190" s="34" t="s">
        <v>274</v>
      </c>
      <c r="AA190" s="34"/>
      <c r="AB190" s="34"/>
      <c r="AC190" s="22">
        <v>0.72126632690429693</v>
      </c>
      <c r="AD190" s="23" t="s">
        <v>1984</v>
      </c>
      <c r="AE190" s="24">
        <v>1.9013698630136986</v>
      </c>
      <c r="AF190" s="25">
        <v>0.13324770228731331</v>
      </c>
      <c r="AG190" s="26">
        <v>4.109389441079192E-2</v>
      </c>
      <c r="AH190" s="26">
        <v>5.2448026210297316E-2</v>
      </c>
      <c r="AI190" s="27">
        <v>0.60684536355292262</v>
      </c>
      <c r="AJ190" s="27">
        <v>0.22931628749369279</v>
      </c>
      <c r="AK190" s="27">
        <v>0.27385641318797593</v>
      </c>
      <c r="AL190" s="28" t="s">
        <v>276</v>
      </c>
      <c r="AM190" s="29">
        <v>1</v>
      </c>
      <c r="AN190" s="29">
        <v>3</v>
      </c>
      <c r="AO190" s="29" t="s">
        <v>48</v>
      </c>
      <c r="AP190" s="47" t="s">
        <v>287</v>
      </c>
      <c r="AQ190" s="28" t="s">
        <v>3115</v>
      </c>
      <c r="AR190" s="26">
        <v>1.4999999999999999E-2</v>
      </c>
      <c r="AS190" s="26">
        <v>0</v>
      </c>
    </row>
    <row r="191" spans="1:45" x14ac:dyDescent="0.15">
      <c r="A191" s="64">
        <v>422</v>
      </c>
      <c r="B191" s="64">
        <v>237</v>
      </c>
      <c r="C191" s="11">
        <v>646</v>
      </c>
      <c r="D191" s="61">
        <v>568</v>
      </c>
      <c r="E191" s="61">
        <v>-1.85180236163457E-3</v>
      </c>
      <c r="F191" s="61">
        <v>81</v>
      </c>
      <c r="G191" s="61">
        <v>0.20837174742838899</v>
      </c>
      <c r="H191" s="66">
        <v>181</v>
      </c>
      <c r="I191" s="66" t="str">
        <f>H191&amp;"/"&amp;428</f>
        <v>181/428</v>
      </c>
      <c r="J191" s="68">
        <f>H191/428</f>
        <v>0.42289719626168226</v>
      </c>
      <c r="K191" s="18" t="s">
        <v>44</v>
      </c>
      <c r="L191" s="18" t="s">
        <v>86</v>
      </c>
      <c r="M191" s="58" t="s">
        <v>274</v>
      </c>
      <c r="N191" s="18">
        <f>[1]!f_prt_stocktonav(C191,"2017/03/31")</f>
        <v>90.9041748046875</v>
      </c>
      <c r="O191" s="20" t="str">
        <f>[1]!f_info_fundmanager(C191)</f>
        <v>袁华涛,石武斌</v>
      </c>
      <c r="P191" s="21">
        <v>1.5397260273972602</v>
      </c>
      <c r="Q191" s="34" t="s">
        <v>1811</v>
      </c>
      <c r="R191" s="34" t="s">
        <v>1812</v>
      </c>
      <c r="S191" s="34" t="s">
        <v>1813</v>
      </c>
      <c r="T191" s="34">
        <v>20140818</v>
      </c>
      <c r="U191" s="45">
        <v>0.58508167</v>
      </c>
      <c r="V191" s="46">
        <v>0.52810688949999995</v>
      </c>
      <c r="W191" s="34" t="s">
        <v>3776</v>
      </c>
      <c r="X191" s="34" t="s">
        <v>44</v>
      </c>
      <c r="Y191" s="34" t="s">
        <v>45</v>
      </c>
      <c r="Z191" s="34" t="s">
        <v>274</v>
      </c>
      <c r="AA191" s="34"/>
      <c r="AB191" s="34"/>
      <c r="AC191" s="22">
        <v>0.93232261657714843</v>
      </c>
      <c r="AD191" s="23" t="s">
        <v>1814</v>
      </c>
      <c r="AE191" s="24">
        <v>1.3095890410958904</v>
      </c>
      <c r="AF191" s="25">
        <v>0.14241782812635151</v>
      </c>
      <c r="AG191" s="26">
        <v>0</v>
      </c>
      <c r="AH191" s="26">
        <v>0</v>
      </c>
      <c r="AI191" s="27">
        <v>0.52410945164649814</v>
      </c>
      <c r="AJ191" s="27">
        <v>0.52410945164649814</v>
      </c>
      <c r="AK191" s="27">
        <v>0.52410945164649814</v>
      </c>
      <c r="AL191" s="28" t="s">
        <v>1815</v>
      </c>
      <c r="AM191" s="29" t="s">
        <v>48</v>
      </c>
      <c r="AN191" s="29" t="s">
        <v>48</v>
      </c>
      <c r="AO191" s="29" t="s">
        <v>48</v>
      </c>
      <c r="AP191" s="47" t="s">
        <v>702</v>
      </c>
      <c r="AQ191" s="28">
        <v>0</v>
      </c>
      <c r="AR191" s="26">
        <v>1.4999999999999999E-2</v>
      </c>
      <c r="AS191" s="26">
        <v>0</v>
      </c>
    </row>
    <row r="192" spans="1:45" x14ac:dyDescent="0.15">
      <c r="A192" s="64">
        <v>934</v>
      </c>
      <c r="B192" s="64">
        <v>852</v>
      </c>
      <c r="C192" s="11">
        <v>160603</v>
      </c>
      <c r="D192" s="61">
        <v>569</v>
      </c>
      <c r="E192" s="61">
        <v>-1.8633723683195999E-3</v>
      </c>
      <c r="F192" s="61">
        <v>427</v>
      </c>
      <c r="G192" s="61">
        <v>2.7936579765489001E-4</v>
      </c>
      <c r="H192" s="66">
        <v>182</v>
      </c>
      <c r="I192" s="66" t="str">
        <f>H192&amp;"/"&amp;428</f>
        <v>182/428</v>
      </c>
      <c r="J192" s="68">
        <f>H192/428</f>
        <v>0.42523364485981308</v>
      </c>
      <c r="K192" s="18" t="s">
        <v>44</v>
      </c>
      <c r="L192" s="18" t="s">
        <v>45</v>
      </c>
      <c r="M192" s="58" t="s">
        <v>274</v>
      </c>
      <c r="N192" s="18">
        <f>[1]!f_prt_stocktonav(C192,"2017/03/31")</f>
        <v>74.305564880371094</v>
      </c>
      <c r="O192" s="20" t="str">
        <f>[1]!f_info_fundmanager(C192)</f>
        <v>张卓</v>
      </c>
      <c r="P192" s="21">
        <v>8.205479452054794</v>
      </c>
      <c r="Q192" s="34" t="s">
        <v>3632</v>
      </c>
      <c r="R192" s="34" t="s">
        <v>3633</v>
      </c>
      <c r="S192" s="34" t="s">
        <v>705</v>
      </c>
      <c r="T192" s="34">
        <v>20030712</v>
      </c>
      <c r="U192" s="45">
        <v>5.7531654457999997</v>
      </c>
      <c r="V192" s="46">
        <v>5.6963145879999999</v>
      </c>
      <c r="W192" s="34" t="s">
        <v>231</v>
      </c>
      <c r="X192" s="34" t="s">
        <v>41</v>
      </c>
      <c r="Y192" s="17" t="s">
        <v>42</v>
      </c>
      <c r="Z192" s="17" t="s">
        <v>181</v>
      </c>
      <c r="AA192" s="34"/>
      <c r="AB192" s="34"/>
      <c r="AC192" s="22">
        <v>0.69057113647460933</v>
      </c>
      <c r="AD192" s="23" t="s">
        <v>3634</v>
      </c>
      <c r="AE192" s="24">
        <v>7.9753424657534246</v>
      </c>
      <c r="AF192" s="25">
        <v>0.15740805820143788</v>
      </c>
      <c r="AG192" s="26">
        <v>0.18988008792778976</v>
      </c>
      <c r="AH192" s="26">
        <v>0.12875957300460139</v>
      </c>
      <c r="AI192" s="27">
        <v>0.68530392168360676</v>
      </c>
      <c r="AJ192" s="27">
        <v>0.71993790538432545</v>
      </c>
      <c r="AK192" s="27">
        <v>0.57007027295922319</v>
      </c>
      <c r="AL192" s="28" t="s">
        <v>1302</v>
      </c>
      <c r="AM192" s="29">
        <v>4</v>
      </c>
      <c r="AN192" s="29">
        <v>4</v>
      </c>
      <c r="AO192" s="29" t="s">
        <v>48</v>
      </c>
      <c r="AP192" s="47" t="s">
        <v>3635</v>
      </c>
      <c r="AQ192" s="28">
        <v>0</v>
      </c>
      <c r="AR192" s="26">
        <v>1.4999999999999999E-2</v>
      </c>
      <c r="AS192" s="26">
        <v>0</v>
      </c>
    </row>
    <row r="193" spans="1:45" x14ac:dyDescent="0.15">
      <c r="A193" s="64">
        <v>518</v>
      </c>
      <c r="B193" s="64">
        <v>598</v>
      </c>
      <c r="C193" s="11">
        <v>29</v>
      </c>
      <c r="D193" s="61">
        <v>571</v>
      </c>
      <c r="E193" s="61">
        <v>-1.8746986681500699E-3</v>
      </c>
      <c r="F193" s="61">
        <v>205</v>
      </c>
      <c r="G193" s="61">
        <v>0.114173824806899</v>
      </c>
      <c r="H193" s="66">
        <v>183</v>
      </c>
      <c r="I193" s="66" t="str">
        <f>H193&amp;"/"&amp;428</f>
        <v>183/428</v>
      </c>
      <c r="J193" s="68">
        <f>H193/428</f>
        <v>0.42757009345794394</v>
      </c>
      <c r="K193" s="18" t="s">
        <v>44</v>
      </c>
      <c r="L193" s="18" t="s">
        <v>45</v>
      </c>
      <c r="M193" s="58" t="s">
        <v>274</v>
      </c>
      <c r="N193" s="18">
        <f>[1]!f_prt_stocktonav(C193,"2017/03/31")</f>
        <v>82.926193237304688</v>
      </c>
      <c r="O193" s="20" t="str">
        <f>[1]!f_info_fundmanager(C193)</f>
        <v>袁宜</v>
      </c>
      <c r="P193" s="21">
        <v>3.9698630136986299</v>
      </c>
      <c r="Q193" s="34" t="s">
        <v>2170</v>
      </c>
      <c r="R193" s="34" t="s">
        <v>2171</v>
      </c>
      <c r="S193" s="34" t="s">
        <v>396</v>
      </c>
      <c r="T193" s="34">
        <v>20130412</v>
      </c>
      <c r="U193" s="45">
        <v>1.8678241095000001</v>
      </c>
      <c r="V193" s="46">
        <v>1.8927561714000001</v>
      </c>
      <c r="W193" s="34" t="s">
        <v>3789</v>
      </c>
      <c r="X193" s="34" t="s">
        <v>44</v>
      </c>
      <c r="Y193" s="34" t="s">
        <v>45</v>
      </c>
      <c r="Z193" s="34" t="s">
        <v>274</v>
      </c>
      <c r="AA193" s="34"/>
      <c r="AB193" s="34"/>
      <c r="AC193" s="22">
        <v>0.81313781738281254</v>
      </c>
      <c r="AD193" s="23" t="s">
        <v>1912</v>
      </c>
      <c r="AE193" s="24">
        <v>3.7397260273972601</v>
      </c>
      <c r="AF193" s="25">
        <v>0.12595614397599064</v>
      </c>
      <c r="AG193" s="26">
        <v>0.13220537964029999</v>
      </c>
      <c r="AH193" s="26">
        <v>0</v>
      </c>
      <c r="AI193" s="27">
        <v>0.5389465773303026</v>
      </c>
      <c r="AJ193" s="27">
        <v>0.52205982834823805</v>
      </c>
      <c r="AK193" s="27">
        <v>0.5389465773303026</v>
      </c>
      <c r="AL193" s="28" t="s">
        <v>874</v>
      </c>
      <c r="AM193" s="29" t="s">
        <v>48</v>
      </c>
      <c r="AN193" s="29" t="s">
        <v>48</v>
      </c>
      <c r="AO193" s="29" t="s">
        <v>48</v>
      </c>
      <c r="AP193" s="47" t="s">
        <v>1854</v>
      </c>
      <c r="AQ193" s="28" t="s">
        <v>608</v>
      </c>
      <c r="AR193" s="26">
        <v>1.4999999999999999E-2</v>
      </c>
      <c r="AS193" s="26">
        <v>0</v>
      </c>
    </row>
    <row r="194" spans="1:45" x14ac:dyDescent="0.15">
      <c r="A194" s="64">
        <v>246</v>
      </c>
      <c r="B194" s="64">
        <v>10</v>
      </c>
      <c r="C194" s="11">
        <v>1398</v>
      </c>
      <c r="D194" s="61">
        <v>573</v>
      </c>
      <c r="E194" s="61">
        <v>-1.89646367805975E-3</v>
      </c>
      <c r="F194" s="61">
        <v>91</v>
      </c>
      <c r="G194" s="61">
        <v>0.26088406970349098</v>
      </c>
      <c r="H194" s="66">
        <v>184</v>
      </c>
      <c r="I194" s="66" t="str">
        <f>H194&amp;"/"&amp;428</f>
        <v>184/428</v>
      </c>
      <c r="J194" s="68">
        <f>H194/428</f>
        <v>0.42990654205607476</v>
      </c>
      <c r="K194" s="18" t="s">
        <v>44</v>
      </c>
      <c r="L194" s="18" t="s">
        <v>45</v>
      </c>
      <c r="M194" s="58" t="s">
        <v>274</v>
      </c>
      <c r="N194" s="18">
        <f>[1]!f_prt_stocktonav(C194,"2017/03/31")</f>
        <v>94.817359924316406</v>
      </c>
      <c r="O194" s="20" t="str">
        <f>[1]!f_info_fundmanager(C194)</f>
        <v>吕慧建,徐晓杰</v>
      </c>
      <c r="P194" s="21">
        <v>1.7863013698630137</v>
      </c>
      <c r="Q194" s="34" t="s">
        <v>1141</v>
      </c>
      <c r="R194" s="34" t="s">
        <v>1142</v>
      </c>
      <c r="S194" s="34" t="s">
        <v>880</v>
      </c>
      <c r="T194" s="34">
        <v>20150618</v>
      </c>
      <c r="U194" s="45">
        <v>8.6803117643000007</v>
      </c>
      <c r="V194" s="46">
        <v>10.2001065415</v>
      </c>
      <c r="W194" s="34" t="s">
        <v>3789</v>
      </c>
      <c r="X194" s="34" t="s">
        <v>44</v>
      </c>
      <c r="Y194" s="34" t="s">
        <v>45</v>
      </c>
      <c r="Z194" s="34" t="s">
        <v>274</v>
      </c>
      <c r="AA194" s="34"/>
      <c r="AB194" s="34"/>
      <c r="AC194" s="22">
        <v>0.94506790161132814</v>
      </c>
      <c r="AD194" s="23" t="s">
        <v>1143</v>
      </c>
      <c r="AE194" s="24">
        <v>1.5561643835616439</v>
      </c>
      <c r="AF194" s="25">
        <v>-0.22642932615502787</v>
      </c>
      <c r="AG194" s="26">
        <v>0</v>
      </c>
      <c r="AH194" s="26">
        <v>0</v>
      </c>
      <c r="AI194" s="27">
        <v>-0.56093716853315212</v>
      </c>
      <c r="AJ194" s="27">
        <v>-0.56093716853315212</v>
      </c>
      <c r="AK194" s="27">
        <v>-0.56093716853315212</v>
      </c>
      <c r="AL194" s="28" t="s">
        <v>946</v>
      </c>
      <c r="AM194" s="29" t="s">
        <v>48</v>
      </c>
      <c r="AN194" s="29" t="s">
        <v>48</v>
      </c>
      <c r="AO194" s="29" t="s">
        <v>48</v>
      </c>
      <c r="AP194" s="47" t="s">
        <v>405</v>
      </c>
      <c r="AQ194" s="28">
        <v>0</v>
      </c>
      <c r="AR194" s="26">
        <v>1.4999999999999999E-2</v>
      </c>
      <c r="AS194" s="26">
        <v>0</v>
      </c>
    </row>
    <row r="195" spans="1:45" x14ac:dyDescent="0.15">
      <c r="A195" s="64">
        <v>316</v>
      </c>
      <c r="B195" s="64">
        <v>329</v>
      </c>
      <c r="C195" s="11">
        <v>1150</v>
      </c>
      <c r="D195" s="61">
        <v>576</v>
      </c>
      <c r="E195" s="61">
        <v>-1.9048184479904301E-3</v>
      </c>
      <c r="F195" s="61">
        <v>83</v>
      </c>
      <c r="G195" s="61">
        <v>0.23726991905461001</v>
      </c>
      <c r="H195" s="66">
        <v>185</v>
      </c>
      <c r="I195" s="66" t="str">
        <f>H195&amp;"/"&amp;428</f>
        <v>185/428</v>
      </c>
      <c r="J195" s="68">
        <f>H195/428</f>
        <v>0.43224299065420563</v>
      </c>
      <c r="K195" s="18" t="s">
        <v>44</v>
      </c>
      <c r="L195" s="18" t="s">
        <v>45</v>
      </c>
      <c r="M195" s="58" t="s">
        <v>274</v>
      </c>
      <c r="N195" s="18">
        <f>[1]!f_prt_stocktonav(C195,"2017/03/31")</f>
        <v>88.869956970214844</v>
      </c>
      <c r="O195" s="20" t="str">
        <f>[1]!f_info_fundmanager(C195)</f>
        <v>伍文友,张鹏</v>
      </c>
      <c r="P195" s="21">
        <v>1.5890410958904109</v>
      </c>
      <c r="Q195" s="34" t="s">
        <v>1425</v>
      </c>
      <c r="R195" s="34" t="s">
        <v>1426</v>
      </c>
      <c r="S195" s="34" t="s">
        <v>230</v>
      </c>
      <c r="T195" s="34">
        <v>20150416</v>
      </c>
      <c r="U195" s="45">
        <v>24.451912204399999</v>
      </c>
      <c r="V195" s="46">
        <v>30.3450975005</v>
      </c>
      <c r="W195" s="34" t="s">
        <v>3776</v>
      </c>
      <c r="X195" s="34" t="s">
        <v>44</v>
      </c>
      <c r="Y195" s="34" t="s">
        <v>45</v>
      </c>
      <c r="Z195" s="34" t="s">
        <v>274</v>
      </c>
      <c r="AA195" s="34"/>
      <c r="AB195" s="34"/>
      <c r="AC195" s="22">
        <v>0.87636497497558596</v>
      </c>
      <c r="AD195" s="23" t="s">
        <v>1427</v>
      </c>
      <c r="AE195" s="24">
        <v>1.7287671232876711</v>
      </c>
      <c r="AF195" s="25">
        <v>-0.26482395314127383</v>
      </c>
      <c r="AG195" s="26">
        <v>0</v>
      </c>
      <c r="AH195" s="26">
        <v>0</v>
      </c>
      <c r="AI195" s="27">
        <v>-0.4866486873854024</v>
      </c>
      <c r="AJ195" s="27">
        <v>-0.4866486873854024</v>
      </c>
      <c r="AK195" s="27">
        <v>-0.4866486873854024</v>
      </c>
      <c r="AL195" s="28" t="s">
        <v>1428</v>
      </c>
      <c r="AM195" s="29" t="s">
        <v>48</v>
      </c>
      <c r="AN195" s="29" t="s">
        <v>48</v>
      </c>
      <c r="AO195" s="29" t="s">
        <v>48</v>
      </c>
      <c r="AP195" s="47" t="s">
        <v>1429</v>
      </c>
      <c r="AQ195" s="28" t="s">
        <v>235</v>
      </c>
      <c r="AR195" s="26">
        <v>1.4999999999999999E-2</v>
      </c>
      <c r="AS195" s="26">
        <v>0</v>
      </c>
    </row>
    <row r="196" spans="1:45" x14ac:dyDescent="0.15">
      <c r="A196" s="64">
        <v>479</v>
      </c>
      <c r="B196" s="64">
        <v>29</v>
      </c>
      <c r="C196" s="11">
        <v>433</v>
      </c>
      <c r="D196" s="61">
        <v>580</v>
      </c>
      <c r="E196" s="61">
        <v>-1.95696467565195E-3</v>
      </c>
      <c r="F196" s="61">
        <v>167</v>
      </c>
      <c r="G196" s="61">
        <v>0.30041346356913901</v>
      </c>
      <c r="H196" s="66">
        <v>186</v>
      </c>
      <c r="I196" s="66" t="str">
        <f>H196&amp;"/"&amp;428</f>
        <v>186/428</v>
      </c>
      <c r="J196" s="68">
        <f>H196/428</f>
        <v>0.43457943925233644</v>
      </c>
      <c r="K196" s="18" t="s">
        <v>44</v>
      </c>
      <c r="L196" s="18" t="s">
        <v>45</v>
      </c>
      <c r="M196" s="58" t="s">
        <v>274</v>
      </c>
      <c r="N196" s="18">
        <f>[1]!f_prt_stocktonav(C196,"2017/03/31")</f>
        <v>94.638534545898438</v>
      </c>
      <c r="O196" s="20" t="str">
        <f>[1]!f_info_fundmanager(C196)</f>
        <v>蓝雁书</v>
      </c>
      <c r="P196" s="21">
        <v>3.2493150684931509</v>
      </c>
      <c r="Q196" s="34" t="s">
        <v>2027</v>
      </c>
      <c r="R196" s="34" t="s">
        <v>2028</v>
      </c>
      <c r="S196" s="34" t="s">
        <v>975</v>
      </c>
      <c r="T196" s="34">
        <v>20131231</v>
      </c>
      <c r="U196" s="45">
        <v>0.77157269309999998</v>
      </c>
      <c r="V196" s="46">
        <v>0.91731394070000005</v>
      </c>
      <c r="W196" s="34" t="s">
        <v>3776</v>
      </c>
      <c r="X196" s="34" t="s">
        <v>44</v>
      </c>
      <c r="Y196" s="34" t="s">
        <v>45</v>
      </c>
      <c r="Z196" s="34" t="s">
        <v>274</v>
      </c>
      <c r="AA196" s="34"/>
      <c r="AB196" s="34"/>
      <c r="AC196" s="22">
        <v>0.85821220397949216</v>
      </c>
      <c r="AD196" s="23" t="s">
        <v>2029</v>
      </c>
      <c r="AE196" s="24">
        <v>3.0191780821917806</v>
      </c>
      <c r="AF196" s="25">
        <v>5.0019754252353277E-2</v>
      </c>
      <c r="AG196" s="26">
        <v>5.0113366444413554E-2</v>
      </c>
      <c r="AH196" s="26">
        <v>0</v>
      </c>
      <c r="AI196" s="27">
        <v>0.2670934122266887</v>
      </c>
      <c r="AJ196" s="27">
        <v>0.2670934122266887</v>
      </c>
      <c r="AK196" s="27">
        <v>0.2670934122266887</v>
      </c>
      <c r="AL196" s="28" t="s">
        <v>2030</v>
      </c>
      <c r="AM196" s="29" t="s">
        <v>48</v>
      </c>
      <c r="AN196" s="29" t="s">
        <v>48</v>
      </c>
      <c r="AO196" s="29" t="s">
        <v>48</v>
      </c>
      <c r="AP196" s="47" t="s">
        <v>1290</v>
      </c>
      <c r="AQ196" s="28">
        <v>0</v>
      </c>
      <c r="AR196" s="26">
        <v>0.01</v>
      </c>
      <c r="AS196" s="26">
        <v>0</v>
      </c>
    </row>
    <row r="197" spans="1:45" x14ac:dyDescent="0.15">
      <c r="A197" s="64">
        <v>440</v>
      </c>
      <c r="B197" s="64">
        <v>535</v>
      </c>
      <c r="C197" s="11">
        <v>592</v>
      </c>
      <c r="D197" s="61">
        <v>581</v>
      </c>
      <c r="E197" s="61">
        <v>-1.95715519438883E-3</v>
      </c>
      <c r="F197" s="61">
        <v>148</v>
      </c>
      <c r="G197" s="61">
        <v>8.0025822950706399E-2</v>
      </c>
      <c r="H197" s="66">
        <v>187</v>
      </c>
      <c r="I197" s="66" t="str">
        <f>H197&amp;"/"&amp;428</f>
        <v>187/428</v>
      </c>
      <c r="J197" s="68">
        <f>H197/428</f>
        <v>0.43691588785046731</v>
      </c>
      <c r="K197" s="18" t="s">
        <v>44</v>
      </c>
      <c r="L197" s="18" t="s">
        <v>45</v>
      </c>
      <c r="M197" s="58" t="s">
        <v>274</v>
      </c>
      <c r="N197" s="18">
        <f>[1]!f_prt_stocktonav(C197,"2017/03/31")</f>
        <v>84.512687683105469</v>
      </c>
      <c r="O197" s="20" t="str">
        <f>[1]!f_info_fundmanager(C197)</f>
        <v>陶灿</v>
      </c>
      <c r="P197" s="21">
        <v>2.882191780821918</v>
      </c>
      <c r="Q197" s="34" t="s">
        <v>1880</v>
      </c>
      <c r="R197" s="34" t="s">
        <v>1881</v>
      </c>
      <c r="S197" s="34" t="s">
        <v>307</v>
      </c>
      <c r="T197" s="34">
        <v>20140514</v>
      </c>
      <c r="U197" s="45">
        <v>2.4403954426999999</v>
      </c>
      <c r="V197" s="46">
        <v>2.6207052532000001</v>
      </c>
      <c r="W197" s="34" t="s">
        <v>3776</v>
      </c>
      <c r="X197" s="34" t="s">
        <v>44</v>
      </c>
      <c r="Y197" s="34" t="s">
        <v>45</v>
      </c>
      <c r="Z197" s="34" t="s">
        <v>274</v>
      </c>
      <c r="AA197" s="34"/>
      <c r="AB197" s="34"/>
      <c r="AC197" s="22">
        <v>0.88818710327148442</v>
      </c>
      <c r="AD197" s="23" t="s">
        <v>626</v>
      </c>
      <c r="AE197" s="24">
        <v>2.6520547945205482</v>
      </c>
      <c r="AF197" s="25">
        <v>0.25139171956050177</v>
      </c>
      <c r="AG197" s="26">
        <v>0</v>
      </c>
      <c r="AH197" s="26">
        <v>0</v>
      </c>
      <c r="AI197" s="27">
        <v>0.82078445269136802</v>
      </c>
      <c r="AJ197" s="27">
        <v>0.82078445269136802</v>
      </c>
      <c r="AK197" s="27">
        <v>0.82078445269136802</v>
      </c>
      <c r="AL197" s="28" t="s">
        <v>1013</v>
      </c>
      <c r="AM197" s="29" t="s">
        <v>48</v>
      </c>
      <c r="AN197" s="29" t="s">
        <v>48</v>
      </c>
      <c r="AO197" s="29" t="s">
        <v>48</v>
      </c>
      <c r="AP197" s="47" t="s">
        <v>310</v>
      </c>
      <c r="AQ197" s="28">
        <v>0</v>
      </c>
      <c r="AR197" s="26">
        <v>1.4999999999999999E-2</v>
      </c>
      <c r="AS197" s="26">
        <v>0</v>
      </c>
    </row>
    <row r="198" spans="1:45" x14ac:dyDescent="0.15">
      <c r="A198" s="64">
        <v>429</v>
      </c>
      <c r="B198" s="64">
        <v>923</v>
      </c>
      <c r="C198" s="11">
        <v>202027</v>
      </c>
      <c r="D198" s="61">
        <v>582</v>
      </c>
      <c r="E198" s="61">
        <v>-1.9658771727163898E-3</v>
      </c>
      <c r="F198" s="61">
        <v>96</v>
      </c>
      <c r="G198" s="61">
        <v>0.22888040545510599</v>
      </c>
      <c r="H198" s="66">
        <v>188</v>
      </c>
      <c r="I198" s="66" t="str">
        <f>H198&amp;"/"&amp;428</f>
        <v>188/428</v>
      </c>
      <c r="J198" s="68">
        <f>H198/428</f>
        <v>0.43925233644859812</v>
      </c>
      <c r="K198" s="18" t="s">
        <v>44</v>
      </c>
      <c r="L198" s="18" t="s">
        <v>45</v>
      </c>
      <c r="M198" s="58" t="s">
        <v>274</v>
      </c>
      <c r="N198" s="18">
        <f>[1]!f_prt_stocktonav(C198,"2017/03/31")</f>
        <v>71.490264892578125</v>
      </c>
      <c r="O198" s="20" t="str">
        <f>[1]!f_info_fundmanager(C198)</f>
        <v>骆帅</v>
      </c>
      <c r="P198" s="21">
        <v>1.8438356164383563</v>
      </c>
      <c r="Q198" s="34" t="s">
        <v>1839</v>
      </c>
      <c r="R198" s="34" t="s">
        <v>1840</v>
      </c>
      <c r="S198" s="34" t="s">
        <v>284</v>
      </c>
      <c r="T198" s="34">
        <v>20140724</v>
      </c>
      <c r="U198" s="45">
        <v>4.5022789300000001</v>
      </c>
      <c r="V198" s="46">
        <v>4.8776478234000002</v>
      </c>
      <c r="W198" s="34" t="s">
        <v>3776</v>
      </c>
      <c r="X198" s="34" t="s">
        <v>41</v>
      </c>
      <c r="Y198" s="34" t="s">
        <v>42</v>
      </c>
      <c r="Z198" s="34" t="s">
        <v>181</v>
      </c>
      <c r="AA198" s="34"/>
      <c r="AB198" s="34"/>
      <c r="AC198" s="22">
        <v>0.63514930725097651</v>
      </c>
      <c r="AD198" s="23" t="s">
        <v>1841</v>
      </c>
      <c r="AE198" s="24">
        <v>1.6136986301369862</v>
      </c>
      <c r="AF198" s="25">
        <v>0.13704596910479028</v>
      </c>
      <c r="AG198" s="26">
        <v>0.17580146705166544</v>
      </c>
      <c r="AH198" s="26">
        <v>0</v>
      </c>
      <c r="AI198" s="27">
        <v>0.76756506236536259</v>
      </c>
      <c r="AJ198" s="27">
        <v>0.68687552479545289</v>
      </c>
      <c r="AK198" s="27">
        <v>0.5852718676810541</v>
      </c>
      <c r="AL198" s="28" t="s">
        <v>1842</v>
      </c>
      <c r="AM198" s="29" t="s">
        <v>48</v>
      </c>
      <c r="AN198" s="29" t="s">
        <v>48</v>
      </c>
      <c r="AO198" s="29" t="s">
        <v>48</v>
      </c>
      <c r="AP198" s="47" t="s">
        <v>287</v>
      </c>
      <c r="AQ198" s="28" t="s">
        <v>1843</v>
      </c>
      <c r="AR198" s="26">
        <v>1.4999999999999999E-2</v>
      </c>
      <c r="AS198" s="26">
        <v>0</v>
      </c>
    </row>
    <row r="199" spans="1:45" x14ac:dyDescent="0.15">
      <c r="A199" s="64">
        <v>519</v>
      </c>
      <c r="B199" s="64">
        <v>610</v>
      </c>
      <c r="C199" s="11">
        <v>519908</v>
      </c>
      <c r="D199" s="61">
        <v>583</v>
      </c>
      <c r="E199" s="61">
        <v>-1.96733891526534E-3</v>
      </c>
      <c r="F199" s="61">
        <v>205</v>
      </c>
      <c r="G199" s="61">
        <v>7.8357091689654504E-2</v>
      </c>
      <c r="H199" s="66">
        <v>189</v>
      </c>
      <c r="I199" s="66" t="str">
        <f>H199&amp;"/"&amp;428</f>
        <v>189/428</v>
      </c>
      <c r="J199" s="68">
        <f>H199/428</f>
        <v>0.44158878504672899</v>
      </c>
      <c r="K199" s="18" t="s">
        <v>44</v>
      </c>
      <c r="L199" s="19" t="s">
        <v>45</v>
      </c>
      <c r="M199" s="59" t="s">
        <v>274</v>
      </c>
      <c r="N199" s="18">
        <f>[1]!f_prt_stocktonav(C199,"2017/03/31")</f>
        <v>82.613685607910156</v>
      </c>
      <c r="O199" s="20" t="str">
        <f>[1]!f_info_fundmanager(C199)</f>
        <v>阳琨</v>
      </c>
      <c r="P199" s="21">
        <v>3.9698630136986299</v>
      </c>
      <c r="Q199" s="32" t="s">
        <v>2172</v>
      </c>
      <c r="R199" s="13" t="s">
        <v>2173</v>
      </c>
      <c r="S199" s="13" t="s">
        <v>143</v>
      </c>
      <c r="T199" s="13">
        <v>20130412</v>
      </c>
      <c r="U199" s="14">
        <v>12.1628084288</v>
      </c>
      <c r="V199" s="15" t="s">
        <v>3782</v>
      </c>
      <c r="W199" s="16" t="s">
        <v>40</v>
      </c>
      <c r="X199" s="17" t="s">
        <v>44</v>
      </c>
      <c r="Y199" s="17" t="s">
        <v>45</v>
      </c>
      <c r="Z199" s="17" t="s">
        <v>274</v>
      </c>
      <c r="AA199" s="13"/>
      <c r="AB199" s="13"/>
      <c r="AC199" s="22">
        <v>0.8843637084960938</v>
      </c>
      <c r="AD199" s="23" t="s">
        <v>2174</v>
      </c>
      <c r="AE199" s="24">
        <v>3.7397260273972601</v>
      </c>
      <c r="AF199" s="25">
        <v>0.18492895118829325</v>
      </c>
      <c r="AG199" s="26">
        <v>0.15635992773776386</v>
      </c>
      <c r="AH199" s="26">
        <v>0</v>
      </c>
      <c r="AI199" s="27">
        <v>0.69976798269557161</v>
      </c>
      <c r="AJ199" s="27">
        <v>0.57290075890354164</v>
      </c>
      <c r="AK199" s="27">
        <v>0.69976798269557161</v>
      </c>
      <c r="AL199" s="28" t="s">
        <v>1948</v>
      </c>
      <c r="AM199" s="29">
        <v>4</v>
      </c>
      <c r="AN199" s="29">
        <v>5</v>
      </c>
      <c r="AO199" s="29" t="s">
        <v>48</v>
      </c>
      <c r="AP199" s="23" t="s">
        <v>2175</v>
      </c>
      <c r="AQ199" s="30">
        <v>0</v>
      </c>
      <c r="AR199" s="31">
        <v>1.4999999999999999E-2</v>
      </c>
      <c r="AS199" s="31">
        <v>0</v>
      </c>
    </row>
    <row r="200" spans="1:45" x14ac:dyDescent="0.15">
      <c r="A200" s="64">
        <v>498</v>
      </c>
      <c r="B200" s="64">
        <v>212</v>
      </c>
      <c r="C200" s="11">
        <v>220</v>
      </c>
      <c r="D200" s="61">
        <v>584</v>
      </c>
      <c r="E200" s="61">
        <v>-1.9708968924452498E-3</v>
      </c>
      <c r="F200" s="61">
        <v>188</v>
      </c>
      <c r="G200" s="61">
        <v>0.235553790899421</v>
      </c>
      <c r="H200" s="66">
        <v>190</v>
      </c>
      <c r="I200" s="66" t="str">
        <f>H200&amp;"/"&amp;428</f>
        <v>190/428</v>
      </c>
      <c r="J200" s="68">
        <f>H200/428</f>
        <v>0.44392523364485981</v>
      </c>
      <c r="K200" s="18" t="s">
        <v>44</v>
      </c>
      <c r="L200" s="18" t="s">
        <v>86</v>
      </c>
      <c r="M200" s="58" t="s">
        <v>274</v>
      </c>
      <c r="N200" s="18">
        <f>[1]!f_prt_stocktonav(C200,"2017/03/31")</f>
        <v>91.582656860351563</v>
      </c>
      <c r="O200" s="20" t="str">
        <f>[1]!f_info_fundmanager(C200)</f>
        <v>戴益强</v>
      </c>
      <c r="P200" s="21">
        <v>3.6493150684931508</v>
      </c>
      <c r="Q200" s="34" t="s">
        <v>2093</v>
      </c>
      <c r="R200" s="34" t="s">
        <v>2094</v>
      </c>
      <c r="S200" s="34" t="s">
        <v>396</v>
      </c>
      <c r="T200" s="34">
        <v>20130807</v>
      </c>
      <c r="U200" s="45">
        <v>9.9236526332999997</v>
      </c>
      <c r="V200" s="46">
        <v>13.3359665105</v>
      </c>
      <c r="W200" s="34" t="s">
        <v>201</v>
      </c>
      <c r="X200" s="34" t="s">
        <v>44</v>
      </c>
      <c r="Y200" s="34" t="s">
        <v>86</v>
      </c>
      <c r="Z200" s="34" t="s">
        <v>274</v>
      </c>
      <c r="AA200" s="34" t="s">
        <v>3820</v>
      </c>
      <c r="AB200" s="34"/>
      <c r="AC200" s="22">
        <v>0.87566383361816402</v>
      </c>
      <c r="AD200" s="23" t="s">
        <v>1692</v>
      </c>
      <c r="AE200" s="24">
        <v>3.419178082191781</v>
      </c>
      <c r="AF200" s="25">
        <v>0.18664306003670217</v>
      </c>
      <c r="AG200" s="26">
        <v>0.19595902757763242</v>
      </c>
      <c r="AH200" s="26">
        <v>0</v>
      </c>
      <c r="AI200" s="27">
        <v>0.67971422681490501</v>
      </c>
      <c r="AJ200" s="27">
        <v>0.67731856804131063</v>
      </c>
      <c r="AK200" s="27">
        <v>0.67971422681490501</v>
      </c>
      <c r="AL200" s="33" t="s">
        <v>1815</v>
      </c>
      <c r="AM200" s="29" t="s">
        <v>48</v>
      </c>
      <c r="AN200" s="29" t="s">
        <v>48</v>
      </c>
      <c r="AO200" s="29" t="s">
        <v>48</v>
      </c>
      <c r="AP200" s="47" t="s">
        <v>2095</v>
      </c>
      <c r="AQ200" s="28" t="s">
        <v>608</v>
      </c>
      <c r="AR200" s="26">
        <v>1.4999999999999999E-2</v>
      </c>
      <c r="AS200" s="26">
        <v>0</v>
      </c>
    </row>
    <row r="201" spans="1:45" x14ac:dyDescent="0.15">
      <c r="A201" s="64">
        <v>575</v>
      </c>
      <c r="B201" s="64">
        <v>263</v>
      </c>
      <c r="C201" s="11">
        <v>470098</v>
      </c>
      <c r="D201" s="61">
        <v>586</v>
      </c>
      <c r="E201" s="61">
        <v>-1.9770390909413598E-3</v>
      </c>
      <c r="F201" s="61">
        <v>260</v>
      </c>
      <c r="G201" s="61">
        <v>5.6989963214150598E-2</v>
      </c>
      <c r="H201" s="66">
        <v>191</v>
      </c>
      <c r="I201" s="66" t="str">
        <f>H201&amp;"/"&amp;428</f>
        <v>191/428</v>
      </c>
      <c r="J201" s="68">
        <f>H201/428</f>
        <v>0.44626168224299068</v>
      </c>
      <c r="K201" s="18" t="s">
        <v>44</v>
      </c>
      <c r="L201" s="18" t="s">
        <v>45</v>
      </c>
      <c r="M201" s="58" t="s">
        <v>274</v>
      </c>
      <c r="N201" s="18">
        <f>[1]!f_prt_stocktonav(C201,"2017/03/31")</f>
        <v>90.159027099609375</v>
      </c>
      <c r="O201" s="20" t="str">
        <f>[1]!f_info_fundmanager(C201)</f>
        <v>顾耀强</v>
      </c>
      <c r="P201" s="21">
        <v>5.0630136986301366</v>
      </c>
      <c r="Q201" s="34" t="s">
        <v>2369</v>
      </c>
      <c r="R201" s="34" t="s">
        <v>2370</v>
      </c>
      <c r="S201" s="34" t="s">
        <v>331</v>
      </c>
      <c r="T201" s="34">
        <v>20120309</v>
      </c>
      <c r="U201" s="45">
        <v>11.193095120900001</v>
      </c>
      <c r="V201" s="46">
        <v>11.3488241822</v>
      </c>
      <c r="W201" s="34" t="s">
        <v>3776</v>
      </c>
      <c r="X201" s="34" t="s">
        <v>44</v>
      </c>
      <c r="Y201" s="34" t="s">
        <v>45</v>
      </c>
      <c r="Z201" s="34" t="s">
        <v>274</v>
      </c>
      <c r="AA201" s="34"/>
      <c r="AB201" s="34"/>
      <c r="AC201" s="22">
        <v>0.92253074645996092</v>
      </c>
      <c r="AD201" s="23" t="s">
        <v>2371</v>
      </c>
      <c r="AE201" s="24">
        <v>4.8328767123287673</v>
      </c>
      <c r="AF201" s="25">
        <v>0.20447308124716934</v>
      </c>
      <c r="AG201" s="26">
        <v>0.274863303731814</v>
      </c>
      <c r="AH201" s="26">
        <v>0</v>
      </c>
      <c r="AI201" s="27">
        <v>0.74209849347884149</v>
      </c>
      <c r="AJ201" s="27">
        <v>0.84708912918244583</v>
      </c>
      <c r="AK201" s="27">
        <v>0.74209849347884149</v>
      </c>
      <c r="AL201" s="28" t="s">
        <v>276</v>
      </c>
      <c r="AM201" s="29">
        <v>4</v>
      </c>
      <c r="AN201" s="29">
        <v>3</v>
      </c>
      <c r="AO201" s="29" t="s">
        <v>48</v>
      </c>
      <c r="AP201" s="47" t="s">
        <v>334</v>
      </c>
      <c r="AQ201" s="28">
        <v>0</v>
      </c>
      <c r="AR201" s="26">
        <v>1.4999999999999999E-2</v>
      </c>
      <c r="AS201" s="26">
        <v>0</v>
      </c>
    </row>
    <row r="202" spans="1:45" x14ac:dyDescent="0.15">
      <c r="A202" s="64">
        <v>273</v>
      </c>
      <c r="B202" s="64">
        <v>526</v>
      </c>
      <c r="C202" s="11">
        <v>1236</v>
      </c>
      <c r="D202" s="61">
        <v>587</v>
      </c>
      <c r="E202" s="61">
        <v>-1.9833418237819702E-3</v>
      </c>
      <c r="F202" s="61">
        <v>95</v>
      </c>
      <c r="G202" s="61">
        <v>0.21730530208808799</v>
      </c>
      <c r="H202" s="66">
        <v>192</v>
      </c>
      <c r="I202" s="66" t="str">
        <f>H202&amp;"/"&amp;428</f>
        <v>192/428</v>
      </c>
      <c r="J202" s="68">
        <f>H202/428</f>
        <v>0.44859813084112149</v>
      </c>
      <c r="K202" s="18" t="s">
        <v>44</v>
      </c>
      <c r="L202" s="18" t="s">
        <v>87</v>
      </c>
      <c r="M202" s="58" t="s">
        <v>274</v>
      </c>
      <c r="N202" s="18">
        <f>[1]!f_prt_stocktonav(C202,"2017/03/31")</f>
        <v>84.638633728027344</v>
      </c>
      <c r="O202" s="20" t="str">
        <f>[1]!f_info_fundmanager(C202)</f>
        <v>沙炜</v>
      </c>
      <c r="P202" s="21">
        <v>1.8602739726027397</v>
      </c>
      <c r="Q202" s="34" t="s">
        <v>1254</v>
      </c>
      <c r="R202" s="34" t="s">
        <v>1255</v>
      </c>
      <c r="S202" s="34" t="s">
        <v>413</v>
      </c>
      <c r="T202" s="34">
        <v>20150522</v>
      </c>
      <c r="U202" s="45">
        <v>15.886978587</v>
      </c>
      <c r="V202" s="46">
        <v>16.428965439599999</v>
      </c>
      <c r="W202" s="34" t="s">
        <v>3789</v>
      </c>
      <c r="X202" s="34" t="s">
        <v>44</v>
      </c>
      <c r="Y202" s="34" t="s">
        <v>87</v>
      </c>
      <c r="Z202" s="34" t="s">
        <v>274</v>
      </c>
      <c r="AA202" s="34" t="s">
        <v>3801</v>
      </c>
      <c r="AB202" s="34"/>
      <c r="AC202" s="22">
        <v>0.88524993896484372</v>
      </c>
      <c r="AD202" s="23" t="s">
        <v>1257</v>
      </c>
      <c r="AE202" s="24">
        <v>1.6301369863013699</v>
      </c>
      <c r="AF202" s="25">
        <v>-0.11954266011752412</v>
      </c>
      <c r="AG202" s="26">
        <v>0</v>
      </c>
      <c r="AH202" s="26">
        <v>0</v>
      </c>
      <c r="AI202" s="27">
        <v>-0.16937934072557834</v>
      </c>
      <c r="AJ202" s="27">
        <v>-0.16937934072557834</v>
      </c>
      <c r="AK202" s="27">
        <v>-0.16937934072557834</v>
      </c>
      <c r="AL202" s="33" t="s">
        <v>1258</v>
      </c>
      <c r="AM202" s="29" t="s">
        <v>48</v>
      </c>
      <c r="AN202" s="29" t="s">
        <v>48</v>
      </c>
      <c r="AO202" s="29" t="s">
        <v>48</v>
      </c>
      <c r="AP202" s="47" t="s">
        <v>702</v>
      </c>
      <c r="AQ202" s="28">
        <v>0</v>
      </c>
      <c r="AR202" s="26">
        <v>1.4999999999999999E-2</v>
      </c>
      <c r="AS202" s="26">
        <v>0</v>
      </c>
    </row>
    <row r="203" spans="1:45" x14ac:dyDescent="0.15">
      <c r="A203" s="64">
        <v>161</v>
      </c>
      <c r="B203" s="64">
        <v>461</v>
      </c>
      <c r="C203" s="11">
        <v>519644</v>
      </c>
      <c r="D203" s="61">
        <v>588</v>
      </c>
      <c r="E203" s="61">
        <v>-1.98788821046834E-3</v>
      </c>
      <c r="F203" s="61">
        <v>65</v>
      </c>
      <c r="G203" s="61">
        <v>0.284180384598268</v>
      </c>
      <c r="H203" s="66">
        <v>193</v>
      </c>
      <c r="I203" s="66" t="str">
        <f>H203&amp;"/"&amp;428</f>
        <v>193/428</v>
      </c>
      <c r="J203" s="68">
        <f>H203/428</f>
        <v>0.45093457943925236</v>
      </c>
      <c r="K203" s="18" t="s">
        <v>44</v>
      </c>
      <c r="L203" s="18" t="s">
        <v>87</v>
      </c>
      <c r="M203" s="58" t="s">
        <v>274</v>
      </c>
      <c r="N203" s="18">
        <f>[1]!f_prt_stocktonav(C203,"2017/03/31")</f>
        <v>86.114227294921875</v>
      </c>
      <c r="O203" s="20" t="str">
        <f>[1]!f_info_fundmanager(C203)</f>
        <v>神玉飞</v>
      </c>
      <c r="P203" s="21">
        <v>1.2876712328767124</v>
      </c>
      <c r="Q203" s="34" t="s">
        <v>805</v>
      </c>
      <c r="R203" s="34" t="s">
        <v>806</v>
      </c>
      <c r="S203" s="34" t="s">
        <v>807</v>
      </c>
      <c r="T203" s="34">
        <v>20151217</v>
      </c>
      <c r="U203" s="45">
        <v>3.9491600993999998</v>
      </c>
      <c r="V203" s="46">
        <v>4.7270000663999996</v>
      </c>
      <c r="W203" s="34" t="s">
        <v>1235</v>
      </c>
      <c r="X203" s="34" t="s">
        <v>44</v>
      </c>
      <c r="Y203" s="34" t="s">
        <v>87</v>
      </c>
      <c r="Z203" s="34" t="s">
        <v>274</v>
      </c>
      <c r="AA203" s="34" t="s">
        <v>3791</v>
      </c>
      <c r="AB203" s="34"/>
      <c r="AC203" s="22">
        <v>0.84479385375976568</v>
      </c>
      <c r="AD203" s="23" t="s">
        <v>809</v>
      </c>
      <c r="AE203" s="24">
        <v>1.0575342465753426</v>
      </c>
      <c r="AF203" s="25">
        <v>-0.14032107467386234</v>
      </c>
      <c r="AG203" s="26">
        <v>0</v>
      </c>
      <c r="AH203" s="26">
        <v>0</v>
      </c>
      <c r="AI203" s="27">
        <v>-1.0915308749088772</v>
      </c>
      <c r="AJ203" s="27">
        <v>-1.0915308749088772</v>
      </c>
      <c r="AK203" s="27">
        <v>-1.0915308749088772</v>
      </c>
      <c r="AL203" s="33" t="s">
        <v>810</v>
      </c>
      <c r="AM203" s="29" t="s">
        <v>48</v>
      </c>
      <c r="AN203" s="29" t="s">
        <v>48</v>
      </c>
      <c r="AO203" s="29" t="s">
        <v>48</v>
      </c>
      <c r="AP203" s="47" t="s">
        <v>101</v>
      </c>
      <c r="AQ203" s="28">
        <v>0</v>
      </c>
      <c r="AR203" s="26">
        <v>1.4999999999999999E-2</v>
      </c>
      <c r="AS203" s="26">
        <v>0</v>
      </c>
    </row>
    <row r="204" spans="1:45" x14ac:dyDescent="0.15">
      <c r="A204" s="64">
        <v>493</v>
      </c>
      <c r="B204" s="64">
        <v>420</v>
      </c>
      <c r="C204" s="11">
        <v>519158</v>
      </c>
      <c r="D204" s="61">
        <v>591</v>
      </c>
      <c r="E204" s="61">
        <v>-2.0074719645506401E-3</v>
      </c>
      <c r="F204" s="61">
        <v>183</v>
      </c>
      <c r="G204" s="61">
        <v>3.2974786152162101E-2</v>
      </c>
      <c r="H204" s="66">
        <v>194</v>
      </c>
      <c r="I204" s="66" t="str">
        <f>H204&amp;"/"&amp;428</f>
        <v>194/428</v>
      </c>
      <c r="J204" s="68">
        <f>H204/428</f>
        <v>0.45327102803738317</v>
      </c>
      <c r="K204" s="18" t="s">
        <v>44</v>
      </c>
      <c r="L204" s="18" t="s">
        <v>45</v>
      </c>
      <c r="M204" s="58" t="s">
        <v>274</v>
      </c>
      <c r="N204" s="18">
        <f>[1]!f_prt_stocktonav(C204,"2017/03/31")</f>
        <v>86.928298950195313</v>
      </c>
      <c r="O204" s="20" t="str">
        <f>[1]!f_info_fundmanager(C204)</f>
        <v>崔建波,蔡春红</v>
      </c>
      <c r="P204" s="21">
        <v>3.5534246575342467</v>
      </c>
      <c r="Q204" s="34" t="s">
        <v>2075</v>
      </c>
      <c r="R204" s="34" t="s">
        <v>2076</v>
      </c>
      <c r="S204" s="34" t="s">
        <v>569</v>
      </c>
      <c r="T204" s="34">
        <v>20130911</v>
      </c>
      <c r="U204" s="45">
        <v>29.811435258300001</v>
      </c>
      <c r="V204" s="46">
        <v>24.568343303799999</v>
      </c>
      <c r="W204" s="34" t="s">
        <v>3776</v>
      </c>
      <c r="X204" s="34" t="s">
        <v>44</v>
      </c>
      <c r="Y204" s="34" t="s">
        <v>45</v>
      </c>
      <c r="Z204" s="34" t="s">
        <v>274</v>
      </c>
      <c r="AA204" s="34"/>
      <c r="AB204" s="34"/>
      <c r="AC204" s="22">
        <v>0.74269874572753902</v>
      </c>
      <c r="AD204" s="23" t="s">
        <v>2077</v>
      </c>
      <c r="AE204" s="24">
        <v>3.3232876712328765</v>
      </c>
      <c r="AF204" s="25">
        <v>0.27940708688594906</v>
      </c>
      <c r="AG204" s="26">
        <v>0.30757902621914002</v>
      </c>
      <c r="AH204" s="26">
        <v>0</v>
      </c>
      <c r="AI204" s="27">
        <v>0.97291931427154321</v>
      </c>
      <c r="AJ204" s="27">
        <v>1.0178675045676477</v>
      </c>
      <c r="AK204" s="27">
        <v>0.97291931427154321</v>
      </c>
      <c r="AL204" s="28" t="s">
        <v>1459</v>
      </c>
      <c r="AM204" s="29" t="s">
        <v>48</v>
      </c>
      <c r="AN204" s="29" t="s">
        <v>48</v>
      </c>
      <c r="AO204" s="29" t="s">
        <v>48</v>
      </c>
      <c r="AP204" s="47" t="s">
        <v>310</v>
      </c>
      <c r="AQ204" s="28">
        <v>0</v>
      </c>
      <c r="AR204" s="26">
        <v>1.4999999999999999E-2</v>
      </c>
      <c r="AS204" s="26">
        <v>0</v>
      </c>
    </row>
    <row r="205" spans="1:45" x14ac:dyDescent="0.15">
      <c r="A205" s="64">
        <v>815</v>
      </c>
      <c r="B205" s="64">
        <v>796</v>
      </c>
      <c r="C205" s="11">
        <v>217009</v>
      </c>
      <c r="D205" s="61">
        <v>592</v>
      </c>
      <c r="E205" s="61">
        <v>-2.0143505826765501E-3</v>
      </c>
      <c r="F205" s="61">
        <v>112</v>
      </c>
      <c r="G205" s="61">
        <v>0.108707154248513</v>
      </c>
      <c r="H205" s="66">
        <v>195</v>
      </c>
      <c r="I205" s="66" t="str">
        <f>H205&amp;"/"&amp;428</f>
        <v>195/428</v>
      </c>
      <c r="J205" s="68">
        <f>H205/428</f>
        <v>0.45560747663551404</v>
      </c>
      <c r="K205" s="18" t="s">
        <v>44</v>
      </c>
      <c r="L205" s="18" t="s">
        <v>45</v>
      </c>
      <c r="M205" s="58" t="s">
        <v>274</v>
      </c>
      <c r="N205" s="18">
        <f>[1]!f_prt_stocktonav(C205,"2017/03/31")</f>
        <v>76.850753784179688</v>
      </c>
      <c r="O205" s="20" t="str">
        <f>[1]!f_info_fundmanager(C205)</f>
        <v>郭锐</v>
      </c>
      <c r="P205" s="21">
        <v>2.1369863013698631</v>
      </c>
      <c r="Q205" s="34" t="s">
        <v>3172</v>
      </c>
      <c r="R205" s="34" t="s">
        <v>3173</v>
      </c>
      <c r="S205" s="34" t="s">
        <v>165</v>
      </c>
      <c r="T205" s="34">
        <v>20070330</v>
      </c>
      <c r="U205" s="45">
        <v>12.1513339751</v>
      </c>
      <c r="V205" s="46">
        <v>14.0831407951</v>
      </c>
      <c r="W205" s="34" t="s">
        <v>231</v>
      </c>
      <c r="X205" s="34" t="s">
        <v>41</v>
      </c>
      <c r="Y205" s="34" t="s">
        <v>42</v>
      </c>
      <c r="Z205" s="34" t="s">
        <v>181</v>
      </c>
      <c r="AA205" s="34"/>
      <c r="AB205" s="34"/>
      <c r="AC205" s="22">
        <v>0.6928811645507813</v>
      </c>
      <c r="AD205" s="23" t="s">
        <v>3002</v>
      </c>
      <c r="AE205" s="24">
        <v>1.9068493150684931</v>
      </c>
      <c r="AF205" s="25">
        <v>1.6871218808934829E-2</v>
      </c>
      <c r="AG205" s="26">
        <v>8.4874812133431732E-2</v>
      </c>
      <c r="AH205" s="26">
        <v>6.3856585891121753E-2</v>
      </c>
      <c r="AI205" s="27">
        <v>0.13657163164587086</v>
      </c>
      <c r="AJ205" s="27">
        <v>0.38165425220116111</v>
      </c>
      <c r="AK205" s="27">
        <v>0.31584388652025946</v>
      </c>
      <c r="AL205" s="28" t="s">
        <v>3174</v>
      </c>
      <c r="AM205" s="29">
        <v>3</v>
      </c>
      <c r="AN205" s="29">
        <v>2</v>
      </c>
      <c r="AO205" s="29" t="s">
        <v>48</v>
      </c>
      <c r="AP205" s="47" t="s">
        <v>334</v>
      </c>
      <c r="AQ205" s="28">
        <v>0</v>
      </c>
      <c r="AR205" s="26">
        <v>1.4999999999999999E-2</v>
      </c>
      <c r="AS205" s="26">
        <v>0</v>
      </c>
    </row>
    <row r="206" spans="1:45" x14ac:dyDescent="0.15">
      <c r="A206" s="64">
        <v>559</v>
      </c>
      <c r="B206" s="64">
        <v>27</v>
      </c>
      <c r="C206" s="11">
        <v>630011</v>
      </c>
      <c r="D206" s="61">
        <v>595</v>
      </c>
      <c r="E206" s="61">
        <v>-2.0625596473851601E-3</v>
      </c>
      <c r="F206" s="61">
        <v>248</v>
      </c>
      <c r="G206" s="61">
        <v>0.130319479995781</v>
      </c>
      <c r="H206" s="66">
        <v>196</v>
      </c>
      <c r="I206" s="66" t="str">
        <f>H206&amp;"/"&amp;428</f>
        <v>196/428</v>
      </c>
      <c r="J206" s="68">
        <f>H206/428</f>
        <v>0.45794392523364486</v>
      </c>
      <c r="K206" s="18" t="s">
        <v>44</v>
      </c>
      <c r="L206" s="18" t="s">
        <v>87</v>
      </c>
      <c r="M206" s="58" t="s">
        <v>274</v>
      </c>
      <c r="N206" s="18">
        <f>[1]!f_prt_stocktonav(C206,"2017/03/31")</f>
        <v>94.66534423828125</v>
      </c>
      <c r="O206" s="20" t="str">
        <f>[1]!f_info_fundmanager(C206)</f>
        <v>梁永强</v>
      </c>
      <c r="P206" s="21">
        <v>4.8356164383561646</v>
      </c>
      <c r="Q206" s="34" t="s">
        <v>2311</v>
      </c>
      <c r="R206" s="34" t="s">
        <v>2312</v>
      </c>
      <c r="S206" s="34" t="s">
        <v>387</v>
      </c>
      <c r="T206" s="34">
        <v>20120531</v>
      </c>
      <c r="U206" s="45">
        <v>25.1825541969</v>
      </c>
      <c r="V206" s="46">
        <v>23.484690782200001</v>
      </c>
      <c r="W206" s="34" t="s">
        <v>201</v>
      </c>
      <c r="X206" s="34" t="s">
        <v>44</v>
      </c>
      <c r="Y206" s="34" t="s">
        <v>45</v>
      </c>
      <c r="Z206" s="34" t="s">
        <v>274</v>
      </c>
      <c r="AA206" s="34"/>
      <c r="AB206" s="34"/>
      <c r="AC206" s="22">
        <v>0.94762496948242192</v>
      </c>
      <c r="AD206" s="23" t="s">
        <v>1749</v>
      </c>
      <c r="AE206" s="24">
        <v>4.6054794520547944</v>
      </c>
      <c r="AF206" s="25">
        <v>0.23229932398778311</v>
      </c>
      <c r="AG206" s="26">
        <v>0.17831866106589048</v>
      </c>
      <c r="AH206" s="26">
        <v>0</v>
      </c>
      <c r="AI206" s="27">
        <v>0.74163697635336445</v>
      </c>
      <c r="AJ206" s="27">
        <v>0.57135442025139671</v>
      </c>
      <c r="AK206" s="27">
        <v>0.74163697635336445</v>
      </c>
      <c r="AL206" s="28" t="s">
        <v>1750</v>
      </c>
      <c r="AM206" s="29">
        <v>5</v>
      </c>
      <c r="AN206" s="29">
        <v>3</v>
      </c>
      <c r="AO206" s="29" t="s">
        <v>48</v>
      </c>
      <c r="AP206" s="47" t="s">
        <v>2047</v>
      </c>
      <c r="AQ206" s="28">
        <v>0</v>
      </c>
      <c r="AR206" s="26">
        <v>1.4999999999999999E-2</v>
      </c>
      <c r="AS206" s="26">
        <v>0</v>
      </c>
    </row>
    <row r="207" spans="1:45" x14ac:dyDescent="0.15">
      <c r="A207" s="64">
        <v>446</v>
      </c>
      <c r="B207" s="64">
        <v>388</v>
      </c>
      <c r="C207" s="11">
        <v>566</v>
      </c>
      <c r="D207" s="61">
        <v>596</v>
      </c>
      <c r="E207" s="61">
        <v>-2.06858199054726E-3</v>
      </c>
      <c r="F207" s="61">
        <v>149</v>
      </c>
      <c r="G207" s="61">
        <v>0.19195008703820601</v>
      </c>
      <c r="H207" s="66">
        <v>197</v>
      </c>
      <c r="I207" s="66" t="str">
        <f>H207&amp;"/"&amp;428</f>
        <v>197/428</v>
      </c>
      <c r="J207" s="68">
        <f>H207/428</f>
        <v>0.46028037383177572</v>
      </c>
      <c r="K207" s="18" t="s">
        <v>44</v>
      </c>
      <c r="L207" s="18" t="s">
        <v>87</v>
      </c>
      <c r="M207" s="58" t="s">
        <v>274</v>
      </c>
      <c r="N207" s="18">
        <f>[1]!f_prt_stocktonav(C207,"2017/03/31")</f>
        <v>87.739799499511719</v>
      </c>
      <c r="O207" s="20" t="str">
        <f>[1]!f_info_fundmanager(C207)</f>
        <v>张慧</v>
      </c>
      <c r="P207" s="21">
        <v>2.904109589041096</v>
      </c>
      <c r="Q207" s="34" t="s">
        <v>1901</v>
      </c>
      <c r="R207" s="34" t="s">
        <v>1902</v>
      </c>
      <c r="S207" s="34" t="s">
        <v>880</v>
      </c>
      <c r="T207" s="34">
        <v>20140506</v>
      </c>
      <c r="U207" s="45">
        <v>2.6027803957</v>
      </c>
      <c r="V207" s="46">
        <v>3.3378950727999999</v>
      </c>
      <c r="W207" s="34" t="s">
        <v>1235</v>
      </c>
      <c r="X207" s="34" t="s">
        <v>44</v>
      </c>
      <c r="Y207" s="34" t="s">
        <v>45</v>
      </c>
      <c r="Z207" s="34" t="s">
        <v>274</v>
      </c>
      <c r="AA207" s="34"/>
      <c r="AB207" s="34"/>
      <c r="AC207" s="22">
        <v>0.89753219604492185</v>
      </c>
      <c r="AD207" s="23" t="s">
        <v>1589</v>
      </c>
      <c r="AE207" s="24">
        <v>2.6739726027397261</v>
      </c>
      <c r="AF207" s="25">
        <v>0.26017295655309303</v>
      </c>
      <c r="AG207" s="26">
        <v>0</v>
      </c>
      <c r="AH207" s="26">
        <v>0</v>
      </c>
      <c r="AI207" s="27">
        <v>0.83560257534812454</v>
      </c>
      <c r="AJ207" s="27">
        <v>0.83560257534812454</v>
      </c>
      <c r="AK207" s="27">
        <v>0.83560257534812454</v>
      </c>
      <c r="AL207" s="28" t="s">
        <v>1903</v>
      </c>
      <c r="AM207" s="29" t="s">
        <v>48</v>
      </c>
      <c r="AN207" s="29" t="s">
        <v>48</v>
      </c>
      <c r="AO207" s="29" t="s">
        <v>48</v>
      </c>
      <c r="AP207" s="47" t="s">
        <v>1904</v>
      </c>
      <c r="AQ207" s="28">
        <v>0</v>
      </c>
      <c r="AR207" s="26">
        <v>1.4999999999999999E-2</v>
      </c>
      <c r="AS207" s="26">
        <v>0</v>
      </c>
    </row>
    <row r="208" spans="1:45" x14ac:dyDescent="0.15">
      <c r="A208" s="64">
        <v>637</v>
      </c>
      <c r="B208" s="64">
        <v>938</v>
      </c>
      <c r="C208" s="11">
        <v>200012</v>
      </c>
      <c r="D208" s="61">
        <v>598</v>
      </c>
      <c r="E208" s="61">
        <v>-2.0916836809052402E-3</v>
      </c>
      <c r="F208" s="61">
        <v>95</v>
      </c>
      <c r="G208" s="61">
        <v>0.27074829145562501</v>
      </c>
      <c r="H208" s="66">
        <v>198</v>
      </c>
      <c r="I208" s="66" t="str">
        <f>H208&amp;"/"&amp;428</f>
        <v>198/428</v>
      </c>
      <c r="J208" s="68">
        <f>H208/428</f>
        <v>0.46261682242990654</v>
      </c>
      <c r="K208" s="18" t="s">
        <v>44</v>
      </c>
      <c r="L208" s="18" t="s">
        <v>45</v>
      </c>
      <c r="M208" s="58" t="s">
        <v>274</v>
      </c>
      <c r="N208" s="18">
        <f>[1]!f_prt_stocktonav(C208,"2017/03/31")</f>
        <v>70.769874572753906</v>
      </c>
      <c r="O208" s="20" t="str">
        <f>[1]!f_info_fundmanager(C208)</f>
        <v>何以广</v>
      </c>
      <c r="P208" s="21">
        <v>1.8246575342465754</v>
      </c>
      <c r="Q208" s="34" t="s">
        <v>2575</v>
      </c>
      <c r="R208" s="34" t="s">
        <v>2576</v>
      </c>
      <c r="S208" s="34" t="s">
        <v>1172</v>
      </c>
      <c r="T208" s="34">
        <v>20110127</v>
      </c>
      <c r="U208" s="45">
        <v>0.92026568389999996</v>
      </c>
      <c r="V208" s="46">
        <v>0.86109312010000005</v>
      </c>
      <c r="W208" s="34" t="s">
        <v>3776</v>
      </c>
      <c r="X208" s="34" t="s">
        <v>44</v>
      </c>
      <c r="Y208" s="34" t="s">
        <v>45</v>
      </c>
      <c r="Z208" s="34" t="s">
        <v>274</v>
      </c>
      <c r="AA208" s="34"/>
      <c r="AB208" s="34"/>
      <c r="AC208" s="22">
        <v>0.76197372436523436</v>
      </c>
      <c r="AD208" s="23" t="s">
        <v>2577</v>
      </c>
      <c r="AE208" s="24">
        <v>1.5945205479452054</v>
      </c>
      <c r="AF208" s="25">
        <v>2.6069566344431028E-2</v>
      </c>
      <c r="AG208" s="26">
        <v>9.3493167514384634E-2</v>
      </c>
      <c r="AH208" s="26">
        <v>8.0239736601251277E-2</v>
      </c>
      <c r="AI208" s="27">
        <v>0.18323865063923597</v>
      </c>
      <c r="AJ208" s="27">
        <v>0.38419488503820309</v>
      </c>
      <c r="AK208" s="27">
        <v>0.36144952783082057</v>
      </c>
      <c r="AL208" s="28" t="s">
        <v>2578</v>
      </c>
      <c r="AM208" s="29">
        <v>1</v>
      </c>
      <c r="AN208" s="29">
        <v>1</v>
      </c>
      <c r="AO208" s="29" t="s">
        <v>48</v>
      </c>
      <c r="AP208" s="47" t="s">
        <v>2337</v>
      </c>
      <c r="AQ208" s="28">
        <v>0</v>
      </c>
      <c r="AR208" s="26">
        <v>1.4999999999999999E-2</v>
      </c>
      <c r="AS208" s="26">
        <v>0</v>
      </c>
    </row>
    <row r="209" spans="1:45" x14ac:dyDescent="0.15">
      <c r="A209" s="64">
        <v>155</v>
      </c>
      <c r="B209" s="64">
        <v>571</v>
      </c>
      <c r="C209" s="11">
        <v>2182</v>
      </c>
      <c r="D209" s="61">
        <v>599</v>
      </c>
      <c r="E209" s="61">
        <v>-2.0942280508320001E-3</v>
      </c>
      <c r="F209" s="61">
        <v>64</v>
      </c>
      <c r="G209" s="61">
        <v>0.25327027859849499</v>
      </c>
      <c r="H209" s="66">
        <v>199</v>
      </c>
      <c r="I209" s="66" t="str">
        <f>H209&amp;"/"&amp;428</f>
        <v>199/428</v>
      </c>
      <c r="J209" s="68">
        <f>H209/428</f>
        <v>0.46495327102803741</v>
      </c>
      <c r="K209" s="18" t="s">
        <v>44</v>
      </c>
      <c r="L209" s="18" t="s">
        <v>45</v>
      </c>
      <c r="M209" s="58" t="s">
        <v>274</v>
      </c>
      <c r="N209" s="18">
        <f>[1]!f_prt_stocktonav(C209,"2017/03/31")</f>
        <v>83.528907775878906</v>
      </c>
      <c r="O209" s="20" t="str">
        <f>[1]!f_info_fundmanager(C209)</f>
        <v>程远,孙继青</v>
      </c>
      <c r="P209" s="21">
        <v>1.2712328767123289</v>
      </c>
      <c r="Q209" s="34" t="s">
        <v>782</v>
      </c>
      <c r="R209" s="34" t="s">
        <v>783</v>
      </c>
      <c r="S209" s="34" t="s">
        <v>180</v>
      </c>
      <c r="T209" s="34">
        <v>20151223</v>
      </c>
      <c r="U209" s="45">
        <v>1.3739807337000001</v>
      </c>
      <c r="V209" s="46">
        <v>1.6128749592</v>
      </c>
      <c r="W209" s="34" t="s">
        <v>1235</v>
      </c>
      <c r="X209" s="34" t="s">
        <v>41</v>
      </c>
      <c r="Y209" s="17" t="s">
        <v>42</v>
      </c>
      <c r="Z209" s="17" t="s">
        <v>181</v>
      </c>
      <c r="AA209" s="34"/>
      <c r="AB209" s="34"/>
      <c r="AC209" s="22">
        <v>0.40118892669677736</v>
      </c>
      <c r="AD209" s="23" t="s">
        <v>784</v>
      </c>
      <c r="AE209" s="24">
        <v>1.0410958904109588</v>
      </c>
      <c r="AF209" s="25">
        <v>-0.21873432846215957</v>
      </c>
      <c r="AG209" s="26">
        <v>0</v>
      </c>
      <c r="AH209" s="26">
        <v>0</v>
      </c>
      <c r="AI209" s="27">
        <v>-1.2337193403854876</v>
      </c>
      <c r="AJ209" s="27">
        <v>-1.2337193403854876</v>
      </c>
      <c r="AK209" s="27">
        <v>-1.2337193403854876</v>
      </c>
      <c r="AL209" s="28" t="s">
        <v>409</v>
      </c>
      <c r="AM209" s="29" t="s">
        <v>48</v>
      </c>
      <c r="AN209" s="29" t="s">
        <v>48</v>
      </c>
      <c r="AO209" s="29" t="s">
        <v>48</v>
      </c>
      <c r="AP209" s="47" t="s">
        <v>310</v>
      </c>
      <c r="AQ209" s="28">
        <v>0</v>
      </c>
      <c r="AR209" s="26">
        <v>1.4999999999999999E-2</v>
      </c>
      <c r="AS209" s="26">
        <v>0</v>
      </c>
    </row>
    <row r="210" spans="1:45" x14ac:dyDescent="0.15">
      <c r="A210" s="64">
        <v>592</v>
      </c>
      <c r="B210" s="64">
        <v>497</v>
      </c>
      <c r="C210" s="11">
        <v>481015</v>
      </c>
      <c r="D210" s="61">
        <v>600</v>
      </c>
      <c r="E210" s="61">
        <v>-2.0998435950695801E-3</v>
      </c>
      <c r="F210" s="61">
        <v>278</v>
      </c>
      <c r="G210" s="61">
        <v>7.4690448028821604E-2</v>
      </c>
      <c r="H210" s="66">
        <v>200</v>
      </c>
      <c r="I210" s="66" t="str">
        <f>H210&amp;"/"&amp;428</f>
        <v>200/428</v>
      </c>
      <c r="J210" s="68">
        <f>H210/428</f>
        <v>0.46728971962616822</v>
      </c>
      <c r="K210" s="18" t="s">
        <v>44</v>
      </c>
      <c r="L210" s="18" t="s">
        <v>87</v>
      </c>
      <c r="M210" s="58" t="s">
        <v>274</v>
      </c>
      <c r="N210" s="18">
        <f>[1]!f_prt_stocktonav(C210,"2017/03/31")</f>
        <v>85.376792907714844</v>
      </c>
      <c r="O210" s="20" t="str">
        <f>[1]!f_info_fundmanager(C210)</f>
        <v>黄安乐</v>
      </c>
      <c r="P210" s="21">
        <v>5.3561643835616435</v>
      </c>
      <c r="Q210" s="34" t="s">
        <v>2426</v>
      </c>
      <c r="R210" s="34" t="s">
        <v>2427</v>
      </c>
      <c r="S210" s="34" t="s">
        <v>523</v>
      </c>
      <c r="T210" s="34">
        <v>20111024</v>
      </c>
      <c r="U210" s="45">
        <v>14.792722486500001</v>
      </c>
      <c r="V210" s="46">
        <v>18.0489970402</v>
      </c>
      <c r="W210" s="34" t="s">
        <v>201</v>
      </c>
      <c r="X210" s="34" t="s">
        <v>44</v>
      </c>
      <c r="Y210" s="34" t="s">
        <v>45</v>
      </c>
      <c r="Z210" s="34" t="s">
        <v>274</v>
      </c>
      <c r="AA210" s="34"/>
      <c r="AB210" s="34"/>
      <c r="AC210" s="22">
        <v>0.90610855102539067</v>
      </c>
      <c r="AD210" s="23" t="s">
        <v>693</v>
      </c>
      <c r="AE210" s="24">
        <v>5.1260273972602741</v>
      </c>
      <c r="AF210" s="25">
        <v>0.13002746695408196</v>
      </c>
      <c r="AG210" s="26">
        <v>0.14079808427343754</v>
      </c>
      <c r="AH210" s="26">
        <v>0.14117817420743872</v>
      </c>
      <c r="AI210" s="27">
        <v>0.48968869432352702</v>
      </c>
      <c r="AJ210" s="27">
        <v>0.49584231788024768</v>
      </c>
      <c r="AK210" s="27">
        <v>0.51937185182486922</v>
      </c>
      <c r="AL210" s="28" t="s">
        <v>167</v>
      </c>
      <c r="AM210" s="29">
        <v>4</v>
      </c>
      <c r="AN210" s="29">
        <v>3</v>
      </c>
      <c r="AO210" s="29" t="s">
        <v>48</v>
      </c>
      <c r="AP210" s="47" t="s">
        <v>255</v>
      </c>
      <c r="AQ210" s="28">
        <v>0</v>
      </c>
      <c r="AR210" s="26">
        <v>1.4999999999999999E-2</v>
      </c>
      <c r="AS210" s="26">
        <v>0</v>
      </c>
    </row>
    <row r="211" spans="1:45" x14ac:dyDescent="0.15">
      <c r="A211" s="64">
        <v>878</v>
      </c>
      <c r="B211" s="64">
        <v>377</v>
      </c>
      <c r="C211" s="11">
        <v>320003</v>
      </c>
      <c r="D211" s="61">
        <v>601</v>
      </c>
      <c r="E211" s="61">
        <v>-2.1097765693380002E-3</v>
      </c>
      <c r="F211" s="61">
        <v>448</v>
      </c>
      <c r="G211" s="61">
        <v>2.2004435636219601E-5</v>
      </c>
      <c r="H211" s="66">
        <v>201</v>
      </c>
      <c r="I211" s="66" t="str">
        <f>H211&amp;"/"&amp;428</f>
        <v>201/428</v>
      </c>
      <c r="J211" s="68">
        <f>H211/428</f>
        <v>0.46962616822429909</v>
      </c>
      <c r="K211" s="18" t="s">
        <v>44</v>
      </c>
      <c r="L211" s="18" t="s">
        <v>86</v>
      </c>
      <c r="M211" s="58" t="s">
        <v>274</v>
      </c>
      <c r="N211" s="18">
        <f>[1]!f_prt_stocktonav(C211,"2017/03/31")</f>
        <v>87.980522155761719</v>
      </c>
      <c r="O211" s="20" t="str">
        <f>[1]!f_info_fundmanager(C211)</f>
        <v>杨谷</v>
      </c>
      <c r="P211" s="21">
        <v>10.780821917808218</v>
      </c>
      <c r="Q211" s="34" t="s">
        <v>3408</v>
      </c>
      <c r="R211" s="34" t="s">
        <v>3409</v>
      </c>
      <c r="S211" s="34" t="s">
        <v>955</v>
      </c>
      <c r="T211" s="34">
        <v>20051219</v>
      </c>
      <c r="U211" s="45">
        <v>41.131115725599997</v>
      </c>
      <c r="V211" s="46">
        <v>42.902705245100002</v>
      </c>
      <c r="W211" s="34" t="s">
        <v>231</v>
      </c>
      <c r="X211" s="34" t="s">
        <v>44</v>
      </c>
      <c r="Y211" s="34" t="s">
        <v>45</v>
      </c>
      <c r="Z211" s="34" t="s">
        <v>274</v>
      </c>
      <c r="AA211" s="34"/>
      <c r="AB211" s="34"/>
      <c r="AC211" s="22">
        <v>0.79554191589355472</v>
      </c>
      <c r="AD211" s="23" t="s">
        <v>3410</v>
      </c>
      <c r="AE211" s="24">
        <v>10.550684931506849</v>
      </c>
      <c r="AF211" s="25">
        <v>0.15591090470020164</v>
      </c>
      <c r="AG211" s="26">
        <v>0.15327019337642378</v>
      </c>
      <c r="AH211" s="26">
        <v>0.10720670174731219</v>
      </c>
      <c r="AI211" s="27">
        <v>0.643613791140911</v>
      </c>
      <c r="AJ211" s="27">
        <v>0.59645580000538934</v>
      </c>
      <c r="AK211" s="27">
        <v>0.47898051732264668</v>
      </c>
      <c r="AL211" s="28" t="s">
        <v>3201</v>
      </c>
      <c r="AM211" s="29">
        <v>3</v>
      </c>
      <c r="AN211" s="29">
        <v>2</v>
      </c>
      <c r="AO211" s="29" t="s">
        <v>48</v>
      </c>
      <c r="AP211" s="47" t="s">
        <v>3411</v>
      </c>
      <c r="AQ211" s="28">
        <v>0</v>
      </c>
      <c r="AR211" s="26">
        <v>1.4999999999999999E-2</v>
      </c>
      <c r="AS211" s="26">
        <v>0</v>
      </c>
    </row>
    <row r="212" spans="1:45" x14ac:dyDescent="0.15">
      <c r="A212" s="64">
        <v>764</v>
      </c>
      <c r="B212" s="64">
        <v>873</v>
      </c>
      <c r="C212" s="11">
        <v>290005</v>
      </c>
      <c r="D212" s="61">
        <v>602</v>
      </c>
      <c r="E212" s="61">
        <v>-2.1111513005936198E-3</v>
      </c>
      <c r="F212" s="61">
        <v>375</v>
      </c>
      <c r="G212" s="61">
        <v>1.5849024253844299E-2</v>
      </c>
      <c r="H212" s="66">
        <v>202</v>
      </c>
      <c r="I212" s="66" t="str">
        <f>H212&amp;"/"&amp;428</f>
        <v>202/428</v>
      </c>
      <c r="J212" s="68">
        <f>H212/428</f>
        <v>0.4719626168224299</v>
      </c>
      <c r="K212" s="18" t="s">
        <v>44</v>
      </c>
      <c r="L212" s="18" t="s">
        <v>45</v>
      </c>
      <c r="M212" s="58" t="s">
        <v>274</v>
      </c>
      <c r="N212" s="18">
        <f>[1]!f_prt_stocktonav(C212,"2017/03/31")</f>
        <v>73.729904174804687</v>
      </c>
      <c r="O212" s="20" t="str">
        <f>[1]!f_info_fundmanager(C212)</f>
        <v>朱志权</v>
      </c>
      <c r="P212" s="21">
        <v>7.2082191780821914</v>
      </c>
      <c r="Q212" s="34" t="s">
        <v>2993</v>
      </c>
      <c r="R212" s="34" t="s">
        <v>2994</v>
      </c>
      <c r="S212" s="34" t="s">
        <v>889</v>
      </c>
      <c r="T212" s="34">
        <v>20080625</v>
      </c>
      <c r="U212" s="45">
        <v>0.8244029142</v>
      </c>
      <c r="V212" s="46">
        <v>0.89796310759999998</v>
      </c>
      <c r="W212" s="34" t="s">
        <v>231</v>
      </c>
      <c r="X212" s="34" t="s">
        <v>41</v>
      </c>
      <c r="Y212" s="34" t="s">
        <v>42</v>
      </c>
      <c r="Z212" s="34" t="s">
        <v>181</v>
      </c>
      <c r="AA212" s="34"/>
      <c r="AB212" s="34"/>
      <c r="AC212" s="22">
        <v>0.69513473510742185</v>
      </c>
      <c r="AD212" s="23" t="s">
        <v>2995</v>
      </c>
      <c r="AE212" s="24">
        <v>6.978082191780822</v>
      </c>
      <c r="AF212" s="25">
        <v>9.856844199979499E-2</v>
      </c>
      <c r="AG212" s="26">
        <v>9.0155210649345965E-2</v>
      </c>
      <c r="AH212" s="26">
        <v>0.13010467059349384</v>
      </c>
      <c r="AI212" s="27">
        <v>0.44934393978076975</v>
      </c>
      <c r="AJ212" s="27">
        <v>0.3503061346833275</v>
      </c>
      <c r="AK212" s="27">
        <v>0.53766714170535956</v>
      </c>
      <c r="AL212" s="28" t="s">
        <v>1964</v>
      </c>
      <c r="AM212" s="29">
        <v>3</v>
      </c>
      <c r="AN212" s="29">
        <v>5</v>
      </c>
      <c r="AO212" s="29" t="s">
        <v>48</v>
      </c>
      <c r="AP212" s="47" t="s">
        <v>2457</v>
      </c>
      <c r="AQ212" s="28">
        <v>0</v>
      </c>
      <c r="AR212" s="26">
        <v>1.4999999999999999E-2</v>
      </c>
      <c r="AS212" s="26">
        <v>0</v>
      </c>
    </row>
    <row r="213" spans="1:45" x14ac:dyDescent="0.15">
      <c r="A213" s="64">
        <v>275</v>
      </c>
      <c r="B213" s="64">
        <v>248</v>
      </c>
      <c r="C213" s="11">
        <v>1349</v>
      </c>
      <c r="D213" s="61">
        <v>604</v>
      </c>
      <c r="E213" s="61">
        <v>-2.15683501222321E-3</v>
      </c>
      <c r="F213" s="61">
        <v>95</v>
      </c>
      <c r="G213" s="61">
        <v>0.249085901416922</v>
      </c>
      <c r="H213" s="66">
        <v>203</v>
      </c>
      <c r="I213" s="66" t="str">
        <f>H213&amp;"/"&amp;428</f>
        <v>203/428</v>
      </c>
      <c r="J213" s="68">
        <f>H213/428</f>
        <v>0.47429906542056077</v>
      </c>
      <c r="K213" s="18" t="s">
        <v>44</v>
      </c>
      <c r="L213" s="18" t="s">
        <v>45</v>
      </c>
      <c r="M213" s="58" t="s">
        <v>274</v>
      </c>
      <c r="N213" s="18">
        <f>[1]!f_prt_stocktonav(C213,"2017/03/31")</f>
        <v>90.607139587402344</v>
      </c>
      <c r="O213" s="20" t="str">
        <f>[1]!f_info_fundmanager(C213)</f>
        <v>汪鸣,张啸伟,李晓铭</v>
      </c>
      <c r="P213" s="21">
        <v>1.8657534246575342</v>
      </c>
      <c r="Q213" s="34" t="s">
        <v>1263</v>
      </c>
      <c r="R213" s="34" t="s">
        <v>1264</v>
      </c>
      <c r="S213" s="34" t="s">
        <v>396</v>
      </c>
      <c r="T213" s="34">
        <v>20150520</v>
      </c>
      <c r="U213" s="45">
        <v>72.926206902900006</v>
      </c>
      <c r="V213" s="46">
        <v>75.496432374799994</v>
      </c>
      <c r="W213" s="34" t="s">
        <v>3789</v>
      </c>
      <c r="X213" s="34" t="s">
        <v>44</v>
      </c>
      <c r="Y213" s="34" t="s">
        <v>45</v>
      </c>
      <c r="Z213" s="34" t="s">
        <v>274</v>
      </c>
      <c r="AA213" s="34"/>
      <c r="AB213" s="34"/>
      <c r="AC213" s="22">
        <v>0.84618286132812504</v>
      </c>
      <c r="AD213" s="23" t="s">
        <v>1265</v>
      </c>
      <c r="AE213" s="24">
        <v>1.6356164383561644</v>
      </c>
      <c r="AF213" s="25">
        <v>-0.15497953055056168</v>
      </c>
      <c r="AG213" s="26">
        <v>0</v>
      </c>
      <c r="AH213" s="26">
        <v>0</v>
      </c>
      <c r="AI213" s="27">
        <v>-0.29795885599578864</v>
      </c>
      <c r="AJ213" s="27">
        <v>-0.29795885599578864</v>
      </c>
      <c r="AK213" s="27">
        <v>-0.29795885599578864</v>
      </c>
      <c r="AL213" s="28" t="s">
        <v>1266</v>
      </c>
      <c r="AM213" s="29" t="s">
        <v>48</v>
      </c>
      <c r="AN213" s="29" t="s">
        <v>48</v>
      </c>
      <c r="AO213" s="29" t="s">
        <v>48</v>
      </c>
      <c r="AP213" s="47" t="s">
        <v>1267</v>
      </c>
      <c r="AQ213" s="28" t="s">
        <v>608</v>
      </c>
      <c r="AR213" s="26">
        <v>1.4999999999999999E-2</v>
      </c>
      <c r="AS213" s="26">
        <v>0</v>
      </c>
    </row>
    <row r="214" spans="1:45" x14ac:dyDescent="0.15">
      <c r="A214" s="64">
        <v>31</v>
      </c>
      <c r="B214" s="64">
        <v>435</v>
      </c>
      <c r="C214" s="11">
        <v>3241</v>
      </c>
      <c r="D214" s="61">
        <v>606</v>
      </c>
      <c r="E214" s="61">
        <v>-2.1836803425760798E-3</v>
      </c>
      <c r="F214" s="61">
        <v>25</v>
      </c>
      <c r="G214" s="61">
        <v>0.121268962368119</v>
      </c>
      <c r="H214" s="66">
        <v>204</v>
      </c>
      <c r="I214" s="66" t="str">
        <f>H214&amp;"/"&amp;428</f>
        <v>204/428</v>
      </c>
      <c r="J214" s="68">
        <f>H214/428</f>
        <v>0.47663551401869159</v>
      </c>
      <c r="K214" s="18" t="s">
        <v>44</v>
      </c>
      <c r="L214" s="18" t="s">
        <v>64</v>
      </c>
      <c r="M214" s="58" t="s">
        <v>274</v>
      </c>
      <c r="N214" s="18">
        <f>[1]!f_prt_stocktonav(C214,"2017/03/31")</f>
        <v>86.572731018066406</v>
      </c>
      <c r="O214" s="20" t="str">
        <f>[1]!f_info_fundmanager(C214)</f>
        <v>程志田</v>
      </c>
      <c r="P214" s="21">
        <v>0.50684931506849318</v>
      </c>
      <c r="Q214" s="34" t="s">
        <v>210</v>
      </c>
      <c r="R214" s="34" t="s">
        <v>211</v>
      </c>
      <c r="S214" s="34" t="s">
        <v>159</v>
      </c>
      <c r="T214" s="34">
        <v>20160927</v>
      </c>
      <c r="U214" s="45">
        <v>12.946171019399999</v>
      </c>
      <c r="V214" s="46">
        <v>8.5030762874000008</v>
      </c>
      <c r="W214" s="34" t="s">
        <v>201</v>
      </c>
      <c r="X214" s="34" t="s">
        <v>44</v>
      </c>
      <c r="Y214" s="34" t="s">
        <v>64</v>
      </c>
      <c r="Z214" s="34" t="s">
        <v>65</v>
      </c>
      <c r="AA214" s="34"/>
      <c r="AB214" s="34"/>
      <c r="AC214" s="22">
        <v>0.80210800170898433</v>
      </c>
      <c r="AD214" s="23" t="s">
        <v>212</v>
      </c>
      <c r="AE214" s="24">
        <v>0.27671232876712326</v>
      </c>
      <c r="AF214" s="25">
        <v>-3.5271553179061277E-2</v>
      </c>
      <c r="AG214" s="26">
        <v>0</v>
      </c>
      <c r="AH214" s="26">
        <v>0</v>
      </c>
      <c r="AI214" s="27">
        <v>-0.73141828543435605</v>
      </c>
      <c r="AJ214" s="27">
        <v>-0.73141828543435605</v>
      </c>
      <c r="AK214" s="27">
        <v>-0.73141828543435605</v>
      </c>
      <c r="AL214" s="28" t="s">
        <v>213</v>
      </c>
      <c r="AM214" s="29" t="s">
        <v>48</v>
      </c>
      <c r="AN214" s="29" t="s">
        <v>48</v>
      </c>
      <c r="AO214" s="29" t="s">
        <v>48</v>
      </c>
      <c r="AP214" s="47" t="s">
        <v>214</v>
      </c>
      <c r="AQ214" s="28">
        <v>0</v>
      </c>
      <c r="AR214" s="26">
        <v>1.4999999999999999E-2</v>
      </c>
      <c r="AS214" s="26">
        <v>0</v>
      </c>
    </row>
    <row r="215" spans="1:45" x14ac:dyDescent="0.15">
      <c r="A215" s="64">
        <v>452</v>
      </c>
      <c r="B215" s="64">
        <v>328</v>
      </c>
      <c r="C215" s="11">
        <v>545</v>
      </c>
      <c r="D215" s="61">
        <v>607</v>
      </c>
      <c r="E215" s="61">
        <v>-2.1868439738939901E-3</v>
      </c>
      <c r="F215" s="61">
        <v>151</v>
      </c>
      <c r="G215" s="61">
        <v>0.154849756892801</v>
      </c>
      <c r="H215" s="66">
        <v>205</v>
      </c>
      <c r="I215" s="66" t="str">
        <f>H215&amp;"/"&amp;428</f>
        <v>205/428</v>
      </c>
      <c r="J215" s="68">
        <f>H215/428</f>
        <v>0.47897196261682246</v>
      </c>
      <c r="K215" s="18" t="s">
        <v>44</v>
      </c>
      <c r="L215" s="18" t="s">
        <v>45</v>
      </c>
      <c r="M215" s="58" t="s">
        <v>274</v>
      </c>
      <c r="N215" s="18">
        <f>[1]!f_prt_stocktonav(C215,"2017/03/31")</f>
        <v>88.904296875</v>
      </c>
      <c r="O215" s="20" t="str">
        <f>[1]!f_info_fundmanager(C215)</f>
        <v>任泽松,许忠海</v>
      </c>
      <c r="P215" s="21">
        <v>2.9397260273972603</v>
      </c>
      <c r="Q215" s="34" t="s">
        <v>1927</v>
      </c>
      <c r="R215" s="34" t="s">
        <v>1928</v>
      </c>
      <c r="S215" s="34" t="s">
        <v>85</v>
      </c>
      <c r="T215" s="34">
        <v>20140423</v>
      </c>
      <c r="U215" s="45">
        <v>23.421345451800001</v>
      </c>
      <c r="V215" s="46">
        <v>29.586564922099999</v>
      </c>
      <c r="W215" s="34" t="s">
        <v>3776</v>
      </c>
      <c r="X215" s="34" t="s">
        <v>44</v>
      </c>
      <c r="Y215" s="34" t="s">
        <v>45</v>
      </c>
      <c r="Z215" s="34" t="s">
        <v>274</v>
      </c>
      <c r="AA215" s="34"/>
      <c r="AB215" s="34"/>
      <c r="AC215" s="22">
        <v>0.85776824951171871</v>
      </c>
      <c r="AD215" s="23" t="s">
        <v>775</v>
      </c>
      <c r="AE215" s="24">
        <v>2.7095890410958905</v>
      </c>
      <c r="AF215" s="25">
        <v>0.20601965501882513</v>
      </c>
      <c r="AG215" s="26">
        <v>0</v>
      </c>
      <c r="AH215" s="26">
        <v>0</v>
      </c>
      <c r="AI215" s="27">
        <v>0.64737557938380808</v>
      </c>
      <c r="AJ215" s="27">
        <v>0.64737557938380808</v>
      </c>
      <c r="AK215" s="27">
        <v>0.64737557938380808</v>
      </c>
      <c r="AL215" s="28" t="s">
        <v>1929</v>
      </c>
      <c r="AM215" s="29" t="s">
        <v>48</v>
      </c>
      <c r="AN215" s="29" t="s">
        <v>48</v>
      </c>
      <c r="AO215" s="29" t="s">
        <v>48</v>
      </c>
      <c r="AP215" s="47" t="s">
        <v>367</v>
      </c>
      <c r="AQ215" s="28">
        <v>0</v>
      </c>
      <c r="AR215" s="26">
        <v>1.4999999999999999E-2</v>
      </c>
      <c r="AS215" s="26">
        <v>0</v>
      </c>
    </row>
    <row r="216" spans="1:45" x14ac:dyDescent="0.15">
      <c r="A216" s="64">
        <v>748</v>
      </c>
      <c r="B216" s="64">
        <v>468</v>
      </c>
      <c r="C216" s="11">
        <v>530006</v>
      </c>
      <c r="D216" s="61">
        <v>608</v>
      </c>
      <c r="E216" s="61">
        <v>-2.1990555004040699E-3</v>
      </c>
      <c r="F216" s="61">
        <v>53</v>
      </c>
      <c r="G216" s="61">
        <v>8.3258941844788506E-2</v>
      </c>
      <c r="H216" s="66">
        <v>206</v>
      </c>
      <c r="I216" s="66" t="str">
        <f>H216&amp;"/"&amp;428</f>
        <v>206/428</v>
      </c>
      <c r="J216" s="68">
        <f>H216/428</f>
        <v>0.48130841121495327</v>
      </c>
      <c r="K216" s="18" t="s">
        <v>44</v>
      </c>
      <c r="L216" s="18" t="s">
        <v>45</v>
      </c>
      <c r="M216" s="58" t="s">
        <v>274</v>
      </c>
      <c r="N216" s="18">
        <f>[1]!f_prt_stocktonav(C216,"2017/03/31")</f>
        <v>85.876426696777344</v>
      </c>
      <c r="O216" s="20" t="str">
        <f>[1]!f_info_fundmanager(C216)</f>
        <v>潘龙玲</v>
      </c>
      <c r="P216" s="21">
        <v>1.0027397260273974</v>
      </c>
      <c r="Q216" s="34" t="s">
        <v>2946</v>
      </c>
      <c r="R216" s="34" t="s">
        <v>2947</v>
      </c>
      <c r="S216" s="34" t="s">
        <v>307</v>
      </c>
      <c r="T216" s="34">
        <v>20081125</v>
      </c>
      <c r="U216" s="45">
        <v>5.4977762036</v>
      </c>
      <c r="V216" s="46">
        <v>6.5779464631</v>
      </c>
      <c r="W216" s="34" t="s">
        <v>231</v>
      </c>
      <c r="X216" s="34" t="s">
        <v>44</v>
      </c>
      <c r="Y216" s="34" t="s">
        <v>45</v>
      </c>
      <c r="Z216" s="34" t="s">
        <v>274</v>
      </c>
      <c r="AA216" s="34"/>
      <c r="AB216" s="34"/>
      <c r="AC216" s="22">
        <v>0.79046493530273443</v>
      </c>
      <c r="AD216" s="23" t="s">
        <v>2948</v>
      </c>
      <c r="AE216" s="24">
        <v>1.6301369863013699</v>
      </c>
      <c r="AF216" s="25">
        <v>0.14396558993531783</v>
      </c>
      <c r="AG216" s="26">
        <v>0.1598916187013284</v>
      </c>
      <c r="AH216" s="26">
        <v>0.12796862606921033</v>
      </c>
      <c r="AI216" s="27">
        <v>0.65715801578015176</v>
      </c>
      <c r="AJ216" s="27">
        <v>0.60980949279584351</v>
      </c>
      <c r="AK216" s="27">
        <v>0.56634944093992112</v>
      </c>
      <c r="AL216" s="28" t="s">
        <v>2949</v>
      </c>
      <c r="AM216" s="29">
        <v>4</v>
      </c>
      <c r="AN216" s="29">
        <v>4</v>
      </c>
      <c r="AO216" s="29" t="s">
        <v>48</v>
      </c>
      <c r="AP216" s="47" t="s">
        <v>679</v>
      </c>
      <c r="AQ216" s="28">
        <v>0</v>
      </c>
      <c r="AR216" s="26">
        <v>1.4999999999999999E-2</v>
      </c>
      <c r="AS216" s="26">
        <v>0</v>
      </c>
    </row>
    <row r="217" spans="1:45" x14ac:dyDescent="0.15">
      <c r="A217" s="64">
        <v>701</v>
      </c>
      <c r="B217" s="64">
        <v>742</v>
      </c>
      <c r="C217" s="11">
        <v>590003</v>
      </c>
      <c r="D217" s="61">
        <v>609</v>
      </c>
      <c r="E217" s="61">
        <v>-2.20651720794057E-3</v>
      </c>
      <c r="F217" s="61">
        <v>106</v>
      </c>
      <c r="G217" s="61">
        <v>0.280633295183434</v>
      </c>
      <c r="H217" s="66">
        <v>207</v>
      </c>
      <c r="I217" s="66" t="str">
        <f>H217&amp;"/"&amp;428</f>
        <v>207/428</v>
      </c>
      <c r="J217" s="68">
        <f>H217/428</f>
        <v>0.48364485981308414</v>
      </c>
      <c r="K217" s="18" t="s">
        <v>44</v>
      </c>
      <c r="L217" s="18" t="s">
        <v>45</v>
      </c>
      <c r="M217" s="58" t="s">
        <v>274</v>
      </c>
      <c r="N217" s="18">
        <f>[1]!f_prt_stocktonav(C217,"2017/03/31")</f>
        <v>78.625541687011719</v>
      </c>
      <c r="O217" s="20" t="str">
        <f>[1]!f_info_fundmanager(C217)</f>
        <v>张腾</v>
      </c>
      <c r="P217" s="21">
        <v>2.0383561643835617</v>
      </c>
      <c r="Q217" s="34" t="s">
        <v>2784</v>
      </c>
      <c r="R217" s="34" t="s">
        <v>2785</v>
      </c>
      <c r="S217" s="34" t="s">
        <v>85</v>
      </c>
      <c r="T217" s="34">
        <v>20091028</v>
      </c>
      <c r="U217" s="45">
        <v>11.400787983000001</v>
      </c>
      <c r="V217" s="46">
        <v>16.645762591899999</v>
      </c>
      <c r="W217" s="34" t="s">
        <v>40</v>
      </c>
      <c r="X217" s="34" t="s">
        <v>44</v>
      </c>
      <c r="Y217" s="34" t="s">
        <v>45</v>
      </c>
      <c r="Z217" s="34" t="s">
        <v>274</v>
      </c>
      <c r="AA217" s="34"/>
      <c r="AB217" s="34"/>
      <c r="AC217" s="22">
        <v>0.70143737792968752</v>
      </c>
      <c r="AD217" s="23" t="s">
        <v>2786</v>
      </c>
      <c r="AE217" s="24">
        <v>4.4164383561643836</v>
      </c>
      <c r="AF217" s="25">
        <v>0.11404968352780509</v>
      </c>
      <c r="AG217" s="26">
        <v>0.21802688985823981</v>
      </c>
      <c r="AH217" s="26">
        <v>0.17323134012853902</v>
      </c>
      <c r="AI217" s="27">
        <v>0.4903851664469206</v>
      </c>
      <c r="AJ217" s="27">
        <v>0.70719675789255043</v>
      </c>
      <c r="AK217" s="27">
        <v>0.65506064673429099</v>
      </c>
      <c r="AL217" s="28" t="s">
        <v>1226</v>
      </c>
      <c r="AM217" s="29">
        <v>4</v>
      </c>
      <c r="AN217" s="29">
        <v>3</v>
      </c>
      <c r="AO217" s="29" t="s">
        <v>48</v>
      </c>
      <c r="AP217" s="47" t="s">
        <v>310</v>
      </c>
      <c r="AQ217" s="28">
        <v>0</v>
      </c>
      <c r="AR217" s="26">
        <v>1.4999999999999999E-2</v>
      </c>
      <c r="AS217" s="26">
        <v>0</v>
      </c>
    </row>
    <row r="218" spans="1:45" x14ac:dyDescent="0.15">
      <c r="A218" s="64">
        <v>469</v>
      </c>
      <c r="B218" s="64">
        <v>626</v>
      </c>
      <c r="C218" s="11">
        <v>409</v>
      </c>
      <c r="D218" s="61">
        <v>610</v>
      </c>
      <c r="E218" s="61">
        <v>-2.20670693717912E-3</v>
      </c>
      <c r="F218" s="61">
        <v>95</v>
      </c>
      <c r="G218" s="61">
        <v>0.16690448317790299</v>
      </c>
      <c r="H218" s="66">
        <v>208</v>
      </c>
      <c r="I218" s="66" t="str">
        <f>H218&amp;"/"&amp;428</f>
        <v>208/428</v>
      </c>
      <c r="J218" s="68">
        <f>H218/428</f>
        <v>0.48598130841121495</v>
      </c>
      <c r="K218" s="18" t="s">
        <v>44</v>
      </c>
      <c r="L218" s="18" t="s">
        <v>87</v>
      </c>
      <c r="M218" s="58" t="s">
        <v>274</v>
      </c>
      <c r="N218" s="18">
        <f>[1]!f_prt_stocktonav(C218,"2017/03/31")</f>
        <v>82.165107727050781</v>
      </c>
      <c r="O218" s="20" t="str">
        <f>[1]!f_info_fundmanager(C218)</f>
        <v>郑川江</v>
      </c>
      <c r="P218" s="21">
        <v>1.821917808219178</v>
      </c>
      <c r="Q218" s="34" t="s">
        <v>1990</v>
      </c>
      <c r="R218" s="34" t="s">
        <v>1991</v>
      </c>
      <c r="S218" s="34" t="s">
        <v>705</v>
      </c>
      <c r="T218" s="34">
        <v>20140307</v>
      </c>
      <c r="U218" s="45">
        <v>3.7066796047000001</v>
      </c>
      <c r="V218" s="46">
        <v>5.2222947021000001</v>
      </c>
      <c r="W218" s="34" t="s">
        <v>3776</v>
      </c>
      <c r="X218" s="34" t="s">
        <v>44</v>
      </c>
      <c r="Y218" s="34" t="s">
        <v>45</v>
      </c>
      <c r="Z218" s="34" t="s">
        <v>274</v>
      </c>
      <c r="AA218" s="34"/>
      <c r="AB218" s="34"/>
      <c r="AC218" s="22">
        <v>0.80582527160644535</v>
      </c>
      <c r="AD218" s="23" t="s">
        <v>1992</v>
      </c>
      <c r="AE218" s="24">
        <v>1.5917808219178082</v>
      </c>
      <c r="AF218" s="25">
        <v>0.15843220256250623</v>
      </c>
      <c r="AG218" s="26">
        <v>0</v>
      </c>
      <c r="AH218" s="26">
        <v>0</v>
      </c>
      <c r="AI218" s="27">
        <v>0.58669739595136539</v>
      </c>
      <c r="AJ218" s="27">
        <v>0.58669739595136539</v>
      </c>
      <c r="AK218" s="27">
        <v>0.58669739595136539</v>
      </c>
      <c r="AL218" s="28" t="s">
        <v>1993</v>
      </c>
      <c r="AM218" s="29" t="s">
        <v>48</v>
      </c>
      <c r="AN218" s="29" t="s">
        <v>48</v>
      </c>
      <c r="AO218" s="29" t="s">
        <v>48</v>
      </c>
      <c r="AP218" s="47" t="s">
        <v>1994</v>
      </c>
      <c r="AQ218" s="28">
        <v>0</v>
      </c>
      <c r="AR218" s="26">
        <v>1.4999999999999999E-2</v>
      </c>
      <c r="AS218" s="26">
        <v>0</v>
      </c>
    </row>
    <row r="219" spans="1:45" x14ac:dyDescent="0.15">
      <c r="A219" s="64">
        <v>448</v>
      </c>
      <c r="B219" s="64">
        <v>570</v>
      </c>
      <c r="C219" s="11">
        <v>634</v>
      </c>
      <c r="D219" s="61">
        <v>611</v>
      </c>
      <c r="E219" s="61">
        <v>-2.2202982225961901E-3</v>
      </c>
      <c r="F219" s="61">
        <v>150</v>
      </c>
      <c r="G219" s="61">
        <v>0.118095079068817</v>
      </c>
      <c r="H219" s="66">
        <v>209</v>
      </c>
      <c r="I219" s="66" t="str">
        <f>H219&amp;"/"&amp;428</f>
        <v>209/428</v>
      </c>
      <c r="J219" s="68">
        <f>H219/428</f>
        <v>0.48831775700934582</v>
      </c>
      <c r="K219" s="18" t="s">
        <v>44</v>
      </c>
      <c r="L219" s="18" t="s">
        <v>45</v>
      </c>
      <c r="M219" s="58" t="s">
        <v>274</v>
      </c>
      <c r="N219" s="18">
        <f>[1]!f_prt_stocktonav(C219,"2017/03/31")</f>
        <v>83.560279846191406</v>
      </c>
      <c r="O219" s="20" t="str">
        <f>[1]!f_info_fundmanager(C219)</f>
        <v>袁宜</v>
      </c>
      <c r="P219" s="21">
        <v>2.9205479452054797</v>
      </c>
      <c r="Q219" s="34" t="s">
        <v>1910</v>
      </c>
      <c r="R219" s="34" t="s">
        <v>1911</v>
      </c>
      <c r="S219" s="34" t="s">
        <v>396</v>
      </c>
      <c r="T219" s="34">
        <v>20140430</v>
      </c>
      <c r="U219" s="45">
        <v>3.0470211263999998</v>
      </c>
      <c r="V219" s="46">
        <v>3.1181122722999999</v>
      </c>
      <c r="W219" s="34" t="s">
        <v>3776</v>
      </c>
      <c r="X219" s="34" t="s">
        <v>44</v>
      </c>
      <c r="Y219" s="34" t="s">
        <v>45</v>
      </c>
      <c r="Z219" s="34" t="s">
        <v>274</v>
      </c>
      <c r="AA219" s="34"/>
      <c r="AB219" s="34"/>
      <c r="AC219" s="22">
        <v>0.8159017181396484</v>
      </c>
      <c r="AD219" s="23" t="s">
        <v>1912</v>
      </c>
      <c r="AE219" s="24">
        <v>2.6904109589041094</v>
      </c>
      <c r="AF219" s="25">
        <v>0.15828137387192376</v>
      </c>
      <c r="AG219" s="26">
        <v>0</v>
      </c>
      <c r="AH219" s="26">
        <v>0</v>
      </c>
      <c r="AI219" s="27">
        <v>0.6217669294569742</v>
      </c>
      <c r="AJ219" s="27">
        <v>0.6217669294569742</v>
      </c>
      <c r="AK219" s="27">
        <v>0.6217669294569742</v>
      </c>
      <c r="AL219" s="28" t="s">
        <v>874</v>
      </c>
      <c r="AM219" s="29">
        <v>5</v>
      </c>
      <c r="AN219" s="29">
        <v>4</v>
      </c>
      <c r="AO219" s="29" t="s">
        <v>48</v>
      </c>
      <c r="AP219" s="47" t="s">
        <v>1913</v>
      </c>
      <c r="AQ219" s="28" t="s">
        <v>1914</v>
      </c>
      <c r="AR219" s="26">
        <v>1.4999999999999999E-2</v>
      </c>
      <c r="AS219" s="26">
        <v>0</v>
      </c>
    </row>
    <row r="220" spans="1:45" x14ac:dyDescent="0.15">
      <c r="A220" s="64">
        <v>733</v>
      </c>
      <c r="B220" s="64">
        <v>931</v>
      </c>
      <c r="C220" s="11">
        <v>660003</v>
      </c>
      <c r="D220" s="61">
        <v>612</v>
      </c>
      <c r="E220" s="61">
        <v>-2.2264283177535998E-3</v>
      </c>
      <c r="F220" s="61">
        <v>155</v>
      </c>
      <c r="G220" s="61">
        <v>2.6314392305971698E-2</v>
      </c>
      <c r="H220" s="66">
        <v>210</v>
      </c>
      <c r="I220" s="66" t="str">
        <f>H220&amp;"/"&amp;428</f>
        <v>210/428</v>
      </c>
      <c r="J220" s="68">
        <f>H220/428</f>
        <v>0.49065420560747663</v>
      </c>
      <c r="K220" s="18" t="s">
        <v>44</v>
      </c>
      <c r="L220" s="18" t="s">
        <v>45</v>
      </c>
      <c r="M220" s="58" t="s">
        <v>274</v>
      </c>
      <c r="N220" s="18">
        <f>[1]!f_prt_stocktonav(C220,"2017/03/31")</f>
        <v>71.062469482421875</v>
      </c>
      <c r="O220" s="20" t="str">
        <f>[1]!f_info_fundmanager(C220)</f>
        <v>陈富权</v>
      </c>
      <c r="P220" s="21">
        <v>2.9616438356164383</v>
      </c>
      <c r="Q220" s="34" t="s">
        <v>2893</v>
      </c>
      <c r="R220" s="34" t="s">
        <v>2894</v>
      </c>
      <c r="S220" s="34" t="s">
        <v>424</v>
      </c>
      <c r="T220" s="34">
        <v>20090408</v>
      </c>
      <c r="U220" s="45">
        <v>3.1904501114000001</v>
      </c>
      <c r="V220" s="46">
        <v>3.2234886864000001</v>
      </c>
      <c r="W220" s="34" t="s">
        <v>231</v>
      </c>
      <c r="X220" s="34" t="s">
        <v>44</v>
      </c>
      <c r="Y220" s="34" t="s">
        <v>45</v>
      </c>
      <c r="Z220" s="34" t="s">
        <v>274</v>
      </c>
      <c r="AA220" s="34"/>
      <c r="AB220" s="34"/>
      <c r="AC220" s="22">
        <v>0.73039848327636714</v>
      </c>
      <c r="AD220" s="23" t="s">
        <v>2793</v>
      </c>
      <c r="AE220" s="24">
        <v>2.7315068493150685</v>
      </c>
      <c r="AF220" s="25">
        <v>8.8365966216406466E-2</v>
      </c>
      <c r="AG220" s="26">
        <v>0.1515638030386719</v>
      </c>
      <c r="AH220" s="26">
        <v>0.13544816878615928</v>
      </c>
      <c r="AI220" s="27">
        <v>0.42580050624921045</v>
      </c>
      <c r="AJ220" s="27">
        <v>0.55486242695370391</v>
      </c>
      <c r="AK220" s="27">
        <v>0.58111468938286914</v>
      </c>
      <c r="AL220" s="28" t="s">
        <v>1964</v>
      </c>
      <c r="AM220" s="29">
        <v>3</v>
      </c>
      <c r="AN220" s="29">
        <v>4</v>
      </c>
      <c r="AO220" s="29" t="s">
        <v>48</v>
      </c>
      <c r="AP220" s="47" t="s">
        <v>702</v>
      </c>
      <c r="AQ220" s="28">
        <v>0</v>
      </c>
      <c r="AR220" s="26">
        <v>1.4999999999999999E-2</v>
      </c>
      <c r="AS220" s="26">
        <v>0</v>
      </c>
    </row>
    <row r="221" spans="1:45" x14ac:dyDescent="0.15">
      <c r="A221" s="64">
        <v>609</v>
      </c>
      <c r="B221" s="64">
        <v>109</v>
      </c>
      <c r="C221" s="11">
        <v>540010</v>
      </c>
      <c r="D221" s="61">
        <v>613</v>
      </c>
      <c r="E221" s="61">
        <v>-2.2301389103592199E-3</v>
      </c>
      <c r="F221" s="61">
        <v>88</v>
      </c>
      <c r="G221" s="61">
        <v>0.206081817898292</v>
      </c>
      <c r="H221" s="66">
        <v>211</v>
      </c>
      <c r="I221" s="66" t="str">
        <f>H221&amp;"/"&amp;428</f>
        <v>211/428</v>
      </c>
      <c r="J221" s="68">
        <f>H221/428</f>
        <v>0.4929906542056075</v>
      </c>
      <c r="K221" s="18" t="s">
        <v>44</v>
      </c>
      <c r="L221" s="18" t="s">
        <v>45</v>
      </c>
      <c r="M221" s="58" t="s">
        <v>274</v>
      </c>
      <c r="N221" s="18">
        <f>[1]!f_prt_stocktonav(C221,"2017/03/31")</f>
        <v>93.472038269042969</v>
      </c>
      <c r="O221" s="20" t="str">
        <f>[1]!f_info_fundmanager(C221)</f>
        <v>陈平</v>
      </c>
      <c r="P221" s="21">
        <v>1.6849315068493151</v>
      </c>
      <c r="Q221" s="34" t="s">
        <v>2479</v>
      </c>
      <c r="R221" s="34" t="s">
        <v>2480</v>
      </c>
      <c r="S221" s="34" t="s">
        <v>149</v>
      </c>
      <c r="T221" s="34">
        <v>20110727</v>
      </c>
      <c r="U221" s="45">
        <v>5.1446760823000002</v>
      </c>
      <c r="V221" s="46">
        <v>7.4634156235000004</v>
      </c>
      <c r="W221" s="34" t="s">
        <v>3776</v>
      </c>
      <c r="X221" s="34" t="s">
        <v>44</v>
      </c>
      <c r="Y221" s="34" t="s">
        <v>45</v>
      </c>
      <c r="Z221" s="34" t="s">
        <v>274</v>
      </c>
      <c r="AA221" s="34"/>
      <c r="AB221" s="34"/>
      <c r="AC221" s="22">
        <v>0.94808532714843752</v>
      </c>
      <c r="AD221" s="23" t="s">
        <v>1573</v>
      </c>
      <c r="AE221" s="24">
        <v>1.4547945205479451</v>
      </c>
      <c r="AF221" s="25">
        <v>0.13107357759034133</v>
      </c>
      <c r="AG221" s="26">
        <v>0.1251056154269965</v>
      </c>
      <c r="AH221" s="26">
        <v>0.17357607415204554</v>
      </c>
      <c r="AI221" s="27">
        <v>0.49490228236897327</v>
      </c>
      <c r="AJ221" s="27">
        <v>0.4568717684194144</v>
      </c>
      <c r="AK221" s="27">
        <v>0.59655568678971482</v>
      </c>
      <c r="AL221" s="28" t="s">
        <v>2481</v>
      </c>
      <c r="AM221" s="29">
        <v>5</v>
      </c>
      <c r="AN221" s="29">
        <v>2</v>
      </c>
      <c r="AO221" s="29" t="s">
        <v>48</v>
      </c>
      <c r="AP221" s="47" t="s">
        <v>410</v>
      </c>
      <c r="AQ221" s="28">
        <v>0</v>
      </c>
      <c r="AR221" s="26">
        <v>1.4999999999999999E-2</v>
      </c>
      <c r="AS221" s="26">
        <v>0</v>
      </c>
    </row>
    <row r="222" spans="1:45" x14ac:dyDescent="0.15">
      <c r="A222" s="64">
        <v>561</v>
      </c>
      <c r="B222" s="64">
        <v>57</v>
      </c>
      <c r="C222" s="11">
        <v>229002</v>
      </c>
      <c r="D222" s="61">
        <v>614</v>
      </c>
      <c r="E222" s="61">
        <v>-2.2432737318785301E-3</v>
      </c>
      <c r="F222" s="61">
        <v>169</v>
      </c>
      <c r="G222" s="61">
        <v>1.52661898991853E-2</v>
      </c>
      <c r="H222" s="66">
        <v>212</v>
      </c>
      <c r="I222" s="66" t="str">
        <f>H222&amp;"/"&amp;428</f>
        <v>212/428</v>
      </c>
      <c r="J222" s="68">
        <f>H222/428</f>
        <v>0.49532710280373832</v>
      </c>
      <c r="K222" s="18" t="s">
        <v>44</v>
      </c>
      <c r="L222" s="18" t="s">
        <v>45</v>
      </c>
      <c r="M222" s="58" t="s">
        <v>274</v>
      </c>
      <c r="N222" s="18">
        <f>[1]!f_prt_stocktonav(C222,"2017/03/31")</f>
        <v>94.236557006835938</v>
      </c>
      <c r="O222" s="20" t="str">
        <f>[1]!f_info_fundmanager(C222)</f>
        <v>刘欣</v>
      </c>
      <c r="P222" s="21">
        <v>3.2410958904109588</v>
      </c>
      <c r="Q222" s="34" t="s">
        <v>2316</v>
      </c>
      <c r="R222" s="34" t="s">
        <v>2317</v>
      </c>
      <c r="S222" s="34" t="s">
        <v>263</v>
      </c>
      <c r="T222" s="34">
        <v>20120523</v>
      </c>
      <c r="U222" s="45">
        <v>18.7633871783</v>
      </c>
      <c r="V222" s="46">
        <v>5.0243699190999997</v>
      </c>
      <c r="W222" s="34" t="s">
        <v>201</v>
      </c>
      <c r="X222" s="34" t="s">
        <v>44</v>
      </c>
      <c r="Y222" s="34" t="s">
        <v>45</v>
      </c>
      <c r="Z222" s="34" t="s">
        <v>274</v>
      </c>
      <c r="AA222" s="34"/>
      <c r="AB222" s="34"/>
      <c r="AC222" s="22">
        <v>0.91287567138671877</v>
      </c>
      <c r="AD222" s="23" t="s">
        <v>622</v>
      </c>
      <c r="AE222" s="24">
        <v>3.010958904109589</v>
      </c>
      <c r="AF222" s="25">
        <v>0.23259764010301295</v>
      </c>
      <c r="AG222" s="26">
        <v>0.32001501130972021</v>
      </c>
      <c r="AH222" s="26">
        <v>0</v>
      </c>
      <c r="AI222" s="27">
        <v>0.81714313891306645</v>
      </c>
      <c r="AJ222" s="27">
        <v>0.96890215114235345</v>
      </c>
      <c r="AK222" s="27">
        <v>0.81714313891306645</v>
      </c>
      <c r="AL222" s="28" t="s">
        <v>1750</v>
      </c>
      <c r="AM222" s="29">
        <v>4</v>
      </c>
      <c r="AN222" s="29">
        <v>2</v>
      </c>
      <c r="AO222" s="29" t="s">
        <v>48</v>
      </c>
      <c r="AP222" s="47" t="s">
        <v>2318</v>
      </c>
      <c r="AQ222" s="28">
        <v>0</v>
      </c>
      <c r="AR222" s="26">
        <v>1.4999999999999999E-2</v>
      </c>
      <c r="AS222" s="26">
        <v>0</v>
      </c>
    </row>
    <row r="223" spans="1:45" x14ac:dyDescent="0.15">
      <c r="A223" s="64">
        <v>693</v>
      </c>
      <c r="B223" s="64">
        <v>710</v>
      </c>
      <c r="C223" s="11">
        <v>420005</v>
      </c>
      <c r="D223" s="61">
        <v>615</v>
      </c>
      <c r="E223" s="61">
        <v>-2.2448562367347602E-3</v>
      </c>
      <c r="F223" s="61">
        <v>71</v>
      </c>
      <c r="G223" s="61">
        <v>0.317156706156969</v>
      </c>
      <c r="H223" s="66">
        <v>213</v>
      </c>
      <c r="I223" s="66" t="str">
        <f>H223&amp;"/"&amp;428</f>
        <v>213/428</v>
      </c>
      <c r="J223" s="68">
        <f>H223/428</f>
        <v>0.49766355140186919</v>
      </c>
      <c r="K223" s="18" t="s">
        <v>44</v>
      </c>
      <c r="L223" s="18" t="s">
        <v>45</v>
      </c>
      <c r="M223" s="58" t="s">
        <v>274</v>
      </c>
      <c r="N223" s="18">
        <f>[1]!f_prt_stocktonav(C223,"2017/03/31")</f>
        <v>79.773574829101563</v>
      </c>
      <c r="O223" s="20" t="str">
        <f>[1]!f_info_fundmanager(C223)</f>
        <v>陈国光</v>
      </c>
      <c r="P223" s="21">
        <v>1.3616438356164384</v>
      </c>
      <c r="Q223" s="34" t="s">
        <v>2758</v>
      </c>
      <c r="R223" s="34" t="s">
        <v>2759</v>
      </c>
      <c r="S223" s="34" t="s">
        <v>1215</v>
      </c>
      <c r="T223" s="34">
        <v>20091217</v>
      </c>
      <c r="U223" s="45">
        <v>1.0268083493</v>
      </c>
      <c r="V223" s="46">
        <v>1.2000914541000001</v>
      </c>
      <c r="W223" s="34" t="s">
        <v>201</v>
      </c>
      <c r="X223" s="34" t="s">
        <v>41</v>
      </c>
      <c r="Y223" s="17" t="s">
        <v>42</v>
      </c>
      <c r="Z223" s="17" t="s">
        <v>181</v>
      </c>
      <c r="AA223" s="34"/>
      <c r="AB223" s="34"/>
      <c r="AC223" s="22">
        <v>0.69835685729980468</v>
      </c>
      <c r="AD223" s="23" t="s">
        <v>2760</v>
      </c>
      <c r="AE223" s="24">
        <v>1.1315068493150684</v>
      </c>
      <c r="AF223" s="25">
        <v>7.6808765908799703E-2</v>
      </c>
      <c r="AG223" s="26">
        <v>0.14138376428569654</v>
      </c>
      <c r="AH223" s="26">
        <v>0.13867951761132957</v>
      </c>
      <c r="AI223" s="27">
        <v>0.35486384468914023</v>
      </c>
      <c r="AJ223" s="27">
        <v>0.51929355753159223</v>
      </c>
      <c r="AK223" s="27">
        <v>0.54486554883471883</v>
      </c>
      <c r="AL223" s="28" t="s">
        <v>2761</v>
      </c>
      <c r="AM223" s="29">
        <v>4</v>
      </c>
      <c r="AN223" s="29">
        <v>4</v>
      </c>
      <c r="AO223" s="29" t="s">
        <v>48</v>
      </c>
      <c r="AP223" s="47" t="s">
        <v>334</v>
      </c>
      <c r="AQ223" s="28">
        <v>0</v>
      </c>
      <c r="AR223" s="26">
        <v>1.4999999999999999E-2</v>
      </c>
      <c r="AS223" s="26">
        <v>0</v>
      </c>
    </row>
    <row r="224" spans="1:45" x14ac:dyDescent="0.15">
      <c r="A224" s="64">
        <v>589</v>
      </c>
      <c r="B224" s="64">
        <v>384</v>
      </c>
      <c r="C224" s="11">
        <v>519033</v>
      </c>
      <c r="D224" s="61">
        <v>617</v>
      </c>
      <c r="E224" s="61">
        <v>-2.2563806036484699E-3</v>
      </c>
      <c r="F224" s="61">
        <v>61</v>
      </c>
      <c r="G224" s="61">
        <v>0.10485432272093299</v>
      </c>
      <c r="H224" s="66">
        <v>214</v>
      </c>
      <c r="I224" s="66" t="str">
        <f>H224&amp;"/"&amp;428</f>
        <v>214/428</v>
      </c>
      <c r="J224" s="68">
        <f>H224/428</f>
        <v>0.5</v>
      </c>
      <c r="K224" s="18" t="s">
        <v>44</v>
      </c>
      <c r="L224" s="18" t="s">
        <v>45</v>
      </c>
      <c r="M224" s="58" t="s">
        <v>274</v>
      </c>
      <c r="N224" s="18">
        <f>[1]!f_prt_stocktonav(C224,"2017/03/31")</f>
        <v>87.814483642578125</v>
      </c>
      <c r="O224" s="20" t="str">
        <f>[1]!f_info_fundmanager(C224)</f>
        <v>施敏佳</v>
      </c>
      <c r="P224" s="21">
        <v>1.1589041095890411</v>
      </c>
      <c r="Q224" s="34" t="s">
        <v>2415</v>
      </c>
      <c r="R224" s="34" t="s">
        <v>2416</v>
      </c>
      <c r="S224" s="34" t="s">
        <v>496</v>
      </c>
      <c r="T224" s="34">
        <v>20111116</v>
      </c>
      <c r="U224" s="45">
        <v>2.6224375935999999</v>
      </c>
      <c r="V224" s="46">
        <v>3.0993037713999998</v>
      </c>
      <c r="W224" s="34" t="s">
        <v>201</v>
      </c>
      <c r="X224" s="34" t="s">
        <v>44</v>
      </c>
      <c r="Y224" s="34" t="s">
        <v>45</v>
      </c>
      <c r="Z224" s="34" t="s">
        <v>274</v>
      </c>
      <c r="AA224" s="34"/>
      <c r="AB224" s="34"/>
      <c r="AC224" s="22">
        <v>0.83024391174316403</v>
      </c>
      <c r="AD224" s="23" t="s">
        <v>2417</v>
      </c>
      <c r="AE224" s="24">
        <v>0.92876712328767119</v>
      </c>
      <c r="AF224" s="25">
        <v>0.10593947110938352</v>
      </c>
      <c r="AG224" s="26">
        <v>6.7544979479333689E-2</v>
      </c>
      <c r="AH224" s="26">
        <v>0.10842932901229997</v>
      </c>
      <c r="AI224" s="27">
        <v>0.44812146700058808</v>
      </c>
      <c r="AJ224" s="27">
        <v>0.28502093885746538</v>
      </c>
      <c r="AK224" s="27">
        <v>0.45304298515524494</v>
      </c>
      <c r="AL224" s="28" t="s">
        <v>2037</v>
      </c>
      <c r="AM224" s="29">
        <v>3</v>
      </c>
      <c r="AN224" s="29">
        <v>3</v>
      </c>
      <c r="AO224" s="29" t="s">
        <v>48</v>
      </c>
      <c r="AP224" s="47" t="s">
        <v>310</v>
      </c>
      <c r="AQ224" s="28">
        <v>0</v>
      </c>
      <c r="AR224" s="26">
        <v>1.4999999999999999E-2</v>
      </c>
      <c r="AS224" s="26">
        <v>0</v>
      </c>
    </row>
    <row r="225" spans="1:45" x14ac:dyDescent="0.15">
      <c r="A225" s="64">
        <v>674</v>
      </c>
      <c r="B225" s="64">
        <v>577</v>
      </c>
      <c r="C225" s="11">
        <v>470009</v>
      </c>
      <c r="D225" s="61">
        <v>619</v>
      </c>
      <c r="E225" s="61">
        <v>-2.25883914287462E-3</v>
      </c>
      <c r="F225" s="61">
        <v>55</v>
      </c>
      <c r="G225" s="61">
        <v>4.63090813888547E-2</v>
      </c>
      <c r="H225" s="66">
        <v>215</v>
      </c>
      <c r="I225" s="66" t="str">
        <f>H225&amp;"/"&amp;428</f>
        <v>215/428</v>
      </c>
      <c r="J225" s="68">
        <f>H225/428</f>
        <v>0.50233644859813087</v>
      </c>
      <c r="K225" s="18" t="s">
        <v>44</v>
      </c>
      <c r="L225" s="19" t="s">
        <v>87</v>
      </c>
      <c r="M225" s="59" t="s">
        <v>274</v>
      </c>
      <c r="N225" s="18">
        <f>[1]!f_prt_stocktonav(C225,"2017/03/31")</f>
        <v>83.329757690429688</v>
      </c>
      <c r="O225" s="20" t="str">
        <f>[1]!f_info_fundmanager(C225)</f>
        <v>马翔</v>
      </c>
      <c r="P225" s="21">
        <v>1.0547945205479452</v>
      </c>
      <c r="Q225" s="32" t="s">
        <v>2702</v>
      </c>
      <c r="R225" s="13" t="s">
        <v>2703</v>
      </c>
      <c r="S225" s="13" t="s">
        <v>331</v>
      </c>
      <c r="T225" s="13">
        <v>20100505</v>
      </c>
      <c r="U225" s="14">
        <v>56.4909791352</v>
      </c>
      <c r="V225" s="15" t="s">
        <v>58</v>
      </c>
      <c r="W225" s="16" t="s">
        <v>40</v>
      </c>
      <c r="X225" s="17" t="s">
        <v>44</v>
      </c>
      <c r="Y225" s="17" t="s">
        <v>45</v>
      </c>
      <c r="Z225" s="17" t="s">
        <v>65</v>
      </c>
      <c r="AA225" s="13"/>
      <c r="AB225" s="13"/>
      <c r="AC225" s="22">
        <v>0.89113388061523435</v>
      </c>
      <c r="AD225" s="23" t="s">
        <v>2704</v>
      </c>
      <c r="AE225" s="24">
        <v>0.8246575342465754</v>
      </c>
      <c r="AF225" s="25">
        <v>0.19446476290348572</v>
      </c>
      <c r="AG225" s="26">
        <v>0.3027968184651586</v>
      </c>
      <c r="AH225" s="26">
        <v>0.2911598684686274</v>
      </c>
      <c r="AI225" s="27">
        <v>0.7571286056146953</v>
      </c>
      <c r="AJ225" s="27">
        <v>0.90216579902776617</v>
      </c>
      <c r="AK225" s="27">
        <v>0.98302948029389825</v>
      </c>
      <c r="AL225" s="28" t="s">
        <v>2705</v>
      </c>
      <c r="AM225" s="29">
        <v>5</v>
      </c>
      <c r="AN225" s="29">
        <v>4</v>
      </c>
      <c r="AO225" s="29" t="s">
        <v>48</v>
      </c>
      <c r="AP225" s="23" t="s">
        <v>1904</v>
      </c>
      <c r="AQ225" s="30">
        <v>0</v>
      </c>
      <c r="AR225" s="31">
        <v>1.4999999999999999E-2</v>
      </c>
      <c r="AS225" s="31">
        <v>0</v>
      </c>
    </row>
    <row r="226" spans="1:45" x14ac:dyDescent="0.15">
      <c r="A226" s="64">
        <v>365</v>
      </c>
      <c r="B226" s="64">
        <v>499</v>
      </c>
      <c r="C226" s="11">
        <v>628</v>
      </c>
      <c r="D226" s="61">
        <v>621</v>
      </c>
      <c r="E226" s="61">
        <v>-2.2604524370669599E-3</v>
      </c>
      <c r="F226" s="61">
        <v>110</v>
      </c>
      <c r="G226" s="61">
        <v>0.21965127039187099</v>
      </c>
      <c r="H226" s="66">
        <v>216</v>
      </c>
      <c r="I226" s="66" t="str">
        <f>H226&amp;"/"&amp;428</f>
        <v>216/428</v>
      </c>
      <c r="J226" s="68">
        <f>H226/428</f>
        <v>0.50467289719626163</v>
      </c>
      <c r="K226" s="18" t="s">
        <v>44</v>
      </c>
      <c r="L226" s="18" t="s">
        <v>45</v>
      </c>
      <c r="M226" s="58" t="s">
        <v>274</v>
      </c>
      <c r="N226" s="18">
        <f>[1]!f_prt_stocktonav(C226,"2017/03/31")</f>
        <v>85.274337768554687</v>
      </c>
      <c r="O226" s="20" t="str">
        <f>[1]!f_info_fundmanager(C226)</f>
        <v>刘旭,徐彦</v>
      </c>
      <c r="P226" s="21">
        <v>2.1561643835616437</v>
      </c>
      <c r="Q226" s="34" t="s">
        <v>1600</v>
      </c>
      <c r="R226" s="34" t="s">
        <v>1601</v>
      </c>
      <c r="S226" s="34" t="s">
        <v>486</v>
      </c>
      <c r="T226" s="34">
        <v>20150203</v>
      </c>
      <c r="U226" s="45">
        <v>1.492873235</v>
      </c>
      <c r="V226" s="46">
        <v>1.6220119963999999</v>
      </c>
      <c r="W226" s="34" t="s">
        <v>1235</v>
      </c>
      <c r="X226" s="34" t="s">
        <v>44</v>
      </c>
      <c r="Y226" s="34" t="s">
        <v>45</v>
      </c>
      <c r="Z226" s="34" t="s">
        <v>274</v>
      </c>
      <c r="AA226" s="34"/>
      <c r="AB226" s="34"/>
      <c r="AC226" s="22">
        <v>0.87445152282714844</v>
      </c>
      <c r="AD226" s="23" t="s">
        <v>1602</v>
      </c>
      <c r="AE226" s="24">
        <v>1.9260273972602739</v>
      </c>
      <c r="AF226" s="25">
        <v>0.10529436142734605</v>
      </c>
      <c r="AG226" s="26">
        <v>0</v>
      </c>
      <c r="AH226" s="26">
        <v>0</v>
      </c>
      <c r="AI226" s="27">
        <v>0.42472044879248544</v>
      </c>
      <c r="AJ226" s="27">
        <v>0.42472044879248544</v>
      </c>
      <c r="AK226" s="27">
        <v>0.42472044879248544</v>
      </c>
      <c r="AL226" s="28" t="s">
        <v>1603</v>
      </c>
      <c r="AM226" s="29" t="s">
        <v>48</v>
      </c>
      <c r="AN226" s="29" t="s">
        <v>48</v>
      </c>
      <c r="AO226" s="29" t="s">
        <v>48</v>
      </c>
      <c r="AP226" s="47" t="s">
        <v>1604</v>
      </c>
      <c r="AQ226" s="28">
        <v>0</v>
      </c>
      <c r="AR226" s="26">
        <v>1.4999999999999999E-2</v>
      </c>
      <c r="AS226" s="26">
        <v>0</v>
      </c>
    </row>
    <row r="227" spans="1:45" x14ac:dyDescent="0.15">
      <c r="A227" s="64">
        <v>838</v>
      </c>
      <c r="B227" s="64">
        <v>762</v>
      </c>
      <c r="C227" s="11">
        <v>121005</v>
      </c>
      <c r="D227" s="61">
        <v>623</v>
      </c>
      <c r="E227" s="61">
        <v>-2.2796921750433598E-3</v>
      </c>
      <c r="F227" s="61">
        <v>107</v>
      </c>
      <c r="G227" s="61">
        <v>0.12049440420103801</v>
      </c>
      <c r="H227" s="66">
        <v>217</v>
      </c>
      <c r="I227" s="66" t="str">
        <f>H227&amp;"/"&amp;428</f>
        <v>217/428</v>
      </c>
      <c r="J227" s="68">
        <f>H227/428</f>
        <v>0.5070093457943925</v>
      </c>
      <c r="K227" s="18" t="s">
        <v>44</v>
      </c>
      <c r="L227" s="18" t="s">
        <v>45</v>
      </c>
      <c r="M227" s="58" t="s">
        <v>274</v>
      </c>
      <c r="N227" s="18">
        <f>[1]!f_prt_stocktonav(C227,"2017/03/31")</f>
        <v>77.805458068847656</v>
      </c>
      <c r="O227" s="20" t="str">
        <f>[1]!f_info_fundmanager(C227)</f>
        <v>董晗,孙文龙</v>
      </c>
      <c r="P227" s="21">
        <v>2.0493150684931507</v>
      </c>
      <c r="Q227" s="34" t="s">
        <v>3256</v>
      </c>
      <c r="R227" s="34" t="s">
        <v>3257</v>
      </c>
      <c r="S227" s="34" t="s">
        <v>452</v>
      </c>
      <c r="T227" s="34">
        <v>20061115</v>
      </c>
      <c r="U227" s="45">
        <v>11.0190183766</v>
      </c>
      <c r="V227" s="46">
        <v>11.2417600355</v>
      </c>
      <c r="W227" s="34" t="s">
        <v>231</v>
      </c>
      <c r="X227" s="34" t="s">
        <v>44</v>
      </c>
      <c r="Y227" s="34" t="s">
        <v>45</v>
      </c>
      <c r="Z227" s="34" t="s">
        <v>274</v>
      </c>
      <c r="AA227" s="34"/>
      <c r="AB227" s="34"/>
      <c r="AC227" s="22">
        <v>0.81979774475097655</v>
      </c>
      <c r="AD227" s="23" t="s">
        <v>3258</v>
      </c>
      <c r="AE227" s="24">
        <v>1.8191780821917809</v>
      </c>
      <c r="AF227" s="25">
        <v>0.12871031062420268</v>
      </c>
      <c r="AG227" s="26">
        <v>0.13646229180000846</v>
      </c>
      <c r="AH227" s="26">
        <v>0.1017290288194781</v>
      </c>
      <c r="AI227" s="27">
        <v>0.5241873511968056</v>
      </c>
      <c r="AJ227" s="27">
        <v>0.50581173040036953</v>
      </c>
      <c r="AK227" s="27">
        <v>0.4464947477010679</v>
      </c>
      <c r="AL227" s="28" t="s">
        <v>167</v>
      </c>
      <c r="AM227" s="29">
        <v>2</v>
      </c>
      <c r="AN227" s="29">
        <v>3</v>
      </c>
      <c r="AO227" s="29" t="s">
        <v>48</v>
      </c>
      <c r="AP227" s="47" t="s">
        <v>3051</v>
      </c>
      <c r="AQ227" s="28" t="s">
        <v>3259</v>
      </c>
      <c r="AR227" s="26">
        <v>1.4999999999999999E-2</v>
      </c>
      <c r="AS227" s="26">
        <v>0</v>
      </c>
    </row>
    <row r="228" spans="1:45" x14ac:dyDescent="0.15">
      <c r="A228" s="64">
        <v>391</v>
      </c>
      <c r="B228" s="64">
        <v>178</v>
      </c>
      <c r="C228" s="11">
        <v>880</v>
      </c>
      <c r="D228" s="61">
        <v>624</v>
      </c>
      <c r="E228" s="61">
        <v>-2.2968789186559898E-3</v>
      </c>
      <c r="F228" s="61">
        <v>112</v>
      </c>
      <c r="G228" s="61">
        <v>2.96936510796032E-2</v>
      </c>
      <c r="H228" s="66">
        <v>218</v>
      </c>
      <c r="I228" s="66" t="str">
        <f>H228&amp;"/"&amp;428</f>
        <v>218/428</v>
      </c>
      <c r="J228" s="68">
        <f>H228/428</f>
        <v>0.50934579439252337</v>
      </c>
      <c r="K228" s="18" t="s">
        <v>44</v>
      </c>
      <c r="L228" s="18" t="s">
        <v>45</v>
      </c>
      <c r="M228" s="58" t="s">
        <v>274</v>
      </c>
      <c r="N228" s="18">
        <f>[1]!f_prt_stocktonav(C228,"2017/03/31")</f>
        <v>92.131202697753906</v>
      </c>
      <c r="O228" s="20" t="str">
        <f>[1]!f_info_fundmanager(C228)</f>
        <v>李晓铭</v>
      </c>
      <c r="P228" s="21">
        <v>2.1479452054794521</v>
      </c>
      <c r="Q228" s="34" t="s">
        <v>1694</v>
      </c>
      <c r="R228" s="34" t="s">
        <v>1695</v>
      </c>
      <c r="S228" s="34" t="s">
        <v>396</v>
      </c>
      <c r="T228" s="34">
        <v>20141212</v>
      </c>
      <c r="U228" s="45">
        <v>21.797619560800001</v>
      </c>
      <c r="V228" s="46">
        <v>23.1892669008</v>
      </c>
      <c r="W228" s="34" t="s">
        <v>3789</v>
      </c>
      <c r="X228" s="34" t="s">
        <v>44</v>
      </c>
      <c r="Y228" s="34" t="s">
        <v>45</v>
      </c>
      <c r="Z228" s="34" t="s">
        <v>274</v>
      </c>
      <c r="AA228" s="34"/>
      <c r="AB228" s="34"/>
      <c r="AC228" s="22">
        <v>0.89433860778808594</v>
      </c>
      <c r="AD228" s="23" t="s">
        <v>606</v>
      </c>
      <c r="AE228" s="24">
        <v>1.9178082191780821</v>
      </c>
      <c r="AF228" s="25">
        <v>0.13684976119200565</v>
      </c>
      <c r="AG228" s="26">
        <v>0</v>
      </c>
      <c r="AH228" s="26">
        <v>0</v>
      </c>
      <c r="AI228" s="27">
        <v>0.50248061433617208</v>
      </c>
      <c r="AJ228" s="27">
        <v>0.50248061433617208</v>
      </c>
      <c r="AK228" s="27">
        <v>0.50248061433617208</v>
      </c>
      <c r="AL228" s="28" t="s">
        <v>874</v>
      </c>
      <c r="AM228" s="29" t="s">
        <v>48</v>
      </c>
      <c r="AN228" s="29" t="s">
        <v>48</v>
      </c>
      <c r="AO228" s="29" t="s">
        <v>48</v>
      </c>
      <c r="AP228" s="47" t="s">
        <v>1696</v>
      </c>
      <c r="AQ228" s="28">
        <v>0</v>
      </c>
      <c r="AR228" s="26">
        <v>1.4999999999999999E-2</v>
      </c>
      <c r="AS228" s="26">
        <v>0</v>
      </c>
    </row>
    <row r="229" spans="1:45" x14ac:dyDescent="0.15">
      <c r="A229" s="64">
        <v>266</v>
      </c>
      <c r="B229" s="64">
        <v>451</v>
      </c>
      <c r="C229" s="11">
        <v>1225</v>
      </c>
      <c r="D229" s="61">
        <v>626</v>
      </c>
      <c r="E229" s="61">
        <v>-2.3395208301639401E-3</v>
      </c>
      <c r="F229" s="61">
        <v>94</v>
      </c>
      <c r="G229" s="61">
        <v>0.265536196665215</v>
      </c>
      <c r="H229" s="66">
        <v>219</v>
      </c>
      <c r="I229" s="66" t="str">
        <f>H229&amp;"/"&amp;428</f>
        <v>219/428</v>
      </c>
      <c r="J229" s="68">
        <f>H229/428</f>
        <v>0.51168224299065423</v>
      </c>
      <c r="K229" s="18" t="s">
        <v>44</v>
      </c>
      <c r="L229" s="18" t="s">
        <v>45</v>
      </c>
      <c r="M229" s="58" t="s">
        <v>274</v>
      </c>
      <c r="N229" s="18">
        <f>[1]!f_prt_stocktonav(C229,"2017/03/31")</f>
        <v>86.274894714355469</v>
      </c>
      <c r="O229" s="20" t="str">
        <f>[1]!f_info_fundmanager(C229)</f>
        <v>许进财,杨欢</v>
      </c>
      <c r="P229" s="21">
        <v>1.8465753424657534</v>
      </c>
      <c r="Q229" s="34" t="s">
        <v>1223</v>
      </c>
      <c r="R229" s="34" t="s">
        <v>1224</v>
      </c>
      <c r="S229" s="34" t="s">
        <v>85</v>
      </c>
      <c r="T229" s="34">
        <v>20150527</v>
      </c>
      <c r="U229" s="45">
        <v>35.358584040399997</v>
      </c>
      <c r="V229" s="46">
        <v>38.016214396400002</v>
      </c>
      <c r="W229" s="34" t="s">
        <v>3789</v>
      </c>
      <c r="X229" s="34" t="s">
        <v>44</v>
      </c>
      <c r="Y229" s="34" t="s">
        <v>45</v>
      </c>
      <c r="Z229" s="34" t="s">
        <v>274</v>
      </c>
      <c r="AA229" s="34"/>
      <c r="AB229" s="34"/>
      <c r="AC229" s="22">
        <v>0.76027420043945315</v>
      </c>
      <c r="AD229" s="23" t="s">
        <v>1225</v>
      </c>
      <c r="AE229" s="24">
        <v>1.6164383561643836</v>
      </c>
      <c r="AF229" s="25">
        <v>-0.2073894359215942</v>
      </c>
      <c r="AG229" s="26">
        <v>0</v>
      </c>
      <c r="AH229" s="26">
        <v>0</v>
      </c>
      <c r="AI229" s="27">
        <v>-0.38446799876819315</v>
      </c>
      <c r="AJ229" s="27">
        <v>-0.38446799876819315</v>
      </c>
      <c r="AK229" s="27">
        <v>-0.38446799876819315</v>
      </c>
      <c r="AL229" s="28" t="s">
        <v>1226</v>
      </c>
      <c r="AM229" s="29" t="s">
        <v>48</v>
      </c>
      <c r="AN229" s="29" t="s">
        <v>48</v>
      </c>
      <c r="AO229" s="29" t="s">
        <v>48</v>
      </c>
      <c r="AP229" s="47" t="s">
        <v>82</v>
      </c>
      <c r="AQ229" s="28">
        <v>0</v>
      </c>
      <c r="AR229" s="26">
        <v>1.4999999999999999E-2</v>
      </c>
      <c r="AS229" s="26">
        <v>0</v>
      </c>
    </row>
    <row r="230" spans="1:45" x14ac:dyDescent="0.15">
      <c r="A230" s="64">
        <v>37</v>
      </c>
      <c r="B230" s="64">
        <v>914</v>
      </c>
      <c r="C230" s="11">
        <v>160421</v>
      </c>
      <c r="D230" s="61">
        <v>627</v>
      </c>
      <c r="E230" s="61">
        <v>-2.3413867982224001E-3</v>
      </c>
      <c r="F230" s="61">
        <v>27</v>
      </c>
      <c r="G230" s="61">
        <v>8.8562470738008797E-2</v>
      </c>
      <c r="H230" s="66">
        <v>220</v>
      </c>
      <c r="I230" s="66" t="str">
        <f>H230&amp;"/"&amp;428</f>
        <v>220/428</v>
      </c>
      <c r="J230" s="68">
        <f>H230/428</f>
        <v>0.51401869158878499</v>
      </c>
      <c r="K230" s="18" t="s">
        <v>44</v>
      </c>
      <c r="L230" s="18" t="s">
        <v>45</v>
      </c>
      <c r="M230" s="58" t="s">
        <v>274</v>
      </c>
      <c r="N230" s="18">
        <f>[1]!f_prt_stocktonav(C230,"2017/03/31")</f>
        <v>71.750205993652344</v>
      </c>
      <c r="O230" s="20" t="str">
        <f>[1]!f_info_fundmanager(C230)</f>
        <v>刘伟亭</v>
      </c>
      <c r="P230" s="21">
        <v>0.54520547945205478</v>
      </c>
      <c r="Q230" s="34" t="s">
        <v>241</v>
      </c>
      <c r="R230" s="34" t="s">
        <v>242</v>
      </c>
      <c r="S230" s="34" t="s">
        <v>63</v>
      </c>
      <c r="T230" s="34">
        <v>20160913</v>
      </c>
      <c r="U230" s="45">
        <v>12.661282077199999</v>
      </c>
      <c r="V230" s="46">
        <v>13.1183351313</v>
      </c>
      <c r="W230" s="34" t="s">
        <v>201</v>
      </c>
      <c r="X230" s="34" t="s">
        <v>44</v>
      </c>
      <c r="Y230" s="34" t="s">
        <v>45</v>
      </c>
      <c r="Z230" s="34" t="s">
        <v>65</v>
      </c>
      <c r="AA230" s="34"/>
      <c r="AB230" s="34"/>
      <c r="AC230" s="22">
        <v>0.71429367065429683</v>
      </c>
      <c r="AD230" s="23" t="s">
        <v>243</v>
      </c>
      <c r="AE230" s="24">
        <v>0.31506849315068491</v>
      </c>
      <c r="AF230" s="25">
        <v>-0.10322150292809085</v>
      </c>
      <c r="AG230" s="26">
        <v>0</v>
      </c>
      <c r="AH230" s="26">
        <v>0</v>
      </c>
      <c r="AI230" s="27">
        <v>-2.0510023061106071</v>
      </c>
      <c r="AJ230" s="27">
        <v>-2.0510023061106071</v>
      </c>
      <c r="AK230" s="27">
        <v>-2.0510023061106071</v>
      </c>
      <c r="AL230" s="28" t="s">
        <v>244</v>
      </c>
      <c r="AM230" s="29" t="s">
        <v>48</v>
      </c>
      <c r="AN230" s="29" t="s">
        <v>48</v>
      </c>
      <c r="AO230" s="29" t="s">
        <v>48</v>
      </c>
      <c r="AP230" s="47">
        <v>0</v>
      </c>
      <c r="AQ230" s="28">
        <v>0</v>
      </c>
      <c r="AR230" s="26">
        <v>1.4999999999999999E-2</v>
      </c>
      <c r="AS230" s="26">
        <v>0</v>
      </c>
    </row>
    <row r="231" spans="1:45" x14ac:dyDescent="0.15">
      <c r="A231" s="64">
        <v>32</v>
      </c>
      <c r="B231" s="64">
        <v>436</v>
      </c>
      <c r="C231" s="11">
        <v>3242</v>
      </c>
      <c r="D231" s="61">
        <v>629</v>
      </c>
      <c r="E231" s="61">
        <v>-2.3501807147064098E-3</v>
      </c>
      <c r="F231" s="61">
        <v>25</v>
      </c>
      <c r="G231" s="61">
        <v>9.6821204722799495E-2</v>
      </c>
      <c r="H231" s="66">
        <v>221</v>
      </c>
      <c r="I231" s="66" t="str">
        <f>H231&amp;"/"&amp;428</f>
        <v>221/428</v>
      </c>
      <c r="J231" s="68">
        <f>H231/428</f>
        <v>0.51635514018691586</v>
      </c>
      <c r="K231" s="18" t="s">
        <v>44</v>
      </c>
      <c r="L231" s="18" t="s">
        <v>64</v>
      </c>
      <c r="M231" s="58" t="s">
        <v>274</v>
      </c>
      <c r="N231" s="18">
        <f>[1]!f_prt_stocktonav(C231,"2017/03/31")</f>
        <v>86.572731018066406</v>
      </c>
      <c r="O231" s="20" t="str">
        <f>[1]!f_info_fundmanager(C231)</f>
        <v>程志田</v>
      </c>
      <c r="P231" s="21">
        <v>0.50684931506849318</v>
      </c>
      <c r="Q231" s="34" t="s">
        <v>215</v>
      </c>
      <c r="R231" s="34" t="s">
        <v>211</v>
      </c>
      <c r="S231" s="34" t="s">
        <v>159</v>
      </c>
      <c r="T231" s="34">
        <v>20160927</v>
      </c>
      <c r="U231" s="45" t="s">
        <v>48</v>
      </c>
      <c r="V231" s="46">
        <v>6.6590545307999998</v>
      </c>
      <c r="W231" s="34" t="s">
        <v>201</v>
      </c>
      <c r="X231" s="34" t="s">
        <v>44</v>
      </c>
      <c r="Y231" s="34" t="s">
        <v>64</v>
      </c>
      <c r="Z231" s="34" t="s">
        <v>65</v>
      </c>
      <c r="AA231" s="34"/>
      <c r="AB231" s="34"/>
      <c r="AC231" s="22">
        <v>0.80210800170898433</v>
      </c>
      <c r="AD231" s="23" t="s">
        <v>212</v>
      </c>
      <c r="AE231" s="24">
        <v>0.27671232876712326</v>
      </c>
      <c r="AF231" s="25">
        <v>-4.3760291637298776E-2</v>
      </c>
      <c r="AG231" s="26">
        <v>0</v>
      </c>
      <c r="AH231" s="26">
        <v>0</v>
      </c>
      <c r="AI231" s="27">
        <v>-0.84067525789360242</v>
      </c>
      <c r="AJ231" s="27">
        <v>-0.84067525789360242</v>
      </c>
      <c r="AK231" s="27">
        <v>-0.84067525789360242</v>
      </c>
      <c r="AL231" s="28" t="s">
        <v>213</v>
      </c>
      <c r="AM231" s="29" t="s">
        <v>48</v>
      </c>
      <c r="AN231" s="29" t="s">
        <v>48</v>
      </c>
      <c r="AO231" s="29" t="s">
        <v>48</v>
      </c>
      <c r="AP231" s="47">
        <v>0</v>
      </c>
      <c r="AQ231" s="28">
        <v>0</v>
      </c>
      <c r="AR231" s="26">
        <v>1.4999999999999999E-2</v>
      </c>
      <c r="AS231" s="26">
        <v>8.0000000000000002E-3</v>
      </c>
    </row>
    <row r="232" spans="1:45" x14ac:dyDescent="0.15">
      <c r="A232" s="64">
        <v>789</v>
      </c>
      <c r="B232" s="64">
        <v>132</v>
      </c>
      <c r="C232" s="11">
        <v>590002</v>
      </c>
      <c r="D232" s="61">
        <v>630</v>
      </c>
      <c r="E232" s="61">
        <v>-2.3517759911810699E-3</v>
      </c>
      <c r="F232" s="61">
        <v>67</v>
      </c>
      <c r="G232" s="61">
        <v>0.195173998933799</v>
      </c>
      <c r="H232" s="66">
        <v>222</v>
      </c>
      <c r="I232" s="66" t="str">
        <f>H232&amp;"/"&amp;428</f>
        <v>222/428</v>
      </c>
      <c r="J232" s="68">
        <f>H232/428</f>
        <v>0.51869158878504673</v>
      </c>
      <c r="K232" s="18" t="s">
        <v>44</v>
      </c>
      <c r="L232" s="18" t="s">
        <v>45</v>
      </c>
      <c r="M232" s="58" t="s">
        <v>274</v>
      </c>
      <c r="N232" s="18">
        <f>[1]!f_prt_stocktonav(C232,"2017/03/31")</f>
        <v>93.047622680664062</v>
      </c>
      <c r="O232" s="20" t="str">
        <f>[1]!f_info_fundmanager(C232)</f>
        <v>刘田,纪云飞</v>
      </c>
      <c r="P232" s="21">
        <v>1.2712328767123289</v>
      </c>
      <c r="Q232" s="34" t="s">
        <v>3077</v>
      </c>
      <c r="R232" s="34" t="s">
        <v>3078</v>
      </c>
      <c r="S232" s="34" t="s">
        <v>85</v>
      </c>
      <c r="T232" s="34">
        <v>20070817</v>
      </c>
      <c r="U232" s="45">
        <v>70.998833060099997</v>
      </c>
      <c r="V232" s="46">
        <v>77.7621673899</v>
      </c>
      <c r="W232" s="34" t="s">
        <v>201</v>
      </c>
      <c r="X232" s="34" t="s">
        <v>44</v>
      </c>
      <c r="Y232" s="34" t="s">
        <v>45</v>
      </c>
      <c r="Z232" s="34" t="s">
        <v>274</v>
      </c>
      <c r="AA232" s="34"/>
      <c r="AB232" s="34"/>
      <c r="AC232" s="22">
        <v>0.88464530944824216</v>
      </c>
      <c r="AD232" s="23" t="s">
        <v>3079</v>
      </c>
      <c r="AE232" s="24">
        <v>5.6356164383561644</v>
      </c>
      <c r="AF232" s="25">
        <v>-3.4184600633788698E-2</v>
      </c>
      <c r="AG232" s="26">
        <v>0.14827919325422489</v>
      </c>
      <c r="AH232" s="26">
        <v>8.976331887910316E-2</v>
      </c>
      <c r="AI232" s="27">
        <v>6.5173643120632638E-4</v>
      </c>
      <c r="AJ232" s="27">
        <v>0.51510376780513001</v>
      </c>
      <c r="AK232" s="27">
        <v>0.38638097230453672</v>
      </c>
      <c r="AL232" s="28" t="s">
        <v>3080</v>
      </c>
      <c r="AM232" s="29">
        <v>2</v>
      </c>
      <c r="AN232" s="29">
        <v>3</v>
      </c>
      <c r="AO232" s="29" t="s">
        <v>48</v>
      </c>
      <c r="AP232" s="47" t="s">
        <v>310</v>
      </c>
      <c r="AQ232" s="28">
        <v>0</v>
      </c>
      <c r="AR232" s="26">
        <v>1.4999999999999999E-2</v>
      </c>
      <c r="AS232" s="26">
        <v>0</v>
      </c>
    </row>
    <row r="233" spans="1:45" x14ac:dyDescent="0.15">
      <c r="A233" s="64">
        <v>489</v>
      </c>
      <c r="B233" s="64">
        <v>262</v>
      </c>
      <c r="C233" s="11">
        <v>263</v>
      </c>
      <c r="D233" s="61">
        <v>632</v>
      </c>
      <c r="E233" s="61">
        <v>-2.35916330300331E-3</v>
      </c>
      <c r="F233" s="61">
        <v>174</v>
      </c>
      <c r="G233" s="61">
        <v>0.18014613937891699</v>
      </c>
      <c r="H233" s="66">
        <v>223</v>
      </c>
      <c r="I233" s="66" t="str">
        <f>H233&amp;"/"&amp;428</f>
        <v>223/428</v>
      </c>
      <c r="J233" s="68">
        <f>H233/428</f>
        <v>0.5210280373831776</v>
      </c>
      <c r="K233" s="18" t="s">
        <v>44</v>
      </c>
      <c r="L233" s="18" t="s">
        <v>87</v>
      </c>
      <c r="M233" s="58" t="s">
        <v>274</v>
      </c>
      <c r="N233" s="18">
        <f>[1]!f_prt_stocktonav(C233,"2017/03/31")</f>
        <v>90.178321838378906</v>
      </c>
      <c r="O233" s="20" t="str">
        <f>[1]!f_info_fundmanager(C233)</f>
        <v>刘天任</v>
      </c>
      <c r="P233" s="21">
        <v>3.3863013698630136</v>
      </c>
      <c r="Q233" s="34" t="s">
        <v>2062</v>
      </c>
      <c r="R233" s="34" t="s">
        <v>2063</v>
      </c>
      <c r="S233" s="34" t="s">
        <v>523</v>
      </c>
      <c r="T233" s="34">
        <v>20131111</v>
      </c>
      <c r="U233" s="45">
        <v>11.641631288699999</v>
      </c>
      <c r="V233" s="46">
        <v>14.078824043099999</v>
      </c>
      <c r="W233" s="34" t="s">
        <v>201</v>
      </c>
      <c r="X233" s="34" t="s">
        <v>44</v>
      </c>
      <c r="Y233" s="34" t="s">
        <v>45</v>
      </c>
      <c r="Z233" s="34" t="s">
        <v>274</v>
      </c>
      <c r="AA233" s="34"/>
      <c r="AB233" s="34"/>
      <c r="AC233" s="22">
        <v>0.93893981933593751</v>
      </c>
      <c r="AD233" s="23" t="s">
        <v>2064</v>
      </c>
      <c r="AE233" s="24">
        <v>3.1561643835616437</v>
      </c>
      <c r="AF233" s="25">
        <v>0.223522275678079</v>
      </c>
      <c r="AG233" s="26">
        <v>0.23283924610879539</v>
      </c>
      <c r="AH233" s="26">
        <v>0</v>
      </c>
      <c r="AI233" s="27">
        <v>0.66403881102230267</v>
      </c>
      <c r="AJ233" s="27">
        <v>0.67563346836203608</v>
      </c>
      <c r="AK233" s="27">
        <v>0.66403881102230267</v>
      </c>
      <c r="AL233" s="28" t="s">
        <v>2065</v>
      </c>
      <c r="AM233" s="29" t="s">
        <v>48</v>
      </c>
      <c r="AN233" s="29" t="s">
        <v>48</v>
      </c>
      <c r="AO233" s="29" t="s">
        <v>48</v>
      </c>
      <c r="AP233" s="47" t="s">
        <v>255</v>
      </c>
      <c r="AQ233" s="28">
        <v>0</v>
      </c>
      <c r="AR233" s="26">
        <v>1.4999999999999999E-2</v>
      </c>
      <c r="AS233" s="26">
        <v>0</v>
      </c>
    </row>
    <row r="234" spans="1:45" x14ac:dyDescent="0.15">
      <c r="A234" s="64">
        <v>672</v>
      </c>
      <c r="B234" s="64">
        <v>315</v>
      </c>
      <c r="C234" s="11">
        <v>100039</v>
      </c>
      <c r="D234" s="61">
        <v>636</v>
      </c>
      <c r="E234" s="61">
        <v>-2.4005266465476102E-3</v>
      </c>
      <c r="F234" s="61">
        <v>95</v>
      </c>
      <c r="G234" s="61">
        <v>0.148510151986818</v>
      </c>
      <c r="H234" s="66">
        <v>224</v>
      </c>
      <c r="I234" s="66" t="str">
        <f>H234&amp;"/"&amp;428</f>
        <v>224/428</v>
      </c>
      <c r="J234" s="68">
        <f>H234/428</f>
        <v>0.52336448598130836</v>
      </c>
      <c r="K234" s="18" t="s">
        <v>44</v>
      </c>
      <c r="L234" s="18" t="s">
        <v>87</v>
      </c>
      <c r="M234" s="58" t="s">
        <v>274</v>
      </c>
      <c r="N234" s="18">
        <f>[1]!f_prt_stocktonav(C234,"2017/03/31")</f>
        <v>89.1881103515625</v>
      </c>
      <c r="O234" s="20" t="str">
        <f>[1]!f_info_fundmanager(C234)</f>
        <v>毕天宇,章旭峰</v>
      </c>
      <c r="P234" s="21">
        <v>1.810958904109589</v>
      </c>
      <c r="Q234" s="34" t="s">
        <v>2694</v>
      </c>
      <c r="R234" s="34" t="s">
        <v>2695</v>
      </c>
      <c r="S234" s="34" t="s">
        <v>396</v>
      </c>
      <c r="T234" s="34">
        <v>20100512</v>
      </c>
      <c r="U234" s="45">
        <v>2.1433356922</v>
      </c>
      <c r="V234" s="46">
        <v>2.2466877835000001</v>
      </c>
      <c r="W234" s="34" t="s">
        <v>3776</v>
      </c>
      <c r="X234" s="34" t="s">
        <v>44</v>
      </c>
      <c r="Y234" s="34" t="s">
        <v>87</v>
      </c>
      <c r="Z234" s="34" t="s">
        <v>274</v>
      </c>
      <c r="AA234" s="34" t="s">
        <v>3839</v>
      </c>
      <c r="AB234" s="34"/>
      <c r="AC234" s="22">
        <v>0.94074729919433597</v>
      </c>
      <c r="AD234" s="23" t="s">
        <v>2697</v>
      </c>
      <c r="AE234" s="24">
        <v>1.5808219178082192</v>
      </c>
      <c r="AF234" s="25">
        <v>6.0228595758324843E-2</v>
      </c>
      <c r="AG234" s="26">
        <v>0.18187073534418441</v>
      </c>
      <c r="AH234" s="26">
        <v>0.11878309802466426</v>
      </c>
      <c r="AI234" s="27">
        <v>0.30282823657900354</v>
      </c>
      <c r="AJ234" s="27">
        <v>0.63530674930043862</v>
      </c>
      <c r="AK234" s="27">
        <v>0.5033083684018741</v>
      </c>
      <c r="AL234" s="33" t="s">
        <v>167</v>
      </c>
      <c r="AM234" s="29">
        <v>3</v>
      </c>
      <c r="AN234" s="29">
        <v>3</v>
      </c>
      <c r="AO234" s="29" t="s">
        <v>48</v>
      </c>
      <c r="AP234" s="47" t="s">
        <v>2095</v>
      </c>
      <c r="AQ234" s="28" t="s">
        <v>608</v>
      </c>
      <c r="AR234" s="26">
        <v>1.4999999999999999E-2</v>
      </c>
      <c r="AS234" s="26">
        <v>0</v>
      </c>
    </row>
    <row r="235" spans="1:45" x14ac:dyDescent="0.15">
      <c r="A235" s="64">
        <v>141</v>
      </c>
      <c r="B235" s="64">
        <v>185</v>
      </c>
      <c r="C235" s="11">
        <v>1956</v>
      </c>
      <c r="D235" s="61">
        <v>637</v>
      </c>
      <c r="E235" s="61">
        <v>-2.4116737618733401E-3</v>
      </c>
      <c r="F235" s="61">
        <v>59</v>
      </c>
      <c r="G235" s="61">
        <v>0.30001966554202097</v>
      </c>
      <c r="H235" s="66">
        <v>225</v>
      </c>
      <c r="I235" s="66" t="str">
        <f>H235&amp;"/"&amp;428</f>
        <v>225/428</v>
      </c>
      <c r="J235" s="68">
        <f>H235/428</f>
        <v>0.52570093457943923</v>
      </c>
      <c r="K235" s="18" t="s">
        <v>44</v>
      </c>
      <c r="L235" s="18" t="s">
        <v>45</v>
      </c>
      <c r="M235" s="58" t="s">
        <v>274</v>
      </c>
      <c r="N235" s="18">
        <f>[1]!f_prt_stocktonav(C235,"2017/03/31")</f>
        <v>92.02655029296875</v>
      </c>
      <c r="O235" s="20" t="str">
        <f>[1]!f_info_fundmanager(C235)</f>
        <v>潘明</v>
      </c>
      <c r="P235" s="21">
        <v>1.178082191780822</v>
      </c>
      <c r="Q235" s="34" t="s">
        <v>722</v>
      </c>
      <c r="R235" s="34" t="s">
        <v>723</v>
      </c>
      <c r="S235" s="34" t="s">
        <v>724</v>
      </c>
      <c r="T235" s="34">
        <v>20160126</v>
      </c>
      <c r="U235" s="45">
        <v>0.53445271319999998</v>
      </c>
      <c r="V235" s="46">
        <v>0.67034324909999998</v>
      </c>
      <c r="W235" s="34" t="s">
        <v>3776</v>
      </c>
      <c r="X235" s="34" t="s">
        <v>44</v>
      </c>
      <c r="Y235" s="34" t="s">
        <v>45</v>
      </c>
      <c r="Z235" s="34" t="s">
        <v>65</v>
      </c>
      <c r="AA235" s="34"/>
      <c r="AB235" s="34"/>
      <c r="AC235" s="22">
        <v>0.84037010192871098</v>
      </c>
      <c r="AD235" s="23" t="s">
        <v>725</v>
      </c>
      <c r="AE235" s="24">
        <v>0.94794520547945205</v>
      </c>
      <c r="AF235" s="25">
        <v>-6.5150364621593293E-2</v>
      </c>
      <c r="AG235" s="26">
        <v>0</v>
      </c>
      <c r="AH235" s="26">
        <v>0</v>
      </c>
      <c r="AI235" s="27">
        <v>-0.41618653286477525</v>
      </c>
      <c r="AJ235" s="27">
        <v>-0.41618653286477525</v>
      </c>
      <c r="AK235" s="27">
        <v>-0.41618653286477525</v>
      </c>
      <c r="AL235" s="28" t="s">
        <v>726</v>
      </c>
      <c r="AM235" s="29" t="s">
        <v>48</v>
      </c>
      <c r="AN235" s="29" t="s">
        <v>48</v>
      </c>
      <c r="AO235" s="29" t="s">
        <v>48</v>
      </c>
      <c r="AP235" s="47" t="s">
        <v>727</v>
      </c>
      <c r="AQ235" s="28">
        <v>0</v>
      </c>
      <c r="AR235" s="26">
        <v>1.4999999999999999E-2</v>
      </c>
      <c r="AS235" s="26">
        <v>0</v>
      </c>
    </row>
    <row r="236" spans="1:45" x14ac:dyDescent="0.15">
      <c r="A236" s="64">
        <v>332</v>
      </c>
      <c r="B236" s="64">
        <v>815</v>
      </c>
      <c r="C236" s="11">
        <v>993</v>
      </c>
      <c r="D236" s="61">
        <v>638</v>
      </c>
      <c r="E236" s="61">
        <v>-2.4227718810211399E-3</v>
      </c>
      <c r="F236" s="61">
        <v>103</v>
      </c>
      <c r="G236" s="61">
        <v>6.3200530294892698E-2</v>
      </c>
      <c r="H236" s="66">
        <v>226</v>
      </c>
      <c r="I236" s="66" t="str">
        <f>H236&amp;"/"&amp;428</f>
        <v>226/428</v>
      </c>
      <c r="J236" s="68">
        <f>H236/428</f>
        <v>0.5280373831775701</v>
      </c>
      <c r="K236" s="18" t="s">
        <v>44</v>
      </c>
      <c r="L236" s="18" t="s">
        <v>45</v>
      </c>
      <c r="M236" s="58" t="s">
        <v>274</v>
      </c>
      <c r="N236" s="18">
        <f>[1]!f_prt_stocktonav(C236,"2017/03/31")</f>
        <v>76.096633911132812</v>
      </c>
      <c r="O236" s="20" t="str">
        <f>[1]!f_info_fundmanager(C236)</f>
        <v>闫旭</v>
      </c>
      <c r="P236" s="21">
        <v>2.0136986301369864</v>
      </c>
      <c r="Q236" s="34" t="s">
        <v>1478</v>
      </c>
      <c r="R236" s="34" t="s">
        <v>1479</v>
      </c>
      <c r="S236" s="34" t="s">
        <v>737</v>
      </c>
      <c r="T236" s="34">
        <v>20150327</v>
      </c>
      <c r="U236" s="45">
        <v>6.5239144217999998</v>
      </c>
      <c r="V236" s="46">
        <v>7.0626505780000004</v>
      </c>
      <c r="W236" s="34" t="s">
        <v>3776</v>
      </c>
      <c r="X236" s="34" t="s">
        <v>44</v>
      </c>
      <c r="Y236" s="34" t="s">
        <v>45</v>
      </c>
      <c r="Z236" s="34" t="s">
        <v>274</v>
      </c>
      <c r="AA236" s="34"/>
      <c r="AB236" s="34"/>
      <c r="AC236" s="22">
        <v>0.75703109741210939</v>
      </c>
      <c r="AD236" s="23" t="s">
        <v>1480</v>
      </c>
      <c r="AE236" s="24">
        <v>1.7835616438356163</v>
      </c>
      <c r="AF236" s="25">
        <v>-6.0161379912221487E-2</v>
      </c>
      <c r="AG236" s="26">
        <v>0</v>
      </c>
      <c r="AH236" s="26">
        <v>0</v>
      </c>
      <c r="AI236" s="27">
        <v>-4.6945240520715574E-2</v>
      </c>
      <c r="AJ236" s="27">
        <v>-4.6945240520715574E-2</v>
      </c>
      <c r="AK236" s="27">
        <v>-4.6945240520715574E-2</v>
      </c>
      <c r="AL236" s="28" t="s">
        <v>240</v>
      </c>
      <c r="AM236" s="29" t="s">
        <v>48</v>
      </c>
      <c r="AN236" s="29" t="s">
        <v>48</v>
      </c>
      <c r="AO236" s="29" t="s">
        <v>48</v>
      </c>
      <c r="AP236" s="47" t="s">
        <v>739</v>
      </c>
      <c r="AQ236" s="28">
        <v>0</v>
      </c>
      <c r="AR236" s="26">
        <v>1.4999999999999999E-2</v>
      </c>
      <c r="AS236" s="26">
        <v>0</v>
      </c>
    </row>
    <row r="237" spans="1:45" x14ac:dyDescent="0.15">
      <c r="A237" s="64">
        <v>406</v>
      </c>
      <c r="B237" s="64">
        <v>389</v>
      </c>
      <c r="C237" s="11">
        <v>788</v>
      </c>
      <c r="D237" s="61">
        <v>639</v>
      </c>
      <c r="E237" s="61">
        <v>-2.4326551060304198E-3</v>
      </c>
      <c r="F237" s="61">
        <v>128</v>
      </c>
      <c r="G237" s="61">
        <v>0.21584577076290301</v>
      </c>
      <c r="H237" s="66">
        <v>227</v>
      </c>
      <c r="I237" s="66" t="str">
        <f>H237&amp;"/"&amp;428</f>
        <v>227/428</v>
      </c>
      <c r="J237" s="68">
        <f>H237/428</f>
        <v>0.53037383177570097</v>
      </c>
      <c r="K237" s="18" t="s">
        <v>44</v>
      </c>
      <c r="L237" s="18" t="s">
        <v>45</v>
      </c>
      <c r="M237" s="58" t="s">
        <v>274</v>
      </c>
      <c r="N237" s="18">
        <f>[1]!f_prt_stocktonav(C237,"2017/03/31")</f>
        <v>87.706199645996094</v>
      </c>
      <c r="O237" s="20" t="str">
        <f>[1]!f_info_fundmanager(C237)</f>
        <v>徐立平</v>
      </c>
      <c r="P237" s="21">
        <v>2.504109589041096</v>
      </c>
      <c r="Q237" s="34" t="s">
        <v>1754</v>
      </c>
      <c r="R237" s="34" t="s">
        <v>1755</v>
      </c>
      <c r="S237" s="34" t="s">
        <v>78</v>
      </c>
      <c r="T237" s="34">
        <v>20140929</v>
      </c>
      <c r="U237" s="45">
        <v>0.53802352200000003</v>
      </c>
      <c r="V237" s="46">
        <v>0.59592650629999999</v>
      </c>
      <c r="W237" s="34" t="s">
        <v>3776</v>
      </c>
      <c r="X237" s="34" t="s">
        <v>44</v>
      </c>
      <c r="Y237" s="34" t="s">
        <v>45</v>
      </c>
      <c r="Z237" s="34" t="s">
        <v>274</v>
      </c>
      <c r="AA237" s="34"/>
      <c r="AB237" s="34"/>
      <c r="AC237" s="22">
        <v>0.94921546936035162</v>
      </c>
      <c r="AD237" s="23" t="s">
        <v>1756</v>
      </c>
      <c r="AE237" s="24">
        <v>2.2739726027397262</v>
      </c>
      <c r="AF237" s="25">
        <v>7.753125516705861E-2</v>
      </c>
      <c r="AG237" s="26">
        <v>0</v>
      </c>
      <c r="AH237" s="26">
        <v>0</v>
      </c>
      <c r="AI237" s="27">
        <v>0.35443369489424625</v>
      </c>
      <c r="AJ237" s="27">
        <v>0.35443369489424625</v>
      </c>
      <c r="AK237" s="27">
        <v>0.35443369489424625</v>
      </c>
      <c r="AL237" s="28" t="s">
        <v>196</v>
      </c>
      <c r="AM237" s="29" t="s">
        <v>48</v>
      </c>
      <c r="AN237" s="29" t="s">
        <v>48</v>
      </c>
      <c r="AO237" s="29" t="s">
        <v>48</v>
      </c>
      <c r="AP237" s="47" t="s">
        <v>270</v>
      </c>
      <c r="AQ237" s="28">
        <v>0</v>
      </c>
      <c r="AR237" s="26">
        <v>1.4999999999999999E-2</v>
      </c>
      <c r="AS237" s="26">
        <v>0</v>
      </c>
    </row>
    <row r="238" spans="1:45" x14ac:dyDescent="0.15">
      <c r="A238" s="64">
        <v>536</v>
      </c>
      <c r="B238" s="64">
        <v>943</v>
      </c>
      <c r="C238" s="11">
        <v>660015</v>
      </c>
      <c r="D238" s="61">
        <v>640</v>
      </c>
      <c r="E238" s="61">
        <v>-2.43565759249777E-3</v>
      </c>
      <c r="F238" s="61">
        <v>160</v>
      </c>
      <c r="G238" s="61">
        <v>5.3980478825000698E-2</v>
      </c>
      <c r="H238" s="66">
        <v>228</v>
      </c>
      <c r="I238" s="66" t="str">
        <f>H238&amp;"/"&amp;428</f>
        <v>228/428</v>
      </c>
      <c r="J238" s="68">
        <f>H238/428</f>
        <v>0.53271028037383172</v>
      </c>
      <c r="K238" s="18" t="s">
        <v>44</v>
      </c>
      <c r="L238" s="18" t="s">
        <v>45</v>
      </c>
      <c r="M238" s="58" t="s">
        <v>274</v>
      </c>
      <c r="N238" s="18">
        <f>[1]!f_prt_stocktonav(C238,"2017/03/31")</f>
        <v>70.658561706542969</v>
      </c>
      <c r="O238" s="20" t="str">
        <f>[1]!f_info_fundmanager(C238)</f>
        <v>郭世凯</v>
      </c>
      <c r="P238" s="21">
        <v>3.0602739726027397</v>
      </c>
      <c r="Q238" s="34" t="s">
        <v>2230</v>
      </c>
      <c r="R238" s="34" t="s">
        <v>2231</v>
      </c>
      <c r="S238" s="34" t="s">
        <v>424</v>
      </c>
      <c r="T238" s="34">
        <v>20121114</v>
      </c>
      <c r="U238" s="45">
        <v>2.8233954932000001</v>
      </c>
      <c r="V238" s="46">
        <v>2.9545391665</v>
      </c>
      <c r="W238" s="34" t="s">
        <v>3776</v>
      </c>
      <c r="X238" s="34" t="s">
        <v>44</v>
      </c>
      <c r="Y238" s="34" t="s">
        <v>45</v>
      </c>
      <c r="Z238" s="34" t="s">
        <v>274</v>
      </c>
      <c r="AA238" s="34"/>
      <c r="AB238" s="34"/>
      <c r="AC238" s="22">
        <v>0.72013267517089841</v>
      </c>
      <c r="AD238" s="23" t="s">
        <v>700</v>
      </c>
      <c r="AE238" s="24">
        <v>2.8301369863013699</v>
      </c>
      <c r="AF238" s="25">
        <v>0.27910711873143201</v>
      </c>
      <c r="AG238" s="26">
        <v>0.248585773427386</v>
      </c>
      <c r="AH238" s="26">
        <v>0</v>
      </c>
      <c r="AI238" s="27">
        <v>0.90019134703453152</v>
      </c>
      <c r="AJ238" s="27">
        <v>0.75442109605008623</v>
      </c>
      <c r="AK238" s="27">
        <v>0.90019134703453152</v>
      </c>
      <c r="AL238" s="28" t="s">
        <v>1868</v>
      </c>
      <c r="AM238" s="29" t="s">
        <v>48</v>
      </c>
      <c r="AN238" s="29">
        <v>5</v>
      </c>
      <c r="AO238" s="29" t="s">
        <v>48</v>
      </c>
      <c r="AP238" s="47" t="s">
        <v>702</v>
      </c>
      <c r="AQ238" s="28">
        <v>0</v>
      </c>
      <c r="AR238" s="26">
        <v>1.4999999999999999E-2</v>
      </c>
      <c r="AS238" s="26">
        <v>0</v>
      </c>
    </row>
    <row r="239" spans="1:45" x14ac:dyDescent="0.15">
      <c r="A239" s="64">
        <v>839</v>
      </c>
      <c r="B239" s="64">
        <v>573</v>
      </c>
      <c r="C239" s="11">
        <v>100026</v>
      </c>
      <c r="D239" s="61">
        <v>643</v>
      </c>
      <c r="E239" s="61">
        <v>-2.4568314598301302E-3</v>
      </c>
      <c r="F239" s="61">
        <v>103</v>
      </c>
      <c r="G239" s="61">
        <v>0.14712630000396401</v>
      </c>
      <c r="H239" s="66">
        <v>229</v>
      </c>
      <c r="I239" s="66" t="str">
        <f>H239&amp;"/"&amp;428</f>
        <v>229/428</v>
      </c>
      <c r="J239" s="68">
        <f>H239/428</f>
        <v>0.53504672897196259</v>
      </c>
      <c r="K239" s="18" t="s">
        <v>44</v>
      </c>
      <c r="L239" s="18" t="s">
        <v>45</v>
      </c>
      <c r="M239" s="58" t="s">
        <v>274</v>
      </c>
      <c r="N239" s="18">
        <f>[1]!f_prt_stocktonav(C239,"2017/03/31")</f>
        <v>83.4998779296875</v>
      </c>
      <c r="O239" s="20" t="str">
        <f>[1]!f_info_fundmanager(C239)</f>
        <v>汪鸣,杨栋,张啸伟</v>
      </c>
      <c r="P239" s="21">
        <v>1.9616438356164383</v>
      </c>
      <c r="Q239" s="34" t="s">
        <v>3260</v>
      </c>
      <c r="R239" s="34" t="s">
        <v>3261</v>
      </c>
      <c r="S239" s="34" t="s">
        <v>396</v>
      </c>
      <c r="T239" s="34">
        <v>20061115</v>
      </c>
      <c r="U239" s="45">
        <v>25.005054079099999</v>
      </c>
      <c r="V239" s="46">
        <v>31.264580700500002</v>
      </c>
      <c r="W239" s="34" t="s">
        <v>231</v>
      </c>
      <c r="X239" s="34" t="s">
        <v>44</v>
      </c>
      <c r="Y239" s="34" t="s">
        <v>45</v>
      </c>
      <c r="Z239" s="34" t="s">
        <v>274</v>
      </c>
      <c r="AA239" s="34"/>
      <c r="AB239" s="34"/>
      <c r="AC239" s="22">
        <v>0.85395637512207034</v>
      </c>
      <c r="AD239" s="23" t="s">
        <v>3262</v>
      </c>
      <c r="AE239" s="24">
        <v>1.7315068493150685</v>
      </c>
      <c r="AF239" s="25">
        <v>0.17419407252494978</v>
      </c>
      <c r="AG239" s="26">
        <v>0.24711851126072748</v>
      </c>
      <c r="AH239" s="26">
        <v>0.2231663942438844</v>
      </c>
      <c r="AI239" s="27">
        <v>0.66316988790922737</v>
      </c>
      <c r="AJ239" s="27">
        <v>0.78534908568077366</v>
      </c>
      <c r="AK239" s="27">
        <v>0.77431633301807734</v>
      </c>
      <c r="AL239" s="28" t="s">
        <v>3136</v>
      </c>
      <c r="AM239" s="29">
        <v>5</v>
      </c>
      <c r="AN239" s="29">
        <v>3</v>
      </c>
      <c r="AO239" s="29" t="s">
        <v>48</v>
      </c>
      <c r="AP239" s="47" t="s">
        <v>1854</v>
      </c>
      <c r="AQ239" s="28" t="s">
        <v>608</v>
      </c>
      <c r="AR239" s="26">
        <v>1.4999999999999999E-2</v>
      </c>
      <c r="AS239" s="26">
        <v>0</v>
      </c>
    </row>
    <row r="240" spans="1:45" x14ac:dyDescent="0.15">
      <c r="A240" s="64">
        <v>905</v>
      </c>
      <c r="B240" s="64">
        <v>411</v>
      </c>
      <c r="C240" s="11">
        <v>400001</v>
      </c>
      <c r="D240" s="61">
        <v>645</v>
      </c>
      <c r="E240" s="61">
        <v>-2.4763657890363201E-3</v>
      </c>
      <c r="F240" s="61">
        <v>117</v>
      </c>
      <c r="G240" s="61">
        <v>0.12506207122351401</v>
      </c>
      <c r="H240" s="66">
        <v>230</v>
      </c>
      <c r="I240" s="66" t="str">
        <f>H240&amp;"/"&amp;428</f>
        <v>230/428</v>
      </c>
      <c r="J240" s="68">
        <f>H240/428</f>
        <v>0.53738317757009346</v>
      </c>
      <c r="K240" s="18" t="s">
        <v>44</v>
      </c>
      <c r="L240" s="18" t="s">
        <v>45</v>
      </c>
      <c r="M240" s="58" t="s">
        <v>274</v>
      </c>
      <c r="N240" s="18">
        <f>[1]!f_prt_stocktonav(C240,"2017/03/31")</f>
        <v>87.090202331542969</v>
      </c>
      <c r="O240" s="20" t="str">
        <f>[1]!f_info_fundmanager(C240)</f>
        <v>朱晓栋</v>
      </c>
      <c r="P240" s="21">
        <v>2.2465753424657535</v>
      </c>
      <c r="Q240" s="34" t="s">
        <v>3514</v>
      </c>
      <c r="R240" s="34" t="s">
        <v>3515</v>
      </c>
      <c r="S240" s="34" t="s">
        <v>252</v>
      </c>
      <c r="T240" s="34">
        <v>20041125</v>
      </c>
      <c r="U240" s="45">
        <v>11.059603129399999</v>
      </c>
      <c r="V240" s="46">
        <v>9.6689943466999999</v>
      </c>
      <c r="W240" s="34" t="s">
        <v>231</v>
      </c>
      <c r="X240" s="34" t="s">
        <v>44</v>
      </c>
      <c r="Y240" s="34" t="s">
        <v>45</v>
      </c>
      <c r="Z240" s="34" t="s">
        <v>274</v>
      </c>
      <c r="AA240" s="34"/>
      <c r="AB240" s="34"/>
      <c r="AC240" s="22">
        <v>0.83739288330078121</v>
      </c>
      <c r="AD240" s="23" t="s">
        <v>3516</v>
      </c>
      <c r="AE240" s="24">
        <v>2.0164383561643837</v>
      </c>
      <c r="AF240" s="25">
        <v>0.14833764093900115</v>
      </c>
      <c r="AG240" s="26">
        <v>0.25055132316876239</v>
      </c>
      <c r="AH240" s="26">
        <v>0.1649519989284276</v>
      </c>
      <c r="AI240" s="27">
        <v>0.61109353274930478</v>
      </c>
      <c r="AJ240" s="27">
        <v>0.80463164074653226</v>
      </c>
      <c r="AK240" s="27">
        <v>0.63705239337347352</v>
      </c>
      <c r="AL240" s="28" t="s">
        <v>3517</v>
      </c>
      <c r="AM240" s="29">
        <v>4</v>
      </c>
      <c r="AN240" s="29">
        <v>5</v>
      </c>
      <c r="AO240" s="29" t="s">
        <v>48</v>
      </c>
      <c r="AP240" s="47" t="s">
        <v>427</v>
      </c>
      <c r="AQ240" s="28">
        <v>0</v>
      </c>
      <c r="AR240" s="26">
        <v>1.4999999999999999E-2</v>
      </c>
      <c r="AS240" s="26">
        <v>0</v>
      </c>
    </row>
    <row r="241" spans="1:45" x14ac:dyDescent="0.15">
      <c r="A241" s="64">
        <v>604</v>
      </c>
      <c r="B241" s="64">
        <v>475</v>
      </c>
      <c r="C241" s="11">
        <v>320016</v>
      </c>
      <c r="D241" s="61">
        <v>646</v>
      </c>
      <c r="E241" s="61">
        <v>-2.47906291201319E-3</v>
      </c>
      <c r="F241" s="61">
        <v>90</v>
      </c>
      <c r="G241" s="61">
        <v>6.0648167078576599E-2</v>
      </c>
      <c r="H241" s="66">
        <v>231</v>
      </c>
      <c r="I241" s="66" t="str">
        <f>H241&amp;"/"&amp;428</f>
        <v>231/428</v>
      </c>
      <c r="J241" s="68">
        <f>H241/428</f>
        <v>0.53971962616822433</v>
      </c>
      <c r="K241" s="18" t="s">
        <v>44</v>
      </c>
      <c r="L241" s="18" t="s">
        <v>64</v>
      </c>
      <c r="M241" s="58" t="s">
        <v>274</v>
      </c>
      <c r="N241" s="18">
        <f>[1]!f_prt_stocktonav(C241,"2017/03/31")</f>
        <v>85.762130737304688</v>
      </c>
      <c r="O241" s="20" t="str">
        <f>[1]!f_info_fundmanager(C241)</f>
        <v>李玉良</v>
      </c>
      <c r="P241" s="21">
        <v>1.715068493150685</v>
      </c>
      <c r="Q241" s="34" t="s">
        <v>2460</v>
      </c>
      <c r="R241" s="34" t="s">
        <v>2461</v>
      </c>
      <c r="S241" s="34" t="s">
        <v>955</v>
      </c>
      <c r="T241" s="34">
        <v>20110809</v>
      </c>
      <c r="U241" s="45">
        <v>0.61440585700000006</v>
      </c>
      <c r="V241" s="46">
        <v>0.59450414510000005</v>
      </c>
      <c r="W241" s="34" t="s">
        <v>201</v>
      </c>
      <c r="X241" s="34" t="s">
        <v>44</v>
      </c>
      <c r="Y241" s="34" t="s">
        <v>45</v>
      </c>
      <c r="Z241" s="34" t="s">
        <v>274</v>
      </c>
      <c r="AA241" s="34"/>
      <c r="AB241" s="34"/>
      <c r="AC241" s="22">
        <v>0.81333847045898433</v>
      </c>
      <c r="AD241" s="23" t="s">
        <v>2462</v>
      </c>
      <c r="AE241" s="24">
        <v>1.484931506849315</v>
      </c>
      <c r="AF241" s="25">
        <v>9.8837699407320331E-2</v>
      </c>
      <c r="AG241" s="26">
        <v>0.20501078801480066</v>
      </c>
      <c r="AH241" s="26">
        <v>0.15745512214609536</v>
      </c>
      <c r="AI241" s="27">
        <v>0.43445871571550282</v>
      </c>
      <c r="AJ241" s="27">
        <v>0.72289243773269218</v>
      </c>
      <c r="AK241" s="27">
        <v>0.62698589746054734</v>
      </c>
      <c r="AL241" s="28" t="s">
        <v>2463</v>
      </c>
      <c r="AM241" s="29">
        <v>4</v>
      </c>
      <c r="AN241" s="29">
        <v>3</v>
      </c>
      <c r="AO241" s="29" t="s">
        <v>48</v>
      </c>
      <c r="AP241" s="47" t="s">
        <v>583</v>
      </c>
      <c r="AQ241" s="28">
        <v>0</v>
      </c>
      <c r="AR241" s="26">
        <v>1.4999999999999999E-2</v>
      </c>
      <c r="AS241" s="26">
        <v>0</v>
      </c>
    </row>
    <row r="242" spans="1:45" x14ac:dyDescent="0.15">
      <c r="A242" s="64">
        <v>935</v>
      </c>
      <c r="B242" s="64">
        <v>864</v>
      </c>
      <c r="C242" s="11">
        <v>70003</v>
      </c>
      <c r="D242" s="61">
        <v>647</v>
      </c>
      <c r="E242" s="61">
        <v>-2.4857990428473701E-3</v>
      </c>
      <c r="F242" s="61">
        <v>111</v>
      </c>
      <c r="G242" s="61">
        <v>5.3594881251396199E-3</v>
      </c>
      <c r="H242" s="66">
        <v>232</v>
      </c>
      <c r="I242" s="66" t="str">
        <f>H242&amp;"/"&amp;428</f>
        <v>232/428</v>
      </c>
      <c r="J242" s="68">
        <f>H242/428</f>
        <v>0.54205607476635509</v>
      </c>
      <c r="K242" s="18" t="s">
        <v>44</v>
      </c>
      <c r="L242" s="18" t="s">
        <v>45</v>
      </c>
      <c r="M242" s="58" t="s">
        <v>274</v>
      </c>
      <c r="N242" s="18">
        <f>[1]!f_prt_stocktonav(C242,"2017/03/31")</f>
        <v>73.979156494140625</v>
      </c>
      <c r="O242" s="20" t="str">
        <f>[1]!f_info_fundmanager(C242)</f>
        <v>张淼,翟琳琳</v>
      </c>
      <c r="P242" s="21">
        <v>2.117808219178082</v>
      </c>
      <c r="Q242" s="34" t="s">
        <v>3636</v>
      </c>
      <c r="R242" s="34" t="s">
        <v>3637</v>
      </c>
      <c r="S242" s="34" t="s">
        <v>92</v>
      </c>
      <c r="T242" s="34">
        <v>20030709</v>
      </c>
      <c r="U242" s="45">
        <v>35.886176031700003</v>
      </c>
      <c r="V242" s="46">
        <v>37.342195861100002</v>
      </c>
      <c r="W242" s="34" t="s">
        <v>231</v>
      </c>
      <c r="X242" s="34" t="s">
        <v>44</v>
      </c>
      <c r="Y242" s="34" t="s">
        <v>45</v>
      </c>
      <c r="Z242" s="34" t="s">
        <v>274</v>
      </c>
      <c r="AA242" s="34"/>
      <c r="AB242" s="34"/>
      <c r="AC242" s="22">
        <v>0.70180953979492189</v>
      </c>
      <c r="AD242" s="23" t="s">
        <v>3638</v>
      </c>
      <c r="AE242" s="24">
        <v>1.8876712328767122</v>
      </c>
      <c r="AF242" s="25">
        <v>0.10957531251773765</v>
      </c>
      <c r="AG242" s="26">
        <v>9.2642078869388023E-2</v>
      </c>
      <c r="AH242" s="26">
        <v>8.3563412665437861E-2</v>
      </c>
      <c r="AI242" s="27">
        <v>0.55095798900697057</v>
      </c>
      <c r="AJ242" s="27">
        <v>0.43318287662734223</v>
      </c>
      <c r="AK242" s="27">
        <v>0.42699553146941605</v>
      </c>
      <c r="AL242" s="28" t="s">
        <v>3639</v>
      </c>
      <c r="AM242" s="29">
        <v>4</v>
      </c>
      <c r="AN242" s="29">
        <v>3</v>
      </c>
      <c r="AO242" s="29" t="s">
        <v>48</v>
      </c>
      <c r="AP242" s="47" t="s">
        <v>427</v>
      </c>
      <c r="AQ242" s="28" t="s">
        <v>2293</v>
      </c>
      <c r="AR242" s="26">
        <v>1.4999999999999999E-2</v>
      </c>
      <c r="AS242" s="26">
        <v>0</v>
      </c>
    </row>
    <row r="243" spans="1:45" x14ac:dyDescent="0.15">
      <c r="A243" s="64">
        <v>790</v>
      </c>
      <c r="B243" s="64">
        <v>854</v>
      </c>
      <c r="C243" s="11">
        <v>519694</v>
      </c>
      <c r="D243" s="61">
        <v>648</v>
      </c>
      <c r="E243" s="61">
        <v>-2.4924548726113199E-3</v>
      </c>
      <c r="F243" s="61">
        <v>127</v>
      </c>
      <c r="G243" s="61">
        <v>2.7559123657713E-2</v>
      </c>
      <c r="H243" s="66">
        <v>233</v>
      </c>
      <c r="I243" s="66" t="str">
        <f>H243&amp;"/"&amp;428</f>
        <v>233/428</v>
      </c>
      <c r="J243" s="68">
        <f>H243/428</f>
        <v>0.54439252336448596</v>
      </c>
      <c r="K243" s="18" t="s">
        <v>44</v>
      </c>
      <c r="L243" s="18" t="s">
        <v>45</v>
      </c>
      <c r="M243" s="58" t="s">
        <v>274</v>
      </c>
      <c r="N243" s="18">
        <f>[1]!f_prt_stocktonav(C243,"2017/03/31")</f>
        <v>74.294715881347656</v>
      </c>
      <c r="O243" s="20" t="str">
        <f>[1]!f_info_fundmanager(C243)</f>
        <v>陈孜铎</v>
      </c>
      <c r="P243" s="21">
        <v>2.441095890410959</v>
      </c>
      <c r="Q243" s="34" t="s">
        <v>3081</v>
      </c>
      <c r="R243" s="34" t="s">
        <v>3082</v>
      </c>
      <c r="S243" s="34" t="s">
        <v>138</v>
      </c>
      <c r="T243" s="34">
        <v>20070808</v>
      </c>
      <c r="U243" s="45">
        <v>25.104528841099999</v>
      </c>
      <c r="V243" s="46">
        <v>25.695754876999999</v>
      </c>
      <c r="W243" s="34" t="s">
        <v>231</v>
      </c>
      <c r="X243" s="34" t="s">
        <v>44</v>
      </c>
      <c r="Y243" s="34" t="s">
        <v>45</v>
      </c>
      <c r="Z243" s="34" t="s">
        <v>274</v>
      </c>
      <c r="AA243" s="34"/>
      <c r="AB243" s="34"/>
      <c r="AC243" s="22">
        <v>0.70248611450195309</v>
      </c>
      <c r="AD243" s="23" t="s">
        <v>3083</v>
      </c>
      <c r="AE243" s="24">
        <v>2.2109589041095892</v>
      </c>
      <c r="AF243" s="25">
        <v>4.9604944597034795E-3</v>
      </c>
      <c r="AG243" s="26">
        <v>0.11273264534693128</v>
      </c>
      <c r="AH243" s="26">
        <v>9.867059488483744E-2</v>
      </c>
      <c r="AI243" s="27">
        <v>8.289866257402119E-2</v>
      </c>
      <c r="AJ243" s="27">
        <v>0.44588003256020076</v>
      </c>
      <c r="AK243" s="27">
        <v>0.43785940925078892</v>
      </c>
      <c r="AL243" s="28" t="s">
        <v>3084</v>
      </c>
      <c r="AM243" s="29">
        <v>2</v>
      </c>
      <c r="AN243" s="29">
        <v>3</v>
      </c>
      <c r="AO243" s="29" t="s">
        <v>48</v>
      </c>
      <c r="AP243" s="47" t="s">
        <v>3085</v>
      </c>
      <c r="AQ243" s="28" t="s">
        <v>608</v>
      </c>
      <c r="AR243" s="26">
        <v>1.4999999999999999E-2</v>
      </c>
      <c r="AS243" s="26">
        <v>0</v>
      </c>
    </row>
    <row r="244" spans="1:45" x14ac:dyDescent="0.15">
      <c r="A244" s="64">
        <v>226</v>
      </c>
      <c r="B244" s="64">
        <v>857</v>
      </c>
      <c r="C244" s="11">
        <v>1322</v>
      </c>
      <c r="D244" s="61">
        <v>650</v>
      </c>
      <c r="E244" s="61">
        <v>-2.5239367563913602E-3</v>
      </c>
      <c r="F244" s="61">
        <v>89</v>
      </c>
      <c r="G244" s="61">
        <v>0.277484177436086</v>
      </c>
      <c r="H244" s="66">
        <v>234</v>
      </c>
      <c r="I244" s="66" t="str">
        <f>H244&amp;"/"&amp;428</f>
        <v>234/428</v>
      </c>
      <c r="J244" s="68">
        <f>H244/428</f>
        <v>0.54672897196261683</v>
      </c>
      <c r="K244" s="18" t="s">
        <v>44</v>
      </c>
      <c r="L244" s="18" t="s">
        <v>45</v>
      </c>
      <c r="M244" s="58" t="s">
        <v>274</v>
      </c>
      <c r="N244" s="18">
        <f>[1]!f_prt_stocktonav(C244,"2017/03/31")</f>
        <v>74.17205810546875</v>
      </c>
      <c r="O244" s="20" t="str">
        <f>[1]!f_info_fundmanager(C244)</f>
        <v>戴斌</v>
      </c>
      <c r="P244" s="21">
        <v>1.7506849315068493</v>
      </c>
      <c r="Q244" s="34" t="s">
        <v>1055</v>
      </c>
      <c r="R244" s="34" t="s">
        <v>1056</v>
      </c>
      <c r="S244" s="34" t="s">
        <v>1057</v>
      </c>
      <c r="T244" s="34">
        <v>20150701</v>
      </c>
      <c r="U244" s="45">
        <v>4.9991506221000002</v>
      </c>
      <c r="V244" s="46">
        <v>5.4889331469</v>
      </c>
      <c r="W244" s="34" t="s">
        <v>3789</v>
      </c>
      <c r="X244" s="34" t="s">
        <v>41</v>
      </c>
      <c r="Y244" s="34" t="s">
        <v>42</v>
      </c>
      <c r="Z244" s="34" t="s">
        <v>181</v>
      </c>
      <c r="AA244" s="34"/>
      <c r="AB244" s="34"/>
      <c r="AC244" s="22">
        <v>0.52839229583740233</v>
      </c>
      <c r="AD244" s="23" t="s">
        <v>1058</v>
      </c>
      <c r="AE244" s="24">
        <v>1.5205479452054795</v>
      </c>
      <c r="AF244" s="25">
        <v>-0.1730673492763467</v>
      </c>
      <c r="AG244" s="26">
        <v>0</v>
      </c>
      <c r="AH244" s="26">
        <v>0</v>
      </c>
      <c r="AI244" s="27">
        <v>-0.75472075143441708</v>
      </c>
      <c r="AJ244" s="27">
        <v>-0.75472075143441708</v>
      </c>
      <c r="AK244" s="27">
        <v>-0.75472075143441708</v>
      </c>
      <c r="AL244" s="28" t="s">
        <v>1059</v>
      </c>
      <c r="AM244" s="29" t="s">
        <v>48</v>
      </c>
      <c r="AN244" s="29" t="s">
        <v>48</v>
      </c>
      <c r="AO244" s="29" t="s">
        <v>48</v>
      </c>
      <c r="AP244" s="47" t="s">
        <v>797</v>
      </c>
      <c r="AQ244" s="28">
        <v>0</v>
      </c>
      <c r="AR244" s="26">
        <v>1.4999999999999999E-2</v>
      </c>
      <c r="AS244" s="26">
        <v>0</v>
      </c>
    </row>
    <row r="245" spans="1:45" x14ac:dyDescent="0.15">
      <c r="A245" s="64">
        <v>729</v>
      </c>
      <c r="B245" s="64">
        <v>737</v>
      </c>
      <c r="C245" s="11">
        <v>519670</v>
      </c>
      <c r="D245" s="61">
        <v>651</v>
      </c>
      <c r="E245" s="61">
        <v>-2.5307956515250099E-3</v>
      </c>
      <c r="F245" s="61">
        <v>173</v>
      </c>
      <c r="G245" s="61">
        <v>8.2813186902645497E-2</v>
      </c>
      <c r="H245" s="66">
        <v>235</v>
      </c>
      <c r="I245" s="66" t="str">
        <f>H245&amp;"/"&amp;428</f>
        <v>235/428</v>
      </c>
      <c r="J245" s="68">
        <f>H245/428</f>
        <v>0.5490654205607477</v>
      </c>
      <c r="K245" s="18" t="s">
        <v>44</v>
      </c>
      <c r="L245" s="18" t="s">
        <v>45</v>
      </c>
      <c r="M245" s="58" t="s">
        <v>274</v>
      </c>
      <c r="N245" s="18">
        <f>[1]!f_prt_stocktonav(C245,"2017/03/31")</f>
        <v>78.879951477050781</v>
      </c>
      <c r="O245" s="20" t="str">
        <f>[1]!f_info_fundmanager(C245)</f>
        <v>王海华</v>
      </c>
      <c r="P245" s="21">
        <v>3.3232876712328765</v>
      </c>
      <c r="Q245" s="34" t="s">
        <v>2880</v>
      </c>
      <c r="R245" s="34" t="s">
        <v>2881</v>
      </c>
      <c r="S245" s="34" t="s">
        <v>807</v>
      </c>
      <c r="T245" s="34">
        <v>20090424</v>
      </c>
      <c r="U245" s="45">
        <v>17.423963975900001</v>
      </c>
      <c r="V245" s="46">
        <v>19.878652467199998</v>
      </c>
      <c r="W245" s="34" t="s">
        <v>3776</v>
      </c>
      <c r="X245" s="34" t="s">
        <v>44</v>
      </c>
      <c r="Y245" s="34" t="s">
        <v>45</v>
      </c>
      <c r="Z245" s="34" t="s">
        <v>274</v>
      </c>
      <c r="AA245" s="34"/>
      <c r="AB245" s="34"/>
      <c r="AC245" s="22">
        <v>0.88167625427246099</v>
      </c>
      <c r="AD245" s="23" t="s">
        <v>1730</v>
      </c>
      <c r="AE245" s="24">
        <v>3.0931506849315067</v>
      </c>
      <c r="AF245" s="25">
        <v>0.18226556056984441</v>
      </c>
      <c r="AG245" s="26">
        <v>0.21272729334494359</v>
      </c>
      <c r="AH245" s="26">
        <v>0.23104128989846262</v>
      </c>
      <c r="AI245" s="27">
        <v>0.68338818273460966</v>
      </c>
      <c r="AJ245" s="27">
        <v>0.64355123758756982</v>
      </c>
      <c r="AK245" s="27">
        <v>0.77391659996208928</v>
      </c>
      <c r="AL245" s="28" t="s">
        <v>1459</v>
      </c>
      <c r="AM245" s="29">
        <v>5</v>
      </c>
      <c r="AN245" s="29">
        <v>3</v>
      </c>
      <c r="AO245" s="29" t="s">
        <v>48</v>
      </c>
      <c r="AP245" s="47" t="s">
        <v>2882</v>
      </c>
      <c r="AQ245" s="28">
        <v>0</v>
      </c>
      <c r="AR245" s="26">
        <v>1.4999999999999999E-2</v>
      </c>
      <c r="AS245" s="26">
        <v>0</v>
      </c>
    </row>
    <row r="246" spans="1:45" x14ac:dyDescent="0.15">
      <c r="A246" s="64">
        <v>242</v>
      </c>
      <c r="B246" s="64">
        <v>330</v>
      </c>
      <c r="C246" s="11">
        <v>1396</v>
      </c>
      <c r="D246" s="61">
        <v>652</v>
      </c>
      <c r="E246" s="61">
        <v>-2.5403087267421099E-3</v>
      </c>
      <c r="F246" s="61">
        <v>90</v>
      </c>
      <c r="G246" s="61">
        <v>6.2894735238453903E-2</v>
      </c>
      <c r="H246" s="66">
        <v>236</v>
      </c>
      <c r="I246" s="66" t="str">
        <f>H246&amp;"/"&amp;428</f>
        <v>236/428</v>
      </c>
      <c r="J246" s="68">
        <f>H246/428</f>
        <v>0.55140186915887845</v>
      </c>
      <c r="K246" s="18" t="s">
        <v>44</v>
      </c>
      <c r="L246" s="18" t="s">
        <v>45</v>
      </c>
      <c r="M246" s="58" t="s">
        <v>274</v>
      </c>
      <c r="N246" s="18">
        <f>[1]!f_prt_stocktonav(C246,"2017/03/31")</f>
        <v>88.833992004394531</v>
      </c>
      <c r="O246" s="20" t="str">
        <f>[1]!f_info_fundmanager(C246)</f>
        <v>何珅华</v>
      </c>
      <c r="P246" s="21">
        <v>1.7726027397260273</v>
      </c>
      <c r="Q246" s="34" t="s">
        <v>1123</v>
      </c>
      <c r="R246" s="34" t="s">
        <v>1124</v>
      </c>
      <c r="S246" s="34" t="s">
        <v>307</v>
      </c>
      <c r="T246" s="34">
        <v>20150623</v>
      </c>
      <c r="U246" s="45">
        <v>15.3454486714</v>
      </c>
      <c r="V246" s="46">
        <v>17.174253549900001</v>
      </c>
      <c r="W246" s="34" t="s">
        <v>1235</v>
      </c>
      <c r="X246" s="34" t="s">
        <v>44</v>
      </c>
      <c r="Y246" s="34" t="s">
        <v>45</v>
      </c>
      <c r="Z246" s="34" t="s">
        <v>274</v>
      </c>
      <c r="AA246" s="34"/>
      <c r="AB246" s="34"/>
      <c r="AC246" s="22">
        <v>0.86957725524902341</v>
      </c>
      <c r="AD246" s="23" t="s">
        <v>1125</v>
      </c>
      <c r="AE246" s="24">
        <v>1.5424657534246575</v>
      </c>
      <c r="AF246" s="25">
        <v>-0.21402288597461328</v>
      </c>
      <c r="AG246" s="26">
        <v>0</v>
      </c>
      <c r="AH246" s="26">
        <v>0</v>
      </c>
      <c r="AI246" s="27">
        <v>-0.68396793655562582</v>
      </c>
      <c r="AJ246" s="27">
        <v>-0.68396793655562582</v>
      </c>
      <c r="AK246" s="27">
        <v>-0.68396793655562582</v>
      </c>
      <c r="AL246" s="28" t="s">
        <v>1126</v>
      </c>
      <c r="AM246" s="29" t="s">
        <v>48</v>
      </c>
      <c r="AN246" s="29" t="s">
        <v>48</v>
      </c>
      <c r="AO246" s="29" t="s">
        <v>48</v>
      </c>
      <c r="AP246" s="47" t="s">
        <v>310</v>
      </c>
      <c r="AQ246" s="28">
        <v>0</v>
      </c>
      <c r="AR246" s="26">
        <v>1.4999999999999999E-2</v>
      </c>
      <c r="AS246" s="26">
        <v>0</v>
      </c>
    </row>
    <row r="247" spans="1:45" x14ac:dyDescent="0.15">
      <c r="A247" s="64">
        <v>832</v>
      </c>
      <c r="B247" s="64">
        <v>823</v>
      </c>
      <c r="C247" s="11">
        <v>550002</v>
      </c>
      <c r="D247" s="61">
        <v>653</v>
      </c>
      <c r="E247" s="61">
        <v>-2.54206039820753E-3</v>
      </c>
      <c r="F247" s="61">
        <v>96</v>
      </c>
      <c r="G247" s="61">
        <v>4.0901091323767999E-2</v>
      </c>
      <c r="H247" s="66">
        <v>237</v>
      </c>
      <c r="I247" s="66" t="str">
        <f>H247&amp;"/"&amp;428</f>
        <v>237/428</v>
      </c>
      <c r="J247" s="68">
        <f>H247/428</f>
        <v>0.55373831775700932</v>
      </c>
      <c r="K247" s="18" t="s">
        <v>44</v>
      </c>
      <c r="L247" s="18" t="s">
        <v>45</v>
      </c>
      <c r="M247" s="58" t="s">
        <v>274</v>
      </c>
      <c r="N247" s="18">
        <f>[1]!f_prt_stocktonav(C247,"2017/03/31")</f>
        <v>75.832595825195313</v>
      </c>
      <c r="O247" s="20" t="str">
        <f>[1]!f_info_fundmanager(C247)</f>
        <v>王睿</v>
      </c>
      <c r="P247" s="21">
        <v>1.8410958904109589</v>
      </c>
      <c r="Q247" s="34" t="s">
        <v>3235</v>
      </c>
      <c r="R247" s="34" t="s">
        <v>3236</v>
      </c>
      <c r="S247" s="34" t="s">
        <v>456</v>
      </c>
      <c r="T247" s="34">
        <v>20061127</v>
      </c>
      <c r="U247" s="45">
        <v>12.665174007299999</v>
      </c>
      <c r="V247" s="46">
        <v>15.913940071000001</v>
      </c>
      <c r="W247" s="34" t="s">
        <v>231</v>
      </c>
      <c r="X247" s="34" t="s">
        <v>44</v>
      </c>
      <c r="Y247" s="34" t="s">
        <v>45</v>
      </c>
      <c r="Z247" s="34" t="s">
        <v>274</v>
      </c>
      <c r="AA247" s="34"/>
      <c r="AB247" s="34"/>
      <c r="AC247" s="22">
        <v>0.81048583984375</v>
      </c>
      <c r="AD247" s="23" t="s">
        <v>3237</v>
      </c>
      <c r="AE247" s="24">
        <v>1.6109589041095891</v>
      </c>
      <c r="AF247" s="25">
        <v>0.13045731716210152</v>
      </c>
      <c r="AG247" s="26">
        <v>0.15428034288503101</v>
      </c>
      <c r="AH247" s="26">
        <v>0.14104771108533565</v>
      </c>
      <c r="AI247" s="27">
        <v>0.52506478669358181</v>
      </c>
      <c r="AJ247" s="27">
        <v>0.54441830943098302</v>
      </c>
      <c r="AK247" s="27">
        <v>0.55904562075852471</v>
      </c>
      <c r="AL247" s="28" t="s">
        <v>3238</v>
      </c>
      <c r="AM247" s="29">
        <v>3</v>
      </c>
      <c r="AN247" s="29">
        <v>4</v>
      </c>
      <c r="AO247" s="29" t="s">
        <v>48</v>
      </c>
      <c r="AP247" s="47" t="s">
        <v>310</v>
      </c>
      <c r="AQ247" s="28">
        <v>0</v>
      </c>
      <c r="AR247" s="26">
        <v>1.4999999999999999E-2</v>
      </c>
      <c r="AS247" s="26">
        <v>0</v>
      </c>
    </row>
    <row r="248" spans="1:45" x14ac:dyDescent="0.15">
      <c r="A248" s="64">
        <v>655</v>
      </c>
      <c r="B248" s="64">
        <v>652</v>
      </c>
      <c r="C248" s="11">
        <v>620006</v>
      </c>
      <c r="D248" s="61">
        <v>654</v>
      </c>
      <c r="E248" s="61">
        <v>-2.5526851163313901E-3</v>
      </c>
      <c r="F248" s="61">
        <v>76</v>
      </c>
      <c r="G248" s="61">
        <v>0.19868815746718099</v>
      </c>
      <c r="H248" s="66">
        <v>238</v>
      </c>
      <c r="I248" s="66" t="str">
        <f>H248&amp;"/"&amp;428</f>
        <v>238/428</v>
      </c>
      <c r="J248" s="68">
        <f>H248/428</f>
        <v>0.55607476635514019</v>
      </c>
      <c r="K248" s="18" t="s">
        <v>44</v>
      </c>
      <c r="L248" s="18" t="s">
        <v>87</v>
      </c>
      <c r="M248" s="58" t="s">
        <v>274</v>
      </c>
      <c r="N248" s="18">
        <f>[1]!f_prt_stocktonav(C248,"2017/03/31")</f>
        <v>81.364921569824219</v>
      </c>
      <c r="O248" s="20" t="str">
        <f>[1]!f_info_fundmanager(C248)</f>
        <v>闵杭</v>
      </c>
      <c r="P248" s="21">
        <v>1.4575342465753425</v>
      </c>
      <c r="Q248" s="34" t="s">
        <v>2638</v>
      </c>
      <c r="R248" s="34" t="s">
        <v>2639</v>
      </c>
      <c r="S248" s="34" t="s">
        <v>2275</v>
      </c>
      <c r="T248" s="34">
        <v>20100915</v>
      </c>
      <c r="U248" s="45">
        <v>0.1614777828</v>
      </c>
      <c r="V248" s="46">
        <v>0.1703709679</v>
      </c>
      <c r="W248" s="34" t="s">
        <v>3776</v>
      </c>
      <c r="X248" s="34" t="s">
        <v>44</v>
      </c>
      <c r="Y248" s="34" t="s">
        <v>87</v>
      </c>
      <c r="Z248" s="34" t="s">
        <v>274</v>
      </c>
      <c r="AA248" s="34" t="s">
        <v>3818</v>
      </c>
      <c r="AB248" s="34"/>
      <c r="AC248" s="22">
        <v>0.80512374877929682</v>
      </c>
      <c r="AD248" s="23" t="s">
        <v>2277</v>
      </c>
      <c r="AE248" s="24">
        <v>1.2273972602739727</v>
      </c>
      <c r="AF248" s="25">
        <v>-2.2752135453552258E-2</v>
      </c>
      <c r="AG248" s="26">
        <v>-1.459243434680968E-2</v>
      </c>
      <c r="AH248" s="26">
        <v>1.3726849493490123E-2</v>
      </c>
      <c r="AI248" s="27">
        <v>-1.5385175289330614E-2</v>
      </c>
      <c r="AJ248" s="27">
        <v>7.8783574739581169E-2</v>
      </c>
      <c r="AK248" s="27">
        <v>0.13805713573957457</v>
      </c>
      <c r="AL248" s="33" t="s">
        <v>110</v>
      </c>
      <c r="AM248" s="29">
        <v>1</v>
      </c>
      <c r="AN248" s="29">
        <v>2</v>
      </c>
      <c r="AO248" s="29" t="s">
        <v>48</v>
      </c>
      <c r="AP248" s="47" t="s">
        <v>2640</v>
      </c>
      <c r="AQ248" s="28">
        <v>0</v>
      </c>
      <c r="AR248" s="26">
        <v>1.4999999999999999E-2</v>
      </c>
      <c r="AS248" s="26">
        <v>0</v>
      </c>
    </row>
    <row r="249" spans="1:45" x14ac:dyDescent="0.15">
      <c r="A249" s="64">
        <v>460</v>
      </c>
      <c r="B249" s="64">
        <v>831</v>
      </c>
      <c r="C249" s="11">
        <v>534</v>
      </c>
      <c r="D249" s="61">
        <v>656</v>
      </c>
      <c r="E249" s="61">
        <v>-2.5688371096890699E-3</v>
      </c>
      <c r="F249" s="61">
        <v>101</v>
      </c>
      <c r="G249" s="61">
        <v>7.82076351195332E-2</v>
      </c>
      <c r="H249" s="66">
        <v>239</v>
      </c>
      <c r="I249" s="66" t="str">
        <f>H249&amp;"/"&amp;428</f>
        <v>239/428</v>
      </c>
      <c r="J249" s="68">
        <f>H249/428</f>
        <v>0.55841121495327106</v>
      </c>
      <c r="K249" s="18" t="s">
        <v>44</v>
      </c>
      <c r="L249" s="18" t="s">
        <v>45</v>
      </c>
      <c r="M249" s="58" t="s">
        <v>274</v>
      </c>
      <c r="N249" s="18">
        <f>[1]!f_prt_stocktonav(C249,"2017/03/31")</f>
        <v>75.631011962890625</v>
      </c>
      <c r="O249" s="20" t="str">
        <f>[1]!f_info_fundmanager(C249)</f>
        <v>冯雨生</v>
      </c>
      <c r="P249" s="21">
        <v>1.9287671232876713</v>
      </c>
      <c r="Q249" s="34" t="s">
        <v>1954</v>
      </c>
      <c r="R249" s="34" t="s">
        <v>1955</v>
      </c>
      <c r="S249" s="34" t="s">
        <v>364</v>
      </c>
      <c r="T249" s="34">
        <v>20140325</v>
      </c>
      <c r="U249" s="45">
        <v>5.1594591733000001</v>
      </c>
      <c r="V249" s="46">
        <v>5.4788817787999999</v>
      </c>
      <c r="W249" s="34" t="s">
        <v>3789</v>
      </c>
      <c r="X249" s="34" t="s">
        <v>44</v>
      </c>
      <c r="Y249" s="34" t="s">
        <v>45</v>
      </c>
      <c r="Z249" s="34" t="s">
        <v>274</v>
      </c>
      <c r="AA249" s="34"/>
      <c r="AB249" s="34"/>
      <c r="AC249" s="22">
        <v>0.78164215087890621</v>
      </c>
      <c r="AD249" s="23" t="s">
        <v>1956</v>
      </c>
      <c r="AE249" s="24">
        <v>1.6986301369863013</v>
      </c>
      <c r="AF249" s="25">
        <v>0.16805972762723775</v>
      </c>
      <c r="AG249" s="26">
        <v>0</v>
      </c>
      <c r="AH249" s="26">
        <v>0</v>
      </c>
      <c r="AI249" s="27">
        <v>0.62795735491228044</v>
      </c>
      <c r="AJ249" s="27">
        <v>0.62795735491228044</v>
      </c>
      <c r="AK249" s="27">
        <v>0.62795735491228044</v>
      </c>
      <c r="AL249" s="28" t="s">
        <v>1957</v>
      </c>
      <c r="AM249" s="29" t="s">
        <v>48</v>
      </c>
      <c r="AN249" s="29" t="s">
        <v>48</v>
      </c>
      <c r="AO249" s="29" t="s">
        <v>48</v>
      </c>
      <c r="AP249" s="47" t="s">
        <v>367</v>
      </c>
      <c r="AQ249" s="28">
        <v>0</v>
      </c>
      <c r="AR249" s="26">
        <v>1.4999999999999999E-2</v>
      </c>
      <c r="AS249" s="26">
        <v>0</v>
      </c>
    </row>
    <row r="250" spans="1:45" x14ac:dyDescent="0.15">
      <c r="A250" s="64">
        <v>45</v>
      </c>
      <c r="B250" s="64">
        <v>277</v>
      </c>
      <c r="C250" s="11">
        <v>1667</v>
      </c>
      <c r="D250" s="61">
        <v>659</v>
      </c>
      <c r="E250" s="61">
        <v>-2.6156564891328402E-3</v>
      </c>
      <c r="F250" s="61">
        <v>31</v>
      </c>
      <c r="G250" s="61">
        <v>5.9426683798434E-2</v>
      </c>
      <c r="H250" s="66">
        <v>240</v>
      </c>
      <c r="I250" s="66" t="str">
        <f>H250&amp;"/"&amp;428</f>
        <v>240/428</v>
      </c>
      <c r="J250" s="68">
        <f>H250/428</f>
        <v>0.56074766355140182</v>
      </c>
      <c r="K250" s="18" t="s">
        <v>44</v>
      </c>
      <c r="L250" s="54" t="s">
        <v>45</v>
      </c>
      <c r="M250" s="60" t="s">
        <v>274</v>
      </c>
      <c r="N250" s="18">
        <f>[1]!f_prt_stocktonav(C250,"2017/03/31")</f>
        <v>89.879364013671875</v>
      </c>
      <c r="O250" s="20" t="str">
        <f>[1]!f_info_fundmanager(C250)</f>
        <v>张旭</v>
      </c>
      <c r="P250" s="21">
        <v>0.61917808219178083</v>
      </c>
      <c r="Q250" s="34" t="s">
        <v>282</v>
      </c>
      <c r="R250" s="34" t="s">
        <v>283</v>
      </c>
      <c r="S250" s="34" t="s">
        <v>284</v>
      </c>
      <c r="T250" s="34">
        <v>20160817</v>
      </c>
      <c r="U250" s="45">
        <v>10.433934929199999</v>
      </c>
      <c r="V250" s="46">
        <v>12.958664881000001</v>
      </c>
      <c r="W250" s="34" t="s">
        <v>201</v>
      </c>
      <c r="X250" s="34" t="s">
        <v>44</v>
      </c>
      <c r="Y250" s="34" t="s">
        <v>45</v>
      </c>
      <c r="Z250" s="34" t="s">
        <v>65</v>
      </c>
      <c r="AA250" s="34"/>
      <c r="AB250" s="53"/>
      <c r="AC250" s="22">
        <v>0.75958442687988281</v>
      </c>
      <c r="AD250" s="23" t="s">
        <v>285</v>
      </c>
      <c r="AE250" s="24">
        <v>0.38904109589041097</v>
      </c>
      <c r="AF250" s="25">
        <v>-0.14474977723058202</v>
      </c>
      <c r="AG250" s="26">
        <v>0</v>
      </c>
      <c r="AH250" s="26">
        <v>0</v>
      </c>
      <c r="AI250" s="27">
        <v>-1.9099735945719096</v>
      </c>
      <c r="AJ250" s="27">
        <v>-1.9099735945719096</v>
      </c>
      <c r="AK250" s="27">
        <v>-1.9099735945719096</v>
      </c>
      <c r="AL250" s="28" t="s">
        <v>286</v>
      </c>
      <c r="AM250" s="29" t="s">
        <v>48</v>
      </c>
      <c r="AN250" s="29" t="s">
        <v>48</v>
      </c>
      <c r="AO250" s="29" t="s">
        <v>48</v>
      </c>
      <c r="AP250" s="47" t="s">
        <v>287</v>
      </c>
      <c r="AQ250" s="28">
        <v>0</v>
      </c>
      <c r="AR250" s="26">
        <v>1.4999999999999999E-2</v>
      </c>
      <c r="AS250" s="26">
        <v>0</v>
      </c>
    </row>
    <row r="251" spans="1:45" x14ac:dyDescent="0.15">
      <c r="A251" s="64">
        <v>426</v>
      </c>
      <c r="B251" s="64">
        <v>490</v>
      </c>
      <c r="C251" s="11">
        <v>477</v>
      </c>
      <c r="D251" s="61">
        <v>660</v>
      </c>
      <c r="E251" s="61">
        <v>-2.6459308404421199E-3</v>
      </c>
      <c r="F251" s="61">
        <v>137</v>
      </c>
      <c r="G251" s="61">
        <v>7.3122951502334693E-2</v>
      </c>
      <c r="H251" s="66">
        <v>241</v>
      </c>
      <c r="I251" s="66" t="str">
        <f>H251&amp;"/"&amp;428</f>
        <v>241/428</v>
      </c>
      <c r="J251" s="68">
        <f>H251/428</f>
        <v>0.56308411214953269</v>
      </c>
      <c r="K251" s="18" t="s">
        <v>44</v>
      </c>
      <c r="L251" s="18" t="s">
        <v>87</v>
      </c>
      <c r="M251" s="58" t="s">
        <v>274</v>
      </c>
      <c r="N251" s="18">
        <f>[1]!f_prt_stocktonav(C251,"2017/03/31")</f>
        <v>85.5328369140625</v>
      </c>
      <c r="O251" s="20" t="str">
        <f>[1]!f_info_fundmanager(C251)</f>
        <v>李巍</v>
      </c>
      <c r="P251" s="21">
        <v>2.6684931506849314</v>
      </c>
      <c r="Q251" s="34" t="s">
        <v>1827</v>
      </c>
      <c r="R251" s="34" t="s">
        <v>1828</v>
      </c>
      <c r="S251" s="34" t="s">
        <v>132</v>
      </c>
      <c r="T251" s="34">
        <v>20140731</v>
      </c>
      <c r="U251" s="45">
        <v>18.823828752200001</v>
      </c>
      <c r="V251" s="46">
        <v>20.280788844500002</v>
      </c>
      <c r="W251" s="34" t="s">
        <v>3776</v>
      </c>
      <c r="X251" s="34" t="s">
        <v>44</v>
      </c>
      <c r="Y251" s="34" t="s">
        <v>45</v>
      </c>
      <c r="Z251" s="34" t="s">
        <v>274</v>
      </c>
      <c r="AA251" s="34"/>
      <c r="AB251" s="34"/>
      <c r="AC251" s="22">
        <v>0.90427474975585942</v>
      </c>
      <c r="AD251" s="23" t="s">
        <v>1829</v>
      </c>
      <c r="AE251" s="24">
        <v>2.4383561643835616</v>
      </c>
      <c r="AF251" s="25">
        <v>0.22293248414808597</v>
      </c>
      <c r="AG251" s="26">
        <v>0</v>
      </c>
      <c r="AH251" s="26">
        <v>0</v>
      </c>
      <c r="AI251" s="27">
        <v>0.68137550526314339</v>
      </c>
      <c r="AJ251" s="27">
        <v>0.68137550526314339</v>
      </c>
      <c r="AK251" s="27">
        <v>0.68137550526314339</v>
      </c>
      <c r="AL251" s="28" t="s">
        <v>1830</v>
      </c>
      <c r="AM251" s="29" t="s">
        <v>48</v>
      </c>
      <c r="AN251" s="29" t="s">
        <v>48</v>
      </c>
      <c r="AO251" s="29" t="s">
        <v>48</v>
      </c>
      <c r="AP251" s="47" t="s">
        <v>1831</v>
      </c>
      <c r="AQ251" s="28">
        <v>0</v>
      </c>
      <c r="AR251" s="26">
        <v>1.4999999999999999E-2</v>
      </c>
      <c r="AS251" s="26">
        <v>0</v>
      </c>
    </row>
    <row r="252" spans="1:45" x14ac:dyDescent="0.15">
      <c r="A252" s="64">
        <v>126</v>
      </c>
      <c r="B252" s="64">
        <v>129</v>
      </c>
      <c r="C252" s="11">
        <v>519172</v>
      </c>
      <c r="D252" s="61">
        <v>661</v>
      </c>
      <c r="E252" s="61">
        <v>-2.6517144374867498E-3</v>
      </c>
      <c r="F252" s="61">
        <v>58</v>
      </c>
      <c r="G252" s="61">
        <v>0.125597709554672</v>
      </c>
      <c r="H252" s="66">
        <v>242</v>
      </c>
      <c r="I252" s="66" t="str">
        <f>H252&amp;"/"&amp;428</f>
        <v>242/428</v>
      </c>
      <c r="J252" s="68">
        <f>H252/428</f>
        <v>0.56542056074766356</v>
      </c>
      <c r="K252" s="18" t="s">
        <v>44</v>
      </c>
      <c r="L252" s="18" t="s">
        <v>45</v>
      </c>
      <c r="M252" s="58" t="s">
        <v>274</v>
      </c>
      <c r="N252" s="18">
        <f>[1]!f_prt_stocktonav(C252,"2017/03/31")</f>
        <v>93.096138000488281</v>
      </c>
      <c r="O252" s="20" t="str">
        <f>[1]!f_info_fundmanager(C252)</f>
        <v>吴勇</v>
      </c>
      <c r="P252" s="21">
        <v>1.1561643835616437</v>
      </c>
      <c r="Q252" s="34" t="s">
        <v>647</v>
      </c>
      <c r="R252" s="34" t="s">
        <v>648</v>
      </c>
      <c r="S252" s="34" t="s">
        <v>649</v>
      </c>
      <c r="T252" s="34">
        <v>20160203</v>
      </c>
      <c r="U252" s="45">
        <v>2.2434723243999999</v>
      </c>
      <c r="V252" s="46">
        <v>2.5211320308</v>
      </c>
      <c r="W252" s="34" t="s">
        <v>3776</v>
      </c>
      <c r="X252" s="34" t="s">
        <v>44</v>
      </c>
      <c r="Y252" s="17" t="s">
        <v>45</v>
      </c>
      <c r="Z252" s="17" t="s">
        <v>65</v>
      </c>
      <c r="AA252" s="34"/>
      <c r="AB252" s="34"/>
      <c r="AC252" s="22">
        <v>0.9185894775390625</v>
      </c>
      <c r="AD252" s="23" t="s">
        <v>650</v>
      </c>
      <c r="AE252" s="24">
        <v>0.92602739726027394</v>
      </c>
      <c r="AF252" s="25">
        <v>0.11344008671776074</v>
      </c>
      <c r="AG252" s="26">
        <v>0</v>
      </c>
      <c r="AH252" s="26">
        <v>0</v>
      </c>
      <c r="AI252" s="27">
        <v>0.55510964018465103</v>
      </c>
      <c r="AJ252" s="27">
        <v>0.55510964018465103</v>
      </c>
      <c r="AK252" s="27">
        <v>0.55510964018465103</v>
      </c>
      <c r="AL252" s="28" t="s">
        <v>651</v>
      </c>
      <c r="AM252" s="29" t="s">
        <v>48</v>
      </c>
      <c r="AN252" s="29" t="s">
        <v>48</v>
      </c>
      <c r="AO252" s="29" t="s">
        <v>48</v>
      </c>
      <c r="AP252" s="47" t="s">
        <v>652</v>
      </c>
      <c r="AQ252" s="28">
        <v>0</v>
      </c>
      <c r="AR252" s="26">
        <v>1.4999999999999999E-2</v>
      </c>
      <c r="AS252" s="26">
        <v>0</v>
      </c>
    </row>
    <row r="253" spans="1:45" x14ac:dyDescent="0.15">
      <c r="A253" s="64">
        <v>456</v>
      </c>
      <c r="B253" s="64">
        <v>58</v>
      </c>
      <c r="C253" s="11">
        <v>549</v>
      </c>
      <c r="D253" s="61">
        <v>662</v>
      </c>
      <c r="E253" s="61">
        <v>-2.6883761117823799E-3</v>
      </c>
      <c r="F253" s="61">
        <v>152</v>
      </c>
      <c r="G253" s="61">
        <v>4.1335029565672803E-2</v>
      </c>
      <c r="H253" s="66">
        <v>243</v>
      </c>
      <c r="I253" s="66" t="str">
        <f>H253&amp;"/"&amp;428</f>
        <v>243/428</v>
      </c>
      <c r="J253" s="68">
        <f>H253/428</f>
        <v>0.56775700934579443</v>
      </c>
      <c r="K253" s="18" t="s">
        <v>44</v>
      </c>
      <c r="L253" s="18" t="s">
        <v>45</v>
      </c>
      <c r="M253" s="58" t="s">
        <v>274</v>
      </c>
      <c r="N253" s="18">
        <f>[1]!f_prt_stocktonav(C253,"2017/03/31")</f>
        <v>94.214027404785156</v>
      </c>
      <c r="O253" s="20" t="str">
        <f>[1]!f_info_fundmanager(C253)</f>
        <v>翁启森</v>
      </c>
      <c r="P253" s="21">
        <v>2.9616438356164383</v>
      </c>
      <c r="Q253" s="34" t="s">
        <v>1939</v>
      </c>
      <c r="R253" s="34" t="s">
        <v>1940</v>
      </c>
      <c r="S253" s="34" t="s">
        <v>63</v>
      </c>
      <c r="T253" s="34">
        <v>20140414</v>
      </c>
      <c r="U253" s="45">
        <v>2.9500984250000002</v>
      </c>
      <c r="V253" s="46">
        <v>3.7648692648000002</v>
      </c>
      <c r="W253" s="34" t="s">
        <v>3776</v>
      </c>
      <c r="X253" s="34" t="s">
        <v>44</v>
      </c>
      <c r="Y253" s="34" t="s">
        <v>45</v>
      </c>
      <c r="Z253" s="34" t="s">
        <v>274</v>
      </c>
      <c r="AA253" s="34"/>
      <c r="AB253" s="34"/>
      <c r="AC253" s="22">
        <v>0.92505874633789065</v>
      </c>
      <c r="AD253" s="23" t="s">
        <v>1516</v>
      </c>
      <c r="AE253" s="24">
        <v>2.7315068493150685</v>
      </c>
      <c r="AF253" s="25">
        <v>0.20823406472441053</v>
      </c>
      <c r="AG253" s="26">
        <v>0</v>
      </c>
      <c r="AH253" s="26">
        <v>0</v>
      </c>
      <c r="AI253" s="27">
        <v>0.65547639358386922</v>
      </c>
      <c r="AJ253" s="27">
        <v>0.65547639358386922</v>
      </c>
      <c r="AK253" s="27">
        <v>0.65547639358386922</v>
      </c>
      <c r="AL253" s="28" t="s">
        <v>1941</v>
      </c>
      <c r="AM253" s="29" t="s">
        <v>48</v>
      </c>
      <c r="AN253" s="29" t="s">
        <v>48</v>
      </c>
      <c r="AO253" s="29" t="s">
        <v>48</v>
      </c>
      <c r="AP253" s="47" t="s">
        <v>1942</v>
      </c>
      <c r="AQ253" s="28">
        <v>0</v>
      </c>
      <c r="AR253" s="26">
        <v>1.4999999999999999E-2</v>
      </c>
      <c r="AS253" s="26">
        <v>0</v>
      </c>
    </row>
    <row r="254" spans="1:45" x14ac:dyDescent="0.15">
      <c r="A254" s="64">
        <v>756</v>
      </c>
      <c r="B254" s="64">
        <v>827</v>
      </c>
      <c r="C254" s="11">
        <v>180013</v>
      </c>
      <c r="D254" s="61">
        <v>663</v>
      </c>
      <c r="E254" s="61">
        <v>-2.6918919806413499E-3</v>
      </c>
      <c r="F254" s="61">
        <v>100</v>
      </c>
      <c r="G254" s="61">
        <v>4.8395398853368299E-2</v>
      </c>
      <c r="H254" s="66">
        <v>244</v>
      </c>
      <c r="I254" s="66" t="str">
        <f>H254&amp;"/"&amp;428</f>
        <v>244/428</v>
      </c>
      <c r="J254" s="68">
        <f>H254/428</f>
        <v>0.57009345794392519</v>
      </c>
      <c r="K254" s="18" t="s">
        <v>44</v>
      </c>
      <c r="L254" s="18" t="s">
        <v>45</v>
      </c>
      <c r="M254" s="58" t="s">
        <v>274</v>
      </c>
      <c r="N254" s="18">
        <f>[1]!f_prt_stocktonav(C254,"2017/03/31")</f>
        <v>75.783401489257813</v>
      </c>
      <c r="O254" s="20" t="str">
        <f>[1]!f_info_fundmanager(C254)</f>
        <v>倪明</v>
      </c>
      <c r="P254" s="21">
        <v>1.904109589041096</v>
      </c>
      <c r="Q254" s="34" t="s">
        <v>2970</v>
      </c>
      <c r="R254" s="34" t="s">
        <v>2971</v>
      </c>
      <c r="S254" s="34" t="s">
        <v>57</v>
      </c>
      <c r="T254" s="34">
        <v>20080820</v>
      </c>
      <c r="U254" s="45">
        <v>12.2690418224</v>
      </c>
      <c r="V254" s="46">
        <v>13.074713341200001</v>
      </c>
      <c r="W254" s="34" t="s">
        <v>231</v>
      </c>
      <c r="X254" s="34" t="s">
        <v>44</v>
      </c>
      <c r="Y254" s="34" t="s">
        <v>45</v>
      </c>
      <c r="Z254" s="34" t="s">
        <v>274</v>
      </c>
      <c r="AA254" s="34"/>
      <c r="AB254" s="34"/>
      <c r="AC254" s="22">
        <v>0.86079421997070316</v>
      </c>
      <c r="AD254" s="23" t="s">
        <v>2835</v>
      </c>
      <c r="AE254" s="24">
        <v>1.6739726027397259</v>
      </c>
      <c r="AF254" s="25">
        <v>0.13100597342982523</v>
      </c>
      <c r="AG254" s="26">
        <v>0.23419219365318475</v>
      </c>
      <c r="AH254" s="26">
        <v>0.16221157783928031</v>
      </c>
      <c r="AI254" s="27">
        <v>0.56569314604442145</v>
      </c>
      <c r="AJ254" s="27">
        <v>0.83026323880264641</v>
      </c>
      <c r="AK254" s="27">
        <v>0.6679025140358601</v>
      </c>
      <c r="AL254" s="28" t="s">
        <v>882</v>
      </c>
      <c r="AM254" s="29">
        <v>5</v>
      </c>
      <c r="AN254" s="29">
        <v>4</v>
      </c>
      <c r="AO254" s="29" t="s">
        <v>48</v>
      </c>
      <c r="AP254" s="47" t="s">
        <v>2972</v>
      </c>
      <c r="AQ254" s="28">
        <v>0</v>
      </c>
      <c r="AR254" s="26">
        <v>1.4999999999999999E-2</v>
      </c>
      <c r="AS254" s="26">
        <v>0</v>
      </c>
    </row>
    <row r="255" spans="1:45" x14ac:dyDescent="0.15">
      <c r="A255" s="64">
        <v>917</v>
      </c>
      <c r="B255" s="64">
        <v>244</v>
      </c>
      <c r="C255" s="11">
        <v>100020</v>
      </c>
      <c r="D255" s="61">
        <v>665</v>
      </c>
      <c r="E255" s="61">
        <v>-2.7296813389350201E-3</v>
      </c>
      <c r="F255" s="61">
        <v>155</v>
      </c>
      <c r="G255" s="61">
        <v>8.6191067697616898E-3</v>
      </c>
      <c r="H255" s="66">
        <v>245</v>
      </c>
      <c r="I255" s="66" t="str">
        <f>H255&amp;"/"&amp;428</f>
        <v>245/428</v>
      </c>
      <c r="J255" s="68">
        <f>H255/428</f>
        <v>0.57242990654205606</v>
      </c>
      <c r="K255" s="18" t="s">
        <v>44</v>
      </c>
      <c r="L255" s="18" t="s">
        <v>45</v>
      </c>
      <c r="M255" s="58" t="s">
        <v>274</v>
      </c>
      <c r="N255" s="18">
        <f>[1]!f_prt_stocktonav(C255,"2017/03/31")</f>
        <v>90.700599670410156</v>
      </c>
      <c r="O255" s="20" t="str">
        <f>[1]!f_info_fundmanager(C255)</f>
        <v>李晓铭,许炎</v>
      </c>
      <c r="P255" s="21">
        <v>2.9616438356164383</v>
      </c>
      <c r="Q255" s="34" t="s">
        <v>3561</v>
      </c>
      <c r="R255" s="34" t="s">
        <v>3562</v>
      </c>
      <c r="S255" s="34" t="s">
        <v>396</v>
      </c>
      <c r="T255" s="34">
        <v>20040615</v>
      </c>
      <c r="U255" s="45">
        <v>29.2088171704</v>
      </c>
      <c r="V255" s="46">
        <v>29.2417063963</v>
      </c>
      <c r="W255" s="34" t="s">
        <v>231</v>
      </c>
      <c r="X255" s="34" t="s">
        <v>44</v>
      </c>
      <c r="Y255" s="34" t="s">
        <v>45</v>
      </c>
      <c r="Z255" s="34" t="s">
        <v>274</v>
      </c>
      <c r="AA255" s="34"/>
      <c r="AB255" s="34"/>
      <c r="AC255" s="22">
        <v>0.91091697692871099</v>
      </c>
      <c r="AD255" s="23" t="s">
        <v>3563</v>
      </c>
      <c r="AE255" s="24">
        <v>2.7315068493150685</v>
      </c>
      <c r="AF255" s="25">
        <v>0.18539975963403776</v>
      </c>
      <c r="AG255" s="26">
        <v>0.14636138077350558</v>
      </c>
      <c r="AH255" s="26">
        <v>0.11178323127568991</v>
      </c>
      <c r="AI255" s="27">
        <v>0.76343924521460216</v>
      </c>
      <c r="AJ255" s="27">
        <v>0.56970988209059037</v>
      </c>
      <c r="AK255" s="27">
        <v>0.48449563460888256</v>
      </c>
      <c r="AL255" s="28" t="s">
        <v>3564</v>
      </c>
      <c r="AM255" s="29">
        <v>2</v>
      </c>
      <c r="AN255" s="29">
        <v>2</v>
      </c>
      <c r="AO255" s="29" t="s">
        <v>48</v>
      </c>
      <c r="AP255" s="47" t="s">
        <v>3565</v>
      </c>
      <c r="AQ255" s="28" t="s">
        <v>3566</v>
      </c>
      <c r="AR255" s="26">
        <v>1.4999999999999999E-2</v>
      </c>
      <c r="AS255" s="26">
        <v>0</v>
      </c>
    </row>
    <row r="256" spans="1:45" x14ac:dyDescent="0.15">
      <c r="A256" s="64">
        <v>271</v>
      </c>
      <c r="B256" s="64">
        <v>840</v>
      </c>
      <c r="C256" s="11">
        <v>1300</v>
      </c>
      <c r="D256" s="61">
        <v>666</v>
      </c>
      <c r="E256" s="61">
        <v>-2.7308095108928999E-3</v>
      </c>
      <c r="F256" s="61">
        <v>80</v>
      </c>
      <c r="G256" s="61">
        <v>0.14631944566965099</v>
      </c>
      <c r="H256" s="66">
        <v>246</v>
      </c>
      <c r="I256" s="66" t="str">
        <f>H256&amp;"/"&amp;428</f>
        <v>246/428</v>
      </c>
      <c r="J256" s="68">
        <f>H256/428</f>
        <v>0.57476635514018692</v>
      </c>
      <c r="K256" s="18" t="s">
        <v>44</v>
      </c>
      <c r="L256" s="18" t="s">
        <v>45</v>
      </c>
      <c r="M256" s="58" t="s">
        <v>274</v>
      </c>
      <c r="N256" s="18">
        <f>[1]!f_prt_stocktonav(C256,"2017/03/31")</f>
        <v>75.011817932128906</v>
      </c>
      <c r="O256" s="20" t="str">
        <f>[1]!f_info_fundmanager(C256)</f>
        <v>李本刚</v>
      </c>
      <c r="P256" s="21">
        <v>1.5342465753424657</v>
      </c>
      <c r="Q256" s="34" t="s">
        <v>1247</v>
      </c>
      <c r="R256" s="34" t="s">
        <v>1248</v>
      </c>
      <c r="S256" s="34" t="s">
        <v>486</v>
      </c>
      <c r="T256" s="34">
        <v>20150526</v>
      </c>
      <c r="U256" s="45">
        <v>17.2824759529</v>
      </c>
      <c r="V256" s="46">
        <v>19.393742763199999</v>
      </c>
      <c r="W256" s="34" t="s">
        <v>3776</v>
      </c>
      <c r="X256" s="34" t="s">
        <v>44</v>
      </c>
      <c r="Y256" s="34" t="s">
        <v>45</v>
      </c>
      <c r="Z256" s="34" t="s">
        <v>274</v>
      </c>
      <c r="AA256" s="34"/>
      <c r="AB256" s="34"/>
      <c r="AC256" s="22">
        <v>0.85939498901367184</v>
      </c>
      <c r="AD256" s="23" t="s">
        <v>1249</v>
      </c>
      <c r="AE256" s="24">
        <v>1.3041095890410959</v>
      </c>
      <c r="AF256" s="25">
        <v>-0.18011230493337174</v>
      </c>
      <c r="AG256" s="26">
        <v>0</v>
      </c>
      <c r="AH256" s="26">
        <v>0</v>
      </c>
      <c r="AI256" s="27">
        <v>-0.56483317391681875</v>
      </c>
      <c r="AJ256" s="27">
        <v>-0.56483317391681875</v>
      </c>
      <c r="AK256" s="27">
        <v>-0.56483317391681875</v>
      </c>
      <c r="AL256" s="28" t="s">
        <v>907</v>
      </c>
      <c r="AM256" s="29" t="s">
        <v>48</v>
      </c>
      <c r="AN256" s="29" t="s">
        <v>48</v>
      </c>
      <c r="AO256" s="29" t="s">
        <v>48</v>
      </c>
      <c r="AP256" s="47" t="s">
        <v>101</v>
      </c>
      <c r="AQ256" s="28">
        <v>0</v>
      </c>
      <c r="AR256" s="26">
        <v>1.4999999999999999E-2</v>
      </c>
      <c r="AS256" s="26">
        <v>0</v>
      </c>
    </row>
    <row r="257" spans="1:45" x14ac:dyDescent="0.15">
      <c r="A257" s="64">
        <v>913</v>
      </c>
      <c r="B257" s="64">
        <v>904</v>
      </c>
      <c r="C257" s="11">
        <v>290002</v>
      </c>
      <c r="D257" s="61">
        <v>667</v>
      </c>
      <c r="E257" s="61">
        <v>-2.7417081517261402E-3</v>
      </c>
      <c r="F257" s="61">
        <v>265</v>
      </c>
      <c r="G257" s="61">
        <v>2.8339941521595799E-3</v>
      </c>
      <c r="H257" s="66">
        <v>247</v>
      </c>
      <c r="I257" s="66" t="str">
        <f>H257&amp;"/"&amp;428</f>
        <v>247/428</v>
      </c>
      <c r="J257" s="68">
        <f>H257/428</f>
        <v>0.57710280373831779</v>
      </c>
      <c r="K257" s="18" t="s">
        <v>44</v>
      </c>
      <c r="L257" s="18" t="s">
        <v>86</v>
      </c>
      <c r="M257" s="58" t="s">
        <v>274</v>
      </c>
      <c r="N257" s="18">
        <f>[1]!f_prt_stocktonav(C257,"2017/03/31")</f>
        <v>72.4007568359375</v>
      </c>
      <c r="O257" s="20" t="str">
        <f>[1]!f_info_fundmanager(C257)</f>
        <v>袁园,王博强</v>
      </c>
      <c r="P257" s="21">
        <v>5.0849315068493155</v>
      </c>
      <c r="Q257" s="34" t="s">
        <v>3545</v>
      </c>
      <c r="R257" s="34" t="s">
        <v>3546</v>
      </c>
      <c r="S257" s="34" t="s">
        <v>889</v>
      </c>
      <c r="T257" s="34">
        <v>20040628</v>
      </c>
      <c r="U257" s="45">
        <v>11.978521150300001</v>
      </c>
      <c r="V257" s="46">
        <v>12.6140894144</v>
      </c>
      <c r="W257" s="34" t="s">
        <v>231</v>
      </c>
      <c r="X257" s="34" t="s">
        <v>44</v>
      </c>
      <c r="Y257" s="34" t="s">
        <v>45</v>
      </c>
      <c r="Z257" s="34" t="s">
        <v>274</v>
      </c>
      <c r="AA257" s="34"/>
      <c r="AB257" s="34"/>
      <c r="AC257" s="22">
        <v>0.79446334838867183</v>
      </c>
      <c r="AD257" s="23" t="s">
        <v>3547</v>
      </c>
      <c r="AE257" s="24">
        <v>4.8547945205479452</v>
      </c>
      <c r="AF257" s="25">
        <v>8.5806616431820526E-2</v>
      </c>
      <c r="AG257" s="26">
        <v>7.3821569664691555E-3</v>
      </c>
      <c r="AH257" s="26">
        <v>5.3142909077306566E-2</v>
      </c>
      <c r="AI257" s="27">
        <v>0.38668100788947563</v>
      </c>
      <c r="AJ257" s="27">
        <v>0.12551224029835983</v>
      </c>
      <c r="AK257" s="27">
        <v>0.27508840428655396</v>
      </c>
      <c r="AL257" s="28" t="s">
        <v>3548</v>
      </c>
      <c r="AM257" s="29">
        <v>3</v>
      </c>
      <c r="AN257" s="29">
        <v>3</v>
      </c>
      <c r="AO257" s="29" t="s">
        <v>48</v>
      </c>
      <c r="AP257" s="47" t="s">
        <v>3549</v>
      </c>
      <c r="AQ257" s="28">
        <v>0</v>
      </c>
      <c r="AR257" s="26">
        <v>1.4999999999999999E-2</v>
      </c>
      <c r="AS257" s="26">
        <v>0</v>
      </c>
    </row>
    <row r="258" spans="1:45" x14ac:dyDescent="0.15">
      <c r="A258" s="64">
        <v>540</v>
      </c>
      <c r="B258" s="64">
        <v>282</v>
      </c>
      <c r="C258" s="11">
        <v>610007</v>
      </c>
      <c r="D258" s="61">
        <v>669</v>
      </c>
      <c r="E258" s="61">
        <v>-2.7505203327262699E-3</v>
      </c>
      <c r="F258" s="61">
        <v>85</v>
      </c>
      <c r="G258" s="61">
        <v>0.12919317421439799</v>
      </c>
      <c r="H258" s="66">
        <v>248</v>
      </c>
      <c r="I258" s="66" t="str">
        <f>H258&amp;"/"&amp;428</f>
        <v>248/428</v>
      </c>
      <c r="J258" s="68">
        <f>H258/428</f>
        <v>0.57943925233644855</v>
      </c>
      <c r="K258" s="18" t="s">
        <v>44</v>
      </c>
      <c r="L258" s="18" t="s">
        <v>45</v>
      </c>
      <c r="M258" s="58" t="s">
        <v>274</v>
      </c>
      <c r="N258" s="18">
        <f>[1]!f_prt_stocktonav(C258,"2017/03/31")</f>
        <v>89.772438049316406</v>
      </c>
      <c r="O258" s="20" t="str">
        <f>[1]!f_info_fundmanager(C258)</f>
        <v>冯士祯,张培培</v>
      </c>
      <c r="P258" s="21">
        <v>1.6164383561643836</v>
      </c>
      <c r="Q258" s="34" t="s">
        <v>2242</v>
      </c>
      <c r="R258" s="34" t="s">
        <v>2243</v>
      </c>
      <c r="S258" s="34" t="s">
        <v>189</v>
      </c>
      <c r="T258" s="34">
        <v>20120904</v>
      </c>
      <c r="U258" s="45">
        <v>0.90634731459999995</v>
      </c>
      <c r="V258" s="46">
        <v>1.079630227</v>
      </c>
      <c r="W258" s="34" t="s">
        <v>3789</v>
      </c>
      <c r="X258" s="34" t="s">
        <v>44</v>
      </c>
      <c r="Y258" s="34" t="s">
        <v>45</v>
      </c>
      <c r="Z258" s="34" t="s">
        <v>274</v>
      </c>
      <c r="AA258" s="34"/>
      <c r="AB258" s="34"/>
      <c r="AC258" s="22">
        <v>0.88542366027832031</v>
      </c>
      <c r="AD258" s="23" t="s">
        <v>2244</v>
      </c>
      <c r="AE258" s="24">
        <v>1.3863013698630138</v>
      </c>
      <c r="AF258" s="25">
        <v>0.13806552938769112</v>
      </c>
      <c r="AG258" s="26">
        <v>0.13918548335301728</v>
      </c>
      <c r="AH258" s="26">
        <v>0</v>
      </c>
      <c r="AI258" s="27">
        <v>0.51410010475758428</v>
      </c>
      <c r="AJ258" s="27">
        <v>0.48487320560821096</v>
      </c>
      <c r="AK258" s="27">
        <v>0.51410010475758428</v>
      </c>
      <c r="AL258" s="28" t="s">
        <v>2245</v>
      </c>
      <c r="AM258" s="29">
        <v>1</v>
      </c>
      <c r="AN258" s="29">
        <v>3</v>
      </c>
      <c r="AO258" s="29" t="s">
        <v>48</v>
      </c>
      <c r="AP258" s="47" t="s">
        <v>1002</v>
      </c>
      <c r="AQ258" s="28">
        <v>0</v>
      </c>
      <c r="AR258" s="26">
        <v>1.4999999999999999E-2</v>
      </c>
      <c r="AS258" s="26">
        <v>0</v>
      </c>
    </row>
    <row r="259" spans="1:45" x14ac:dyDescent="0.15">
      <c r="A259" s="64">
        <v>353</v>
      </c>
      <c r="B259" s="64">
        <v>257</v>
      </c>
      <c r="C259" s="11">
        <v>1018</v>
      </c>
      <c r="D259" s="61">
        <v>672</v>
      </c>
      <c r="E259" s="61">
        <v>-2.7578099591611801E-3</v>
      </c>
      <c r="F259" s="61">
        <v>109</v>
      </c>
      <c r="G259" s="61">
        <v>0.151331676239189</v>
      </c>
      <c r="H259" s="66">
        <v>249</v>
      </c>
      <c r="I259" s="66" t="str">
        <f>H259&amp;"/"&amp;428</f>
        <v>249/428</v>
      </c>
      <c r="J259" s="68">
        <f>H259/428</f>
        <v>0.58177570093457942</v>
      </c>
      <c r="K259" s="18" t="s">
        <v>44</v>
      </c>
      <c r="L259" s="18" t="s">
        <v>45</v>
      </c>
      <c r="M259" s="58" t="s">
        <v>274</v>
      </c>
      <c r="N259" s="18">
        <f>[1]!f_prt_stocktonav(C259,"2017/03/31")</f>
        <v>90.312271118164063</v>
      </c>
      <c r="O259" s="20" t="str">
        <f>[1]!f_info_fundmanager(C259)</f>
        <v>陈皓</v>
      </c>
      <c r="P259" s="21">
        <v>2.1315068493150684</v>
      </c>
      <c r="Q259" s="34" t="s">
        <v>1556</v>
      </c>
      <c r="R259" s="34" t="s">
        <v>1557</v>
      </c>
      <c r="S259" s="34" t="s">
        <v>218</v>
      </c>
      <c r="T259" s="34">
        <v>20150212</v>
      </c>
      <c r="U259" s="45">
        <v>7.4280061487999998</v>
      </c>
      <c r="V259" s="46">
        <v>10.0103911914</v>
      </c>
      <c r="W259" s="34" t="s">
        <v>3776</v>
      </c>
      <c r="X259" s="34" t="s">
        <v>44</v>
      </c>
      <c r="Y259" s="34" t="s">
        <v>45</v>
      </c>
      <c r="Z259" s="34" t="s">
        <v>274</v>
      </c>
      <c r="AA259" s="34"/>
      <c r="AB259" s="34"/>
      <c r="AC259" s="22">
        <v>0.78888046264648437</v>
      </c>
      <c r="AD259" s="23" t="s">
        <v>1133</v>
      </c>
      <c r="AE259" s="24">
        <v>1.9013698630136986</v>
      </c>
      <c r="AF259" s="25">
        <v>0.11542507268738778</v>
      </c>
      <c r="AG259" s="26">
        <v>0</v>
      </c>
      <c r="AH259" s="26">
        <v>0</v>
      </c>
      <c r="AI259" s="27">
        <v>0.44231806439379628</v>
      </c>
      <c r="AJ259" s="27">
        <v>0.44231806439379628</v>
      </c>
      <c r="AK259" s="27">
        <v>0.44231806439379628</v>
      </c>
      <c r="AL259" s="28" t="s">
        <v>1230</v>
      </c>
      <c r="AM259" s="29" t="s">
        <v>48</v>
      </c>
      <c r="AN259" s="29" t="s">
        <v>48</v>
      </c>
      <c r="AO259" s="29" t="s">
        <v>48</v>
      </c>
      <c r="AP259" s="47" t="s">
        <v>1558</v>
      </c>
      <c r="AQ259" s="28">
        <v>0</v>
      </c>
      <c r="AR259" s="26">
        <v>1.4999999999999999E-2</v>
      </c>
      <c r="AS259" s="26">
        <v>0</v>
      </c>
    </row>
    <row r="260" spans="1:45" x14ac:dyDescent="0.15">
      <c r="A260" s="64">
        <v>669</v>
      </c>
      <c r="B260" s="64">
        <v>581</v>
      </c>
      <c r="C260" s="11">
        <v>50014</v>
      </c>
      <c r="D260" s="61">
        <v>676</v>
      </c>
      <c r="E260" s="61">
        <v>-2.7729819170614401E-3</v>
      </c>
      <c r="F260" s="61">
        <v>188</v>
      </c>
      <c r="G260" s="61">
        <v>5.4501722120953904E-3</v>
      </c>
      <c r="H260" s="66">
        <v>250</v>
      </c>
      <c r="I260" s="66" t="str">
        <f>H260&amp;"/"&amp;428</f>
        <v>250/428</v>
      </c>
      <c r="J260" s="68">
        <f>H260/428</f>
        <v>0.58411214953271029</v>
      </c>
      <c r="K260" s="18" t="s">
        <v>44</v>
      </c>
      <c r="L260" s="18" t="s">
        <v>45</v>
      </c>
      <c r="M260" s="58" t="s">
        <v>274</v>
      </c>
      <c r="N260" s="18">
        <f>[1]!f_prt_stocktonav(C260,"2017/03/31")</f>
        <v>83.265151977539063</v>
      </c>
      <c r="O260" s="20" t="str">
        <f>[1]!f_info_fundmanager(C260)</f>
        <v>韩茂华</v>
      </c>
      <c r="P260" s="21">
        <v>3.5972602739726027</v>
      </c>
      <c r="Q260" s="34" t="s">
        <v>2684</v>
      </c>
      <c r="R260" s="34" t="s">
        <v>2685</v>
      </c>
      <c r="S260" s="34" t="s">
        <v>413</v>
      </c>
      <c r="T260" s="34">
        <v>20100601</v>
      </c>
      <c r="U260" s="45">
        <v>4.0898199577999996</v>
      </c>
      <c r="V260" s="46">
        <v>4.2450149071999999</v>
      </c>
      <c r="W260" s="34" t="s">
        <v>1235</v>
      </c>
      <c r="X260" s="34" t="s">
        <v>44</v>
      </c>
      <c r="Y260" s="34" t="s">
        <v>45</v>
      </c>
      <c r="Z260" s="34" t="s">
        <v>274</v>
      </c>
      <c r="AA260" s="34"/>
      <c r="AB260" s="34"/>
      <c r="AC260" s="22">
        <v>0.90509895324707035</v>
      </c>
      <c r="AD260" s="23" t="s">
        <v>2686</v>
      </c>
      <c r="AE260" s="24">
        <v>3.3671232876712329</v>
      </c>
      <c r="AF260" s="25">
        <v>0.1100040172483947</v>
      </c>
      <c r="AG260" s="26">
        <v>0.23472683676244621</v>
      </c>
      <c r="AH260" s="26">
        <v>0.18217324296670778</v>
      </c>
      <c r="AI260" s="27">
        <v>0.47281691916467977</v>
      </c>
      <c r="AJ260" s="27">
        <v>0.75683722958008914</v>
      </c>
      <c r="AK260" s="27">
        <v>0.67935248334343645</v>
      </c>
      <c r="AL260" s="28" t="s">
        <v>2687</v>
      </c>
      <c r="AM260" s="29">
        <v>3</v>
      </c>
      <c r="AN260" s="29">
        <v>3</v>
      </c>
      <c r="AO260" s="29" t="s">
        <v>48</v>
      </c>
      <c r="AP260" s="47" t="s">
        <v>745</v>
      </c>
      <c r="AQ260" s="28" t="s">
        <v>2688</v>
      </c>
      <c r="AR260" s="26">
        <v>1.4999999999999999E-2</v>
      </c>
      <c r="AS260" s="26">
        <v>0</v>
      </c>
    </row>
    <row r="261" spans="1:45" x14ac:dyDescent="0.15">
      <c r="A261" s="64">
        <v>698</v>
      </c>
      <c r="B261" s="64">
        <v>634</v>
      </c>
      <c r="C261" s="11">
        <v>610004</v>
      </c>
      <c r="D261" s="61">
        <v>678</v>
      </c>
      <c r="E261" s="61">
        <v>-2.7914867492349902E-3</v>
      </c>
      <c r="F261" s="61">
        <v>92</v>
      </c>
      <c r="G261" s="61">
        <v>5.9742324808434E-2</v>
      </c>
      <c r="H261" s="66">
        <v>251</v>
      </c>
      <c r="I261" s="66" t="str">
        <f>H261&amp;"/"&amp;428</f>
        <v>251/428</v>
      </c>
      <c r="J261" s="68">
        <f>H261/428</f>
        <v>0.58644859813084116</v>
      </c>
      <c r="K261" s="18" t="s">
        <v>44</v>
      </c>
      <c r="L261" s="18" t="s">
        <v>45</v>
      </c>
      <c r="M261" s="58" t="s">
        <v>274</v>
      </c>
      <c r="N261" s="18">
        <f>[1]!f_prt_stocktonav(C261,"2017/03/31")</f>
        <v>81.964950561523438</v>
      </c>
      <c r="O261" s="20" t="str">
        <f>[1]!f_info_fundmanager(C261)</f>
        <v>冯士祯</v>
      </c>
      <c r="P261" s="21">
        <v>1.7506849315068493</v>
      </c>
      <c r="Q261" s="34" t="s">
        <v>2776</v>
      </c>
      <c r="R261" s="34" t="s">
        <v>2777</v>
      </c>
      <c r="S261" s="34" t="s">
        <v>189</v>
      </c>
      <c r="T261" s="34">
        <v>20091201</v>
      </c>
      <c r="U261" s="45">
        <v>1.0223341764</v>
      </c>
      <c r="V261" s="46">
        <v>1.0738400107999999</v>
      </c>
      <c r="W261" s="34" t="s">
        <v>3776</v>
      </c>
      <c r="X261" s="34" t="s">
        <v>44</v>
      </c>
      <c r="Y261" s="34" t="s">
        <v>45</v>
      </c>
      <c r="Z261" s="34" t="s">
        <v>274</v>
      </c>
      <c r="AA261" s="34"/>
      <c r="AB261" s="34"/>
      <c r="AC261" s="22">
        <v>0.83706520080566404</v>
      </c>
      <c r="AD261" s="23" t="s">
        <v>1439</v>
      </c>
      <c r="AE261" s="24">
        <v>1.5205479452054795</v>
      </c>
      <c r="AF261" s="25">
        <v>2.5685111174861497E-2</v>
      </c>
      <c r="AG261" s="26">
        <v>0.10715524489384996</v>
      </c>
      <c r="AH261" s="26">
        <v>8.0706153255602361E-2</v>
      </c>
      <c r="AI261" s="27">
        <v>0.18313693389470628</v>
      </c>
      <c r="AJ261" s="27">
        <v>0.42241189812910779</v>
      </c>
      <c r="AK261" s="27">
        <v>0.3611542273203513</v>
      </c>
      <c r="AL261" s="28" t="s">
        <v>2778</v>
      </c>
      <c r="AM261" s="29">
        <v>1</v>
      </c>
      <c r="AN261" s="29">
        <v>3</v>
      </c>
      <c r="AO261" s="29" t="s">
        <v>48</v>
      </c>
      <c r="AP261" s="47" t="s">
        <v>1002</v>
      </c>
      <c r="AQ261" s="28">
        <v>0</v>
      </c>
      <c r="AR261" s="26">
        <v>1.4999999999999999E-2</v>
      </c>
      <c r="AS261" s="26">
        <v>0</v>
      </c>
    </row>
    <row r="262" spans="1:45" x14ac:dyDescent="0.15">
      <c r="A262" s="64">
        <v>642</v>
      </c>
      <c r="B262" s="64">
        <v>574</v>
      </c>
      <c r="C262" s="11">
        <v>210005</v>
      </c>
      <c r="D262" s="61">
        <v>679</v>
      </c>
      <c r="E262" s="61">
        <v>-2.7951743349736201E-3</v>
      </c>
      <c r="F262" s="61">
        <v>189</v>
      </c>
      <c r="G262" s="61">
        <v>4.5923987944356197E-2</v>
      </c>
      <c r="H262" s="66">
        <v>252</v>
      </c>
      <c r="I262" s="66" t="str">
        <f>H262&amp;"/"&amp;428</f>
        <v>252/428</v>
      </c>
      <c r="J262" s="68">
        <f>H262/428</f>
        <v>0.58878504672897192</v>
      </c>
      <c r="K262" s="18" t="s">
        <v>44</v>
      </c>
      <c r="L262" s="18" t="s">
        <v>87</v>
      </c>
      <c r="M262" s="58" t="s">
        <v>274</v>
      </c>
      <c r="N262" s="18">
        <f>[1]!f_prt_stocktonav(C262,"2017/03/31")</f>
        <v>83.466590881347656</v>
      </c>
      <c r="O262" s="20" t="str">
        <f>[1]!f_info_fundmanager(C262)</f>
        <v>陈立</v>
      </c>
      <c r="P262" s="21">
        <v>3.6273972602739728</v>
      </c>
      <c r="Q262" s="34" t="s">
        <v>2593</v>
      </c>
      <c r="R262" s="34" t="s">
        <v>2594</v>
      </c>
      <c r="S262" s="34" t="s">
        <v>273</v>
      </c>
      <c r="T262" s="34">
        <v>20101220</v>
      </c>
      <c r="U262" s="45">
        <v>3.1706068667</v>
      </c>
      <c r="V262" s="46">
        <v>3.6890111022999998</v>
      </c>
      <c r="W262" s="34" t="s">
        <v>201</v>
      </c>
      <c r="X262" s="34" t="s">
        <v>41</v>
      </c>
      <c r="Y262" s="17" t="s">
        <v>42</v>
      </c>
      <c r="Z262" s="17" t="s">
        <v>181</v>
      </c>
      <c r="AA262" s="34"/>
      <c r="AB262" s="34"/>
      <c r="AC262" s="22">
        <v>0.64027854919433591</v>
      </c>
      <c r="AD262" s="23" t="s">
        <v>2595</v>
      </c>
      <c r="AE262" s="24">
        <v>3.3972602739726026</v>
      </c>
      <c r="AF262" s="25">
        <v>-9.961443527903846E-4</v>
      </c>
      <c r="AG262" s="26">
        <v>0.13490407978805363</v>
      </c>
      <c r="AH262" s="26">
        <v>8.9337052030882061E-2</v>
      </c>
      <c r="AI262" s="27">
        <v>9.0241637796168325E-2</v>
      </c>
      <c r="AJ262" s="27">
        <v>0.49050456778155282</v>
      </c>
      <c r="AK262" s="27">
        <v>0.3875733692431495</v>
      </c>
      <c r="AL262" s="28" t="s">
        <v>1868</v>
      </c>
      <c r="AM262" s="29">
        <v>3</v>
      </c>
      <c r="AN262" s="29">
        <v>5</v>
      </c>
      <c r="AO262" s="29" t="s">
        <v>48</v>
      </c>
      <c r="AP262" s="47" t="s">
        <v>666</v>
      </c>
      <c r="AQ262" s="28">
        <v>0</v>
      </c>
      <c r="AR262" s="26">
        <v>1.4999999999999999E-2</v>
      </c>
      <c r="AS262" s="26">
        <v>0</v>
      </c>
    </row>
    <row r="263" spans="1:45" x14ac:dyDescent="0.15">
      <c r="A263" s="64">
        <v>517</v>
      </c>
      <c r="B263" s="64">
        <v>835</v>
      </c>
      <c r="C263" s="11">
        <v>57</v>
      </c>
      <c r="D263" s="61">
        <v>680</v>
      </c>
      <c r="E263" s="61">
        <v>-2.7970422809413999E-3</v>
      </c>
      <c r="F263" s="61">
        <v>88</v>
      </c>
      <c r="G263" s="61">
        <v>0.14183585352199901</v>
      </c>
      <c r="H263" s="66">
        <v>253</v>
      </c>
      <c r="I263" s="66" t="str">
        <f>H263&amp;"/"&amp;428</f>
        <v>253/428</v>
      </c>
      <c r="J263" s="68">
        <f>H263/428</f>
        <v>0.59112149532710279</v>
      </c>
      <c r="K263" s="18" t="s">
        <v>44</v>
      </c>
      <c r="L263" s="18" t="s">
        <v>87</v>
      </c>
      <c r="M263" s="58" t="s">
        <v>274</v>
      </c>
      <c r="N263" s="18">
        <f>[1]!f_prt_stocktonav(C263,"2017/03/31")</f>
        <v>75.511528015136719</v>
      </c>
      <c r="O263" s="20" t="str">
        <f>[1]!f_info_fundmanager(C263)</f>
        <v>钱亚风云</v>
      </c>
      <c r="P263" s="21">
        <v>1.6794520547945206</v>
      </c>
      <c r="Q263" s="34" t="s">
        <v>2167</v>
      </c>
      <c r="R263" s="34" t="s">
        <v>2168</v>
      </c>
      <c r="S263" s="34" t="s">
        <v>71</v>
      </c>
      <c r="T263" s="34">
        <v>20130425</v>
      </c>
      <c r="U263" s="45">
        <v>0.27262935649999998</v>
      </c>
      <c r="V263" s="46">
        <v>0.30226082110000002</v>
      </c>
      <c r="W263" s="34" t="s">
        <v>3776</v>
      </c>
      <c r="X263" s="34" t="s">
        <v>44</v>
      </c>
      <c r="Y263" s="34" t="s">
        <v>87</v>
      </c>
      <c r="Z263" s="34" t="s">
        <v>274</v>
      </c>
      <c r="AA263" s="34" t="s">
        <v>3818</v>
      </c>
      <c r="AB263" s="34"/>
      <c r="AC263" s="22">
        <v>0.72041572570800783</v>
      </c>
      <c r="AD263" s="23" t="s">
        <v>843</v>
      </c>
      <c r="AE263" s="24">
        <v>1.4493150684931506</v>
      </c>
      <c r="AF263" s="25">
        <v>7.0986951689580469E-2</v>
      </c>
      <c r="AG263" s="26">
        <v>6.8778727298672848E-2</v>
      </c>
      <c r="AH263" s="26">
        <v>0</v>
      </c>
      <c r="AI263" s="27">
        <v>0.33370334098182591</v>
      </c>
      <c r="AJ263" s="27">
        <v>0.31178943604038878</v>
      </c>
      <c r="AK263" s="27">
        <v>0.33370334098182591</v>
      </c>
      <c r="AL263" s="33" t="s">
        <v>2169</v>
      </c>
      <c r="AM263" s="29" t="s">
        <v>48</v>
      </c>
      <c r="AN263" s="29" t="s">
        <v>48</v>
      </c>
      <c r="AO263" s="29" t="s">
        <v>48</v>
      </c>
      <c r="AP263" s="47" t="s">
        <v>845</v>
      </c>
      <c r="AQ263" s="28">
        <v>0</v>
      </c>
      <c r="AR263" s="26">
        <v>1.4999999999999999E-2</v>
      </c>
      <c r="AS263" s="26">
        <v>0</v>
      </c>
    </row>
    <row r="264" spans="1:45" x14ac:dyDescent="0.15">
      <c r="A264" s="64">
        <v>254</v>
      </c>
      <c r="B264" s="64">
        <v>875</v>
      </c>
      <c r="C264" s="11">
        <v>1255</v>
      </c>
      <c r="D264" s="61">
        <v>683</v>
      </c>
      <c r="E264" s="61">
        <v>-2.82428297100944E-3</v>
      </c>
      <c r="F264" s="61">
        <v>62</v>
      </c>
      <c r="G264" s="61">
        <v>1.03738449706235E-2</v>
      </c>
      <c r="H264" s="66">
        <v>254</v>
      </c>
      <c r="I264" s="66" t="str">
        <f>H264&amp;"/"&amp;428</f>
        <v>254/428</v>
      </c>
      <c r="J264" s="68">
        <f>H264/428</f>
        <v>0.59345794392523366</v>
      </c>
      <c r="K264" s="18" t="s">
        <v>44</v>
      </c>
      <c r="L264" s="18" t="s">
        <v>45</v>
      </c>
      <c r="M264" s="58" t="s">
        <v>274</v>
      </c>
      <c r="N264" s="18">
        <f>[1]!f_prt_stocktonav(C264,"2017/03/31")</f>
        <v>73.705497741699219</v>
      </c>
      <c r="O264" s="20" t="str">
        <f>[1]!f_info_fundmanager(C264)</f>
        <v>赵波,郑帮强</v>
      </c>
      <c r="P264" s="21">
        <v>1.1917808219178083</v>
      </c>
      <c r="Q264" s="34" t="s">
        <v>1170</v>
      </c>
      <c r="R264" s="34" t="s">
        <v>1171</v>
      </c>
      <c r="S264" s="34" t="s">
        <v>1172</v>
      </c>
      <c r="T264" s="34">
        <v>20150609</v>
      </c>
      <c r="U264" s="45">
        <v>14.2227536131</v>
      </c>
      <c r="V264" s="46">
        <v>15.207756333600001</v>
      </c>
      <c r="W264" s="34" t="s">
        <v>3789</v>
      </c>
      <c r="X264" s="34" t="s">
        <v>44</v>
      </c>
      <c r="Y264" s="34" t="s">
        <v>45</v>
      </c>
      <c r="Z264" s="34" t="s">
        <v>274</v>
      </c>
      <c r="AA264" s="34"/>
      <c r="AB264" s="34"/>
      <c r="AC264" s="22">
        <v>0.82518714904785151</v>
      </c>
      <c r="AD264" s="23" t="s">
        <v>1173</v>
      </c>
      <c r="AE264" s="24">
        <v>1.5808219178082192</v>
      </c>
      <c r="AF264" s="25">
        <v>-0.14591843373955904</v>
      </c>
      <c r="AG264" s="26">
        <v>0</v>
      </c>
      <c r="AH264" s="26">
        <v>0</v>
      </c>
      <c r="AI264" s="27">
        <v>-0.28723006315471489</v>
      </c>
      <c r="AJ264" s="27">
        <v>-0.28723006315471489</v>
      </c>
      <c r="AK264" s="27">
        <v>-0.28723006315471489</v>
      </c>
      <c r="AL264" s="28" t="s">
        <v>1174</v>
      </c>
      <c r="AM264" s="29" t="s">
        <v>48</v>
      </c>
      <c r="AN264" s="29" t="s">
        <v>48</v>
      </c>
      <c r="AO264" s="29" t="s">
        <v>48</v>
      </c>
      <c r="AP264" s="47" t="s">
        <v>1175</v>
      </c>
      <c r="AQ264" s="28">
        <v>0</v>
      </c>
      <c r="AR264" s="26">
        <v>1.4999999999999999E-2</v>
      </c>
      <c r="AS264" s="26">
        <v>0</v>
      </c>
    </row>
    <row r="265" spans="1:45" x14ac:dyDescent="0.15">
      <c r="A265" s="64">
        <v>535</v>
      </c>
      <c r="B265" s="64">
        <v>211</v>
      </c>
      <c r="C265" s="11">
        <v>370024</v>
      </c>
      <c r="D265" s="61">
        <v>684</v>
      </c>
      <c r="E265" s="61">
        <v>-2.8538922054162398E-3</v>
      </c>
      <c r="F265" s="61">
        <v>223</v>
      </c>
      <c r="G265" s="61">
        <v>1.3847918025646401E-2</v>
      </c>
      <c r="H265" s="66">
        <v>255</v>
      </c>
      <c r="I265" s="66" t="str">
        <f>H265&amp;"/"&amp;428</f>
        <v>255/428</v>
      </c>
      <c r="J265" s="68">
        <f>H265/428</f>
        <v>0.59579439252336452</v>
      </c>
      <c r="K265" s="18" t="s">
        <v>44</v>
      </c>
      <c r="L265" s="19" t="s">
        <v>45</v>
      </c>
      <c r="M265" s="59" t="s">
        <v>274</v>
      </c>
      <c r="N265" s="18">
        <f>[1]!f_prt_stocktonav(C265,"2017/03/31")</f>
        <v>91.601127624511719</v>
      </c>
      <c r="O265" s="20" t="str">
        <f>[1]!f_info_fundmanager(C265)</f>
        <v>孙芳</v>
      </c>
      <c r="P265" s="21">
        <v>4.3397260273972602</v>
      </c>
      <c r="Q265" s="32" t="s">
        <v>2227</v>
      </c>
      <c r="R265" s="13" t="s">
        <v>2228</v>
      </c>
      <c r="S265" s="13" t="s">
        <v>511</v>
      </c>
      <c r="T265" s="13">
        <v>20121128</v>
      </c>
      <c r="U265" s="14">
        <v>7.8502234571000002</v>
      </c>
      <c r="V265" s="15" t="s">
        <v>58</v>
      </c>
      <c r="W265" s="16" t="s">
        <v>40</v>
      </c>
      <c r="X265" s="17" t="s">
        <v>44</v>
      </c>
      <c r="Y265" s="17" t="s">
        <v>45</v>
      </c>
      <c r="Z265" s="17" t="s">
        <v>274</v>
      </c>
      <c r="AA265" s="13"/>
      <c r="AB265" s="13"/>
      <c r="AC265" s="22">
        <v>0.84414680480957027</v>
      </c>
      <c r="AD265" s="23" t="s">
        <v>2229</v>
      </c>
      <c r="AE265" s="24">
        <v>4.1095890410958908</v>
      </c>
      <c r="AF265" s="25">
        <v>0.20644787791253649</v>
      </c>
      <c r="AG265" s="26">
        <v>0.13480505719869518</v>
      </c>
      <c r="AH265" s="26">
        <v>0</v>
      </c>
      <c r="AI265" s="27">
        <v>0.68395991891532026</v>
      </c>
      <c r="AJ265" s="27">
        <v>0.47928125435901214</v>
      </c>
      <c r="AK265" s="27">
        <v>0.68395991891532026</v>
      </c>
      <c r="AL265" s="28" t="s">
        <v>1009</v>
      </c>
      <c r="AM265" s="29" t="s">
        <v>48</v>
      </c>
      <c r="AN265" s="29">
        <v>3</v>
      </c>
      <c r="AO265" s="29" t="s">
        <v>48</v>
      </c>
      <c r="AP265" s="23" t="s">
        <v>249</v>
      </c>
      <c r="AQ265" s="30">
        <v>0</v>
      </c>
      <c r="AR265" s="31">
        <v>1.4999999999999999E-2</v>
      </c>
      <c r="AS265" s="31">
        <v>0</v>
      </c>
    </row>
    <row r="266" spans="1:45" x14ac:dyDescent="0.15">
      <c r="A266" s="64">
        <v>407</v>
      </c>
      <c r="B266" s="64">
        <v>304</v>
      </c>
      <c r="C266" s="11">
        <v>794</v>
      </c>
      <c r="D266" s="61">
        <v>685</v>
      </c>
      <c r="E266" s="61">
        <v>-2.8592928971156299E-3</v>
      </c>
      <c r="F266" s="61">
        <v>40</v>
      </c>
      <c r="G266" s="61">
        <v>9.8210160407236194E-2</v>
      </c>
      <c r="H266" s="66">
        <v>256</v>
      </c>
      <c r="I266" s="66" t="str">
        <f>H266&amp;"/"&amp;428</f>
        <v>256/428</v>
      </c>
      <c r="J266" s="68">
        <f>H266/428</f>
        <v>0.59813084112149528</v>
      </c>
      <c r="K266" s="18" t="s">
        <v>44</v>
      </c>
      <c r="L266" s="18" t="s">
        <v>45</v>
      </c>
      <c r="M266" s="58" t="s">
        <v>274</v>
      </c>
      <c r="N266" s="18">
        <f>[1]!f_prt_stocktonav(C266,"2017/03/31")</f>
        <v>89.336013793945313</v>
      </c>
      <c r="O266" s="20" t="str">
        <f>[1]!f_info_fundmanager(C266)</f>
        <v>易祚兴,朱建明</v>
      </c>
      <c r="P266" s="21">
        <v>0.75068493150684934</v>
      </c>
      <c r="Q266" s="34" t="s">
        <v>1757</v>
      </c>
      <c r="R266" s="34" t="s">
        <v>1758</v>
      </c>
      <c r="S266" s="34" t="s">
        <v>402</v>
      </c>
      <c r="T266" s="34">
        <v>20140926</v>
      </c>
      <c r="U266" s="45">
        <v>4.8849614102999999</v>
      </c>
      <c r="V266" s="46">
        <v>6.2777948738999996</v>
      </c>
      <c r="W266" s="34" t="s">
        <v>3789</v>
      </c>
      <c r="X266" s="34" t="s">
        <v>44</v>
      </c>
      <c r="Y266" s="34" t="s">
        <v>45</v>
      </c>
      <c r="Z266" s="34" t="s">
        <v>65</v>
      </c>
      <c r="AA266" s="34"/>
      <c r="AB266" s="34"/>
      <c r="AC266" s="22">
        <v>0.93750877380371089</v>
      </c>
      <c r="AD266" s="23" t="s">
        <v>1759</v>
      </c>
      <c r="AE266" s="24">
        <v>0.52054794520547942</v>
      </c>
      <c r="AF266" s="25">
        <v>0.18083113969184761</v>
      </c>
      <c r="AG266" s="26">
        <v>0</v>
      </c>
      <c r="AH266" s="26">
        <v>0</v>
      </c>
      <c r="AI266" s="27">
        <v>0.58801591569979517</v>
      </c>
      <c r="AJ266" s="27">
        <v>0.58801591569979517</v>
      </c>
      <c r="AK266" s="27">
        <v>0.58801591569979517</v>
      </c>
      <c r="AL266" s="28" t="s">
        <v>1607</v>
      </c>
      <c r="AM266" s="29" t="s">
        <v>48</v>
      </c>
      <c r="AN266" s="29" t="s">
        <v>48</v>
      </c>
      <c r="AO266" s="29" t="s">
        <v>48</v>
      </c>
      <c r="AP266" s="47" t="s">
        <v>1760</v>
      </c>
      <c r="AQ266" s="28" t="s">
        <v>1761</v>
      </c>
      <c r="AR266" s="26">
        <v>1.4999999999999999E-2</v>
      </c>
      <c r="AS266" s="26">
        <v>0</v>
      </c>
    </row>
    <row r="267" spans="1:45" x14ac:dyDescent="0.15">
      <c r="A267" s="64">
        <v>688</v>
      </c>
      <c r="B267" s="64">
        <v>483</v>
      </c>
      <c r="C267" s="11">
        <v>580006</v>
      </c>
      <c r="D267" s="61">
        <v>686</v>
      </c>
      <c r="E267" s="61">
        <v>-2.8606111019665501E-3</v>
      </c>
      <c r="F267" s="61">
        <v>96</v>
      </c>
      <c r="G267" s="61">
        <v>8.7610902842110996E-2</v>
      </c>
      <c r="H267" s="66">
        <v>257</v>
      </c>
      <c r="I267" s="66" t="str">
        <f>H267&amp;"/"&amp;428</f>
        <v>257/428</v>
      </c>
      <c r="J267" s="68">
        <f>H267/428</f>
        <v>0.60046728971962615</v>
      </c>
      <c r="K267" s="18" t="s">
        <v>44</v>
      </c>
      <c r="L267" s="18" t="s">
        <v>45</v>
      </c>
      <c r="M267" s="58" t="s">
        <v>274</v>
      </c>
      <c r="N267" s="18">
        <f>[1]!f_prt_stocktonav(C267,"2017/03/31")</f>
        <v>85.641342163085938</v>
      </c>
      <c r="O267" s="20" t="str">
        <f>[1]!f_info_fundmanager(C267)</f>
        <v>徐嶒</v>
      </c>
      <c r="P267" s="21">
        <v>1.8410958904109589</v>
      </c>
      <c r="Q267" s="34" t="s">
        <v>2741</v>
      </c>
      <c r="R267" s="34" t="s">
        <v>2742</v>
      </c>
      <c r="S267" s="34" t="s">
        <v>1057</v>
      </c>
      <c r="T267" s="34">
        <v>20091230</v>
      </c>
      <c r="U267" s="45">
        <v>0.34227197669999998</v>
      </c>
      <c r="V267" s="46">
        <v>0.72740646610000004</v>
      </c>
      <c r="W267" s="34" t="s">
        <v>201</v>
      </c>
      <c r="X267" s="34" t="s">
        <v>44</v>
      </c>
      <c r="Y267" s="34" t="s">
        <v>45</v>
      </c>
      <c r="Z267" s="34" t="s">
        <v>274</v>
      </c>
      <c r="AA267" s="34"/>
      <c r="AB267" s="34"/>
      <c r="AC267" s="22">
        <v>0.79693717956542964</v>
      </c>
      <c r="AD267" s="23" t="s">
        <v>2743</v>
      </c>
      <c r="AE267" s="24">
        <v>1.6109589041095891</v>
      </c>
      <c r="AF267" s="25">
        <v>4.4314640165687758E-2</v>
      </c>
      <c r="AG267" s="26">
        <v>0.13824777005740096</v>
      </c>
      <c r="AH267" s="26">
        <v>7.432378615014934E-2</v>
      </c>
      <c r="AI267" s="27">
        <v>0.24011952944272374</v>
      </c>
      <c r="AJ267" s="27">
        <v>0.5343957131916921</v>
      </c>
      <c r="AK267" s="27">
        <v>0.34941628216290344</v>
      </c>
      <c r="AL267" s="28" t="s">
        <v>2119</v>
      </c>
      <c r="AM267" s="29">
        <v>2</v>
      </c>
      <c r="AN267" s="29">
        <v>3</v>
      </c>
      <c r="AO267" s="29" t="s">
        <v>48</v>
      </c>
      <c r="AP267" s="47" t="s">
        <v>310</v>
      </c>
      <c r="AQ267" s="28">
        <v>0</v>
      </c>
      <c r="AR267" s="26">
        <v>1.4999999999999999E-2</v>
      </c>
      <c r="AS267" s="26">
        <v>0</v>
      </c>
    </row>
    <row r="268" spans="1:45" x14ac:dyDescent="0.15">
      <c r="A268" s="64">
        <v>303</v>
      </c>
      <c r="B268" s="64">
        <v>173</v>
      </c>
      <c r="C268" s="11">
        <v>1188</v>
      </c>
      <c r="D268" s="61">
        <v>687</v>
      </c>
      <c r="E268" s="61">
        <v>-2.8703634566562899E-3</v>
      </c>
      <c r="F268" s="61">
        <v>98</v>
      </c>
      <c r="G268" s="61">
        <v>4.2106183086521802E-2</v>
      </c>
      <c r="H268" s="66">
        <v>258</v>
      </c>
      <c r="I268" s="66" t="str">
        <f>H268&amp;"/"&amp;428</f>
        <v>258/428</v>
      </c>
      <c r="J268" s="68">
        <f>H268/428</f>
        <v>0.60280373831775702</v>
      </c>
      <c r="K268" s="18" t="s">
        <v>44</v>
      </c>
      <c r="L268" s="18" t="s">
        <v>45</v>
      </c>
      <c r="M268" s="58" t="s">
        <v>274</v>
      </c>
      <c r="N268" s="18">
        <f>[1]!f_prt_stocktonav(C268,"2017/03/31")</f>
        <v>92.281768798828125</v>
      </c>
      <c r="O268" s="20" t="str">
        <f>[1]!f_info_fundmanager(C268)</f>
        <v>伍旋</v>
      </c>
      <c r="P268" s="21">
        <v>1.9260273972602739</v>
      </c>
      <c r="Q268" s="34" t="s">
        <v>1369</v>
      </c>
      <c r="R268" s="34" t="s">
        <v>1370</v>
      </c>
      <c r="S268" s="34" t="s">
        <v>705</v>
      </c>
      <c r="T268" s="34">
        <v>20150428</v>
      </c>
      <c r="U268" s="45">
        <v>19.236954816899999</v>
      </c>
      <c r="V268" s="46">
        <v>20.215386802200001</v>
      </c>
      <c r="W268" s="34" t="s">
        <v>201</v>
      </c>
      <c r="X268" s="34" t="s">
        <v>44</v>
      </c>
      <c r="Y268" s="34" t="s">
        <v>45</v>
      </c>
      <c r="Z268" s="34" t="s">
        <v>274</v>
      </c>
      <c r="AA268" s="34"/>
      <c r="AB268" s="34"/>
      <c r="AC268" s="22">
        <v>0.9356234741210937</v>
      </c>
      <c r="AD268" s="23" t="s">
        <v>1371</v>
      </c>
      <c r="AE268" s="24">
        <v>1.6958904109589041</v>
      </c>
      <c r="AF268" s="25">
        <v>-0.12879234448882493</v>
      </c>
      <c r="AG268" s="26">
        <v>0</v>
      </c>
      <c r="AH268" s="26">
        <v>0</v>
      </c>
      <c r="AI268" s="27">
        <v>-0.28636333589137131</v>
      </c>
      <c r="AJ268" s="27">
        <v>-0.28636333589137131</v>
      </c>
      <c r="AK268" s="27">
        <v>-0.28636333589137131</v>
      </c>
      <c r="AL268" s="28" t="s">
        <v>380</v>
      </c>
      <c r="AM268" s="29" t="s">
        <v>48</v>
      </c>
      <c r="AN268" s="29" t="s">
        <v>48</v>
      </c>
      <c r="AO268" s="29" t="s">
        <v>48</v>
      </c>
      <c r="AP268" s="47" t="s">
        <v>1372</v>
      </c>
      <c r="AQ268" s="28">
        <v>0</v>
      </c>
      <c r="AR268" s="26">
        <v>1.4999999999999999E-2</v>
      </c>
      <c r="AS268" s="26">
        <v>0</v>
      </c>
    </row>
    <row r="269" spans="1:45" x14ac:dyDescent="0.15">
      <c r="A269" s="64">
        <v>835</v>
      </c>
      <c r="B269" s="64">
        <v>872</v>
      </c>
      <c r="C269" s="11">
        <v>560002</v>
      </c>
      <c r="D269" s="61">
        <v>688</v>
      </c>
      <c r="E269" s="61">
        <v>-2.8764296489260299E-3</v>
      </c>
      <c r="F269" s="61">
        <v>92</v>
      </c>
      <c r="G269" s="61">
        <v>0.20389562127226599</v>
      </c>
      <c r="H269" s="66">
        <v>259</v>
      </c>
      <c r="I269" s="66" t="str">
        <f>H269&amp;"/"&amp;428</f>
        <v>259/428</v>
      </c>
      <c r="J269" s="68">
        <f>H269/428</f>
        <v>0.60514018691588789</v>
      </c>
      <c r="K269" s="18" t="s">
        <v>44</v>
      </c>
      <c r="L269" s="18" t="s">
        <v>45</v>
      </c>
      <c r="M269" s="58" t="s">
        <v>274</v>
      </c>
      <c r="N269" s="18">
        <f>[1]!f_prt_stocktonav(C269,"2017/03/31")</f>
        <v>73.740928649902344</v>
      </c>
      <c r="O269" s="20" t="str">
        <f>[1]!f_info_fundmanager(C269)</f>
        <v>吕伟</v>
      </c>
      <c r="P269" s="21">
        <v>1.7671232876712328</v>
      </c>
      <c r="Q269" s="34" t="s">
        <v>3246</v>
      </c>
      <c r="R269" s="34" t="s">
        <v>3247</v>
      </c>
      <c r="S269" s="34" t="s">
        <v>2263</v>
      </c>
      <c r="T269" s="34">
        <v>20061121</v>
      </c>
      <c r="U269" s="45">
        <v>4.3982014388000001</v>
      </c>
      <c r="V269" s="46">
        <v>4.8801556092</v>
      </c>
      <c r="W269" s="34" t="s">
        <v>231</v>
      </c>
      <c r="X269" s="34" t="s">
        <v>44</v>
      </c>
      <c r="Y269" s="34" t="s">
        <v>45</v>
      </c>
      <c r="Z269" s="34" t="s">
        <v>274</v>
      </c>
      <c r="AA269" s="34"/>
      <c r="AB269" s="34"/>
      <c r="AC269" s="22">
        <v>0.79785690307617185</v>
      </c>
      <c r="AD269" s="23" t="s">
        <v>2264</v>
      </c>
      <c r="AE269" s="24">
        <v>1.536986301369863</v>
      </c>
      <c r="AF269" s="25">
        <v>1.5637310808181093E-2</v>
      </c>
      <c r="AG269" s="26">
        <v>-3.7926060963575647E-3</v>
      </c>
      <c r="AH269" s="26">
        <v>-1.6595097381686186E-2</v>
      </c>
      <c r="AI269" s="27">
        <v>0.13796421367409104</v>
      </c>
      <c r="AJ269" s="27">
        <v>9.6990615532115673E-2</v>
      </c>
      <c r="AK269" s="27">
        <v>1.730610124895899E-2</v>
      </c>
      <c r="AL269" s="28" t="s">
        <v>1900</v>
      </c>
      <c r="AM269" s="29">
        <v>1</v>
      </c>
      <c r="AN269" s="29">
        <v>1</v>
      </c>
      <c r="AO269" s="29" t="s">
        <v>48</v>
      </c>
      <c r="AP269" s="47" t="s">
        <v>715</v>
      </c>
      <c r="AQ269" s="28">
        <v>0</v>
      </c>
      <c r="AR269" s="26">
        <v>1.4999999999999999E-2</v>
      </c>
      <c r="AS269" s="26">
        <v>0</v>
      </c>
    </row>
    <row r="270" spans="1:45" x14ac:dyDescent="0.15">
      <c r="A270" s="64">
        <v>184</v>
      </c>
      <c r="B270" s="64">
        <v>168</v>
      </c>
      <c r="C270" s="11">
        <v>1643</v>
      </c>
      <c r="D270" s="61">
        <v>689</v>
      </c>
      <c r="E270" s="61">
        <v>-2.8930487633208701E-3</v>
      </c>
      <c r="F270" s="61">
        <v>76</v>
      </c>
      <c r="G270" s="61">
        <v>7.4408941757202099E-2</v>
      </c>
      <c r="H270" s="66">
        <v>260</v>
      </c>
      <c r="I270" s="66" t="str">
        <f>H270&amp;"/"&amp;428</f>
        <v>260/428</v>
      </c>
      <c r="J270" s="68">
        <f>H270/428</f>
        <v>0.60747663551401865</v>
      </c>
      <c r="K270" s="18" t="s">
        <v>44</v>
      </c>
      <c r="L270" s="18" t="s">
        <v>87</v>
      </c>
      <c r="M270" s="58" t="s">
        <v>274</v>
      </c>
      <c r="N270" s="18">
        <f>[1]!f_prt_stocktonav(C270,"2017/03/31")</f>
        <v>92.408058166503906</v>
      </c>
      <c r="O270" s="20" t="str">
        <f>[1]!f_info_fundmanager(C270)</f>
        <v>吴培文</v>
      </c>
      <c r="P270" s="21">
        <v>1.5013698630136987</v>
      </c>
      <c r="Q270" s="34" t="s">
        <v>900</v>
      </c>
      <c r="R270" s="34" t="s">
        <v>901</v>
      </c>
      <c r="S270" s="34" t="s">
        <v>149</v>
      </c>
      <c r="T270" s="34">
        <v>20150930</v>
      </c>
      <c r="U270" s="45">
        <v>1.8117158464000001</v>
      </c>
      <c r="V270" s="46">
        <v>2.0314821935</v>
      </c>
      <c r="W270" s="34" t="s">
        <v>1235</v>
      </c>
      <c r="X270" s="34" t="s">
        <v>44</v>
      </c>
      <c r="Y270" s="34" t="s">
        <v>45</v>
      </c>
      <c r="Z270" s="34" t="s">
        <v>274</v>
      </c>
      <c r="AA270" s="34"/>
      <c r="AB270" s="34"/>
      <c r="AC270" s="22">
        <v>0.94589035034179691</v>
      </c>
      <c r="AD270" s="23" t="s">
        <v>902</v>
      </c>
      <c r="AE270" s="24">
        <v>1.2712328767123289</v>
      </c>
      <c r="AF270" s="25">
        <v>-2.2963383148655314E-2</v>
      </c>
      <c r="AG270" s="26">
        <v>0</v>
      </c>
      <c r="AH270" s="26">
        <v>0</v>
      </c>
      <c r="AI270" s="27">
        <v>-9.4186000205847192E-2</v>
      </c>
      <c r="AJ270" s="27">
        <v>-9.4186000205847192E-2</v>
      </c>
      <c r="AK270" s="27">
        <v>-9.4186000205847192E-2</v>
      </c>
      <c r="AL270" s="28" t="s">
        <v>903</v>
      </c>
      <c r="AM270" s="29" t="s">
        <v>48</v>
      </c>
      <c r="AN270" s="29" t="s">
        <v>48</v>
      </c>
      <c r="AO270" s="29" t="s">
        <v>48</v>
      </c>
      <c r="AP270" s="47" t="s">
        <v>410</v>
      </c>
      <c r="AQ270" s="28">
        <v>0</v>
      </c>
      <c r="AR270" s="26">
        <v>1.4999999999999999E-2</v>
      </c>
      <c r="AS270" s="26">
        <v>0</v>
      </c>
    </row>
    <row r="271" spans="1:45" x14ac:dyDescent="0.15">
      <c r="A271" s="64">
        <v>416</v>
      </c>
      <c r="B271" s="64">
        <v>272</v>
      </c>
      <c r="C271" s="11">
        <v>756</v>
      </c>
      <c r="D271" s="61">
        <v>691</v>
      </c>
      <c r="E271" s="61">
        <v>-2.9197656790111502E-3</v>
      </c>
      <c r="F271" s="61">
        <v>131</v>
      </c>
      <c r="G271" s="61">
        <v>6.7579140089789394E-2</v>
      </c>
      <c r="H271" s="66">
        <v>261</v>
      </c>
      <c r="I271" s="66" t="str">
        <f>H271&amp;"/"&amp;428</f>
        <v>261/428</v>
      </c>
      <c r="J271" s="68">
        <f>H271/428</f>
        <v>0.60981308411214952</v>
      </c>
      <c r="K271" s="18" t="s">
        <v>44</v>
      </c>
      <c r="L271" s="18" t="s">
        <v>45</v>
      </c>
      <c r="M271" s="58" t="s">
        <v>274</v>
      </c>
      <c r="N271" s="18">
        <f>[1]!f_prt_stocktonav(C271,"2017/03/31")</f>
        <v>90.022216796875</v>
      </c>
      <c r="O271" s="20" t="str">
        <f>[1]!f_info_fundmanager(C271)</f>
        <v>许杰</v>
      </c>
      <c r="P271" s="21">
        <v>2.5561643835616437</v>
      </c>
      <c r="Q271" s="34" t="s">
        <v>1792</v>
      </c>
      <c r="R271" s="34" t="s">
        <v>1793</v>
      </c>
      <c r="S271" s="34" t="s">
        <v>307</v>
      </c>
      <c r="T271" s="34">
        <v>20140910</v>
      </c>
      <c r="U271" s="45">
        <v>1.0907631613</v>
      </c>
      <c r="V271" s="46">
        <v>1.1322966002999999</v>
      </c>
      <c r="W271" s="34" t="s">
        <v>3776</v>
      </c>
      <c r="X271" s="34" t="s">
        <v>44</v>
      </c>
      <c r="Y271" s="34" t="s">
        <v>45</v>
      </c>
      <c r="Z271" s="34" t="s">
        <v>274</v>
      </c>
      <c r="AA271" s="34"/>
      <c r="AB271" s="34"/>
      <c r="AC271" s="22">
        <v>0.88375770568847656</v>
      </c>
      <c r="AD271" s="23" t="s">
        <v>1241</v>
      </c>
      <c r="AE271" s="24">
        <v>2.3260273972602739</v>
      </c>
      <c r="AF271" s="25">
        <v>0.12461064936907927</v>
      </c>
      <c r="AG271" s="26">
        <v>0</v>
      </c>
      <c r="AH271" s="26">
        <v>0</v>
      </c>
      <c r="AI271" s="27">
        <v>0.47872095918324742</v>
      </c>
      <c r="AJ271" s="27">
        <v>0.47872095918324742</v>
      </c>
      <c r="AK271" s="27">
        <v>0.47872095918324742</v>
      </c>
      <c r="AL271" s="28" t="s">
        <v>1013</v>
      </c>
      <c r="AM271" s="29" t="s">
        <v>48</v>
      </c>
      <c r="AN271" s="29" t="s">
        <v>48</v>
      </c>
      <c r="AO271" s="29" t="s">
        <v>48</v>
      </c>
      <c r="AP271" s="47" t="s">
        <v>310</v>
      </c>
      <c r="AQ271" s="28">
        <v>0</v>
      </c>
      <c r="AR271" s="26">
        <v>1.4999999999999999E-2</v>
      </c>
      <c r="AS271" s="26">
        <v>0</v>
      </c>
    </row>
    <row r="272" spans="1:45" x14ac:dyDescent="0.15">
      <c r="A272" s="64">
        <v>713</v>
      </c>
      <c r="B272" s="64">
        <v>790</v>
      </c>
      <c r="C272" s="11">
        <v>410007</v>
      </c>
      <c r="D272" s="61">
        <v>693</v>
      </c>
      <c r="E272" s="61">
        <v>-2.9241258754075599E-3</v>
      </c>
      <c r="F272" s="61">
        <v>131</v>
      </c>
      <c r="G272" s="61">
        <v>3.6696498139109399E-2</v>
      </c>
      <c r="H272" s="66">
        <v>262</v>
      </c>
      <c r="I272" s="66" t="str">
        <f>H272&amp;"/"&amp;428</f>
        <v>262/428</v>
      </c>
      <c r="J272" s="68">
        <f>H272/428</f>
        <v>0.61214953271028039</v>
      </c>
      <c r="K272" s="18" t="s">
        <v>44</v>
      </c>
      <c r="L272" s="18" t="s">
        <v>45</v>
      </c>
      <c r="M272" s="58" t="s">
        <v>274</v>
      </c>
      <c r="N272" s="18">
        <f>[1]!f_prt_stocktonav(C272,"2017/03/31")</f>
        <v>77.088943481445312</v>
      </c>
      <c r="O272" s="20" t="str">
        <f>[1]!f_info_fundmanager(C272)</f>
        <v>陈启明</v>
      </c>
      <c r="P272" s="21">
        <v>2.5123287671232877</v>
      </c>
      <c r="Q272" s="34" t="s">
        <v>2824</v>
      </c>
      <c r="R272" s="34" t="s">
        <v>2825</v>
      </c>
      <c r="S272" s="34" t="s">
        <v>1000</v>
      </c>
      <c r="T272" s="34">
        <v>20090715</v>
      </c>
      <c r="U272" s="45">
        <v>3.0649289902999999</v>
      </c>
      <c r="V272" s="46">
        <v>4.0244455724000003</v>
      </c>
      <c r="W272" s="34" t="s">
        <v>40</v>
      </c>
      <c r="X272" s="34" t="s">
        <v>44</v>
      </c>
      <c r="Y272" s="34" t="s">
        <v>45</v>
      </c>
      <c r="Z272" s="34" t="s">
        <v>274</v>
      </c>
      <c r="AA272" s="34"/>
      <c r="AB272" s="34"/>
      <c r="AC272" s="22">
        <v>0.77730422973632818</v>
      </c>
      <c r="AD272" s="23" t="s">
        <v>2826</v>
      </c>
      <c r="AE272" s="24">
        <v>2.2821917808219179</v>
      </c>
      <c r="AF272" s="25">
        <v>8.1856489443009828E-2</v>
      </c>
      <c r="AG272" s="26">
        <v>0.25033289656931523</v>
      </c>
      <c r="AH272" s="26">
        <v>0.20850786407561284</v>
      </c>
      <c r="AI272" s="27">
        <v>0.37596952974235937</v>
      </c>
      <c r="AJ272" s="27">
        <v>0.77815952484781592</v>
      </c>
      <c r="AK272" s="27">
        <v>0.7542469717521133</v>
      </c>
      <c r="AL272" s="28" t="s">
        <v>226</v>
      </c>
      <c r="AM272" s="29">
        <v>4</v>
      </c>
      <c r="AN272" s="29">
        <v>4</v>
      </c>
      <c r="AO272" s="29" t="s">
        <v>48</v>
      </c>
      <c r="AP272" s="47" t="s">
        <v>2554</v>
      </c>
      <c r="AQ272" s="28">
        <v>0</v>
      </c>
      <c r="AR272" s="26">
        <v>1.4999999999999999E-2</v>
      </c>
      <c r="AS272" s="26">
        <v>0</v>
      </c>
    </row>
    <row r="273" spans="1:45" x14ac:dyDescent="0.15">
      <c r="A273" s="64">
        <v>865</v>
      </c>
      <c r="B273" s="64">
        <v>481</v>
      </c>
      <c r="C273" s="11">
        <v>110009</v>
      </c>
      <c r="D273" s="61">
        <v>696</v>
      </c>
      <c r="E273" s="61">
        <v>-2.9418175001967098E-3</v>
      </c>
      <c r="F273" s="61">
        <v>169</v>
      </c>
      <c r="G273" s="61">
        <v>1.9783865401022199E-2</v>
      </c>
      <c r="H273" s="66">
        <v>263</v>
      </c>
      <c r="I273" s="66" t="str">
        <f>H273&amp;"/"&amp;428</f>
        <v>263/428</v>
      </c>
      <c r="J273" s="68">
        <f>H273/428</f>
        <v>0.61448598130841126</v>
      </c>
      <c r="K273" s="18" t="s">
        <v>44</v>
      </c>
      <c r="L273" s="18" t="s">
        <v>45</v>
      </c>
      <c r="M273" s="58" t="s">
        <v>274</v>
      </c>
      <c r="N273" s="18">
        <f>[1]!f_prt_stocktonav(C273,"2017/03/31")</f>
        <v>85.66680908203125</v>
      </c>
      <c r="O273" s="20" t="str">
        <f>[1]!f_info_fundmanager(C273)</f>
        <v>郑希</v>
      </c>
      <c r="P273" s="21">
        <v>3.2438356164383562</v>
      </c>
      <c r="Q273" s="34" t="s">
        <v>3361</v>
      </c>
      <c r="R273" s="34" t="s">
        <v>3362</v>
      </c>
      <c r="S273" s="34" t="s">
        <v>218</v>
      </c>
      <c r="T273" s="34">
        <v>20060613</v>
      </c>
      <c r="U273" s="45">
        <v>27.976026157500002</v>
      </c>
      <c r="V273" s="46">
        <v>30.310945991600001</v>
      </c>
      <c r="W273" s="34" t="s">
        <v>231</v>
      </c>
      <c r="X273" s="34" t="s">
        <v>44</v>
      </c>
      <c r="Y273" s="34" t="s">
        <v>45</v>
      </c>
      <c r="Z273" s="34" t="s">
        <v>274</v>
      </c>
      <c r="AA273" s="34"/>
      <c r="AB273" s="34"/>
      <c r="AC273" s="22">
        <v>0.85193183898925784</v>
      </c>
      <c r="AD273" s="23" t="s">
        <v>3363</v>
      </c>
      <c r="AE273" s="24">
        <v>3.0136986301369864</v>
      </c>
      <c r="AF273" s="25">
        <v>0.13034298827273405</v>
      </c>
      <c r="AG273" s="26">
        <v>0.14270661542768526</v>
      </c>
      <c r="AH273" s="26">
        <v>8.9239839889091233E-2</v>
      </c>
      <c r="AI273" s="27">
        <v>0.53439657738089053</v>
      </c>
      <c r="AJ273" s="27">
        <v>0.52248336347829083</v>
      </c>
      <c r="AK273" s="27">
        <v>0.39453834781814084</v>
      </c>
      <c r="AL273" s="28" t="s">
        <v>726</v>
      </c>
      <c r="AM273" s="29">
        <v>1</v>
      </c>
      <c r="AN273" s="29">
        <v>3</v>
      </c>
      <c r="AO273" s="29" t="s">
        <v>48</v>
      </c>
      <c r="AP273" s="47" t="s">
        <v>2457</v>
      </c>
      <c r="AQ273" s="28">
        <v>0</v>
      </c>
      <c r="AR273" s="26">
        <v>1.4999999999999999E-2</v>
      </c>
      <c r="AS273" s="26">
        <v>0</v>
      </c>
    </row>
    <row r="274" spans="1:45" x14ac:dyDescent="0.15">
      <c r="A274" s="64">
        <v>293</v>
      </c>
      <c r="B274" s="64">
        <v>895</v>
      </c>
      <c r="C274" s="11">
        <v>1088</v>
      </c>
      <c r="D274" s="61">
        <v>697</v>
      </c>
      <c r="E274" s="61">
        <v>-2.9446145661829299E-3</v>
      </c>
      <c r="F274" s="61">
        <v>97</v>
      </c>
      <c r="G274" s="61">
        <v>8.9243072430028506E-2</v>
      </c>
      <c r="H274" s="66">
        <v>264</v>
      </c>
      <c r="I274" s="66" t="str">
        <f>H274&amp;"/"&amp;428</f>
        <v>264/428</v>
      </c>
      <c r="J274" s="68">
        <f>H274/428</f>
        <v>0.61682242990654201</v>
      </c>
      <c r="K274" s="18" t="s">
        <v>44</v>
      </c>
      <c r="L274" s="18" t="s">
        <v>45</v>
      </c>
      <c r="M274" s="58" t="s">
        <v>274</v>
      </c>
      <c r="N274" s="18">
        <f>[1]!f_prt_stocktonav(C274,"2017/03/31")</f>
        <v>72.848731994628906</v>
      </c>
      <c r="O274" s="20" t="str">
        <f>[1]!f_info_fundmanager(C274)</f>
        <v>刘自强,毛文博</v>
      </c>
      <c r="P274" s="21">
        <v>1.8986301369863015</v>
      </c>
      <c r="Q274" s="34" t="s">
        <v>1333</v>
      </c>
      <c r="R274" s="34" t="s">
        <v>1334</v>
      </c>
      <c r="S274" s="34" t="s">
        <v>737</v>
      </c>
      <c r="T274" s="34">
        <v>20150508</v>
      </c>
      <c r="U274" s="45">
        <v>15.530239656799999</v>
      </c>
      <c r="V274" s="46">
        <v>17.134983363700002</v>
      </c>
      <c r="W274" s="34" t="s">
        <v>3789</v>
      </c>
      <c r="X274" s="34" t="s">
        <v>44</v>
      </c>
      <c r="Y274" s="34" t="s">
        <v>45</v>
      </c>
      <c r="Z274" s="34" t="s">
        <v>274</v>
      </c>
      <c r="AA274" s="34"/>
      <c r="AB274" s="34"/>
      <c r="AC274" s="22">
        <v>0.71336906433105474</v>
      </c>
      <c r="AD274" s="23" t="s">
        <v>1335</v>
      </c>
      <c r="AE274" s="24">
        <v>1.6684931506849314</v>
      </c>
      <c r="AF274" s="25">
        <v>-0.15551846514218892</v>
      </c>
      <c r="AG274" s="26">
        <v>0</v>
      </c>
      <c r="AH274" s="26">
        <v>0</v>
      </c>
      <c r="AI274" s="27">
        <v>-0.47930354680646614</v>
      </c>
      <c r="AJ274" s="27">
        <v>-0.47930354680646614</v>
      </c>
      <c r="AK274" s="27">
        <v>-0.47930354680646614</v>
      </c>
      <c r="AL274" s="28" t="s">
        <v>882</v>
      </c>
      <c r="AM274" s="29" t="s">
        <v>48</v>
      </c>
      <c r="AN274" s="29" t="s">
        <v>48</v>
      </c>
      <c r="AO274" s="29" t="s">
        <v>48</v>
      </c>
      <c r="AP274" s="47" t="s">
        <v>739</v>
      </c>
      <c r="AQ274" s="28">
        <v>0</v>
      </c>
      <c r="AR274" s="26">
        <v>1.4999999999999999E-2</v>
      </c>
      <c r="AS274" s="26">
        <v>0</v>
      </c>
    </row>
    <row r="275" spans="1:45" x14ac:dyDescent="0.15">
      <c r="A275" s="64">
        <v>668</v>
      </c>
      <c r="B275" s="64">
        <v>623</v>
      </c>
      <c r="C275" s="11">
        <v>70019</v>
      </c>
      <c r="D275" s="61">
        <v>701</v>
      </c>
      <c r="E275" s="61">
        <v>-3.0139057264762202E-3</v>
      </c>
      <c r="F275" s="61">
        <v>122</v>
      </c>
      <c r="G275" s="61">
        <v>5.0593616783336697E-3</v>
      </c>
      <c r="H275" s="66">
        <v>265</v>
      </c>
      <c r="I275" s="66" t="str">
        <f>H275&amp;"/"&amp;428</f>
        <v>265/428</v>
      </c>
      <c r="J275" s="68">
        <f>H275/428</f>
        <v>0.61915887850467288</v>
      </c>
      <c r="K275" s="18" t="s">
        <v>44</v>
      </c>
      <c r="L275" s="18" t="s">
        <v>45</v>
      </c>
      <c r="M275" s="58" t="s">
        <v>274</v>
      </c>
      <c r="N275" s="18">
        <f>[1]!f_prt_stocktonav(C275,"2017/03/31")</f>
        <v>82.229019165039063</v>
      </c>
      <c r="O275" s="20" t="str">
        <f>[1]!f_info_fundmanager(C275)</f>
        <v>翟琳琳</v>
      </c>
      <c r="P275" s="21">
        <v>2.3452054794520549</v>
      </c>
      <c r="Q275" s="34" t="s">
        <v>2681</v>
      </c>
      <c r="R275" s="34" t="s">
        <v>2682</v>
      </c>
      <c r="S275" s="34" t="s">
        <v>92</v>
      </c>
      <c r="T275" s="34">
        <v>20100607</v>
      </c>
      <c r="U275" s="45">
        <v>5.0093046198</v>
      </c>
      <c r="V275" s="46">
        <v>5.5190155645000001</v>
      </c>
      <c r="W275" s="34" t="s">
        <v>201</v>
      </c>
      <c r="X275" s="34" t="s">
        <v>44</v>
      </c>
      <c r="Y275" s="34" t="s">
        <v>45</v>
      </c>
      <c r="Z275" s="34" t="s">
        <v>274</v>
      </c>
      <c r="AA275" s="34"/>
      <c r="AB275" s="34"/>
      <c r="AC275" s="22">
        <v>0.91218406677246089</v>
      </c>
      <c r="AD275" s="23" t="s">
        <v>2683</v>
      </c>
      <c r="AE275" s="24">
        <v>2.1150684931506851</v>
      </c>
      <c r="AF275" s="25">
        <v>6.8445318867705218E-2</v>
      </c>
      <c r="AG275" s="26">
        <v>9.1344381021976062E-2</v>
      </c>
      <c r="AH275" s="26">
        <v>0.10855348059416325</v>
      </c>
      <c r="AI275" s="27">
        <v>0.34040266030887989</v>
      </c>
      <c r="AJ275" s="27">
        <v>0.40380004867617558</v>
      </c>
      <c r="AK275" s="27">
        <v>0.48348399058445496</v>
      </c>
      <c r="AL275" s="28" t="s">
        <v>2607</v>
      </c>
      <c r="AM275" s="29">
        <v>3</v>
      </c>
      <c r="AN275" s="29">
        <v>2</v>
      </c>
      <c r="AO275" s="29" t="s">
        <v>48</v>
      </c>
      <c r="AP275" s="47" t="s">
        <v>101</v>
      </c>
      <c r="AQ275" s="28" t="s">
        <v>2293</v>
      </c>
      <c r="AR275" s="26">
        <v>1.4999999999999999E-2</v>
      </c>
      <c r="AS275" s="26">
        <v>0</v>
      </c>
    </row>
    <row r="276" spans="1:45" x14ac:dyDescent="0.15">
      <c r="A276" s="64">
        <v>667</v>
      </c>
      <c r="B276" s="64">
        <v>63</v>
      </c>
      <c r="C276" s="11">
        <v>540008</v>
      </c>
      <c r="D276" s="61">
        <v>703</v>
      </c>
      <c r="E276" s="61">
        <v>-3.0215821676477998E-3</v>
      </c>
      <c r="F276" s="61">
        <v>80</v>
      </c>
      <c r="G276" s="61">
        <v>0.104085141150036</v>
      </c>
      <c r="H276" s="66">
        <v>266</v>
      </c>
      <c r="I276" s="66" t="str">
        <f>H276&amp;"/"&amp;428</f>
        <v>266/428</v>
      </c>
      <c r="J276" s="68">
        <f>H276/428</f>
        <v>0.62149532710280375</v>
      </c>
      <c r="K276" s="18" t="s">
        <v>44</v>
      </c>
      <c r="L276" s="18" t="s">
        <v>45</v>
      </c>
      <c r="M276" s="58" t="s">
        <v>274</v>
      </c>
      <c r="N276" s="18">
        <f>[1]!f_prt_stocktonav(C276,"2017/03/31")</f>
        <v>94.165435791015625</v>
      </c>
      <c r="O276" s="20" t="str">
        <f>[1]!f_info_fundmanager(C276)</f>
        <v>方超</v>
      </c>
      <c r="P276" s="21">
        <v>1.5315068493150685</v>
      </c>
      <c r="Q276" s="34" t="s">
        <v>2678</v>
      </c>
      <c r="R276" s="34" t="s">
        <v>2679</v>
      </c>
      <c r="S276" s="34" t="s">
        <v>149</v>
      </c>
      <c r="T276" s="34">
        <v>20100608</v>
      </c>
      <c r="U276" s="45">
        <v>4.6628979814999996</v>
      </c>
      <c r="V276" s="46">
        <v>5.911788789</v>
      </c>
      <c r="W276" s="34" t="s">
        <v>3776</v>
      </c>
      <c r="X276" s="34" t="s">
        <v>44</v>
      </c>
      <c r="Y276" s="34" t="s">
        <v>45</v>
      </c>
      <c r="Z276" s="34" t="s">
        <v>274</v>
      </c>
      <c r="AA276" s="34"/>
      <c r="AB276" s="34"/>
      <c r="AC276" s="22">
        <v>0.94610015869140629</v>
      </c>
      <c r="AD276" s="23" t="s">
        <v>1350</v>
      </c>
      <c r="AE276" s="24">
        <v>1.3013698630136987</v>
      </c>
      <c r="AF276" s="25">
        <v>8.5594699505545435E-2</v>
      </c>
      <c r="AG276" s="26">
        <v>9.6807071539998013E-2</v>
      </c>
      <c r="AH276" s="26">
        <v>0.13144526301416626</v>
      </c>
      <c r="AI276" s="27">
        <v>0.37714962581799377</v>
      </c>
      <c r="AJ276" s="27">
        <v>0.38586934082845747</v>
      </c>
      <c r="AK276" s="27">
        <v>0.50279330318246351</v>
      </c>
      <c r="AL276" s="28" t="s">
        <v>2680</v>
      </c>
      <c r="AM276" s="29">
        <v>3</v>
      </c>
      <c r="AN276" s="29">
        <v>3</v>
      </c>
      <c r="AO276" s="29" t="s">
        <v>48</v>
      </c>
      <c r="AP276" s="47" t="s">
        <v>410</v>
      </c>
      <c r="AQ276" s="28">
        <v>0</v>
      </c>
      <c r="AR276" s="26">
        <v>1.4999999999999999E-2</v>
      </c>
      <c r="AS276" s="26">
        <v>0</v>
      </c>
    </row>
    <row r="277" spans="1:45" x14ac:dyDescent="0.15">
      <c r="A277" s="64">
        <v>183</v>
      </c>
      <c r="B277" s="64">
        <v>77</v>
      </c>
      <c r="C277" s="11">
        <v>1830</v>
      </c>
      <c r="D277" s="61">
        <v>704</v>
      </c>
      <c r="E277" s="61">
        <v>-3.0310826306497798E-3</v>
      </c>
      <c r="F277" s="61">
        <v>76</v>
      </c>
      <c r="G277" s="61">
        <v>0.20653202077292299</v>
      </c>
      <c r="H277" s="66">
        <v>267</v>
      </c>
      <c r="I277" s="66" t="str">
        <f>H277&amp;"/"&amp;428</f>
        <v>267/428</v>
      </c>
      <c r="J277" s="68">
        <f>H277/428</f>
        <v>0.62383177570093462</v>
      </c>
      <c r="K277" s="18" t="s">
        <v>44</v>
      </c>
      <c r="L277" s="18" t="s">
        <v>45</v>
      </c>
      <c r="M277" s="58" t="s">
        <v>274</v>
      </c>
      <c r="N277" s="18">
        <f>[1]!f_prt_stocktonav(C277,"2017/03/31")</f>
        <v>93.955398559570313</v>
      </c>
      <c r="O277" s="20" t="str">
        <f>[1]!f_info_fundmanager(C277)</f>
        <v>商小虎</v>
      </c>
      <c r="P277" s="21">
        <v>1.5013698630136987</v>
      </c>
      <c r="Q277" s="34" t="s">
        <v>896</v>
      </c>
      <c r="R277" s="34" t="s">
        <v>897</v>
      </c>
      <c r="S277" s="34" t="s">
        <v>230</v>
      </c>
      <c r="T277" s="34">
        <v>20150930</v>
      </c>
      <c r="U277" s="45">
        <v>0.95537295180000004</v>
      </c>
      <c r="V277" s="46">
        <v>1.0657175840999999</v>
      </c>
      <c r="W277" s="34" t="s">
        <v>201</v>
      </c>
      <c r="X277" s="34" t="s">
        <v>44</v>
      </c>
      <c r="Y277" s="34" t="s">
        <v>45</v>
      </c>
      <c r="Z277" s="34" t="s">
        <v>274</v>
      </c>
      <c r="AA277" s="34"/>
      <c r="AB277" s="34"/>
      <c r="AC277" s="22">
        <v>0.87022254943847654</v>
      </c>
      <c r="AD277" s="23" t="s">
        <v>898</v>
      </c>
      <c r="AE277" s="24">
        <v>1.2712328767123289</v>
      </c>
      <c r="AF277" s="25">
        <v>5.7628419565740385E-2</v>
      </c>
      <c r="AG277" s="26">
        <v>0</v>
      </c>
      <c r="AH277" s="26">
        <v>0</v>
      </c>
      <c r="AI277" s="27">
        <v>0.28891291655235546</v>
      </c>
      <c r="AJ277" s="27">
        <v>0.28891291655235546</v>
      </c>
      <c r="AK277" s="27">
        <v>0.28891291655235546</v>
      </c>
      <c r="AL277" s="28" t="s">
        <v>291</v>
      </c>
      <c r="AM277" s="29" t="s">
        <v>48</v>
      </c>
      <c r="AN277" s="29" t="s">
        <v>48</v>
      </c>
      <c r="AO277" s="29" t="s">
        <v>48</v>
      </c>
      <c r="AP277" s="47" t="s">
        <v>899</v>
      </c>
      <c r="AQ277" s="28" t="s">
        <v>235</v>
      </c>
      <c r="AR277" s="26">
        <v>1.4999999999999999E-2</v>
      </c>
      <c r="AS277" s="26">
        <v>0</v>
      </c>
    </row>
    <row r="278" spans="1:45" x14ac:dyDescent="0.15">
      <c r="A278" s="64">
        <v>652</v>
      </c>
      <c r="B278" s="64">
        <v>863</v>
      </c>
      <c r="C278" s="11">
        <v>630008</v>
      </c>
      <c r="D278" s="61">
        <v>705</v>
      </c>
      <c r="E278" s="61">
        <v>-3.03234150310174E-3</v>
      </c>
      <c r="F278" s="61">
        <v>152</v>
      </c>
      <c r="G278" s="61">
        <v>4.99364976734493E-3</v>
      </c>
      <c r="H278" s="66">
        <v>268</v>
      </c>
      <c r="I278" s="66" t="str">
        <f>H278&amp;"/"&amp;428</f>
        <v>268/428</v>
      </c>
      <c r="J278" s="68">
        <f>H278/428</f>
        <v>0.62616822429906538</v>
      </c>
      <c r="K278" s="18" t="s">
        <v>44</v>
      </c>
      <c r="L278" s="18" t="s">
        <v>45</v>
      </c>
      <c r="M278" s="58" t="s">
        <v>274</v>
      </c>
      <c r="N278" s="18">
        <f>[1]!f_prt_stocktonav(C278,"2017/03/31")</f>
        <v>73.992080688476562</v>
      </c>
      <c r="O278" s="20" t="str">
        <f>[1]!f_info_fundmanager(C278)</f>
        <v>周海栋,孙祺</v>
      </c>
      <c r="P278" s="21">
        <v>2.9068493150684933</v>
      </c>
      <c r="Q278" s="34" t="s">
        <v>2628</v>
      </c>
      <c r="R278" s="34" t="s">
        <v>2629</v>
      </c>
      <c r="S278" s="34" t="s">
        <v>387</v>
      </c>
      <c r="T278" s="34">
        <v>20101109</v>
      </c>
      <c r="U278" s="45">
        <v>11.8488454188</v>
      </c>
      <c r="V278" s="46">
        <v>12.085052790000001</v>
      </c>
      <c r="W278" s="34" t="s">
        <v>201</v>
      </c>
      <c r="X278" s="34" t="s">
        <v>41</v>
      </c>
      <c r="Y278" s="17" t="s">
        <v>42</v>
      </c>
      <c r="Z278" s="17" t="s">
        <v>181</v>
      </c>
      <c r="AA278" s="34"/>
      <c r="AB278" s="34"/>
      <c r="AC278" s="22">
        <v>0.62404541015625004</v>
      </c>
      <c r="AD278" s="23" t="s">
        <v>2630</v>
      </c>
      <c r="AE278" s="24">
        <v>2.6767123287671235</v>
      </c>
      <c r="AF278" s="25">
        <v>5.3760788717155394E-2</v>
      </c>
      <c r="AG278" s="26">
        <v>0.15484498370674427</v>
      </c>
      <c r="AH278" s="26">
        <v>0.13551360463964635</v>
      </c>
      <c r="AI278" s="27">
        <v>0.28576690350656681</v>
      </c>
      <c r="AJ278" s="27">
        <v>0.59337440620852155</v>
      </c>
      <c r="AK278" s="27">
        <v>0.59648891771043222</v>
      </c>
      <c r="AL278" s="28" t="s">
        <v>240</v>
      </c>
      <c r="AM278" s="29">
        <v>4</v>
      </c>
      <c r="AN278" s="29">
        <v>3</v>
      </c>
      <c r="AO278" s="29" t="s">
        <v>48</v>
      </c>
      <c r="AP278" s="47" t="s">
        <v>1525</v>
      </c>
      <c r="AQ278" s="28">
        <v>0</v>
      </c>
      <c r="AR278" s="26">
        <v>1.4999999999999999E-2</v>
      </c>
      <c r="AS278" s="26">
        <v>0</v>
      </c>
    </row>
    <row r="279" spans="1:45" x14ac:dyDescent="0.15">
      <c r="A279" s="64">
        <v>739</v>
      </c>
      <c r="B279" s="64">
        <v>794</v>
      </c>
      <c r="C279" s="11">
        <v>213006</v>
      </c>
      <c r="D279" s="61">
        <v>707</v>
      </c>
      <c r="E279" s="61">
        <v>-3.0706485160799202E-3</v>
      </c>
      <c r="F279" s="61">
        <v>53</v>
      </c>
      <c r="G279" s="61">
        <v>4.4510829084092301E-3</v>
      </c>
      <c r="H279" s="66">
        <v>269</v>
      </c>
      <c r="I279" s="66" t="str">
        <f>H279&amp;"/"&amp;428</f>
        <v>269/428</v>
      </c>
      <c r="J279" s="68">
        <f>H279/428</f>
        <v>0.62850467289719625</v>
      </c>
      <c r="K279" s="18" t="s">
        <v>44</v>
      </c>
      <c r="L279" s="18" t="s">
        <v>45</v>
      </c>
      <c r="M279" s="58" t="s">
        <v>274</v>
      </c>
      <c r="N279" s="18">
        <f>[1]!f_prt_stocktonav(C279,"2017/03/31")</f>
        <v>76.941520690917969</v>
      </c>
      <c r="O279" s="20" t="str">
        <f>[1]!f_info_fundmanager(C279)</f>
        <v>易祚兴,李健伟</v>
      </c>
      <c r="P279" s="21">
        <v>1.0136986301369864</v>
      </c>
      <c r="Q279" s="34" t="s">
        <v>2913</v>
      </c>
      <c r="R279" s="34" t="s">
        <v>2914</v>
      </c>
      <c r="S279" s="34" t="s">
        <v>402</v>
      </c>
      <c r="T279" s="34">
        <v>20090317</v>
      </c>
      <c r="U279" s="45">
        <v>17.5004217372</v>
      </c>
      <c r="V279" s="46">
        <v>18.903732724499999</v>
      </c>
      <c r="W279" s="34" t="s">
        <v>231</v>
      </c>
      <c r="X279" s="34" t="s">
        <v>44</v>
      </c>
      <c r="Y279" s="34" t="s">
        <v>45</v>
      </c>
      <c r="Z279" s="34" t="s">
        <v>274</v>
      </c>
      <c r="AA279" s="34"/>
      <c r="AB279" s="34"/>
      <c r="AC279" s="22">
        <v>0.73663925170898437</v>
      </c>
      <c r="AD279" s="23" t="s">
        <v>756</v>
      </c>
      <c r="AE279" s="24">
        <v>2.2821917808219179</v>
      </c>
      <c r="AF279" s="25">
        <v>0.11564118104602228</v>
      </c>
      <c r="AG279" s="26">
        <v>0.21297477343946489</v>
      </c>
      <c r="AH279" s="26">
        <v>0.22785107824065043</v>
      </c>
      <c r="AI279" s="27">
        <v>0.51524773348082076</v>
      </c>
      <c r="AJ279" s="27">
        <v>0.72187213305683862</v>
      </c>
      <c r="AK279" s="27">
        <v>0.84791547111462218</v>
      </c>
      <c r="AL279" s="28" t="s">
        <v>2915</v>
      </c>
      <c r="AM279" s="29">
        <v>5</v>
      </c>
      <c r="AN279" s="29">
        <v>5</v>
      </c>
      <c r="AO279" s="29" t="s">
        <v>48</v>
      </c>
      <c r="AP279" s="47" t="s">
        <v>287</v>
      </c>
      <c r="AQ279" s="28">
        <v>0</v>
      </c>
      <c r="AR279" s="26">
        <v>1.4999999999999999E-2</v>
      </c>
      <c r="AS279" s="26">
        <v>0</v>
      </c>
    </row>
    <row r="280" spans="1:45" x14ac:dyDescent="0.15">
      <c r="A280" s="64">
        <v>228</v>
      </c>
      <c r="B280" s="64">
        <v>896</v>
      </c>
      <c r="C280" s="11">
        <v>1534</v>
      </c>
      <c r="D280" s="61">
        <v>709</v>
      </c>
      <c r="E280" s="61">
        <v>-3.0842345153111201E-3</v>
      </c>
      <c r="F280" s="61">
        <v>89</v>
      </c>
      <c r="G280" s="61">
        <v>7.9855949428636205E-2</v>
      </c>
      <c r="H280" s="66">
        <v>270</v>
      </c>
      <c r="I280" s="66" t="str">
        <f>H280&amp;"/"&amp;428</f>
        <v>270/428</v>
      </c>
      <c r="J280" s="68">
        <f>H280/428</f>
        <v>0.63084112149532712</v>
      </c>
      <c r="K280" s="18" t="s">
        <v>44</v>
      </c>
      <c r="L280" s="18" t="s">
        <v>45</v>
      </c>
      <c r="M280" s="58" t="s">
        <v>274</v>
      </c>
      <c r="N280" s="18">
        <f>[1]!f_prt_stocktonav(C280,"2017/03/31")</f>
        <v>72.788719177246094</v>
      </c>
      <c r="O280" s="20" t="str">
        <f>[1]!f_info_fundmanager(C280)</f>
        <v>楼鸿强</v>
      </c>
      <c r="P280" s="21">
        <v>1.7534246575342465</v>
      </c>
      <c r="Q280" s="34" t="s">
        <v>1063</v>
      </c>
      <c r="R280" s="34" t="s">
        <v>1064</v>
      </c>
      <c r="S280" s="34" t="s">
        <v>737</v>
      </c>
      <c r="T280" s="34">
        <v>20150630</v>
      </c>
      <c r="U280" s="45">
        <v>4.8186665271000004</v>
      </c>
      <c r="V280" s="46">
        <v>5.2679541963999998</v>
      </c>
      <c r="W280" s="34" t="s">
        <v>3789</v>
      </c>
      <c r="X280" s="34" t="s">
        <v>44</v>
      </c>
      <c r="Y280" s="34" t="s">
        <v>45</v>
      </c>
      <c r="Z280" s="34" t="s">
        <v>274</v>
      </c>
      <c r="AA280" s="34"/>
      <c r="AB280" s="34"/>
      <c r="AC280" s="22">
        <v>0.79883903503417963</v>
      </c>
      <c r="AD280" s="23" t="s">
        <v>1065</v>
      </c>
      <c r="AE280" s="24">
        <v>1.5232876712328767</v>
      </c>
      <c r="AF280" s="25">
        <v>-0.15103728750058476</v>
      </c>
      <c r="AG280" s="26">
        <v>0</v>
      </c>
      <c r="AH280" s="26">
        <v>0</v>
      </c>
      <c r="AI280" s="27">
        <v>-0.38636576605727535</v>
      </c>
      <c r="AJ280" s="27">
        <v>-0.38636576605727535</v>
      </c>
      <c r="AK280" s="27">
        <v>-0.38636576605727535</v>
      </c>
      <c r="AL280" s="28" t="s">
        <v>240</v>
      </c>
      <c r="AM280" s="29" t="s">
        <v>48</v>
      </c>
      <c r="AN280" s="29" t="s">
        <v>48</v>
      </c>
      <c r="AO280" s="29" t="s">
        <v>48</v>
      </c>
      <c r="AP280" s="47" t="s">
        <v>739</v>
      </c>
      <c r="AQ280" s="28">
        <v>0</v>
      </c>
      <c r="AR280" s="26">
        <v>1.4999999999999999E-2</v>
      </c>
      <c r="AS280" s="26">
        <v>0</v>
      </c>
    </row>
    <row r="281" spans="1:45" x14ac:dyDescent="0.15">
      <c r="A281" s="64">
        <v>775</v>
      </c>
      <c r="B281" s="64">
        <v>301</v>
      </c>
      <c r="C281" s="11">
        <v>580003</v>
      </c>
      <c r="D281" s="61">
        <v>710</v>
      </c>
      <c r="E281" s="61">
        <v>-3.0931709345960799E-3</v>
      </c>
      <c r="F281" s="61">
        <v>96</v>
      </c>
      <c r="G281" s="61">
        <v>0.113865526176171</v>
      </c>
      <c r="H281" s="66">
        <v>271</v>
      </c>
      <c r="I281" s="66" t="str">
        <f>H281&amp;"/"&amp;428</f>
        <v>271/428</v>
      </c>
      <c r="J281" s="68">
        <f>H281/428</f>
        <v>0.63317757009345799</v>
      </c>
      <c r="K281" s="18" t="s">
        <v>44</v>
      </c>
      <c r="L281" s="18" t="s">
        <v>45</v>
      </c>
      <c r="M281" s="58" t="s">
        <v>274</v>
      </c>
      <c r="N281" s="18">
        <f>[1]!f_prt_stocktonav(C281,"2017/03/31")</f>
        <v>89.439010620117188</v>
      </c>
      <c r="O281" s="20" t="str">
        <f>[1]!f_info_fundmanager(C281)</f>
        <v>王立立</v>
      </c>
      <c r="P281" s="21">
        <v>1.8410958904109589</v>
      </c>
      <c r="Q281" s="34" t="s">
        <v>3033</v>
      </c>
      <c r="R281" s="34" t="s">
        <v>3034</v>
      </c>
      <c r="S281" s="34" t="s">
        <v>1057</v>
      </c>
      <c r="T281" s="34">
        <v>20080423</v>
      </c>
      <c r="U281" s="45">
        <v>5.5437216750999996</v>
      </c>
      <c r="V281" s="46">
        <v>5.7479816364999996</v>
      </c>
      <c r="W281" s="34" t="s">
        <v>231</v>
      </c>
      <c r="X281" s="34" t="s">
        <v>44</v>
      </c>
      <c r="Y281" s="34" t="s">
        <v>45</v>
      </c>
      <c r="Z281" s="34" t="s">
        <v>274</v>
      </c>
      <c r="AA281" s="34"/>
      <c r="AB281" s="34"/>
      <c r="AC281" s="22">
        <v>0.94424415588378907</v>
      </c>
      <c r="AD281" s="23" t="s">
        <v>3035</v>
      </c>
      <c r="AE281" s="24">
        <v>1.6109589041095891</v>
      </c>
      <c r="AF281" s="25">
        <v>-2.0707305095192585E-2</v>
      </c>
      <c r="AG281" s="26">
        <v>0.14226068597727326</v>
      </c>
      <c r="AH281" s="26">
        <v>1.3524179531393621E-2</v>
      </c>
      <c r="AI281" s="27">
        <v>4.1474284534560757E-2</v>
      </c>
      <c r="AJ281" s="27">
        <v>0.49642200403763653</v>
      </c>
      <c r="AK281" s="27">
        <v>0.17161204608900635</v>
      </c>
      <c r="AL281" s="28" t="s">
        <v>2119</v>
      </c>
      <c r="AM281" s="29">
        <v>1</v>
      </c>
      <c r="AN281" s="29">
        <v>1</v>
      </c>
      <c r="AO281" s="29" t="s">
        <v>48</v>
      </c>
      <c r="AP281" s="47" t="s">
        <v>310</v>
      </c>
      <c r="AQ281" s="28">
        <v>0</v>
      </c>
      <c r="AR281" s="26">
        <v>1.4999999999999999E-2</v>
      </c>
      <c r="AS281" s="26">
        <v>0</v>
      </c>
    </row>
    <row r="282" spans="1:45" x14ac:dyDescent="0.15">
      <c r="A282" s="64">
        <v>894</v>
      </c>
      <c r="B282" s="64">
        <v>378</v>
      </c>
      <c r="C282" s="11">
        <v>460001</v>
      </c>
      <c r="D282" s="61">
        <v>711</v>
      </c>
      <c r="E282" s="61">
        <v>-3.1031066249720299E-3</v>
      </c>
      <c r="F282" s="61">
        <v>185</v>
      </c>
      <c r="G282" s="61">
        <v>1.8520334030525401E-2</v>
      </c>
      <c r="H282" s="66">
        <v>272</v>
      </c>
      <c r="I282" s="66" t="str">
        <f>H282&amp;"/"&amp;428</f>
        <v>272/428</v>
      </c>
      <c r="J282" s="68">
        <f>H282/428</f>
        <v>0.63551401869158874</v>
      </c>
      <c r="K282" s="18" t="s">
        <v>44</v>
      </c>
      <c r="L282" s="18" t="s">
        <v>45</v>
      </c>
      <c r="M282" s="58" t="s">
        <v>274</v>
      </c>
      <c r="N282" s="18">
        <f>[1]!f_prt_stocktonav(C282,"2017/03/31")</f>
        <v>87.96405029296875</v>
      </c>
      <c r="O282" s="20" t="str">
        <f>[1]!f_info_fundmanager(C282)</f>
        <v>张慧</v>
      </c>
      <c r="P282" s="21">
        <v>3.5397260273972604</v>
      </c>
      <c r="Q282" s="34" t="s">
        <v>3473</v>
      </c>
      <c r="R282" s="34" t="s">
        <v>3474</v>
      </c>
      <c r="S282" s="34" t="s">
        <v>880</v>
      </c>
      <c r="T282" s="34">
        <v>20050427</v>
      </c>
      <c r="U282" s="45">
        <v>15.822567450199999</v>
      </c>
      <c r="V282" s="46">
        <v>18.1726016611</v>
      </c>
      <c r="W282" s="34" t="s">
        <v>231</v>
      </c>
      <c r="X282" s="34" t="s">
        <v>44</v>
      </c>
      <c r="Y282" s="34" t="s">
        <v>45</v>
      </c>
      <c r="Z282" s="34" t="s">
        <v>274</v>
      </c>
      <c r="AA282" s="34"/>
      <c r="AB282" s="34"/>
      <c r="AC282" s="22">
        <v>0.89328704833984374</v>
      </c>
      <c r="AD282" s="23" t="s">
        <v>1589</v>
      </c>
      <c r="AE282" s="24">
        <v>3.3095890410958906</v>
      </c>
      <c r="AF282" s="25">
        <v>0.13752821279557637</v>
      </c>
      <c r="AG282" s="26">
        <v>7.7913285437575475E-2</v>
      </c>
      <c r="AH282" s="26">
        <v>8.2689111793478501E-2</v>
      </c>
      <c r="AI282" s="27">
        <v>0.57081245041791262</v>
      </c>
      <c r="AJ282" s="27">
        <v>0.34532421576968947</v>
      </c>
      <c r="AK282" s="27">
        <v>0.37544410648189114</v>
      </c>
      <c r="AL282" s="28" t="s">
        <v>3475</v>
      </c>
      <c r="AM282" s="29">
        <v>2</v>
      </c>
      <c r="AN282" s="29">
        <v>3</v>
      </c>
      <c r="AO282" s="29" t="s">
        <v>48</v>
      </c>
      <c r="AP282" s="47" t="s">
        <v>2790</v>
      </c>
      <c r="AQ282" s="28">
        <v>0</v>
      </c>
      <c r="AR282" s="26">
        <v>1.4999999999999999E-2</v>
      </c>
      <c r="AS282" s="26">
        <v>0</v>
      </c>
    </row>
    <row r="283" spans="1:45" x14ac:dyDescent="0.15">
      <c r="A283" s="64">
        <v>808</v>
      </c>
      <c r="B283" s="64">
        <v>100</v>
      </c>
      <c r="C283" s="11">
        <v>377020</v>
      </c>
      <c r="D283" s="61">
        <v>713</v>
      </c>
      <c r="E283" s="61">
        <v>-3.1096470495515002E-3</v>
      </c>
      <c r="F283" s="61">
        <v>119</v>
      </c>
      <c r="G283" s="61">
        <v>0.13451794070364101</v>
      </c>
      <c r="H283" s="66">
        <v>273</v>
      </c>
      <c r="I283" s="66" t="str">
        <f>H283&amp;"/"&amp;428</f>
        <v>273/428</v>
      </c>
      <c r="J283" s="68">
        <f>H283/428</f>
        <v>0.63785046728971961</v>
      </c>
      <c r="K283" s="18" t="s">
        <v>44</v>
      </c>
      <c r="L283" s="19" t="s">
        <v>45</v>
      </c>
      <c r="M283" s="59" t="s">
        <v>274</v>
      </c>
      <c r="N283" s="18">
        <f>[1]!f_prt_stocktonav(C283,"2017/03/31")</f>
        <v>93.602043151855469</v>
      </c>
      <c r="O283" s="20" t="str">
        <f>[1]!f_info_fundmanager(C283)</f>
        <v>杜猛,刘辉</v>
      </c>
      <c r="P283" s="21">
        <v>2.2821917808219179</v>
      </c>
      <c r="Q283" s="32" t="s">
        <v>3147</v>
      </c>
      <c r="R283" s="13" t="s">
        <v>3148</v>
      </c>
      <c r="S283" s="13" t="s">
        <v>511</v>
      </c>
      <c r="T283" s="13">
        <v>20070413</v>
      </c>
      <c r="U283" s="14">
        <v>23.7105987566</v>
      </c>
      <c r="V283" s="15" t="s">
        <v>39</v>
      </c>
      <c r="W283" s="16" t="s">
        <v>40</v>
      </c>
      <c r="X283" s="17" t="s">
        <v>44</v>
      </c>
      <c r="Y283" s="17" t="s">
        <v>45</v>
      </c>
      <c r="Z283" s="17" t="s">
        <v>274</v>
      </c>
      <c r="AA283" s="13"/>
      <c r="AB283" s="13"/>
      <c r="AC283" s="22">
        <v>0.92016418457031246</v>
      </c>
      <c r="AD283" s="23" t="s">
        <v>3149</v>
      </c>
      <c r="AE283" s="24">
        <v>2.0520547945205481</v>
      </c>
      <c r="AF283" s="25">
        <v>3.7842780306932333E-2</v>
      </c>
      <c r="AG283" s="26">
        <v>-3.4570686290773867E-2</v>
      </c>
      <c r="AH283" s="26">
        <v>5.7273384075436029E-2</v>
      </c>
      <c r="AI283" s="27">
        <v>0.21958552998054592</v>
      </c>
      <c r="AJ283" s="27">
        <v>7.8932102898489759E-3</v>
      </c>
      <c r="AK283" s="27">
        <v>0.28854235917034837</v>
      </c>
      <c r="AL283" s="28" t="s">
        <v>1459</v>
      </c>
      <c r="AM283" s="29">
        <v>1</v>
      </c>
      <c r="AN283" s="29">
        <v>2</v>
      </c>
      <c r="AO283" s="29" t="s">
        <v>48</v>
      </c>
      <c r="AP283" s="23" t="s">
        <v>121</v>
      </c>
      <c r="AQ283" s="30">
        <v>0</v>
      </c>
      <c r="AR283" s="31">
        <v>1.4999999999999999E-2</v>
      </c>
      <c r="AS283" s="31">
        <v>0</v>
      </c>
    </row>
    <row r="284" spans="1:45" x14ac:dyDescent="0.15">
      <c r="A284" s="64">
        <v>852</v>
      </c>
      <c r="B284" s="64">
        <v>787</v>
      </c>
      <c r="C284" s="11">
        <v>360006</v>
      </c>
      <c r="D284" s="61">
        <v>715</v>
      </c>
      <c r="E284" s="61">
        <v>-3.1158328280956001E-3</v>
      </c>
      <c r="F284" s="61">
        <v>213</v>
      </c>
      <c r="G284" s="61">
        <v>5.9700218468712303E-4</v>
      </c>
      <c r="H284" s="66">
        <v>274</v>
      </c>
      <c r="I284" s="66" t="str">
        <f>H284&amp;"/"&amp;428</f>
        <v>274/428</v>
      </c>
      <c r="J284" s="68">
        <f>H284/428</f>
        <v>0.64018691588785048</v>
      </c>
      <c r="K284" s="18" t="s">
        <v>44</v>
      </c>
      <c r="L284" s="18" t="s">
        <v>45</v>
      </c>
      <c r="M284" s="58" t="s">
        <v>274</v>
      </c>
      <c r="N284" s="18">
        <f>[1]!f_prt_stocktonav(C284,"2017/03/31")</f>
        <v>77.164421081542969</v>
      </c>
      <c r="O284" s="20" t="str">
        <f>[1]!f_info_fundmanager(C284)</f>
        <v>魏晓雪</v>
      </c>
      <c r="P284" s="21">
        <v>4.087671232876712</v>
      </c>
      <c r="Q284" s="34" t="s">
        <v>3310</v>
      </c>
      <c r="R284" s="34" t="s">
        <v>3311</v>
      </c>
      <c r="S284" s="34" t="s">
        <v>634</v>
      </c>
      <c r="T284" s="34">
        <v>20060914</v>
      </c>
      <c r="U284" s="45">
        <v>2.3340941421000001</v>
      </c>
      <c r="V284" s="46">
        <v>2.6614839461000002</v>
      </c>
      <c r="W284" s="34" t="s">
        <v>231</v>
      </c>
      <c r="X284" s="34" t="s">
        <v>44</v>
      </c>
      <c r="Y284" s="34" t="s">
        <v>45</v>
      </c>
      <c r="Z284" s="34" t="s">
        <v>274</v>
      </c>
      <c r="AA284" s="34"/>
      <c r="AB284" s="34"/>
      <c r="AC284" s="22">
        <v>0.8396810913085937</v>
      </c>
      <c r="AD284" s="23" t="s">
        <v>3312</v>
      </c>
      <c r="AE284" s="24">
        <v>3.8575342465753426</v>
      </c>
      <c r="AF284" s="25">
        <v>0.1285630457416187</v>
      </c>
      <c r="AG284" s="26">
        <v>0.13397789051237763</v>
      </c>
      <c r="AH284" s="26">
        <v>0.10036729632864061</v>
      </c>
      <c r="AI284" s="27">
        <v>0.51744225002627542</v>
      </c>
      <c r="AJ284" s="27">
        <v>0.51197685301731721</v>
      </c>
      <c r="AK284" s="27">
        <v>0.44014361071887226</v>
      </c>
      <c r="AL284" s="28" t="s">
        <v>3313</v>
      </c>
      <c r="AM284" s="29">
        <v>2</v>
      </c>
      <c r="AN284" s="29">
        <v>2</v>
      </c>
      <c r="AO284" s="29" t="s">
        <v>48</v>
      </c>
      <c r="AP284" s="47" t="s">
        <v>3076</v>
      </c>
      <c r="AQ284" s="28">
        <v>0</v>
      </c>
      <c r="AR284" s="26">
        <v>1.4999999999999999E-2</v>
      </c>
      <c r="AS284" s="26">
        <v>0</v>
      </c>
    </row>
    <row r="285" spans="1:45" x14ac:dyDescent="0.15">
      <c r="A285" s="64">
        <v>538</v>
      </c>
      <c r="B285" s="64">
        <v>803</v>
      </c>
      <c r="C285" s="11">
        <v>519679</v>
      </c>
      <c r="D285" s="61">
        <v>717</v>
      </c>
      <c r="E285" s="61">
        <v>-3.1336213924421101E-3</v>
      </c>
      <c r="F285" s="61">
        <v>61</v>
      </c>
      <c r="G285" s="61">
        <v>6.3866385080546997E-2</v>
      </c>
      <c r="H285" s="66">
        <v>275</v>
      </c>
      <c r="I285" s="66" t="str">
        <f>H285&amp;"/"&amp;428</f>
        <v>275/428</v>
      </c>
      <c r="J285" s="68">
        <f>H285/428</f>
        <v>0.64252336448598135</v>
      </c>
      <c r="K285" s="18" t="s">
        <v>44</v>
      </c>
      <c r="L285" s="18" t="s">
        <v>87</v>
      </c>
      <c r="M285" s="58" t="s">
        <v>274</v>
      </c>
      <c r="N285" s="18">
        <f>[1]!f_prt_stocktonav(C285,"2017/03/31")</f>
        <v>76.469741821289063</v>
      </c>
      <c r="O285" s="20" t="str">
        <f>[1]!f_info_fundmanager(C285)</f>
        <v>张杨</v>
      </c>
      <c r="P285" s="21">
        <v>1.1616438356164382</v>
      </c>
      <c r="Q285" s="34" t="s">
        <v>2237</v>
      </c>
      <c r="R285" s="34" t="s">
        <v>2238</v>
      </c>
      <c r="S285" s="34" t="s">
        <v>807</v>
      </c>
      <c r="T285" s="34">
        <v>20120921</v>
      </c>
      <c r="U285" s="45">
        <v>10.6003229397</v>
      </c>
      <c r="V285" s="46">
        <v>11.750877984600001</v>
      </c>
      <c r="W285" s="34" t="s">
        <v>201</v>
      </c>
      <c r="X285" s="34" t="s">
        <v>44</v>
      </c>
      <c r="Y285" s="34" t="s">
        <v>45</v>
      </c>
      <c r="Z285" s="34" t="s">
        <v>274</v>
      </c>
      <c r="AA285" s="34"/>
      <c r="AB285" s="34"/>
      <c r="AC285" s="22">
        <v>0.85881790161132809</v>
      </c>
      <c r="AD285" s="23" t="s">
        <v>2239</v>
      </c>
      <c r="AE285" s="24">
        <v>0.93150684931506844</v>
      </c>
      <c r="AF285" s="25">
        <v>0.33849900351539941</v>
      </c>
      <c r="AG285" s="26">
        <v>0.21856537370477902</v>
      </c>
      <c r="AH285" s="26">
        <v>0</v>
      </c>
      <c r="AI285" s="27">
        <v>1.0407436396160914</v>
      </c>
      <c r="AJ285" s="27">
        <v>0.67451483913790133</v>
      </c>
      <c r="AK285" s="27">
        <v>1.0407436396160914</v>
      </c>
      <c r="AL285" s="28" t="s">
        <v>1750</v>
      </c>
      <c r="AM285" s="29">
        <v>5</v>
      </c>
      <c r="AN285" s="29">
        <v>4</v>
      </c>
      <c r="AO285" s="29" t="s">
        <v>48</v>
      </c>
      <c r="AP285" s="47" t="s">
        <v>101</v>
      </c>
      <c r="AQ285" s="28">
        <v>0</v>
      </c>
      <c r="AR285" s="26">
        <v>1.4999999999999999E-2</v>
      </c>
      <c r="AS285" s="26">
        <v>0</v>
      </c>
    </row>
    <row r="286" spans="1:45" x14ac:dyDescent="0.15">
      <c r="A286" s="64">
        <v>699</v>
      </c>
      <c r="B286" s="64">
        <v>479</v>
      </c>
      <c r="C286" s="11">
        <v>80005</v>
      </c>
      <c r="D286" s="61">
        <v>718</v>
      </c>
      <c r="E286" s="61">
        <v>-3.1354950777090101E-3</v>
      </c>
      <c r="F286" s="61">
        <v>93</v>
      </c>
      <c r="G286" s="61">
        <v>0.18627033698555001</v>
      </c>
      <c r="H286" s="66">
        <v>276</v>
      </c>
      <c r="I286" s="66" t="str">
        <f>H286&amp;"/"&amp;428</f>
        <v>276/428</v>
      </c>
      <c r="J286" s="68">
        <f>H286/428</f>
        <v>0.64485981308411211</v>
      </c>
      <c r="K286" s="18" t="s">
        <v>44</v>
      </c>
      <c r="L286" s="18" t="s">
        <v>87</v>
      </c>
      <c r="M286" s="58" t="s">
        <v>274</v>
      </c>
      <c r="N286" s="18">
        <f>[1]!f_prt_stocktonav(C286,"2017/03/31")</f>
        <v>85.700241088867187</v>
      </c>
      <c r="O286" s="20" t="str">
        <f>[1]!f_info_fundmanager(C286)</f>
        <v>王超</v>
      </c>
      <c r="P286" s="21">
        <v>1.7863013698630137</v>
      </c>
      <c r="Q286" s="34" t="s">
        <v>2779</v>
      </c>
      <c r="R286" s="34" t="s">
        <v>2780</v>
      </c>
      <c r="S286" s="34" t="s">
        <v>364</v>
      </c>
      <c r="T286" s="34">
        <v>20091125</v>
      </c>
      <c r="U286" s="45">
        <v>19.122089027400001</v>
      </c>
      <c r="V286" s="46">
        <v>3.1188022667999999</v>
      </c>
      <c r="W286" s="34" t="s">
        <v>3776</v>
      </c>
      <c r="X286" s="34" t="s">
        <v>41</v>
      </c>
      <c r="Y286" s="34" t="s">
        <v>42</v>
      </c>
      <c r="Z286" s="34" t="s">
        <v>181</v>
      </c>
      <c r="AA286" s="34"/>
      <c r="AB286" s="34"/>
      <c r="AC286" s="22">
        <v>0.13887896537780761</v>
      </c>
      <c r="AD286" s="23" t="s">
        <v>1988</v>
      </c>
      <c r="AE286" s="24">
        <v>1.5561643835616439</v>
      </c>
      <c r="AF286" s="25">
        <v>0.10421993534731966</v>
      </c>
      <c r="AG286" s="26">
        <v>0.28760224428159997</v>
      </c>
      <c r="AH286" s="26">
        <v>0.18624996206089683</v>
      </c>
      <c r="AI286" s="27">
        <v>0.45652445062958974</v>
      </c>
      <c r="AJ286" s="27">
        <v>0.82123973032043796</v>
      </c>
      <c r="AK286" s="27">
        <v>0.67986157255247948</v>
      </c>
      <c r="AL286" s="28" t="s">
        <v>2781</v>
      </c>
      <c r="AM286" s="29">
        <v>5</v>
      </c>
      <c r="AN286" s="29">
        <v>3</v>
      </c>
      <c r="AO286" s="29" t="s">
        <v>48</v>
      </c>
      <c r="AP286" s="47" t="s">
        <v>559</v>
      </c>
      <c r="AQ286" s="28">
        <v>0</v>
      </c>
      <c r="AR286" s="26">
        <v>1.4999999999999999E-2</v>
      </c>
      <c r="AS286" s="26">
        <v>0</v>
      </c>
    </row>
    <row r="287" spans="1:45" x14ac:dyDescent="0.15">
      <c r="A287" s="64">
        <v>364</v>
      </c>
      <c r="B287" s="64">
        <v>460</v>
      </c>
      <c r="C287" s="11">
        <v>519975</v>
      </c>
      <c r="D287" s="61">
        <v>719</v>
      </c>
      <c r="E287" s="61">
        <v>-3.1510354438317898E-3</v>
      </c>
      <c r="F287" s="61">
        <v>107</v>
      </c>
      <c r="G287" s="61">
        <v>2.4087080464055301E-2</v>
      </c>
      <c r="H287" s="66">
        <v>277</v>
      </c>
      <c r="I287" s="66" t="str">
        <f>H287&amp;"/"&amp;428</f>
        <v>277/428</v>
      </c>
      <c r="J287" s="68">
        <f>H287/428</f>
        <v>0.64719626168224298</v>
      </c>
      <c r="K287" s="18" t="s">
        <v>44</v>
      </c>
      <c r="L287" s="18" t="s">
        <v>64</v>
      </c>
      <c r="M287" s="58" t="s">
        <v>274</v>
      </c>
      <c r="N287" s="18">
        <f>[1]!f_prt_stocktonav(C287,"2017/03/31")</f>
        <v>86.115127563476563</v>
      </c>
      <c r="O287" s="20" t="str">
        <f>[1]!f_info_fundmanager(C287)</f>
        <v>左金保</v>
      </c>
      <c r="P287" s="21">
        <v>2.0520547945205481</v>
      </c>
      <c r="Q287" s="34" t="s">
        <v>1597</v>
      </c>
      <c r="R287" s="34" t="s">
        <v>1598</v>
      </c>
      <c r="S287" s="34" t="s">
        <v>206</v>
      </c>
      <c r="T287" s="34">
        <v>20150204</v>
      </c>
      <c r="U287" s="45">
        <v>39.740978274699998</v>
      </c>
      <c r="V287" s="46">
        <v>19.286490231199998</v>
      </c>
      <c r="W287" s="34" t="s">
        <v>3789</v>
      </c>
      <c r="X287" s="34" t="s">
        <v>44</v>
      </c>
      <c r="Y287" s="34" t="s">
        <v>64</v>
      </c>
      <c r="Z287" s="34" t="s">
        <v>274</v>
      </c>
      <c r="AA287" s="34"/>
      <c r="AB287" s="34"/>
      <c r="AC287" s="22">
        <v>0.83929321289062497</v>
      </c>
      <c r="AD287" s="23" t="s">
        <v>327</v>
      </c>
      <c r="AE287" s="24">
        <v>1.821917808219178</v>
      </c>
      <c r="AF287" s="25">
        <v>0.22680559009631462</v>
      </c>
      <c r="AG287" s="26">
        <v>0</v>
      </c>
      <c r="AH287" s="26">
        <v>0</v>
      </c>
      <c r="AI287" s="27">
        <v>0.69164606524981098</v>
      </c>
      <c r="AJ287" s="27">
        <v>0.69164606524981098</v>
      </c>
      <c r="AK287" s="27">
        <v>0.69164606524981098</v>
      </c>
      <c r="AL287" s="28" t="s">
        <v>1599</v>
      </c>
      <c r="AM287" s="29" t="s">
        <v>48</v>
      </c>
      <c r="AN287" s="29" t="s">
        <v>48</v>
      </c>
      <c r="AO287" s="29" t="s">
        <v>48</v>
      </c>
      <c r="AP287" s="47" t="s">
        <v>209</v>
      </c>
      <c r="AQ287" s="28">
        <v>0</v>
      </c>
      <c r="AR287" s="26">
        <v>1.4999999999999999E-2</v>
      </c>
      <c r="AS287" s="26">
        <v>0</v>
      </c>
    </row>
    <row r="288" spans="1:45" x14ac:dyDescent="0.15">
      <c r="A288" s="64">
        <v>312</v>
      </c>
      <c r="B288" s="64">
        <v>767</v>
      </c>
      <c r="C288" s="11">
        <v>519655</v>
      </c>
      <c r="D288" s="61">
        <v>720</v>
      </c>
      <c r="E288" s="61">
        <v>-3.1514417722553101E-3</v>
      </c>
      <c r="F288" s="61">
        <v>99</v>
      </c>
      <c r="G288" s="61">
        <v>5.7663961490688198E-2</v>
      </c>
      <c r="H288" s="66">
        <v>278</v>
      </c>
      <c r="I288" s="66" t="str">
        <f>H288&amp;"/"&amp;428</f>
        <v>278/428</v>
      </c>
      <c r="J288" s="68">
        <f>H288/428</f>
        <v>0.64953271028037385</v>
      </c>
      <c r="K288" s="18" t="s">
        <v>44</v>
      </c>
      <c r="L288" s="18" t="s">
        <v>87</v>
      </c>
      <c r="M288" s="58" t="s">
        <v>274</v>
      </c>
      <c r="N288" s="18">
        <f>[1]!f_prt_stocktonav(C288,"2017/03/31")</f>
        <v>77.638130187988281</v>
      </c>
      <c r="O288" s="20" t="str">
        <f>[1]!f_info_fundmanager(C288)</f>
        <v>钱睿南</v>
      </c>
      <c r="P288" s="21">
        <v>1.9424657534246574</v>
      </c>
      <c r="Q288" s="39" t="s">
        <v>1408</v>
      </c>
      <c r="R288" s="39" t="s">
        <v>1409</v>
      </c>
      <c r="S288" s="39" t="s">
        <v>807</v>
      </c>
      <c r="T288" s="39">
        <v>20150422</v>
      </c>
      <c r="U288" s="48">
        <v>26.892169022400001</v>
      </c>
      <c r="V288" s="46">
        <v>29.303958196100002</v>
      </c>
      <c r="W288" s="39" t="s">
        <v>3789</v>
      </c>
      <c r="X288" s="39" t="s">
        <v>41</v>
      </c>
      <c r="Y288" s="39" t="s">
        <v>42</v>
      </c>
      <c r="Z288" s="39" t="s">
        <v>181</v>
      </c>
      <c r="AA288" s="34" t="s">
        <v>3809</v>
      </c>
      <c r="AB288" s="34"/>
      <c r="AC288" s="22">
        <v>0.68218078613281252</v>
      </c>
      <c r="AD288" s="23" t="s">
        <v>1411</v>
      </c>
      <c r="AE288" s="24">
        <v>1.7123287671232876</v>
      </c>
      <c r="AF288" s="25">
        <v>-8.1834916934164101E-2</v>
      </c>
      <c r="AG288" s="26">
        <v>0</v>
      </c>
      <c r="AH288" s="26">
        <v>0</v>
      </c>
      <c r="AI288" s="27">
        <v>-0.1508485338847893</v>
      </c>
      <c r="AJ288" s="27">
        <v>-0.1508485338847893</v>
      </c>
      <c r="AK288" s="27">
        <v>-0.1508485338847893</v>
      </c>
      <c r="AL288" s="40" t="s">
        <v>1412</v>
      </c>
      <c r="AM288" s="41" t="s">
        <v>48</v>
      </c>
      <c r="AN288" s="41" t="s">
        <v>48</v>
      </c>
      <c r="AO288" s="41" t="s">
        <v>48</v>
      </c>
      <c r="AP288" s="50" t="s">
        <v>310</v>
      </c>
      <c r="AQ288" s="51">
        <v>0</v>
      </c>
      <c r="AR288" s="52">
        <v>1.4999999999999999E-2</v>
      </c>
      <c r="AS288" s="52">
        <v>0</v>
      </c>
    </row>
    <row r="289" spans="1:45" x14ac:dyDescent="0.15">
      <c r="A289" s="64">
        <v>738</v>
      </c>
      <c r="B289" s="64">
        <v>467</v>
      </c>
      <c r="C289" s="11">
        <v>70017</v>
      </c>
      <c r="D289" s="61">
        <v>721</v>
      </c>
      <c r="E289" s="61">
        <v>-3.1605763321451998E-3</v>
      </c>
      <c r="F289" s="61">
        <v>412</v>
      </c>
      <c r="G289" s="61">
        <v>9.0037035076716696E-7</v>
      </c>
      <c r="H289" s="66">
        <v>279</v>
      </c>
      <c r="I289" s="66" t="str">
        <f>H289&amp;"/"&amp;428</f>
        <v>279/428</v>
      </c>
      <c r="J289" s="68">
        <f>H289/428</f>
        <v>0.65186915887850472</v>
      </c>
      <c r="K289" s="18" t="s">
        <v>44</v>
      </c>
      <c r="L289" s="18" t="s">
        <v>64</v>
      </c>
      <c r="M289" s="58" t="s">
        <v>274</v>
      </c>
      <c r="N289" s="18">
        <f>[1]!f_prt_stocktonav(C289,"2017/03/31")</f>
        <v>85.88470458984375</v>
      </c>
      <c r="O289" s="20" t="str">
        <f>[1]!f_info_fundmanager(C289)</f>
        <v>陶羽</v>
      </c>
      <c r="P289" s="21">
        <v>8.0356164383561648</v>
      </c>
      <c r="Q289" s="34" t="s">
        <v>2910</v>
      </c>
      <c r="R289" s="34" t="s">
        <v>2911</v>
      </c>
      <c r="S289" s="34" t="s">
        <v>92</v>
      </c>
      <c r="T289" s="34">
        <v>20090320</v>
      </c>
      <c r="U289" s="45">
        <v>4.1168727091999999</v>
      </c>
      <c r="V289" s="46">
        <v>3.397306146</v>
      </c>
      <c r="W289" s="34" t="s">
        <v>231</v>
      </c>
      <c r="X289" s="34" t="s">
        <v>44</v>
      </c>
      <c r="Y289" s="34" t="s">
        <v>45</v>
      </c>
      <c r="Z289" s="34" t="s">
        <v>274</v>
      </c>
      <c r="AA289" s="34"/>
      <c r="AB289" s="34"/>
      <c r="AC289" s="22">
        <v>0.85750785827636722</v>
      </c>
      <c r="AD289" s="23" t="s">
        <v>2912</v>
      </c>
      <c r="AE289" s="24">
        <v>7.8054794520547945</v>
      </c>
      <c r="AF289" s="25">
        <v>7.5661743983147511E-2</v>
      </c>
      <c r="AG289" s="26">
        <v>0.237761510846765</v>
      </c>
      <c r="AH289" s="26">
        <v>0.15084236122637895</v>
      </c>
      <c r="AI289" s="27">
        <v>0.35345013826363841</v>
      </c>
      <c r="AJ289" s="27">
        <v>0.77378726335918691</v>
      </c>
      <c r="AK289" s="27">
        <v>0.58737537681584751</v>
      </c>
      <c r="AL289" s="28" t="s">
        <v>2463</v>
      </c>
      <c r="AM289" s="29">
        <v>3</v>
      </c>
      <c r="AN289" s="29">
        <v>2</v>
      </c>
      <c r="AO289" s="29" t="s">
        <v>48</v>
      </c>
      <c r="AP289" s="47" t="s">
        <v>310</v>
      </c>
      <c r="AQ289" s="28" t="s">
        <v>2293</v>
      </c>
      <c r="AR289" s="26">
        <v>1.4999999999999999E-2</v>
      </c>
      <c r="AS289" s="26">
        <v>0</v>
      </c>
    </row>
    <row r="290" spans="1:45" x14ac:dyDescent="0.15">
      <c r="A290" s="64">
        <v>694</v>
      </c>
      <c r="B290" s="64">
        <v>400</v>
      </c>
      <c r="C290" s="11">
        <v>540007</v>
      </c>
      <c r="D290" s="61">
        <v>722</v>
      </c>
      <c r="E290" s="61">
        <v>-3.1696651314284899E-3</v>
      </c>
      <c r="F290" s="61">
        <v>207</v>
      </c>
      <c r="G290" s="61">
        <v>1.11263973847114E-2</v>
      </c>
      <c r="H290" s="66">
        <v>280</v>
      </c>
      <c r="I290" s="66" t="str">
        <f>H290&amp;"/"&amp;428</f>
        <v>280/428</v>
      </c>
      <c r="J290" s="68">
        <f>H290/428</f>
        <v>0.65420560747663548</v>
      </c>
      <c r="K290" s="18" t="s">
        <v>44</v>
      </c>
      <c r="L290" s="18" t="s">
        <v>45</v>
      </c>
      <c r="M290" s="58" t="s">
        <v>274</v>
      </c>
      <c r="N290" s="18">
        <f>[1]!f_prt_stocktonav(C290,"2017/03/31")</f>
        <v>87.525527954101563</v>
      </c>
      <c r="O290" s="20" t="str">
        <f>[1]!f_info_fundmanager(C290)</f>
        <v>侯玉琦</v>
      </c>
      <c r="P290" s="21">
        <v>3.967123287671233</v>
      </c>
      <c r="Q290" s="34" t="s">
        <v>2762</v>
      </c>
      <c r="R290" s="34" t="s">
        <v>2763</v>
      </c>
      <c r="S290" s="34" t="s">
        <v>149</v>
      </c>
      <c r="T290" s="34">
        <v>20091211</v>
      </c>
      <c r="U290" s="45">
        <v>0.88576742109999995</v>
      </c>
      <c r="V290" s="46">
        <v>0.93943036140000002</v>
      </c>
      <c r="W290" s="34" t="s">
        <v>3776</v>
      </c>
      <c r="X290" s="34" t="s">
        <v>44</v>
      </c>
      <c r="Y290" s="34" t="s">
        <v>45</v>
      </c>
      <c r="Z290" s="34" t="s">
        <v>274</v>
      </c>
      <c r="AA290" s="34"/>
      <c r="AB290" s="34"/>
      <c r="AC290" s="22">
        <v>0.86863830566406253</v>
      </c>
      <c r="AD290" s="23" t="s">
        <v>2764</v>
      </c>
      <c r="AE290" s="24">
        <v>3.7369863013698632</v>
      </c>
      <c r="AF290" s="25">
        <v>1.9043280438728383E-2</v>
      </c>
      <c r="AG290" s="26">
        <v>9.8849995132971991E-2</v>
      </c>
      <c r="AH290" s="26">
        <v>9.2403608437835447E-2</v>
      </c>
      <c r="AI290" s="27">
        <v>0.14758936145797349</v>
      </c>
      <c r="AJ290" s="27">
        <v>0.41387429810865589</v>
      </c>
      <c r="AK290" s="27">
        <v>0.40511528533999014</v>
      </c>
      <c r="AL290" s="28" t="s">
        <v>2765</v>
      </c>
      <c r="AM290" s="29">
        <v>1</v>
      </c>
      <c r="AN290" s="29">
        <v>4</v>
      </c>
      <c r="AO290" s="29" t="s">
        <v>48</v>
      </c>
      <c r="AP290" s="47" t="s">
        <v>410</v>
      </c>
      <c r="AQ290" s="28">
        <v>0</v>
      </c>
      <c r="AR290" s="26">
        <v>1.4999999999999999E-2</v>
      </c>
      <c r="AS290" s="26">
        <v>0</v>
      </c>
    </row>
    <row r="291" spans="1:45" x14ac:dyDescent="0.15">
      <c r="A291" s="64">
        <v>908</v>
      </c>
      <c r="B291" s="64">
        <v>426</v>
      </c>
      <c r="C291" s="11">
        <v>375010</v>
      </c>
      <c r="D291" s="61">
        <v>723</v>
      </c>
      <c r="E291" s="61">
        <v>-3.18876672775274E-3</v>
      </c>
      <c r="F291" s="61">
        <v>87</v>
      </c>
      <c r="G291" s="61">
        <v>0.10362010400411199</v>
      </c>
      <c r="H291" s="66">
        <v>281</v>
      </c>
      <c r="I291" s="66" t="str">
        <f>H291&amp;"/"&amp;428</f>
        <v>281/428</v>
      </c>
      <c r="J291" s="68">
        <f>H291/428</f>
        <v>0.65654205607476634</v>
      </c>
      <c r="K291" s="18" t="s">
        <v>44</v>
      </c>
      <c r="L291" s="19" t="s">
        <v>45</v>
      </c>
      <c r="M291" s="59" t="s">
        <v>274</v>
      </c>
      <c r="N291" s="18">
        <f>[1]!f_prt_stocktonav(C291,"2017/03/31")</f>
        <v>86.788131713867188</v>
      </c>
      <c r="O291" s="20" t="str">
        <f>[1]!f_info_fundmanager(C291)</f>
        <v>杨景喻</v>
      </c>
      <c r="P291" s="21">
        <v>1.6575342465753424</v>
      </c>
      <c r="Q291" s="32" t="s">
        <v>3527</v>
      </c>
      <c r="R291" s="13" t="s">
        <v>3528</v>
      </c>
      <c r="S291" s="13" t="s">
        <v>511</v>
      </c>
      <c r="T291" s="13">
        <v>20040915</v>
      </c>
      <c r="U291" s="14">
        <v>11.196393047200001</v>
      </c>
      <c r="V291" s="15" t="s">
        <v>39</v>
      </c>
      <c r="W291" s="16" t="s">
        <v>40</v>
      </c>
      <c r="X291" s="17" t="s">
        <v>44</v>
      </c>
      <c r="Y291" s="17" t="s">
        <v>45</v>
      </c>
      <c r="Z291" s="17" t="s">
        <v>274</v>
      </c>
      <c r="AA291" s="13"/>
      <c r="AB291" s="13"/>
      <c r="AC291" s="22">
        <v>0.88493690490722654</v>
      </c>
      <c r="AD291" s="23" t="s">
        <v>512</v>
      </c>
      <c r="AE291" s="24">
        <v>1.4273972602739726</v>
      </c>
      <c r="AF291" s="25">
        <v>0.13752099066487578</v>
      </c>
      <c r="AG291" s="26">
        <v>0.10238710600355884</v>
      </c>
      <c r="AH291" s="26">
        <v>3.2602647619973224E-2</v>
      </c>
      <c r="AI291" s="27">
        <v>0.54003901343330363</v>
      </c>
      <c r="AJ291" s="27">
        <v>0.41059705775961969</v>
      </c>
      <c r="AK291" s="27">
        <v>0.20818139181206707</v>
      </c>
      <c r="AL291" s="28" t="s">
        <v>3529</v>
      </c>
      <c r="AM291" s="29">
        <v>1</v>
      </c>
      <c r="AN291" s="29">
        <v>1</v>
      </c>
      <c r="AO291" s="29" t="s">
        <v>48</v>
      </c>
      <c r="AP291" s="23">
        <v>0</v>
      </c>
      <c r="AQ291" s="30">
        <v>0</v>
      </c>
      <c r="AR291" s="31">
        <v>1.4999999999999999E-2</v>
      </c>
      <c r="AS291" s="31">
        <v>0</v>
      </c>
    </row>
    <row r="292" spans="1:45" x14ac:dyDescent="0.15">
      <c r="A292" s="64">
        <v>734</v>
      </c>
      <c r="B292" s="64">
        <v>940</v>
      </c>
      <c r="C292" s="11">
        <v>163807</v>
      </c>
      <c r="D292" s="61">
        <v>724</v>
      </c>
      <c r="E292" s="61">
        <v>-3.2167132676929498E-3</v>
      </c>
      <c r="F292" s="61">
        <v>96</v>
      </c>
      <c r="G292" s="61">
        <v>0.130625817835198</v>
      </c>
      <c r="H292" s="66">
        <v>282</v>
      </c>
      <c r="I292" s="66" t="str">
        <f>H292&amp;"/"&amp;428</f>
        <v>282/428</v>
      </c>
      <c r="J292" s="68">
        <f>H292/428</f>
        <v>0.65887850467289721</v>
      </c>
      <c r="K292" s="18" t="s">
        <v>44</v>
      </c>
      <c r="L292" s="18" t="s">
        <v>45</v>
      </c>
      <c r="M292" s="58" t="s">
        <v>274</v>
      </c>
      <c r="N292" s="18">
        <f>[1]!f_prt_stocktonav(C292,"2017/03/31")</f>
        <v>70.701393127441406</v>
      </c>
      <c r="O292" s="20" t="str">
        <f>[1]!f_info_fundmanager(C292)</f>
        <v>王伟</v>
      </c>
      <c r="P292" s="21">
        <v>1.8438356164383563</v>
      </c>
      <c r="Q292" s="34" t="s">
        <v>2895</v>
      </c>
      <c r="R292" s="34" t="s">
        <v>2896</v>
      </c>
      <c r="S292" s="34" t="s">
        <v>71</v>
      </c>
      <c r="T292" s="34">
        <v>20090403</v>
      </c>
      <c r="U292" s="45">
        <v>2.6025214833999999</v>
      </c>
      <c r="V292" s="46">
        <v>2.6025640315</v>
      </c>
      <c r="W292" s="34" t="s">
        <v>231</v>
      </c>
      <c r="X292" s="34" t="s">
        <v>41</v>
      </c>
      <c r="Y292" s="17" t="s">
        <v>42</v>
      </c>
      <c r="Z292" s="17" t="s">
        <v>181</v>
      </c>
      <c r="AA292" s="34"/>
      <c r="AB292" s="34"/>
      <c r="AC292" s="22">
        <v>0.67618522644042967</v>
      </c>
      <c r="AD292" s="23" t="s">
        <v>1129</v>
      </c>
      <c r="AE292" s="24">
        <v>1.6136986301369862</v>
      </c>
      <c r="AF292" s="25">
        <v>9.5694780533839285E-2</v>
      </c>
      <c r="AG292" s="26">
        <v>0.15037603030047086</v>
      </c>
      <c r="AH292" s="26">
        <v>0.1346538404516946</v>
      </c>
      <c r="AI292" s="27">
        <v>0.45702074511208624</v>
      </c>
      <c r="AJ292" s="27">
        <v>0.57310979296127285</v>
      </c>
      <c r="AK292" s="27">
        <v>0.56680347161099598</v>
      </c>
      <c r="AL292" s="28" t="s">
        <v>2897</v>
      </c>
      <c r="AM292" s="29">
        <v>2</v>
      </c>
      <c r="AN292" s="29">
        <v>2</v>
      </c>
      <c r="AO292" s="29" t="s">
        <v>48</v>
      </c>
      <c r="AP292" s="47" t="s">
        <v>845</v>
      </c>
      <c r="AQ292" s="28">
        <v>0</v>
      </c>
      <c r="AR292" s="26">
        <v>1.4999999999999999E-2</v>
      </c>
      <c r="AS292" s="26">
        <v>0</v>
      </c>
    </row>
    <row r="293" spans="1:45" x14ac:dyDescent="0.15">
      <c r="A293" s="64">
        <v>311</v>
      </c>
      <c r="B293" s="64">
        <v>619</v>
      </c>
      <c r="C293" s="11">
        <v>1166</v>
      </c>
      <c r="D293" s="61">
        <v>725</v>
      </c>
      <c r="E293" s="61">
        <v>-3.2227526847080998E-3</v>
      </c>
      <c r="F293" s="61">
        <v>99</v>
      </c>
      <c r="G293" s="61">
        <v>1.4911598588845E-2</v>
      </c>
      <c r="H293" s="66">
        <v>283</v>
      </c>
      <c r="I293" s="66" t="str">
        <f>H293&amp;"/"&amp;428</f>
        <v>283/428</v>
      </c>
      <c r="J293" s="68">
        <f>H293/428</f>
        <v>0.66121495327102808</v>
      </c>
      <c r="K293" s="18" t="s">
        <v>44</v>
      </c>
      <c r="L293" s="18" t="s">
        <v>87</v>
      </c>
      <c r="M293" s="58" t="s">
        <v>274</v>
      </c>
      <c r="N293" s="18">
        <f>[1]!f_prt_stocktonav(C293,"2017/03/31")</f>
        <v>82.35919189453125</v>
      </c>
      <c r="O293" s="20" t="str">
        <f>[1]!f_info_fundmanager(C293)</f>
        <v>姜锋</v>
      </c>
      <c r="P293" s="21">
        <v>1.9424657534246574</v>
      </c>
      <c r="Q293" s="34" t="s">
        <v>1404</v>
      </c>
      <c r="R293" s="34" t="s">
        <v>1405</v>
      </c>
      <c r="S293" s="34" t="s">
        <v>307</v>
      </c>
      <c r="T293" s="34">
        <v>20150422</v>
      </c>
      <c r="U293" s="45">
        <v>36.453960136799999</v>
      </c>
      <c r="V293" s="46">
        <v>37.962878036299998</v>
      </c>
      <c r="W293" s="34" t="s">
        <v>3789</v>
      </c>
      <c r="X293" s="34" t="s">
        <v>44</v>
      </c>
      <c r="Y293" s="34" t="s">
        <v>45</v>
      </c>
      <c r="Z293" s="34" t="s">
        <v>274</v>
      </c>
      <c r="AA293" s="34"/>
      <c r="AB293" s="34"/>
      <c r="AC293" s="22">
        <v>0.81891448974609371</v>
      </c>
      <c r="AD293" s="23" t="s">
        <v>1406</v>
      </c>
      <c r="AE293" s="24">
        <v>1.7123287671232876</v>
      </c>
      <c r="AF293" s="25">
        <v>-0.1380346792124989</v>
      </c>
      <c r="AG293" s="26">
        <v>0</v>
      </c>
      <c r="AH293" s="26">
        <v>0</v>
      </c>
      <c r="AI293" s="27">
        <v>-0.44547122839163783</v>
      </c>
      <c r="AJ293" s="27">
        <v>-0.44547122839163783</v>
      </c>
      <c r="AK293" s="27">
        <v>-0.44547122839163783</v>
      </c>
      <c r="AL293" s="28" t="s">
        <v>1407</v>
      </c>
      <c r="AM293" s="29" t="s">
        <v>48</v>
      </c>
      <c r="AN293" s="29" t="s">
        <v>48</v>
      </c>
      <c r="AO293" s="29" t="s">
        <v>48</v>
      </c>
      <c r="AP293" s="47" t="s">
        <v>310</v>
      </c>
      <c r="AQ293" s="28">
        <v>0</v>
      </c>
      <c r="AR293" s="26">
        <v>1.4999999999999999E-2</v>
      </c>
      <c r="AS293" s="26">
        <v>0</v>
      </c>
    </row>
    <row r="294" spans="1:45" x14ac:dyDescent="0.15">
      <c r="A294" s="64">
        <v>581</v>
      </c>
      <c r="B294" s="64">
        <v>128</v>
      </c>
      <c r="C294" s="11">
        <v>377150</v>
      </c>
      <c r="D294" s="61">
        <v>728</v>
      </c>
      <c r="E294" s="61">
        <v>-3.2534665397276198E-3</v>
      </c>
      <c r="F294" s="61">
        <v>113</v>
      </c>
      <c r="G294" s="61">
        <v>3.9481121528706101E-2</v>
      </c>
      <c r="H294" s="66">
        <v>284</v>
      </c>
      <c r="I294" s="66" t="str">
        <f>H294&amp;"/"&amp;428</f>
        <v>284/428</v>
      </c>
      <c r="J294" s="68">
        <f>H294/428</f>
        <v>0.66355140186915884</v>
      </c>
      <c r="K294" s="18" t="s">
        <v>44</v>
      </c>
      <c r="L294" s="19" t="s">
        <v>45</v>
      </c>
      <c r="M294" s="59" t="s">
        <v>274</v>
      </c>
      <c r="N294" s="18">
        <f>[1]!f_prt_stocktonav(C294,"2017/03/31")</f>
        <v>93.099678039550781</v>
      </c>
      <c r="O294" s="20" t="str">
        <f>[1]!f_info_fundmanager(C294)</f>
        <v>张飞</v>
      </c>
      <c r="P294" s="21">
        <v>2.1671232876712327</v>
      </c>
      <c r="Q294" s="12" t="s">
        <v>2391</v>
      </c>
      <c r="R294" s="13" t="s">
        <v>2392</v>
      </c>
      <c r="S294" s="13" t="s">
        <v>511</v>
      </c>
      <c r="T294" s="13">
        <v>20120201</v>
      </c>
      <c r="U294" s="14">
        <v>1.5109237096000001</v>
      </c>
      <c r="V294" s="15" t="s">
        <v>3772</v>
      </c>
      <c r="W294" s="16" t="s">
        <v>40</v>
      </c>
      <c r="X294" s="17" t="s">
        <v>44</v>
      </c>
      <c r="Y294" s="17" t="s">
        <v>45</v>
      </c>
      <c r="Z294" s="17" t="s">
        <v>274</v>
      </c>
      <c r="AA294" s="13"/>
      <c r="AB294" s="13"/>
      <c r="AC294" s="22">
        <v>0.91021926879882809</v>
      </c>
      <c r="AD294" s="23" t="s">
        <v>893</v>
      </c>
      <c r="AE294" s="24">
        <v>1.9369863013698629</v>
      </c>
      <c r="AF294" s="25">
        <v>0.14915919432008984</v>
      </c>
      <c r="AG294" s="26">
        <v>0.15871885517454776</v>
      </c>
      <c r="AH294" s="26">
        <v>0</v>
      </c>
      <c r="AI294" s="27">
        <v>0.57191160625840354</v>
      </c>
      <c r="AJ294" s="27">
        <v>0.55982620758401913</v>
      </c>
      <c r="AK294" s="27">
        <v>0.57191160625840354</v>
      </c>
      <c r="AL294" s="28" t="s">
        <v>1009</v>
      </c>
      <c r="AM294" s="29">
        <v>3</v>
      </c>
      <c r="AN294" s="29">
        <v>3</v>
      </c>
      <c r="AO294" s="29" t="s">
        <v>48</v>
      </c>
      <c r="AP294" s="23" t="s">
        <v>2393</v>
      </c>
      <c r="AQ294" s="30">
        <v>0</v>
      </c>
      <c r="AR294" s="31">
        <v>1.4999999999999999E-2</v>
      </c>
      <c r="AS294" s="31">
        <v>0</v>
      </c>
    </row>
    <row r="295" spans="1:45" x14ac:dyDescent="0.15">
      <c r="A295" s="64">
        <v>664</v>
      </c>
      <c r="B295" s="64">
        <v>506</v>
      </c>
      <c r="C295" s="11">
        <v>570006</v>
      </c>
      <c r="D295" s="61">
        <v>729</v>
      </c>
      <c r="E295" s="61">
        <v>-3.2560341339868499E-3</v>
      </c>
      <c r="F295" s="61">
        <v>85</v>
      </c>
      <c r="G295" s="61">
        <v>1.0927633390434399E-2</v>
      </c>
      <c r="H295" s="66">
        <v>285</v>
      </c>
      <c r="I295" s="66" t="str">
        <f>H295&amp;"/"&amp;428</f>
        <v>285/428</v>
      </c>
      <c r="J295" s="68">
        <f>H295/428</f>
        <v>0.66588785046728971</v>
      </c>
      <c r="K295" s="18" t="s">
        <v>44</v>
      </c>
      <c r="L295" s="18" t="s">
        <v>45</v>
      </c>
      <c r="M295" s="58" t="s">
        <v>274</v>
      </c>
      <c r="N295" s="18">
        <f>[1]!f_prt_stocktonav(C295,"2017/03/31")</f>
        <v>85.168952941894531</v>
      </c>
      <c r="O295" s="20" t="str">
        <f>[1]!f_info_fundmanager(C295)</f>
        <v>王赟</v>
      </c>
      <c r="P295" s="21">
        <v>1.6164383561643836</v>
      </c>
      <c r="Q295" s="34" t="s">
        <v>2669</v>
      </c>
      <c r="R295" s="34" t="s">
        <v>2670</v>
      </c>
      <c r="S295" s="34" t="s">
        <v>2351</v>
      </c>
      <c r="T295" s="34">
        <v>20100628</v>
      </c>
      <c r="U295" s="45">
        <v>0.43212495420000002</v>
      </c>
      <c r="V295" s="46">
        <v>0.48001485469999999</v>
      </c>
      <c r="W295" s="34" t="s">
        <v>3789</v>
      </c>
      <c r="X295" s="34" t="s">
        <v>44</v>
      </c>
      <c r="Y295" s="34" t="s">
        <v>45</v>
      </c>
      <c r="Z295" s="34" t="s">
        <v>274</v>
      </c>
      <c r="AA295" s="34"/>
      <c r="AB295" s="34"/>
      <c r="AC295" s="22">
        <v>0.84466476440429683</v>
      </c>
      <c r="AD295" s="23" t="s">
        <v>2671</v>
      </c>
      <c r="AE295" s="24">
        <v>1.4931506849315068</v>
      </c>
      <c r="AF295" s="25">
        <v>7.9696951519272252E-2</v>
      </c>
      <c r="AG295" s="26">
        <v>0.15046313347325624</v>
      </c>
      <c r="AH295" s="26">
        <v>0.14464618792116979</v>
      </c>
      <c r="AI295" s="27">
        <v>0.36764550269489393</v>
      </c>
      <c r="AJ295" s="27">
        <v>0.52752488992130653</v>
      </c>
      <c r="AK295" s="27">
        <v>0.56353006891369029</v>
      </c>
      <c r="AL295" s="28" t="s">
        <v>2414</v>
      </c>
      <c r="AM295" s="29">
        <v>3</v>
      </c>
      <c r="AN295" s="29">
        <v>5</v>
      </c>
      <c r="AO295" s="29" t="s">
        <v>48</v>
      </c>
      <c r="AP295" s="47" t="s">
        <v>2672</v>
      </c>
      <c r="AQ295" s="28">
        <v>0</v>
      </c>
      <c r="AR295" s="26">
        <v>1.4999999999999999E-2</v>
      </c>
      <c r="AS295" s="26">
        <v>0</v>
      </c>
    </row>
    <row r="296" spans="1:45" x14ac:dyDescent="0.15">
      <c r="A296" s="64">
        <v>578</v>
      </c>
      <c r="B296" s="64">
        <v>563</v>
      </c>
      <c r="C296" s="11">
        <v>399011</v>
      </c>
      <c r="D296" s="61">
        <v>730</v>
      </c>
      <c r="E296" s="61">
        <v>-3.2561708794866901E-3</v>
      </c>
      <c r="F296" s="61">
        <v>95</v>
      </c>
      <c r="G296" s="61">
        <v>0.131930417103061</v>
      </c>
      <c r="H296" s="66">
        <v>286</v>
      </c>
      <c r="I296" s="66" t="str">
        <f>H296&amp;"/"&amp;428</f>
        <v>286/428</v>
      </c>
      <c r="J296" s="68">
        <f>H296/428</f>
        <v>0.66822429906542058</v>
      </c>
      <c r="K296" s="18" t="s">
        <v>44</v>
      </c>
      <c r="L296" s="18" t="s">
        <v>86</v>
      </c>
      <c r="M296" s="58" t="s">
        <v>274</v>
      </c>
      <c r="N296" s="18">
        <f>[1]!f_prt_stocktonav(C296,"2017/03/31")</f>
        <v>83.806175231933594</v>
      </c>
      <c r="O296" s="20" t="str">
        <f>[1]!f_info_fundmanager(C296)</f>
        <v>郑磊</v>
      </c>
      <c r="P296" s="21">
        <v>1.810958904109589</v>
      </c>
      <c r="Q296" s="39" t="s">
        <v>2379</v>
      </c>
      <c r="R296" s="39" t="s">
        <v>2380</v>
      </c>
      <c r="S296" s="39" t="s">
        <v>505</v>
      </c>
      <c r="T296" s="39">
        <v>20120307</v>
      </c>
      <c r="U296" s="48">
        <v>0.59096554459999995</v>
      </c>
      <c r="V296" s="46">
        <v>0.69554453469999999</v>
      </c>
      <c r="W296" s="39" t="s">
        <v>201</v>
      </c>
      <c r="X296" s="39" t="s">
        <v>44</v>
      </c>
      <c r="Y296" s="39" t="s">
        <v>86</v>
      </c>
      <c r="Z296" s="55" t="s">
        <v>274</v>
      </c>
      <c r="AA296" s="34" t="s">
        <v>3833</v>
      </c>
      <c r="AB296" s="34"/>
      <c r="AC296" s="22">
        <v>0.880396728515625</v>
      </c>
      <c r="AD296" s="23" t="s">
        <v>1683</v>
      </c>
      <c r="AE296" s="24">
        <v>1.5808219178082192</v>
      </c>
      <c r="AF296" s="25">
        <v>0.11259737656674208</v>
      </c>
      <c r="AG296" s="26">
        <v>0.18561533184220202</v>
      </c>
      <c r="AH296" s="26">
        <v>0</v>
      </c>
      <c r="AI296" s="27">
        <v>0.49753707378358963</v>
      </c>
      <c r="AJ296" s="27">
        <v>0.71301267013771452</v>
      </c>
      <c r="AK296" s="27">
        <v>0.49753707378358963</v>
      </c>
      <c r="AL296" s="40" t="s">
        <v>2382</v>
      </c>
      <c r="AM296" s="41" t="s">
        <v>48</v>
      </c>
      <c r="AN296" s="41">
        <v>3</v>
      </c>
      <c r="AO296" s="41" t="s">
        <v>48</v>
      </c>
      <c r="AP296" s="50" t="s">
        <v>2383</v>
      </c>
      <c r="AQ296" s="51">
        <v>0</v>
      </c>
      <c r="AR296" s="52">
        <v>1.4999999999999999E-2</v>
      </c>
      <c r="AS296" s="52">
        <v>0</v>
      </c>
    </row>
    <row r="297" spans="1:45" x14ac:dyDescent="0.15">
      <c r="A297" s="64">
        <v>929</v>
      </c>
      <c r="B297" s="64">
        <v>358</v>
      </c>
      <c r="C297" s="11">
        <v>110002</v>
      </c>
      <c r="D297" s="61">
        <v>731</v>
      </c>
      <c r="E297" s="61">
        <v>-3.2707969051697099E-3</v>
      </c>
      <c r="F297" s="61">
        <v>87</v>
      </c>
      <c r="G297" s="61">
        <v>0.102526695961992</v>
      </c>
      <c r="H297" s="66">
        <v>287</v>
      </c>
      <c r="I297" s="66" t="str">
        <f>H297&amp;"/"&amp;428</f>
        <v>287/428</v>
      </c>
      <c r="J297" s="68">
        <f>H297/428</f>
        <v>0.67056074766355145</v>
      </c>
      <c r="K297" s="18" t="s">
        <v>44</v>
      </c>
      <c r="L297" s="18" t="s">
        <v>45</v>
      </c>
      <c r="M297" s="58" t="s">
        <v>274</v>
      </c>
      <c r="N297" s="18">
        <f>[1]!f_prt_stocktonav(C297,"2017/03/31")</f>
        <v>88.326385498046875</v>
      </c>
      <c r="O297" s="20" t="str">
        <f>[1]!f_info_fundmanager(C297)</f>
        <v>武阳,梁裕宁</v>
      </c>
      <c r="P297" s="21">
        <v>1.6547945205479453</v>
      </c>
      <c r="Q297" s="34" t="s">
        <v>3614</v>
      </c>
      <c r="R297" s="34" t="s">
        <v>3615</v>
      </c>
      <c r="S297" s="34" t="s">
        <v>218</v>
      </c>
      <c r="T297" s="34">
        <v>20031209</v>
      </c>
      <c r="U297" s="45">
        <v>14.800455877999999</v>
      </c>
      <c r="V297" s="46">
        <v>15.483367358200001</v>
      </c>
      <c r="W297" s="34" t="s">
        <v>231</v>
      </c>
      <c r="X297" s="34" t="s">
        <v>44</v>
      </c>
      <c r="Y297" s="34" t="s">
        <v>45</v>
      </c>
      <c r="Z297" s="34" t="s">
        <v>65</v>
      </c>
      <c r="AA297" s="34"/>
      <c r="AB297" s="34"/>
      <c r="AC297" s="22">
        <v>0.90002296447753904</v>
      </c>
      <c r="AD297" s="23" t="s">
        <v>3616</v>
      </c>
      <c r="AE297" s="24">
        <v>1.4986301369863013</v>
      </c>
      <c r="AF297" s="25">
        <v>0.14117436370911185</v>
      </c>
      <c r="AG297" s="26">
        <v>-2.8384832626865975E-2</v>
      </c>
      <c r="AH297" s="26">
        <v>3.2164889338924141E-2</v>
      </c>
      <c r="AI297" s="27">
        <v>0.60358552825900891</v>
      </c>
      <c r="AJ297" s="27">
        <v>-2.703714193227769E-2</v>
      </c>
      <c r="AK297" s="27">
        <v>0.19001562884125042</v>
      </c>
      <c r="AL297" s="28" t="s">
        <v>3617</v>
      </c>
      <c r="AM297" s="29">
        <v>3</v>
      </c>
      <c r="AN297" s="29">
        <v>3</v>
      </c>
      <c r="AO297" s="29" t="s">
        <v>48</v>
      </c>
      <c r="AP297" s="47" t="s">
        <v>2457</v>
      </c>
      <c r="AQ297" s="28">
        <v>0</v>
      </c>
      <c r="AR297" s="26">
        <v>1.4999999999999999E-2</v>
      </c>
      <c r="AS297" s="26">
        <v>0</v>
      </c>
    </row>
    <row r="298" spans="1:45" x14ac:dyDescent="0.15">
      <c r="A298" s="64">
        <v>903</v>
      </c>
      <c r="B298" s="64">
        <v>858</v>
      </c>
      <c r="C298" s="11">
        <v>163801</v>
      </c>
      <c r="D298" s="61">
        <v>732</v>
      </c>
      <c r="E298" s="61">
        <v>-3.27808507232833E-3</v>
      </c>
      <c r="F298" s="61">
        <v>188</v>
      </c>
      <c r="G298" s="61">
        <v>4.9795184590506998E-3</v>
      </c>
      <c r="H298" s="66">
        <v>288</v>
      </c>
      <c r="I298" s="66" t="str">
        <f>H298&amp;"/"&amp;428</f>
        <v>288/428</v>
      </c>
      <c r="J298" s="68">
        <f>H298/428</f>
        <v>0.67289719626168221</v>
      </c>
      <c r="K298" s="18" t="s">
        <v>44</v>
      </c>
      <c r="L298" s="18" t="s">
        <v>45</v>
      </c>
      <c r="M298" s="58" t="s">
        <v>274</v>
      </c>
      <c r="N298" s="18">
        <f>[1]!f_prt_stocktonav(C298,"2017/03/31")</f>
        <v>74.112991333007812</v>
      </c>
      <c r="O298" s="20" t="str">
        <f>[1]!f_info_fundmanager(C298)</f>
        <v>陈军</v>
      </c>
      <c r="P298" s="21">
        <v>3.6054794520547944</v>
      </c>
      <c r="Q298" s="34" t="s">
        <v>3508</v>
      </c>
      <c r="R298" s="34" t="s">
        <v>3509</v>
      </c>
      <c r="S298" s="34" t="s">
        <v>71</v>
      </c>
      <c r="T298" s="34">
        <v>20050104</v>
      </c>
      <c r="U298" s="45">
        <v>16.971316138999999</v>
      </c>
      <c r="V298" s="46">
        <v>17.2105947875</v>
      </c>
      <c r="W298" s="34" t="s">
        <v>231</v>
      </c>
      <c r="X298" s="34" t="s">
        <v>41</v>
      </c>
      <c r="Y298" s="34" t="s">
        <v>42</v>
      </c>
      <c r="Z298" s="34" t="s">
        <v>181</v>
      </c>
      <c r="AA298" s="34"/>
      <c r="AB298" s="34"/>
      <c r="AC298" s="22">
        <v>0.66652412414550777</v>
      </c>
      <c r="AD298" s="23" t="s">
        <v>3279</v>
      </c>
      <c r="AE298" s="24">
        <v>3.3753424657534246</v>
      </c>
      <c r="AF298" s="25">
        <v>0.18074391123634892</v>
      </c>
      <c r="AG298" s="26">
        <v>7.4857689094787183E-2</v>
      </c>
      <c r="AH298" s="26">
        <v>0.10858872621605208</v>
      </c>
      <c r="AI298" s="27">
        <v>0.79040660810640495</v>
      </c>
      <c r="AJ298" s="27">
        <v>0.31991745378317432</v>
      </c>
      <c r="AK298" s="27">
        <v>0.48267945714659516</v>
      </c>
      <c r="AL298" s="28" t="s">
        <v>3510</v>
      </c>
      <c r="AM298" s="29">
        <v>4</v>
      </c>
      <c r="AN298" s="29">
        <v>2</v>
      </c>
      <c r="AO298" s="29" t="s">
        <v>48</v>
      </c>
      <c r="AP298" s="47" t="s">
        <v>3511</v>
      </c>
      <c r="AQ298" s="28">
        <v>0</v>
      </c>
      <c r="AR298" s="26">
        <v>1.4999999999999999E-2</v>
      </c>
      <c r="AS298" s="26">
        <v>0</v>
      </c>
    </row>
    <row r="299" spans="1:45" x14ac:dyDescent="0.15">
      <c r="A299" s="64">
        <v>843</v>
      </c>
      <c r="B299" s="64">
        <v>651</v>
      </c>
      <c r="C299" s="11">
        <v>519692</v>
      </c>
      <c r="D299" s="61">
        <v>733</v>
      </c>
      <c r="E299" s="61">
        <v>-3.2887973157452199E-3</v>
      </c>
      <c r="F299" s="61">
        <v>106</v>
      </c>
      <c r="G299" s="61">
        <v>3.2762377730334899E-2</v>
      </c>
      <c r="H299" s="66">
        <v>289</v>
      </c>
      <c r="I299" s="66" t="str">
        <f>H299&amp;"/"&amp;428</f>
        <v>289/428</v>
      </c>
      <c r="J299" s="68">
        <f>H299/428</f>
        <v>0.67523364485981308</v>
      </c>
      <c r="K299" s="18" t="s">
        <v>44</v>
      </c>
      <c r="L299" s="18" t="s">
        <v>45</v>
      </c>
      <c r="M299" s="58" t="s">
        <v>274</v>
      </c>
      <c r="N299" s="18">
        <f>[1]!f_prt_stocktonav(C299,"2017/03/31")</f>
        <v>81.371170043945313</v>
      </c>
      <c r="O299" s="20" t="str">
        <f>[1]!f_info_fundmanager(C299)</f>
        <v>王少成</v>
      </c>
      <c r="P299" s="21">
        <v>2.021917808219178</v>
      </c>
      <c r="Q299" s="34" t="s">
        <v>3273</v>
      </c>
      <c r="R299" s="34" t="s">
        <v>3274</v>
      </c>
      <c r="S299" s="34" t="s">
        <v>138</v>
      </c>
      <c r="T299" s="34">
        <v>20061023</v>
      </c>
      <c r="U299" s="45">
        <v>37.635545801900001</v>
      </c>
      <c r="V299" s="46">
        <v>36.304108181700002</v>
      </c>
      <c r="W299" s="34" t="s">
        <v>201</v>
      </c>
      <c r="X299" s="34" t="s">
        <v>44</v>
      </c>
      <c r="Y299" s="34" t="s">
        <v>45</v>
      </c>
      <c r="Z299" s="34" t="s">
        <v>274</v>
      </c>
      <c r="AA299" s="34"/>
      <c r="AB299" s="34"/>
      <c r="AC299" s="22">
        <v>0.83243125915527338</v>
      </c>
      <c r="AD299" s="23" t="s">
        <v>2128</v>
      </c>
      <c r="AE299" s="24">
        <v>1.7917808219178082</v>
      </c>
      <c r="AF299" s="25">
        <v>0.18307892684360971</v>
      </c>
      <c r="AG299" s="26">
        <v>0.1629546434818403</v>
      </c>
      <c r="AH299" s="26">
        <v>0.17319049894953742</v>
      </c>
      <c r="AI299" s="27">
        <v>0.70544990856881806</v>
      </c>
      <c r="AJ299" s="27">
        <v>0.5746919333822037</v>
      </c>
      <c r="AK299" s="27">
        <v>0.66865399279599269</v>
      </c>
      <c r="AL299" s="28" t="s">
        <v>3275</v>
      </c>
      <c r="AM299" s="29">
        <v>3</v>
      </c>
      <c r="AN299" s="29">
        <v>2</v>
      </c>
      <c r="AO299" s="29" t="s">
        <v>48</v>
      </c>
      <c r="AP299" s="47" t="s">
        <v>3276</v>
      </c>
      <c r="AQ299" s="28" t="s">
        <v>608</v>
      </c>
      <c r="AR299" s="26">
        <v>1.4999999999999999E-2</v>
      </c>
      <c r="AS299" s="26">
        <v>0</v>
      </c>
    </row>
    <row r="300" spans="1:45" x14ac:dyDescent="0.15">
      <c r="A300" s="64">
        <v>898</v>
      </c>
      <c r="B300" s="64">
        <v>768</v>
      </c>
      <c r="C300" s="11">
        <v>410001</v>
      </c>
      <c r="D300" s="61">
        <v>734</v>
      </c>
      <c r="E300" s="61">
        <v>-3.3004854906876898E-3</v>
      </c>
      <c r="F300" s="61">
        <v>223</v>
      </c>
      <c r="G300" s="61">
        <v>3.9419543885119901E-3</v>
      </c>
      <c r="H300" s="66">
        <v>290</v>
      </c>
      <c r="I300" s="66" t="str">
        <f>H300&amp;"/"&amp;428</f>
        <v>290/428</v>
      </c>
      <c r="J300" s="68">
        <f>H300/428</f>
        <v>0.67757009345794394</v>
      </c>
      <c r="K300" s="18" t="s">
        <v>44</v>
      </c>
      <c r="L300" s="18" t="s">
        <v>45</v>
      </c>
      <c r="M300" s="58" t="s">
        <v>274</v>
      </c>
      <c r="N300" s="18">
        <f>[1]!f_prt_stocktonav(C300,"2017/03/31")</f>
        <v>77.601615905761719</v>
      </c>
      <c r="O300" s="20" t="str">
        <f>[1]!f_info_fundmanager(C300)</f>
        <v>陈启明,龚炜</v>
      </c>
      <c r="P300" s="21">
        <v>4.2767123287671236</v>
      </c>
      <c r="Q300" s="34" t="s">
        <v>3489</v>
      </c>
      <c r="R300" s="34" t="s">
        <v>3490</v>
      </c>
      <c r="S300" s="34" t="s">
        <v>1000</v>
      </c>
      <c r="T300" s="34">
        <v>20050302</v>
      </c>
      <c r="U300" s="45">
        <v>5.5424504442</v>
      </c>
      <c r="V300" s="46">
        <v>6.5330771275000004</v>
      </c>
      <c r="W300" s="34" t="s">
        <v>231</v>
      </c>
      <c r="X300" s="34" t="s">
        <v>44</v>
      </c>
      <c r="Y300" s="34" t="s">
        <v>45</v>
      </c>
      <c r="Z300" s="34" t="s">
        <v>274</v>
      </c>
      <c r="AA300" s="34"/>
      <c r="AB300" s="34"/>
      <c r="AC300" s="22">
        <v>0.89027824401855471</v>
      </c>
      <c r="AD300" s="23" t="s">
        <v>3491</v>
      </c>
      <c r="AE300" s="24">
        <v>4.0465753424657533</v>
      </c>
      <c r="AF300" s="25">
        <v>0.10379602646239627</v>
      </c>
      <c r="AG300" s="26">
        <v>0.13574357508307422</v>
      </c>
      <c r="AH300" s="26">
        <v>0.13556624668086115</v>
      </c>
      <c r="AI300" s="27">
        <v>0.43426498640365735</v>
      </c>
      <c r="AJ300" s="27">
        <v>0.48589212281273952</v>
      </c>
      <c r="AK300" s="27">
        <v>0.51524324656715448</v>
      </c>
      <c r="AL300" s="28" t="s">
        <v>3492</v>
      </c>
      <c r="AM300" s="29">
        <v>4</v>
      </c>
      <c r="AN300" s="29">
        <v>1</v>
      </c>
      <c r="AO300" s="29" t="s">
        <v>48</v>
      </c>
      <c r="AP300" s="47" t="s">
        <v>209</v>
      </c>
      <c r="AQ300" s="28">
        <v>0</v>
      </c>
      <c r="AR300" s="26">
        <v>1.4999999999999999E-2</v>
      </c>
      <c r="AS300" s="26">
        <v>0</v>
      </c>
    </row>
    <row r="301" spans="1:45" x14ac:dyDescent="0.15">
      <c r="A301" s="64">
        <v>399</v>
      </c>
      <c r="B301" s="64">
        <v>318</v>
      </c>
      <c r="C301" s="11">
        <v>831</v>
      </c>
      <c r="D301" s="61">
        <v>735</v>
      </c>
      <c r="E301" s="61">
        <v>-3.3012014051099999E-3</v>
      </c>
      <c r="F301" s="61">
        <v>121</v>
      </c>
      <c r="G301" s="61">
        <v>5.79516405585579E-2</v>
      </c>
      <c r="H301" s="66">
        <v>291</v>
      </c>
      <c r="I301" s="66" t="str">
        <f>H301&amp;"/"&amp;428</f>
        <v>291/428</v>
      </c>
      <c r="J301" s="68">
        <f>H301/428</f>
        <v>0.67990654205607481</v>
      </c>
      <c r="K301" s="18" t="s">
        <v>44</v>
      </c>
      <c r="L301" s="18" t="s">
        <v>45</v>
      </c>
      <c r="M301" s="58" t="s">
        <v>274</v>
      </c>
      <c r="N301" s="18">
        <f>[1]!f_prt_stocktonav(C301,"2017/03/31")</f>
        <v>89.075431823730469</v>
      </c>
      <c r="O301" s="20" t="str">
        <f>[1]!f_info_fundmanager(C301)</f>
        <v>宋炳珅,赵蓓,谭冬寒</v>
      </c>
      <c r="P301" s="21">
        <v>2.3671232876712329</v>
      </c>
      <c r="Q301" s="34" t="s">
        <v>1723</v>
      </c>
      <c r="R301" s="34" t="s">
        <v>1724</v>
      </c>
      <c r="S301" s="34" t="s">
        <v>523</v>
      </c>
      <c r="T301" s="34">
        <v>20141118</v>
      </c>
      <c r="U301" s="45">
        <v>38.430028862500002</v>
      </c>
      <c r="V301" s="46">
        <v>42.316258171199998</v>
      </c>
      <c r="W301" s="34" t="s">
        <v>3776</v>
      </c>
      <c r="X301" s="34" t="s">
        <v>44</v>
      </c>
      <c r="Y301" s="34" t="s">
        <v>86</v>
      </c>
      <c r="Z301" s="34" t="s">
        <v>274</v>
      </c>
      <c r="AA301" s="34" t="s">
        <v>3820</v>
      </c>
      <c r="AB301" s="34"/>
      <c r="AC301" s="22">
        <v>0.89573219299316409</v>
      </c>
      <c r="AD301" s="23" t="s">
        <v>1726</v>
      </c>
      <c r="AE301" s="24">
        <v>2.1369863013698631</v>
      </c>
      <c r="AF301" s="25">
        <v>0.12039405717130978</v>
      </c>
      <c r="AG301" s="26">
        <v>0</v>
      </c>
      <c r="AH301" s="26">
        <v>0</v>
      </c>
      <c r="AI301" s="27">
        <v>0.45806811654873486</v>
      </c>
      <c r="AJ301" s="27">
        <v>0.45806811654873486</v>
      </c>
      <c r="AK301" s="27">
        <v>0.45806811654873486</v>
      </c>
      <c r="AL301" s="33" t="s">
        <v>1727</v>
      </c>
      <c r="AM301" s="29" t="s">
        <v>48</v>
      </c>
      <c r="AN301" s="29" t="s">
        <v>48</v>
      </c>
      <c r="AO301" s="29" t="s">
        <v>48</v>
      </c>
      <c r="AP301" s="47" t="s">
        <v>255</v>
      </c>
      <c r="AQ301" s="28">
        <v>0</v>
      </c>
      <c r="AR301" s="26">
        <v>1.4999999999999999E-2</v>
      </c>
      <c r="AS301" s="26">
        <v>0</v>
      </c>
    </row>
    <row r="302" spans="1:45" x14ac:dyDescent="0.15">
      <c r="A302" s="64">
        <v>483</v>
      </c>
      <c r="B302" s="64">
        <v>106</v>
      </c>
      <c r="C302" s="11">
        <v>418</v>
      </c>
      <c r="D302" s="61">
        <v>736</v>
      </c>
      <c r="E302" s="61">
        <v>-3.3071215257720701E-3</v>
      </c>
      <c r="F302" s="61">
        <v>105</v>
      </c>
      <c r="G302" s="61">
        <v>5.1106830289445501E-2</v>
      </c>
      <c r="H302" s="66">
        <v>292</v>
      </c>
      <c r="I302" s="66" t="str">
        <f>H302&amp;"/"&amp;428</f>
        <v>292/428</v>
      </c>
      <c r="J302" s="68">
        <f>H302/428</f>
        <v>0.68224299065420557</v>
      </c>
      <c r="K302" s="18" t="s">
        <v>44</v>
      </c>
      <c r="L302" s="18" t="s">
        <v>45</v>
      </c>
      <c r="M302" s="58" t="s">
        <v>274</v>
      </c>
      <c r="N302" s="18">
        <f>[1]!f_prt_stocktonav(C302,"2017/03/31")</f>
        <v>93.561393737792969</v>
      </c>
      <c r="O302" s="20" t="str">
        <f>[1]!f_info_fundmanager(C302)</f>
        <v>刘晓明</v>
      </c>
      <c r="P302" s="21">
        <v>2.010958904109589</v>
      </c>
      <c r="Q302" s="34" t="s">
        <v>2024</v>
      </c>
      <c r="R302" s="34" t="s">
        <v>2042</v>
      </c>
      <c r="S302" s="34" t="s">
        <v>353</v>
      </c>
      <c r="T302" s="34">
        <v>20131213</v>
      </c>
      <c r="U302" s="45">
        <v>0.70594918149999997</v>
      </c>
      <c r="V302" s="46">
        <v>0.74604825720000001</v>
      </c>
      <c r="W302" s="34" t="s">
        <v>3776</v>
      </c>
      <c r="X302" s="34" t="s">
        <v>44</v>
      </c>
      <c r="Y302" s="34" t="s">
        <v>45</v>
      </c>
      <c r="Z302" s="34" t="s">
        <v>274</v>
      </c>
      <c r="AA302" s="34"/>
      <c r="AB302" s="34"/>
      <c r="AC302" s="22">
        <v>0.9157997131347656</v>
      </c>
      <c r="AD302" s="23" t="s">
        <v>2043</v>
      </c>
      <c r="AE302" s="24">
        <v>1.7808219178082192</v>
      </c>
      <c r="AF302" s="25">
        <v>0.14194246660209719</v>
      </c>
      <c r="AG302" s="26">
        <v>0.13979637452435312</v>
      </c>
      <c r="AH302" s="26">
        <v>0</v>
      </c>
      <c r="AI302" s="27">
        <v>0.52531604626843864</v>
      </c>
      <c r="AJ302" s="27">
        <v>0.5089887731348316</v>
      </c>
      <c r="AK302" s="27">
        <v>0.52531604626843864</v>
      </c>
      <c r="AL302" s="28" t="s">
        <v>1468</v>
      </c>
      <c r="AM302" s="29" t="s">
        <v>48</v>
      </c>
      <c r="AN302" s="29" t="s">
        <v>48</v>
      </c>
      <c r="AO302" s="29" t="s">
        <v>48</v>
      </c>
      <c r="AP302" s="47" t="s">
        <v>449</v>
      </c>
      <c r="AQ302" s="28">
        <v>0</v>
      </c>
      <c r="AR302" s="26">
        <v>1.4999999999999999E-2</v>
      </c>
      <c r="AS302" s="26">
        <v>0</v>
      </c>
    </row>
    <row r="303" spans="1:45" x14ac:dyDescent="0.15">
      <c r="A303" s="64">
        <v>816</v>
      </c>
      <c r="B303" s="64">
        <v>347</v>
      </c>
      <c r="C303" s="11">
        <v>450003</v>
      </c>
      <c r="D303" s="61">
        <v>738</v>
      </c>
      <c r="E303" s="61">
        <v>-3.3238208433329802E-3</v>
      </c>
      <c r="F303" s="61">
        <v>162</v>
      </c>
      <c r="G303" s="61">
        <v>4.98680133004967E-4</v>
      </c>
      <c r="H303" s="66">
        <v>293</v>
      </c>
      <c r="I303" s="66" t="str">
        <f>H303&amp;"/"&amp;428</f>
        <v>293/428</v>
      </c>
      <c r="J303" s="68">
        <f>H303/428</f>
        <v>0.68457943925233644</v>
      </c>
      <c r="K303" s="18" t="s">
        <v>44</v>
      </c>
      <c r="L303" s="18" t="s">
        <v>45</v>
      </c>
      <c r="M303" s="58" t="s">
        <v>274</v>
      </c>
      <c r="N303" s="18">
        <f>[1]!f_prt_stocktonav(C303,"2017/03/31")</f>
        <v>88.57257080078125</v>
      </c>
      <c r="O303" s="20" t="str">
        <f>[1]!f_info_fundmanager(C303)</f>
        <v>徐荔蓉</v>
      </c>
      <c r="P303" s="21">
        <v>3.106849315068493</v>
      </c>
      <c r="Q303" s="34" t="s">
        <v>3175</v>
      </c>
      <c r="R303" s="34" t="s">
        <v>3176</v>
      </c>
      <c r="S303" s="34" t="s">
        <v>742</v>
      </c>
      <c r="T303" s="34">
        <v>20070322</v>
      </c>
      <c r="U303" s="45">
        <v>13.617598303299999</v>
      </c>
      <c r="V303" s="46">
        <v>14.0518220214</v>
      </c>
      <c r="W303" s="34" t="s">
        <v>201</v>
      </c>
      <c r="X303" s="34" t="s">
        <v>44</v>
      </c>
      <c r="Y303" s="34" t="s">
        <v>45</v>
      </c>
      <c r="Z303" s="34" t="s">
        <v>274</v>
      </c>
      <c r="AA303" s="34"/>
      <c r="AB303" s="34"/>
      <c r="AC303" s="22">
        <v>0.73898841857910158</v>
      </c>
      <c r="AD303" s="23" t="s">
        <v>3177</v>
      </c>
      <c r="AE303" s="24">
        <v>2.8767123287671232</v>
      </c>
      <c r="AF303" s="25">
        <v>7.5905223271554911E-2</v>
      </c>
      <c r="AG303" s="26">
        <v>0.12058608724903695</v>
      </c>
      <c r="AH303" s="26">
        <v>9.6499657345790357E-2</v>
      </c>
      <c r="AI303" s="27">
        <v>0.358309617253388</v>
      </c>
      <c r="AJ303" s="27">
        <v>0.47039750175134742</v>
      </c>
      <c r="AK303" s="27">
        <v>0.42634398611632057</v>
      </c>
      <c r="AL303" s="28" t="s">
        <v>3178</v>
      </c>
      <c r="AM303" s="29">
        <v>2</v>
      </c>
      <c r="AN303" s="29">
        <v>4</v>
      </c>
      <c r="AO303" s="29" t="s">
        <v>48</v>
      </c>
      <c r="AP303" s="47" t="s">
        <v>2905</v>
      </c>
      <c r="AQ303" s="28">
        <v>0</v>
      </c>
      <c r="AR303" s="26">
        <v>1.4999999999999999E-2</v>
      </c>
      <c r="AS303" s="26">
        <v>0</v>
      </c>
    </row>
    <row r="304" spans="1:45" x14ac:dyDescent="0.15">
      <c r="A304" s="64">
        <v>727</v>
      </c>
      <c r="B304" s="64">
        <v>935</v>
      </c>
      <c r="C304" s="11">
        <v>519025</v>
      </c>
      <c r="D304" s="61">
        <v>740</v>
      </c>
      <c r="E304" s="61">
        <v>-3.3314392120002102E-3</v>
      </c>
      <c r="F304" s="61">
        <v>119</v>
      </c>
      <c r="G304" s="61">
        <v>0.121130743691238</v>
      </c>
      <c r="H304" s="66">
        <v>294</v>
      </c>
      <c r="I304" s="66" t="str">
        <f>H304&amp;"/"&amp;428</f>
        <v>294/428</v>
      </c>
      <c r="J304" s="68">
        <f>H304/428</f>
        <v>0.68691588785046731</v>
      </c>
      <c r="K304" s="18" t="s">
        <v>44</v>
      </c>
      <c r="L304" s="18" t="s">
        <v>45</v>
      </c>
      <c r="M304" s="58" t="s">
        <v>274</v>
      </c>
      <c r="N304" s="18">
        <f>[1]!f_prt_stocktonav(C304,"2017/03/31")</f>
        <v>70.915397644042969</v>
      </c>
      <c r="O304" s="20" t="str">
        <f>[1]!f_info_fundmanager(C304)</f>
        <v>黄峰,李志</v>
      </c>
      <c r="P304" s="21">
        <v>2.2876712328767121</v>
      </c>
      <c r="Q304" s="34" t="s">
        <v>2871</v>
      </c>
      <c r="R304" s="34" t="s">
        <v>2872</v>
      </c>
      <c r="S304" s="34" t="s">
        <v>496</v>
      </c>
      <c r="T304" s="34">
        <v>20090430</v>
      </c>
      <c r="U304" s="45">
        <v>1.2851423005</v>
      </c>
      <c r="V304" s="46">
        <v>1.3421001323999999</v>
      </c>
      <c r="W304" s="34" t="s">
        <v>3776</v>
      </c>
      <c r="X304" s="34" t="s">
        <v>41</v>
      </c>
      <c r="Y304" s="34" t="s">
        <v>42</v>
      </c>
      <c r="Z304" s="34" t="s">
        <v>181</v>
      </c>
      <c r="AA304" s="34"/>
      <c r="AB304" s="34"/>
      <c r="AC304" s="22">
        <v>0.67874298095703123</v>
      </c>
      <c r="AD304" s="23" t="s">
        <v>2873</v>
      </c>
      <c r="AE304" s="24">
        <v>2.0575342465753423</v>
      </c>
      <c r="AF304" s="25">
        <v>3.8827452916709415E-2</v>
      </c>
      <c r="AG304" s="26">
        <v>7.3960374930390538E-2</v>
      </c>
      <c r="AH304" s="26">
        <v>5.5076864184115282E-2</v>
      </c>
      <c r="AI304" s="27">
        <v>0.22117417061518818</v>
      </c>
      <c r="AJ304" s="27">
        <v>0.35079243666736759</v>
      </c>
      <c r="AK304" s="27">
        <v>0.28191692874200724</v>
      </c>
      <c r="AL304" s="28" t="s">
        <v>2874</v>
      </c>
      <c r="AM304" s="29">
        <v>1</v>
      </c>
      <c r="AN304" s="29">
        <v>1</v>
      </c>
      <c r="AO304" s="29" t="s">
        <v>48</v>
      </c>
      <c r="AP304" s="47" t="s">
        <v>2875</v>
      </c>
      <c r="AQ304" s="28">
        <v>0</v>
      </c>
      <c r="AR304" s="26">
        <v>1.4999999999999999E-2</v>
      </c>
      <c r="AS304" s="26">
        <v>0</v>
      </c>
    </row>
    <row r="305" spans="1:45" x14ac:dyDescent="0.15">
      <c r="A305" s="64">
        <v>803</v>
      </c>
      <c r="B305" s="64">
        <v>373</v>
      </c>
      <c r="C305" s="11">
        <v>161610</v>
      </c>
      <c r="D305" s="61">
        <v>741</v>
      </c>
      <c r="E305" s="61">
        <v>-3.3534260521064698E-3</v>
      </c>
      <c r="F305" s="61">
        <v>83</v>
      </c>
      <c r="G305" s="61">
        <v>0.119862677874572</v>
      </c>
      <c r="H305" s="66">
        <v>295</v>
      </c>
      <c r="I305" s="66" t="str">
        <f>H305&amp;"/"&amp;428</f>
        <v>295/428</v>
      </c>
      <c r="J305" s="68">
        <f>H305/428</f>
        <v>0.68925233644859818</v>
      </c>
      <c r="K305" s="18" t="s">
        <v>44</v>
      </c>
      <c r="L305" s="18" t="s">
        <v>45</v>
      </c>
      <c r="M305" s="58" t="s">
        <v>274</v>
      </c>
      <c r="N305" s="18">
        <f>[1]!f_prt_stocktonav(C305,"2017/03/31")</f>
        <v>88.02392578125</v>
      </c>
      <c r="O305" s="20" t="str">
        <f>[1]!f_info_fundmanager(C305)</f>
        <v>伍文友,邹曦</v>
      </c>
      <c r="P305" s="21">
        <v>1.5890410958904109</v>
      </c>
      <c r="Q305" s="34" t="s">
        <v>3129</v>
      </c>
      <c r="R305" s="34" t="s">
        <v>3130</v>
      </c>
      <c r="S305" s="34" t="s">
        <v>230</v>
      </c>
      <c r="T305" s="34">
        <v>20070430</v>
      </c>
      <c r="U305" s="45">
        <v>40.754840592000001</v>
      </c>
      <c r="V305" s="46">
        <v>45.4267262937</v>
      </c>
      <c r="W305" s="34" t="s">
        <v>231</v>
      </c>
      <c r="X305" s="34" t="s">
        <v>44</v>
      </c>
      <c r="Y305" s="34" t="s">
        <v>45</v>
      </c>
      <c r="Z305" s="34" t="s">
        <v>274</v>
      </c>
      <c r="AA305" s="34"/>
      <c r="AB305" s="34"/>
      <c r="AC305" s="22">
        <v>0.87110183715820311</v>
      </c>
      <c r="AD305" s="23" t="s">
        <v>3131</v>
      </c>
      <c r="AE305" s="24">
        <v>2.0383561643835617</v>
      </c>
      <c r="AF305" s="25">
        <v>1.2879598664846004E-2</v>
      </c>
      <c r="AG305" s="26">
        <v>6.5313416522956746E-2</v>
      </c>
      <c r="AH305" s="26">
        <v>4.0689212543701059E-2</v>
      </c>
      <c r="AI305" s="27">
        <v>0.1462915870980819</v>
      </c>
      <c r="AJ305" s="27">
        <v>0.32349515656588901</v>
      </c>
      <c r="AK305" s="27">
        <v>0.2424550716165067</v>
      </c>
      <c r="AL305" s="28" t="s">
        <v>2888</v>
      </c>
      <c r="AM305" s="29">
        <v>1</v>
      </c>
      <c r="AN305" s="29">
        <v>2</v>
      </c>
      <c r="AO305" s="29" t="s">
        <v>48</v>
      </c>
      <c r="AP305" s="47" t="s">
        <v>82</v>
      </c>
      <c r="AQ305" s="28" t="s">
        <v>235</v>
      </c>
      <c r="AR305" s="26">
        <v>1.4999999999999999E-2</v>
      </c>
      <c r="AS305" s="26">
        <v>0</v>
      </c>
    </row>
    <row r="306" spans="1:45" x14ac:dyDescent="0.15">
      <c r="A306" s="64">
        <v>600</v>
      </c>
      <c r="B306" s="64">
        <v>586</v>
      </c>
      <c r="C306" s="11">
        <v>210008</v>
      </c>
      <c r="D306" s="61">
        <v>742</v>
      </c>
      <c r="E306" s="61">
        <v>-3.3580017438809401E-3</v>
      </c>
      <c r="F306" s="61">
        <v>131</v>
      </c>
      <c r="G306" s="61">
        <v>6.3417302933321901E-2</v>
      </c>
      <c r="H306" s="66">
        <v>296</v>
      </c>
      <c r="I306" s="66" t="str">
        <f>H306&amp;"/"&amp;428</f>
        <v>296/428</v>
      </c>
      <c r="J306" s="68">
        <f>H306/428</f>
        <v>0.69158878504672894</v>
      </c>
      <c r="K306" s="18" t="s">
        <v>44</v>
      </c>
      <c r="L306" s="18" t="s">
        <v>45</v>
      </c>
      <c r="M306" s="58" t="s">
        <v>274</v>
      </c>
      <c r="N306" s="18">
        <f>[1]!f_prt_stocktonav(C306,"2017/03/31")</f>
        <v>83.146560668945313</v>
      </c>
      <c r="O306" s="20" t="str">
        <f>[1]!f_info_fundmanager(C306)</f>
        <v>方超</v>
      </c>
      <c r="P306" s="21">
        <v>2.5013698630136987</v>
      </c>
      <c r="Q306" s="34" t="s">
        <v>2448</v>
      </c>
      <c r="R306" s="34" t="s">
        <v>2449</v>
      </c>
      <c r="S306" s="34" t="s">
        <v>273</v>
      </c>
      <c r="T306" s="34">
        <v>20110901</v>
      </c>
      <c r="U306" s="45">
        <v>0.88452719790000001</v>
      </c>
      <c r="V306" s="46">
        <v>1.3488652559000001</v>
      </c>
      <c r="W306" s="34" t="s">
        <v>201</v>
      </c>
      <c r="X306" s="34" t="s">
        <v>44</v>
      </c>
      <c r="Y306" s="34" t="s">
        <v>45</v>
      </c>
      <c r="Z306" s="34" t="s">
        <v>274</v>
      </c>
      <c r="AA306" s="34"/>
      <c r="AB306" s="34"/>
      <c r="AC306" s="22">
        <v>0.78485603332519527</v>
      </c>
      <c r="AD306" s="23" t="s">
        <v>1350</v>
      </c>
      <c r="AE306" s="24">
        <v>2.2712328767123289</v>
      </c>
      <c r="AF306" s="25">
        <v>8.4575852386902017E-2</v>
      </c>
      <c r="AG306" s="26">
        <v>0.15755945099875279</v>
      </c>
      <c r="AH306" s="26">
        <v>0.10068765455822358</v>
      </c>
      <c r="AI306" s="27">
        <v>0.37344032987187964</v>
      </c>
      <c r="AJ306" s="27">
        <v>0.5451974591226777</v>
      </c>
      <c r="AK306" s="27">
        <v>0.41854283265524334</v>
      </c>
      <c r="AL306" s="28" t="s">
        <v>2450</v>
      </c>
      <c r="AM306" s="29">
        <v>3</v>
      </c>
      <c r="AN306" s="29">
        <v>3</v>
      </c>
      <c r="AO306" s="29" t="s">
        <v>48</v>
      </c>
      <c r="AP306" s="47" t="s">
        <v>666</v>
      </c>
      <c r="AQ306" s="28">
        <v>0</v>
      </c>
      <c r="AR306" s="26">
        <v>1.4999999999999999E-2</v>
      </c>
      <c r="AS306" s="26">
        <v>0</v>
      </c>
    </row>
    <row r="307" spans="1:45" x14ac:dyDescent="0.15">
      <c r="A307" s="64">
        <v>216</v>
      </c>
      <c r="B307" s="64">
        <v>622</v>
      </c>
      <c r="C307" s="11">
        <v>1540</v>
      </c>
      <c r="D307" s="61">
        <v>743</v>
      </c>
      <c r="E307" s="61">
        <v>-3.36119817546478E-3</v>
      </c>
      <c r="F307" s="61">
        <v>83</v>
      </c>
      <c r="G307" s="61">
        <v>4.8520555041138898E-2</v>
      </c>
      <c r="H307" s="66">
        <v>297</v>
      </c>
      <c r="I307" s="66" t="str">
        <f>H307&amp;"/"&amp;428</f>
        <v>297/428</v>
      </c>
      <c r="J307" s="68">
        <f>H307/428</f>
        <v>0.69392523364485981</v>
      </c>
      <c r="K307" s="18" t="s">
        <v>44</v>
      </c>
      <c r="L307" s="18" t="s">
        <v>45</v>
      </c>
      <c r="M307" s="58" t="s">
        <v>274</v>
      </c>
      <c r="N307" s="18">
        <f>[1]!f_prt_stocktonav(C307,"2017/03/31")</f>
        <v>82.267440795898438</v>
      </c>
      <c r="O307" s="20" t="str">
        <f>[1]!f_info_fundmanager(C307)</f>
        <v>唐光英</v>
      </c>
      <c r="P307" s="21">
        <v>1.5917808219178082</v>
      </c>
      <c r="Q307" s="34" t="s">
        <v>1017</v>
      </c>
      <c r="R307" s="34" t="s">
        <v>1018</v>
      </c>
      <c r="S307" s="34" t="s">
        <v>682</v>
      </c>
      <c r="T307" s="34">
        <v>20150727</v>
      </c>
      <c r="U307" s="45">
        <v>5.4434675021999999</v>
      </c>
      <c r="V307" s="46">
        <v>6.6416419149000001</v>
      </c>
      <c r="W307" s="34" t="s">
        <v>1235</v>
      </c>
      <c r="X307" s="34" t="s">
        <v>44</v>
      </c>
      <c r="Y307" s="34" t="s">
        <v>45</v>
      </c>
      <c r="Z307" s="34" t="s">
        <v>274</v>
      </c>
      <c r="AA307" s="34"/>
      <c r="AB307" s="34"/>
      <c r="AC307" s="22">
        <v>0.76062973022460934</v>
      </c>
      <c r="AD307" s="23" t="s">
        <v>1019</v>
      </c>
      <c r="AE307" s="24">
        <v>1.3616438356164384</v>
      </c>
      <c r="AF307" s="25">
        <v>-0.20453179278790012</v>
      </c>
      <c r="AG307" s="26">
        <v>0</v>
      </c>
      <c r="AH307" s="26">
        <v>0</v>
      </c>
      <c r="AI307" s="27">
        <v>-0.96233516646371109</v>
      </c>
      <c r="AJ307" s="27">
        <v>-0.96233516646371109</v>
      </c>
      <c r="AK307" s="27">
        <v>-0.96233516646371109</v>
      </c>
      <c r="AL307" s="28" t="s">
        <v>1020</v>
      </c>
      <c r="AM307" s="29" t="s">
        <v>48</v>
      </c>
      <c r="AN307" s="29" t="s">
        <v>48</v>
      </c>
      <c r="AO307" s="29" t="s">
        <v>48</v>
      </c>
      <c r="AP307" s="47" t="s">
        <v>367</v>
      </c>
      <c r="AQ307" s="28">
        <v>0</v>
      </c>
      <c r="AR307" s="26">
        <v>1.4999999999999999E-2</v>
      </c>
      <c r="AS307" s="26">
        <v>0</v>
      </c>
    </row>
    <row r="308" spans="1:45" x14ac:dyDescent="0.15">
      <c r="A308" s="64">
        <v>419</v>
      </c>
      <c r="B308" s="64">
        <v>160</v>
      </c>
      <c r="C308" s="11">
        <v>697</v>
      </c>
      <c r="D308" s="61">
        <v>745</v>
      </c>
      <c r="E308" s="61">
        <v>-3.3931956112106501E-3</v>
      </c>
      <c r="F308" s="61">
        <v>133</v>
      </c>
      <c r="G308" s="61">
        <v>0.15093788761159099</v>
      </c>
      <c r="H308" s="66">
        <v>298</v>
      </c>
      <c r="I308" s="66" t="str">
        <f>H308&amp;"/"&amp;428</f>
        <v>298/428</v>
      </c>
      <c r="J308" s="68">
        <f>H308/428</f>
        <v>0.69626168224299068</v>
      </c>
      <c r="K308" s="18" t="s">
        <v>44</v>
      </c>
      <c r="L308" s="18" t="s">
        <v>87</v>
      </c>
      <c r="M308" s="58" t="s">
        <v>274</v>
      </c>
      <c r="N308" s="18">
        <f>[1]!f_prt_stocktonav(C308,"2017/03/31")</f>
        <v>92.588409423828125</v>
      </c>
      <c r="O308" s="20" t="str">
        <f>[1]!f_info_fundmanager(C308)</f>
        <v>欧阳沁春</v>
      </c>
      <c r="P308" s="21">
        <v>2.5972602739726027</v>
      </c>
      <c r="Q308" s="34" t="s">
        <v>1801</v>
      </c>
      <c r="R308" s="34" t="s">
        <v>1802</v>
      </c>
      <c r="S308" s="34" t="s">
        <v>331</v>
      </c>
      <c r="T308" s="34">
        <v>20140826</v>
      </c>
      <c r="U308" s="45">
        <v>64.229237859700007</v>
      </c>
      <c r="V308" s="46">
        <v>74.121415941699993</v>
      </c>
      <c r="W308" s="34" t="s">
        <v>3776</v>
      </c>
      <c r="X308" s="34" t="s">
        <v>44</v>
      </c>
      <c r="Y308" s="34" t="s">
        <v>45</v>
      </c>
      <c r="Z308" s="34" t="s">
        <v>274</v>
      </c>
      <c r="AA308" s="34"/>
      <c r="AB308" s="34"/>
      <c r="AC308" s="22">
        <v>0.914698486328125</v>
      </c>
      <c r="AD308" s="23" t="s">
        <v>1803</v>
      </c>
      <c r="AE308" s="24">
        <v>2.3671232876712329</v>
      </c>
      <c r="AF308" s="25">
        <v>0.16413743071473941</v>
      </c>
      <c r="AG308" s="26">
        <v>0</v>
      </c>
      <c r="AH308" s="26">
        <v>0</v>
      </c>
      <c r="AI308" s="27">
        <v>0.53188338218431397</v>
      </c>
      <c r="AJ308" s="27">
        <v>0.53188338218431397</v>
      </c>
      <c r="AK308" s="27">
        <v>0.53188338218431397</v>
      </c>
      <c r="AL308" s="28" t="s">
        <v>1804</v>
      </c>
      <c r="AM308" s="29" t="s">
        <v>48</v>
      </c>
      <c r="AN308" s="29" t="s">
        <v>48</v>
      </c>
      <c r="AO308" s="29" t="s">
        <v>48</v>
      </c>
      <c r="AP308" s="47" t="s">
        <v>334</v>
      </c>
      <c r="AQ308" s="28">
        <v>0</v>
      </c>
      <c r="AR308" s="26">
        <v>1.4999999999999999E-2</v>
      </c>
      <c r="AS308" s="26">
        <v>0</v>
      </c>
    </row>
    <row r="309" spans="1:45" x14ac:dyDescent="0.15">
      <c r="A309" s="64">
        <v>740</v>
      </c>
      <c r="B309" s="64">
        <v>782</v>
      </c>
      <c r="C309" s="11">
        <v>320007</v>
      </c>
      <c r="D309" s="61">
        <v>747</v>
      </c>
      <c r="E309" s="61">
        <v>-3.3963773119335999E-3</v>
      </c>
      <c r="F309" s="61">
        <v>336</v>
      </c>
      <c r="G309" s="61">
        <v>3.5601132133057802E-4</v>
      </c>
      <c r="H309" s="66">
        <v>299</v>
      </c>
      <c r="I309" s="66" t="str">
        <f>H309&amp;"/"&amp;428</f>
        <v>299/428</v>
      </c>
      <c r="J309" s="68">
        <f>H309/428</f>
        <v>0.69859813084112155</v>
      </c>
      <c r="K309" s="18" t="s">
        <v>44</v>
      </c>
      <c r="L309" s="18" t="s">
        <v>45</v>
      </c>
      <c r="M309" s="58" t="s">
        <v>274</v>
      </c>
      <c r="N309" s="18">
        <f>[1]!f_prt_stocktonav(C309,"2017/03/31")</f>
        <v>77.229949951171875</v>
      </c>
      <c r="O309" s="20" t="str">
        <f>[1]!f_info_fundmanager(C309)</f>
        <v>刘红辉,史高飞</v>
      </c>
      <c r="P309" s="21">
        <v>6.4602739726027396</v>
      </c>
      <c r="Q309" s="34" t="s">
        <v>2916</v>
      </c>
      <c r="R309" s="34" t="s">
        <v>2917</v>
      </c>
      <c r="S309" s="34" t="s">
        <v>955</v>
      </c>
      <c r="T309" s="34">
        <v>20090310</v>
      </c>
      <c r="U309" s="45">
        <v>6.4813422514000001</v>
      </c>
      <c r="V309" s="46">
        <v>7.8769108499999998</v>
      </c>
      <c r="W309" s="34" t="s">
        <v>231</v>
      </c>
      <c r="X309" s="34" t="s">
        <v>44</v>
      </c>
      <c r="Y309" s="34" t="s">
        <v>45</v>
      </c>
      <c r="Z309" s="34" t="s">
        <v>274</v>
      </c>
      <c r="AA309" s="34"/>
      <c r="AB309" s="34"/>
      <c r="AC309" s="22">
        <v>0.84890136718749998</v>
      </c>
      <c r="AD309" s="23" t="s">
        <v>2918</v>
      </c>
      <c r="AE309" s="24">
        <v>6.2301369863013702</v>
      </c>
      <c r="AF309" s="25">
        <v>6.2177819776787491E-2</v>
      </c>
      <c r="AG309" s="26">
        <v>7.7217345015941907E-2</v>
      </c>
      <c r="AH309" s="26">
        <v>4.8844827114089551E-2</v>
      </c>
      <c r="AI309" s="27">
        <v>0.30411522047981149</v>
      </c>
      <c r="AJ309" s="27">
        <v>0.36162279349056076</v>
      </c>
      <c r="AK309" s="27">
        <v>0.26675643707136565</v>
      </c>
      <c r="AL309" s="28" t="s">
        <v>2919</v>
      </c>
      <c r="AM309" s="29">
        <v>1</v>
      </c>
      <c r="AN309" s="29">
        <v>3</v>
      </c>
      <c r="AO309" s="29" t="s">
        <v>48</v>
      </c>
      <c r="AP309" s="47" t="s">
        <v>2920</v>
      </c>
      <c r="AQ309" s="28">
        <v>0</v>
      </c>
      <c r="AR309" s="26">
        <v>1.4999999999999999E-2</v>
      </c>
      <c r="AS309" s="26">
        <v>0</v>
      </c>
    </row>
    <row r="310" spans="1:45" x14ac:dyDescent="0.15">
      <c r="A310" s="64">
        <v>453</v>
      </c>
      <c r="B310" s="64">
        <v>289</v>
      </c>
      <c r="C310" s="11">
        <v>519165</v>
      </c>
      <c r="D310" s="61">
        <v>749</v>
      </c>
      <c r="E310" s="61">
        <v>-3.41221986270861E-3</v>
      </c>
      <c r="F310" s="61">
        <v>118</v>
      </c>
      <c r="G310" s="61">
        <v>9.4464278357501402E-2</v>
      </c>
      <c r="H310" s="66">
        <v>300</v>
      </c>
      <c r="I310" s="66" t="str">
        <f>H310&amp;"/"&amp;428</f>
        <v>300/428</v>
      </c>
      <c r="J310" s="68">
        <f>H310/428</f>
        <v>0.7009345794392523</v>
      </c>
      <c r="K310" s="18" t="s">
        <v>44</v>
      </c>
      <c r="L310" s="18" t="s">
        <v>45</v>
      </c>
      <c r="M310" s="58" t="s">
        <v>274</v>
      </c>
      <c r="N310" s="18">
        <f>[1]!f_prt_stocktonav(C310,"2017/03/31")</f>
        <v>89.618392944335938</v>
      </c>
      <c r="O310" s="20" t="str">
        <f>[1]!f_info_fundmanager(C310)</f>
        <v>李会忠</v>
      </c>
      <c r="P310" s="21">
        <v>2.2630136986301368</v>
      </c>
      <c r="Q310" s="34" t="s">
        <v>1930</v>
      </c>
      <c r="R310" s="34" t="s">
        <v>1931</v>
      </c>
      <c r="S310" s="34" t="s">
        <v>569</v>
      </c>
      <c r="T310" s="34">
        <v>20140423</v>
      </c>
      <c r="U310" s="45">
        <v>0.95043970600000005</v>
      </c>
      <c r="V310" s="46">
        <v>1.5962398501999999</v>
      </c>
      <c r="W310" s="34" t="s">
        <v>3776</v>
      </c>
      <c r="X310" s="34" t="s">
        <v>44</v>
      </c>
      <c r="Y310" s="34" t="s">
        <v>45</v>
      </c>
      <c r="Z310" s="34" t="s">
        <v>274</v>
      </c>
      <c r="AA310" s="34"/>
      <c r="AB310" s="34"/>
      <c r="AC310" s="22">
        <v>0.88268989562988276</v>
      </c>
      <c r="AD310" s="23" t="s">
        <v>571</v>
      </c>
      <c r="AE310" s="24">
        <v>2.032876712328767</v>
      </c>
      <c r="AF310" s="25">
        <v>8.0139547155916979E-2</v>
      </c>
      <c r="AG310" s="26">
        <v>0</v>
      </c>
      <c r="AH310" s="26">
        <v>0</v>
      </c>
      <c r="AI310" s="27">
        <v>0.36031739614257058</v>
      </c>
      <c r="AJ310" s="27">
        <v>0.36031739614257058</v>
      </c>
      <c r="AK310" s="27">
        <v>0.36031739614257058</v>
      </c>
      <c r="AL310" s="28" t="s">
        <v>191</v>
      </c>
      <c r="AM310" s="29" t="s">
        <v>48</v>
      </c>
      <c r="AN310" s="29" t="s">
        <v>48</v>
      </c>
      <c r="AO310" s="29" t="s">
        <v>48</v>
      </c>
      <c r="AP310" s="47" t="s">
        <v>310</v>
      </c>
      <c r="AQ310" s="28">
        <v>0</v>
      </c>
      <c r="AR310" s="26">
        <v>1.4999999999999999E-2</v>
      </c>
      <c r="AS310" s="26">
        <v>0</v>
      </c>
    </row>
    <row r="311" spans="1:45" x14ac:dyDescent="0.15">
      <c r="A311" s="64">
        <v>624</v>
      </c>
      <c r="B311" s="64">
        <v>402</v>
      </c>
      <c r="C311" s="11">
        <v>163409</v>
      </c>
      <c r="D311" s="61">
        <v>750</v>
      </c>
      <c r="E311" s="61">
        <v>-3.41322337959889E-3</v>
      </c>
      <c r="F311" s="61">
        <v>121</v>
      </c>
      <c r="G311" s="61">
        <v>3.7363996899251101E-2</v>
      </c>
      <c r="H311" s="66">
        <v>301</v>
      </c>
      <c r="I311" s="66" t="str">
        <f>H311&amp;"/"&amp;428</f>
        <v>301/428</v>
      </c>
      <c r="J311" s="68">
        <f>H311/428</f>
        <v>0.70327102803738317</v>
      </c>
      <c r="K311" s="18" t="s">
        <v>44</v>
      </c>
      <c r="L311" s="18" t="s">
        <v>45</v>
      </c>
      <c r="M311" s="58" t="s">
        <v>274</v>
      </c>
      <c r="N311" s="18">
        <f>[1]!f_prt_stocktonav(C311,"2017/03/31")</f>
        <v>87.502792358398438</v>
      </c>
      <c r="O311" s="20" t="str">
        <f>[1]!f_info_fundmanager(C311)</f>
        <v>杨岳斌</v>
      </c>
      <c r="P311" s="21">
        <v>2.3123287671232875</v>
      </c>
      <c r="Q311" s="34" t="s">
        <v>2531</v>
      </c>
      <c r="R311" s="34" t="s">
        <v>2532</v>
      </c>
      <c r="S311" s="34" t="s">
        <v>2217</v>
      </c>
      <c r="T311" s="34">
        <v>20110506</v>
      </c>
      <c r="U311" s="45">
        <v>6.7724442591000003</v>
      </c>
      <c r="V311" s="46">
        <v>11.755067996399999</v>
      </c>
      <c r="W311" s="34" t="s">
        <v>3776</v>
      </c>
      <c r="X311" s="34" t="s">
        <v>44</v>
      </c>
      <c r="Y311" s="34" t="s">
        <v>45</v>
      </c>
      <c r="Z311" s="34" t="s">
        <v>274</v>
      </c>
      <c r="AA311" s="34"/>
      <c r="AB311" s="34"/>
      <c r="AC311" s="22">
        <v>0.90538719177246096</v>
      </c>
      <c r="AD311" s="23" t="s">
        <v>2533</v>
      </c>
      <c r="AE311" s="24">
        <v>2.0821917808219177</v>
      </c>
      <c r="AF311" s="25">
        <v>0.14900703972358897</v>
      </c>
      <c r="AG311" s="26">
        <v>0.18639002924093062</v>
      </c>
      <c r="AH311" s="26">
        <v>0.19502415904870851</v>
      </c>
      <c r="AI311" s="27">
        <v>0.62075876165517307</v>
      </c>
      <c r="AJ311" s="27">
        <v>0.65937476529536676</v>
      </c>
      <c r="AK311" s="27">
        <v>0.75262299843918601</v>
      </c>
      <c r="AL311" s="28" t="s">
        <v>2219</v>
      </c>
      <c r="AM311" s="29">
        <v>5</v>
      </c>
      <c r="AN311" s="29">
        <v>3</v>
      </c>
      <c r="AO311" s="29" t="s">
        <v>48</v>
      </c>
      <c r="AP311" s="47" t="s">
        <v>2220</v>
      </c>
      <c r="AQ311" s="28" t="s">
        <v>2221</v>
      </c>
      <c r="AR311" s="26">
        <v>1.4999999999999999E-2</v>
      </c>
      <c r="AS311" s="26">
        <v>0</v>
      </c>
    </row>
    <row r="312" spans="1:45" x14ac:dyDescent="0.15">
      <c r="A312" s="64">
        <v>842</v>
      </c>
      <c r="B312" s="64">
        <v>828</v>
      </c>
      <c r="C312" s="11">
        <v>240009</v>
      </c>
      <c r="D312" s="61">
        <v>751</v>
      </c>
      <c r="E312" s="61">
        <v>-3.41512433116783E-3</v>
      </c>
      <c r="F312" s="61">
        <v>99</v>
      </c>
      <c r="G312" s="61">
        <v>1.3567212580204701E-2</v>
      </c>
      <c r="H312" s="66">
        <v>302</v>
      </c>
      <c r="I312" s="66" t="str">
        <f>H312&amp;"/"&amp;428</f>
        <v>302/428</v>
      </c>
      <c r="J312" s="68">
        <f>H312/428</f>
        <v>0.70560747663551404</v>
      </c>
      <c r="K312" s="18" t="s">
        <v>44</v>
      </c>
      <c r="L312" s="18" t="s">
        <v>45</v>
      </c>
      <c r="M312" s="58" t="s">
        <v>274</v>
      </c>
      <c r="N312" s="18">
        <f>[1]!f_prt_stocktonav(C312,"2017/03/31")</f>
        <v>75.759246826171875</v>
      </c>
      <c r="O312" s="20" t="str">
        <f>[1]!f_info_fundmanager(C312)</f>
        <v>季鹏</v>
      </c>
      <c r="P312" s="21">
        <v>1.9013698630136986</v>
      </c>
      <c r="Q312" s="34" t="s">
        <v>3269</v>
      </c>
      <c r="R312" s="34" t="s">
        <v>3270</v>
      </c>
      <c r="S312" s="34" t="s">
        <v>737</v>
      </c>
      <c r="T312" s="34">
        <v>20061107</v>
      </c>
      <c r="U312" s="45">
        <v>12.998402734600001</v>
      </c>
      <c r="V312" s="46">
        <v>15.1416759547</v>
      </c>
      <c r="W312" s="34" t="s">
        <v>231</v>
      </c>
      <c r="X312" s="34" t="s">
        <v>44</v>
      </c>
      <c r="Y312" s="34" t="s">
        <v>45</v>
      </c>
      <c r="Z312" s="34" t="s">
        <v>274</v>
      </c>
      <c r="AA312" s="34"/>
      <c r="AB312" s="34"/>
      <c r="AC312" s="22">
        <v>0.71281295776367193</v>
      </c>
      <c r="AD312" s="23" t="s">
        <v>3271</v>
      </c>
      <c r="AE312" s="24">
        <v>1.6712328767123288</v>
      </c>
      <c r="AF312" s="25">
        <v>0.13131535736162747</v>
      </c>
      <c r="AG312" s="26">
        <v>0.17020978795039318</v>
      </c>
      <c r="AH312" s="26">
        <v>0.18790784297893182</v>
      </c>
      <c r="AI312" s="27">
        <v>0.52229885820585975</v>
      </c>
      <c r="AJ312" s="27">
        <v>0.57013770326653179</v>
      </c>
      <c r="AK312" s="27">
        <v>0.68483331936729952</v>
      </c>
      <c r="AL312" s="28" t="s">
        <v>3272</v>
      </c>
      <c r="AM312" s="29">
        <v>5</v>
      </c>
      <c r="AN312" s="29">
        <v>3</v>
      </c>
      <c r="AO312" s="29" t="s">
        <v>48</v>
      </c>
      <c r="AP312" s="47" t="s">
        <v>739</v>
      </c>
      <c r="AQ312" s="28">
        <v>0</v>
      </c>
      <c r="AR312" s="26">
        <v>1.4999999999999999E-2</v>
      </c>
      <c r="AS312" s="26">
        <v>0</v>
      </c>
    </row>
    <row r="313" spans="1:45" x14ac:dyDescent="0.15">
      <c r="A313" s="64">
        <v>136</v>
      </c>
      <c r="B313" s="64">
        <v>706</v>
      </c>
      <c r="C313" s="11">
        <v>519132</v>
      </c>
      <c r="D313" s="61">
        <v>752</v>
      </c>
      <c r="E313" s="61">
        <v>-3.4336167174667301E-3</v>
      </c>
      <c r="F313" s="61">
        <v>59</v>
      </c>
      <c r="G313" s="61">
        <v>4.4644760728230204E-3</v>
      </c>
      <c r="H313" s="66">
        <v>303</v>
      </c>
      <c r="I313" s="66" t="str">
        <f>H313&amp;"/"&amp;428</f>
        <v>303/428</v>
      </c>
      <c r="J313" s="68">
        <f>H313/428</f>
        <v>0.70794392523364491</v>
      </c>
      <c r="K313" s="18" t="s">
        <v>44</v>
      </c>
      <c r="L313" s="18" t="s">
        <v>45</v>
      </c>
      <c r="M313" s="58" t="s">
        <v>274</v>
      </c>
      <c r="N313" s="18">
        <f>[1]!f_prt_stocktonav(C313,"2017/03/31")</f>
        <v>79.83074951171875</v>
      </c>
      <c r="O313" s="20" t="str">
        <f>[1]!f_info_fundmanager(C313)</f>
        <v>陈甄璞</v>
      </c>
      <c r="P313" s="21">
        <v>1.1698630136986301</v>
      </c>
      <c r="Q313" s="34" t="s">
        <v>695</v>
      </c>
      <c r="R313" s="34" t="s">
        <v>696</v>
      </c>
      <c r="S313" s="34" t="s">
        <v>496</v>
      </c>
      <c r="T313" s="34">
        <v>20160129</v>
      </c>
      <c r="U313" s="45">
        <v>0.66473693899999997</v>
      </c>
      <c r="V313" s="46">
        <v>1.2650195056</v>
      </c>
      <c r="W313" s="34" t="s">
        <v>3776</v>
      </c>
      <c r="X313" s="34" t="s">
        <v>44</v>
      </c>
      <c r="Y313" s="17" t="s">
        <v>45</v>
      </c>
      <c r="Z313" s="17" t="s">
        <v>65</v>
      </c>
      <c r="AA313" s="34"/>
      <c r="AB313" s="34"/>
      <c r="AC313" s="22">
        <v>0.87340362548828121</v>
      </c>
      <c r="AD313" s="23" t="s">
        <v>697</v>
      </c>
      <c r="AE313" s="24">
        <v>0.9397260273972603</v>
      </c>
      <c r="AF313" s="25">
        <v>3.8931031148442319E-2</v>
      </c>
      <c r="AG313" s="26">
        <v>0</v>
      </c>
      <c r="AH313" s="26">
        <v>0</v>
      </c>
      <c r="AI313" s="27">
        <v>0.25329606333758375</v>
      </c>
      <c r="AJ313" s="27">
        <v>0.25329606333758375</v>
      </c>
      <c r="AK313" s="27">
        <v>0.25329606333758375</v>
      </c>
      <c r="AL313" s="28" t="s">
        <v>323</v>
      </c>
      <c r="AM313" s="29" t="s">
        <v>48</v>
      </c>
      <c r="AN313" s="29" t="s">
        <v>48</v>
      </c>
      <c r="AO313" s="29" t="s">
        <v>48</v>
      </c>
      <c r="AP313" s="47" t="s">
        <v>310</v>
      </c>
      <c r="AQ313" s="28">
        <v>0</v>
      </c>
      <c r="AR313" s="26">
        <v>1.600000023841858E-2</v>
      </c>
      <c r="AS313" s="26">
        <v>0</v>
      </c>
    </row>
    <row r="314" spans="1:45" x14ac:dyDescent="0.15">
      <c r="A314" s="64">
        <v>909</v>
      </c>
      <c r="B314" s="64">
        <v>293</v>
      </c>
      <c r="C314" s="11">
        <v>110005</v>
      </c>
      <c r="D314" s="61">
        <v>753</v>
      </c>
      <c r="E314" s="61">
        <v>-3.4563405830838299E-3</v>
      </c>
      <c r="F314" s="61">
        <v>123</v>
      </c>
      <c r="G314" s="61">
        <v>5.9776406117288301E-3</v>
      </c>
      <c r="H314" s="66">
        <v>304</v>
      </c>
      <c r="I314" s="66" t="str">
        <f>H314&amp;"/"&amp;428</f>
        <v>304/428</v>
      </c>
      <c r="J314" s="68">
        <f>H314/428</f>
        <v>0.71028037383177567</v>
      </c>
      <c r="K314" s="18" t="s">
        <v>44</v>
      </c>
      <c r="L314" s="18" t="s">
        <v>45</v>
      </c>
      <c r="M314" s="58" t="s">
        <v>274</v>
      </c>
      <c r="N314" s="18">
        <f>[1]!f_prt_stocktonav(C314,"2017/03/31")</f>
        <v>89.548263549804688</v>
      </c>
      <c r="O314" s="20" t="str">
        <f>[1]!f_info_fundmanager(C314)</f>
        <v>王超</v>
      </c>
      <c r="P314" s="21">
        <v>2.3561643835616439</v>
      </c>
      <c r="Q314" s="34" t="s">
        <v>3530</v>
      </c>
      <c r="R314" s="34" t="s">
        <v>3531</v>
      </c>
      <c r="S314" s="34" t="s">
        <v>218</v>
      </c>
      <c r="T314" s="34">
        <v>20040909</v>
      </c>
      <c r="U314" s="45">
        <v>25.299095693200002</v>
      </c>
      <c r="V314" s="46">
        <v>27.821824856399999</v>
      </c>
      <c r="W314" s="34" t="s">
        <v>201</v>
      </c>
      <c r="X314" s="34" t="s">
        <v>44</v>
      </c>
      <c r="Y314" s="34" t="s">
        <v>45</v>
      </c>
      <c r="Z314" s="34" t="s">
        <v>274</v>
      </c>
      <c r="AA314" s="34"/>
      <c r="AB314" s="34"/>
      <c r="AC314" s="22">
        <v>0.7787592315673828</v>
      </c>
      <c r="AD314" s="23" t="s">
        <v>1988</v>
      </c>
      <c r="AE314" s="24">
        <v>2.1260273972602741</v>
      </c>
      <c r="AF314" s="25">
        <v>0.14912021797392372</v>
      </c>
      <c r="AG314" s="26">
        <v>5.7168171606641671E-2</v>
      </c>
      <c r="AH314" s="26">
        <v>7.5264194171076548E-2</v>
      </c>
      <c r="AI314" s="27">
        <v>0.6293466913428436</v>
      </c>
      <c r="AJ314" s="27">
        <v>0.28455206254515802</v>
      </c>
      <c r="AK314" s="27">
        <v>0.35934170494649637</v>
      </c>
      <c r="AL314" s="28" t="s">
        <v>3532</v>
      </c>
      <c r="AM314" s="29">
        <v>2</v>
      </c>
      <c r="AN314" s="29">
        <v>2</v>
      </c>
      <c r="AO314" s="29" t="s">
        <v>48</v>
      </c>
      <c r="AP314" s="47" t="s">
        <v>2457</v>
      </c>
      <c r="AQ314" s="28">
        <v>0</v>
      </c>
      <c r="AR314" s="26">
        <v>1.4999999999999999E-2</v>
      </c>
      <c r="AS314" s="26">
        <v>0</v>
      </c>
    </row>
    <row r="315" spans="1:45" x14ac:dyDescent="0.15">
      <c r="A315" s="64">
        <v>622</v>
      </c>
      <c r="B315" s="64">
        <v>427</v>
      </c>
      <c r="C315" s="11">
        <v>233009</v>
      </c>
      <c r="D315" s="61">
        <v>755</v>
      </c>
      <c r="E315" s="61">
        <v>-3.4704805639727298E-3</v>
      </c>
      <c r="F315" s="61">
        <v>92</v>
      </c>
      <c r="G315" s="61">
        <v>1.06310698847655E-2</v>
      </c>
      <c r="H315" s="66">
        <v>305</v>
      </c>
      <c r="I315" s="66" t="str">
        <f>H315&amp;"/"&amp;428</f>
        <v>305/428</v>
      </c>
      <c r="J315" s="68">
        <f>H315/428</f>
        <v>0.71261682242990654</v>
      </c>
      <c r="K315" s="18" t="s">
        <v>44</v>
      </c>
      <c r="L315" s="18" t="s">
        <v>64</v>
      </c>
      <c r="M315" s="58" t="s">
        <v>274</v>
      </c>
      <c r="N315" s="18">
        <f>[1]!f_prt_stocktonav(C315,"2017/03/31")</f>
        <v>86.719573974609375</v>
      </c>
      <c r="O315" s="20" t="str">
        <f>[1]!f_info_fundmanager(C315)</f>
        <v>杨雨龙</v>
      </c>
      <c r="P315" s="21">
        <v>1.7643835616438357</v>
      </c>
      <c r="Q315" s="34" t="s">
        <v>2524</v>
      </c>
      <c r="R315" s="34" t="s">
        <v>2525</v>
      </c>
      <c r="S315" s="34" t="s">
        <v>378</v>
      </c>
      <c r="T315" s="34">
        <v>20110517</v>
      </c>
      <c r="U315" s="45">
        <v>49.071015205400002</v>
      </c>
      <c r="V315" s="46">
        <v>40.695225827999998</v>
      </c>
      <c r="W315" s="34" t="s">
        <v>3776</v>
      </c>
      <c r="X315" s="34" t="s">
        <v>44</v>
      </c>
      <c r="Y315" s="34" t="s">
        <v>45</v>
      </c>
      <c r="Z315" s="34" t="s">
        <v>274</v>
      </c>
      <c r="AA315" s="34"/>
      <c r="AB315" s="34"/>
      <c r="AC315" s="22">
        <v>0.90318901062011714</v>
      </c>
      <c r="AD315" s="23" t="s">
        <v>1205</v>
      </c>
      <c r="AE315" s="24">
        <v>1.5342465753424657</v>
      </c>
      <c r="AF315" s="25">
        <v>0.20555834112382154</v>
      </c>
      <c r="AG315" s="26">
        <v>0.37566280347275871</v>
      </c>
      <c r="AH315" s="26">
        <v>0.28756053526224767</v>
      </c>
      <c r="AI315" s="27">
        <v>0.75446986762778456</v>
      </c>
      <c r="AJ315" s="27">
        <v>1.0492305578032222</v>
      </c>
      <c r="AK315" s="27">
        <v>0.96586521492286959</v>
      </c>
      <c r="AL315" s="28" t="s">
        <v>2526</v>
      </c>
      <c r="AM315" s="29">
        <v>5</v>
      </c>
      <c r="AN315" s="29">
        <v>4</v>
      </c>
      <c r="AO315" s="29" t="s">
        <v>48</v>
      </c>
      <c r="AP315" s="47" t="s">
        <v>2368</v>
      </c>
      <c r="AQ315" s="28">
        <v>0</v>
      </c>
      <c r="AR315" s="26">
        <v>1.4999999999999999E-2</v>
      </c>
      <c r="AS315" s="26">
        <v>0</v>
      </c>
    </row>
    <row r="316" spans="1:45" x14ac:dyDescent="0.15">
      <c r="A316" s="64">
        <v>508</v>
      </c>
      <c r="B316" s="64">
        <v>341</v>
      </c>
      <c r="C316" s="11">
        <v>519727</v>
      </c>
      <c r="D316" s="61">
        <v>756</v>
      </c>
      <c r="E316" s="61">
        <v>-3.4823939717804199E-3</v>
      </c>
      <c r="F316" s="61">
        <v>195</v>
      </c>
      <c r="G316" s="61">
        <v>3.85954694627071E-3</v>
      </c>
      <c r="H316" s="66">
        <v>306</v>
      </c>
      <c r="I316" s="66" t="str">
        <f>H316&amp;"/"&amp;428</f>
        <v>306/428</v>
      </c>
      <c r="J316" s="68">
        <f>H316/428</f>
        <v>0.71495327102803741</v>
      </c>
      <c r="K316" s="18" t="s">
        <v>44</v>
      </c>
      <c r="L316" s="18" t="s">
        <v>45</v>
      </c>
      <c r="M316" s="58" t="s">
        <v>274</v>
      </c>
      <c r="N316" s="18">
        <f>[1]!f_prt_stocktonav(C316,"2017/03/31")</f>
        <v>88.673965454101563</v>
      </c>
      <c r="O316" s="20" t="str">
        <f>[1]!f_info_fundmanager(C316)</f>
        <v>王少成</v>
      </c>
      <c r="P316" s="21">
        <v>3.7479452054794522</v>
      </c>
      <c r="Q316" s="34" t="s">
        <v>2126</v>
      </c>
      <c r="R316" s="34" t="s">
        <v>2127</v>
      </c>
      <c r="S316" s="34" t="s">
        <v>138</v>
      </c>
      <c r="T316" s="34">
        <v>20130605</v>
      </c>
      <c r="U316" s="45">
        <v>1.4457146039</v>
      </c>
      <c r="V316" s="46">
        <v>0.89478382219999997</v>
      </c>
      <c r="W316" s="34" t="s">
        <v>3776</v>
      </c>
      <c r="X316" s="34" t="s">
        <v>44</v>
      </c>
      <c r="Y316" s="34" t="s">
        <v>45</v>
      </c>
      <c r="Z316" s="34" t="s">
        <v>274</v>
      </c>
      <c r="AA316" s="34"/>
      <c r="AB316" s="34"/>
      <c r="AC316" s="22">
        <v>0.90373695373535157</v>
      </c>
      <c r="AD316" s="23" t="s">
        <v>2128</v>
      </c>
      <c r="AE316" s="24">
        <v>3.5178082191780824</v>
      </c>
      <c r="AF316" s="25">
        <v>0.12458683468261311</v>
      </c>
      <c r="AG316" s="26">
        <v>0.14237965955782816</v>
      </c>
      <c r="AH316" s="26">
        <v>0</v>
      </c>
      <c r="AI316" s="27">
        <v>0.51064846272988873</v>
      </c>
      <c r="AJ316" s="27">
        <v>0.53543690240415343</v>
      </c>
      <c r="AK316" s="27">
        <v>0.51064846272988873</v>
      </c>
      <c r="AL316" s="28" t="s">
        <v>2129</v>
      </c>
      <c r="AM316" s="29" t="s">
        <v>48</v>
      </c>
      <c r="AN316" s="29" t="s">
        <v>48</v>
      </c>
      <c r="AO316" s="29" t="s">
        <v>48</v>
      </c>
      <c r="AP316" s="47" t="s">
        <v>2130</v>
      </c>
      <c r="AQ316" s="28" t="s">
        <v>608</v>
      </c>
      <c r="AR316" s="26">
        <v>1.4999999999999999E-2</v>
      </c>
      <c r="AS316" s="26">
        <v>0</v>
      </c>
    </row>
    <row r="317" spans="1:45" x14ac:dyDescent="0.15">
      <c r="A317" s="64">
        <v>670</v>
      </c>
      <c r="B317" s="64">
        <v>522</v>
      </c>
      <c r="C317" s="11">
        <v>590005</v>
      </c>
      <c r="D317" s="61">
        <v>757</v>
      </c>
      <c r="E317" s="61">
        <v>-3.5037817544341702E-3</v>
      </c>
      <c r="F317" s="61">
        <v>107</v>
      </c>
      <c r="G317" s="61">
        <v>5.4578746908385101E-2</v>
      </c>
      <c r="H317" s="66">
        <v>307</v>
      </c>
      <c r="I317" s="66" t="str">
        <f>H317&amp;"/"&amp;428</f>
        <v>307/428</v>
      </c>
      <c r="J317" s="68">
        <f>H317/428</f>
        <v>0.71728971962616828</v>
      </c>
      <c r="K317" s="18" t="s">
        <v>44</v>
      </c>
      <c r="L317" s="18" t="s">
        <v>87</v>
      </c>
      <c r="M317" s="58" t="s">
        <v>274</v>
      </c>
      <c r="N317" s="18">
        <f>[1]!f_prt_stocktonav(C317,"2017/03/31")</f>
        <v>84.75048828125</v>
      </c>
      <c r="O317" s="20" t="str">
        <f>[1]!f_info_fundmanager(C317)</f>
        <v>陈梁,国晓雯</v>
      </c>
      <c r="P317" s="21">
        <v>2.0520547945205481</v>
      </c>
      <c r="Q317" s="34" t="s">
        <v>2689</v>
      </c>
      <c r="R317" s="34" t="s">
        <v>2690</v>
      </c>
      <c r="S317" s="34" t="s">
        <v>85</v>
      </c>
      <c r="T317" s="34">
        <v>20100519</v>
      </c>
      <c r="U317" s="45">
        <v>14.672868381100001</v>
      </c>
      <c r="V317" s="46">
        <v>19.155432014599999</v>
      </c>
      <c r="W317" s="34" t="s">
        <v>3789</v>
      </c>
      <c r="X317" s="34" t="s">
        <v>44</v>
      </c>
      <c r="Y317" s="34" t="s">
        <v>45</v>
      </c>
      <c r="Z317" s="34" t="s">
        <v>274</v>
      </c>
      <c r="AA317" s="34"/>
      <c r="AB317" s="34"/>
      <c r="AC317" s="22">
        <v>0.82044563293457029</v>
      </c>
      <c r="AD317" s="23" t="s">
        <v>2691</v>
      </c>
      <c r="AE317" s="24">
        <v>1.821917808219178</v>
      </c>
      <c r="AF317" s="25">
        <v>0.10689340577717331</v>
      </c>
      <c r="AG317" s="26">
        <v>0.21653604626078238</v>
      </c>
      <c r="AH317" s="26">
        <v>0.18429226759520123</v>
      </c>
      <c r="AI317" s="27">
        <v>0.45379092889000605</v>
      </c>
      <c r="AJ317" s="27">
        <v>0.68466788724212435</v>
      </c>
      <c r="AK317" s="27">
        <v>0.665491289721451</v>
      </c>
      <c r="AL317" s="28" t="s">
        <v>726</v>
      </c>
      <c r="AM317" s="29">
        <v>5</v>
      </c>
      <c r="AN317" s="29">
        <v>4</v>
      </c>
      <c r="AO317" s="29" t="s">
        <v>48</v>
      </c>
      <c r="AP317" s="47" t="s">
        <v>310</v>
      </c>
      <c r="AQ317" s="28">
        <v>0</v>
      </c>
      <c r="AR317" s="26">
        <v>1.4999999999999999E-2</v>
      </c>
      <c r="AS317" s="26">
        <v>0</v>
      </c>
    </row>
    <row r="318" spans="1:45" x14ac:dyDescent="0.15">
      <c r="A318" s="64">
        <v>659</v>
      </c>
      <c r="B318" s="64">
        <v>255</v>
      </c>
      <c r="C318" s="11">
        <v>165508</v>
      </c>
      <c r="D318" s="61">
        <v>760</v>
      </c>
      <c r="E318" s="61">
        <v>-3.5212426490096298E-3</v>
      </c>
      <c r="F318" s="61">
        <v>96</v>
      </c>
      <c r="G318" s="61">
        <v>3.5549462780716502E-2</v>
      </c>
      <c r="H318" s="66">
        <v>308</v>
      </c>
      <c r="I318" s="66" t="str">
        <f>H318&amp;"/"&amp;428</f>
        <v>308/428</v>
      </c>
      <c r="J318" s="68">
        <f>H318/428</f>
        <v>0.71962616822429903</v>
      </c>
      <c r="K318" s="18" t="s">
        <v>44</v>
      </c>
      <c r="L318" s="18" t="s">
        <v>45</v>
      </c>
      <c r="M318" s="58" t="s">
        <v>274</v>
      </c>
      <c r="N318" s="18">
        <f>[1]!f_prt_stocktonav(C318,"2017/03/31")</f>
        <v>90.462966918945313</v>
      </c>
      <c r="O318" s="20" t="str">
        <f>[1]!f_info_fundmanager(C318)</f>
        <v>郑伟</v>
      </c>
      <c r="P318" s="21">
        <v>1.8410958904109589</v>
      </c>
      <c r="Q318" s="34" t="s">
        <v>2652</v>
      </c>
      <c r="R318" s="34" t="s">
        <v>2653</v>
      </c>
      <c r="S318" s="34" t="s">
        <v>456</v>
      </c>
      <c r="T318" s="34">
        <v>20100730</v>
      </c>
      <c r="U318" s="45">
        <v>0.76232231589999999</v>
      </c>
      <c r="V318" s="46">
        <v>0.8028436591</v>
      </c>
      <c r="W318" s="34" t="s">
        <v>201</v>
      </c>
      <c r="X318" s="34" t="s">
        <v>44</v>
      </c>
      <c r="Y318" s="34" t="s">
        <v>45</v>
      </c>
      <c r="Z318" s="34" t="s">
        <v>274</v>
      </c>
      <c r="AA318" s="34"/>
      <c r="AB318" s="34"/>
      <c r="AC318" s="22">
        <v>0.79410575866699218</v>
      </c>
      <c r="AD318" s="23" t="s">
        <v>2106</v>
      </c>
      <c r="AE318" s="24">
        <v>1.6109589041095891</v>
      </c>
      <c r="AF318" s="25">
        <v>8.7803012059972652E-2</v>
      </c>
      <c r="AG318" s="26">
        <v>0.14349528164413594</v>
      </c>
      <c r="AH318" s="26">
        <v>0.17107770071886819</v>
      </c>
      <c r="AI318" s="27">
        <v>0.38653435231586825</v>
      </c>
      <c r="AJ318" s="27">
        <v>0.49931167652233516</v>
      </c>
      <c r="AK318" s="27">
        <v>0.61314471741051113</v>
      </c>
      <c r="AL318" s="28" t="s">
        <v>2654</v>
      </c>
      <c r="AM318" s="29">
        <v>3</v>
      </c>
      <c r="AN318" s="29">
        <v>4</v>
      </c>
      <c r="AO318" s="29" t="s">
        <v>48</v>
      </c>
      <c r="AP318" s="47" t="s">
        <v>310</v>
      </c>
      <c r="AQ318" s="28">
        <v>0</v>
      </c>
      <c r="AR318" s="26">
        <v>1.4999999999999999E-2</v>
      </c>
      <c r="AS318" s="26">
        <v>0</v>
      </c>
    </row>
    <row r="319" spans="1:45" x14ac:dyDescent="0.15">
      <c r="A319" s="64">
        <v>135</v>
      </c>
      <c r="B319" s="64">
        <v>543</v>
      </c>
      <c r="C319" s="11">
        <v>1719</v>
      </c>
      <c r="D319" s="61">
        <v>761</v>
      </c>
      <c r="E319" s="61">
        <v>-3.5356835061744201E-3</v>
      </c>
      <c r="F319" s="61">
        <v>59</v>
      </c>
      <c r="G319" s="61">
        <v>0.13379314416921401</v>
      </c>
      <c r="H319" s="66">
        <v>309</v>
      </c>
      <c r="I319" s="66" t="str">
        <f>H319&amp;"/"&amp;428</f>
        <v>309/428</v>
      </c>
      <c r="J319" s="68">
        <f>H319/428</f>
        <v>0.7219626168224299</v>
      </c>
      <c r="K319" s="18" t="s">
        <v>44</v>
      </c>
      <c r="L319" s="18" t="s">
        <v>87</v>
      </c>
      <c r="M319" s="58" t="s">
        <v>274</v>
      </c>
      <c r="N319" s="18">
        <f>[1]!f_prt_stocktonav(C319,"2017/03/31")</f>
        <v>84.166488647460938</v>
      </c>
      <c r="O319" s="20" t="str">
        <f>[1]!f_info_fundmanager(C319)</f>
        <v>黄安乐</v>
      </c>
      <c r="P319" s="21">
        <v>1.1698630136986301</v>
      </c>
      <c r="Q319" s="34" t="s">
        <v>690</v>
      </c>
      <c r="R319" s="34" t="s">
        <v>691</v>
      </c>
      <c r="S319" s="34" t="s">
        <v>523</v>
      </c>
      <c r="T319" s="34">
        <v>20160129</v>
      </c>
      <c r="U319" s="45">
        <v>0.65866639890000001</v>
      </c>
      <c r="V319" s="46">
        <v>0.72284090739999995</v>
      </c>
      <c r="W319" s="34" t="s">
        <v>3776</v>
      </c>
      <c r="X319" s="34" t="s">
        <v>44</v>
      </c>
      <c r="Y319" s="34" t="s">
        <v>87</v>
      </c>
      <c r="Z319" s="34" t="s">
        <v>65</v>
      </c>
      <c r="AA319" s="34" t="s">
        <v>3787</v>
      </c>
      <c r="AB319" s="34"/>
      <c r="AC319" s="22">
        <v>0.91002548217773438</v>
      </c>
      <c r="AD319" s="23" t="s">
        <v>693</v>
      </c>
      <c r="AE319" s="24">
        <v>0.9397260273972603</v>
      </c>
      <c r="AF319" s="25">
        <v>-9.0397550992726838E-2</v>
      </c>
      <c r="AG319" s="26">
        <v>0</v>
      </c>
      <c r="AH319" s="26">
        <v>0</v>
      </c>
      <c r="AI319" s="27">
        <v>-0.60573884097182096</v>
      </c>
      <c r="AJ319" s="27">
        <v>-0.60573884097182096</v>
      </c>
      <c r="AK319" s="27">
        <v>-0.60573884097182096</v>
      </c>
      <c r="AL319" s="33" t="s">
        <v>694</v>
      </c>
      <c r="AM319" s="29" t="s">
        <v>48</v>
      </c>
      <c r="AN319" s="29" t="s">
        <v>48</v>
      </c>
      <c r="AO319" s="29" t="s">
        <v>48</v>
      </c>
      <c r="AP319" s="47" t="s">
        <v>255</v>
      </c>
      <c r="AQ319" s="28">
        <v>0</v>
      </c>
      <c r="AR319" s="26">
        <v>1.4999999999999999E-2</v>
      </c>
      <c r="AS319" s="26">
        <v>0</v>
      </c>
    </row>
    <row r="320" spans="1:45" x14ac:dyDescent="0.15">
      <c r="A320" s="64">
        <v>504</v>
      </c>
      <c r="B320" s="64">
        <v>242</v>
      </c>
      <c r="C320" s="11">
        <v>173</v>
      </c>
      <c r="D320" s="61">
        <v>762</v>
      </c>
      <c r="E320" s="61">
        <v>-3.5374709775884499E-3</v>
      </c>
      <c r="F320" s="61">
        <v>194</v>
      </c>
      <c r="G320" s="61">
        <v>1.71949006861618E-2</v>
      </c>
      <c r="H320" s="66">
        <v>310</v>
      </c>
      <c r="I320" s="66" t="str">
        <f>H320&amp;"/"&amp;428</f>
        <v>310/428</v>
      </c>
      <c r="J320" s="68">
        <f>H320/428</f>
        <v>0.72429906542056077</v>
      </c>
      <c r="K320" s="18" t="s">
        <v>44</v>
      </c>
      <c r="L320" s="18" t="s">
        <v>45</v>
      </c>
      <c r="M320" s="58" t="s">
        <v>274</v>
      </c>
      <c r="N320" s="18">
        <f>[1]!f_prt_stocktonav(C320,"2017/03/31")</f>
        <v>90.737518310546875</v>
      </c>
      <c r="O320" s="20" t="str">
        <f>[1]!f_info_fundmanager(C320)</f>
        <v>王栩</v>
      </c>
      <c r="P320" s="21">
        <v>3.7671232876712328</v>
      </c>
      <c r="Q320" s="34" t="s">
        <v>2114</v>
      </c>
      <c r="R320" s="34" t="s">
        <v>2115</v>
      </c>
      <c r="S320" s="34" t="s">
        <v>331</v>
      </c>
      <c r="T320" s="34">
        <v>20130625</v>
      </c>
      <c r="U320" s="45">
        <v>23.453653621400001</v>
      </c>
      <c r="V320" s="46">
        <v>26.317692449500001</v>
      </c>
      <c r="W320" s="34" t="s">
        <v>3776</v>
      </c>
      <c r="X320" s="34" t="s">
        <v>44</v>
      </c>
      <c r="Y320" s="34" t="s">
        <v>45</v>
      </c>
      <c r="Z320" s="34" t="s">
        <v>274</v>
      </c>
      <c r="AA320" s="34"/>
      <c r="AB320" s="34"/>
      <c r="AC320" s="22">
        <v>0.89010894775390625</v>
      </c>
      <c r="AD320" s="23" t="s">
        <v>2116</v>
      </c>
      <c r="AE320" s="24">
        <v>3.536986301369863</v>
      </c>
      <c r="AF320" s="25">
        <v>0.19223568936139568</v>
      </c>
      <c r="AG320" s="26">
        <v>0.20383056921811815</v>
      </c>
      <c r="AH320" s="26">
        <v>0</v>
      </c>
      <c r="AI320" s="27">
        <v>0.64475654499210366</v>
      </c>
      <c r="AJ320" s="27">
        <v>0.64221054716721993</v>
      </c>
      <c r="AK320" s="27">
        <v>0.64475654499210366</v>
      </c>
      <c r="AL320" s="28" t="s">
        <v>276</v>
      </c>
      <c r="AM320" s="29" t="s">
        <v>48</v>
      </c>
      <c r="AN320" s="29" t="s">
        <v>48</v>
      </c>
      <c r="AO320" s="29" t="s">
        <v>48</v>
      </c>
      <c r="AP320" s="47" t="s">
        <v>334</v>
      </c>
      <c r="AQ320" s="28">
        <v>0</v>
      </c>
      <c r="AR320" s="26">
        <v>1.4999999999999999E-2</v>
      </c>
      <c r="AS320" s="26">
        <v>0</v>
      </c>
    </row>
    <row r="321" spans="1:45" x14ac:dyDescent="0.15">
      <c r="A321" s="64">
        <v>443</v>
      </c>
      <c r="B321" s="64">
        <v>814</v>
      </c>
      <c r="C321" s="11">
        <v>519909</v>
      </c>
      <c r="D321" s="61">
        <v>763</v>
      </c>
      <c r="E321" s="61">
        <v>-3.53770427755049E-3</v>
      </c>
      <c r="F321" s="61">
        <v>109</v>
      </c>
      <c r="G321" s="61">
        <v>3.0237298800330301E-2</v>
      </c>
      <c r="H321" s="66">
        <v>311</v>
      </c>
      <c r="I321" s="66" t="str">
        <f>H321&amp;"/"&amp;428</f>
        <v>311/428</v>
      </c>
      <c r="J321" s="68">
        <f>H321/428</f>
        <v>0.72663551401869164</v>
      </c>
      <c r="K321" s="18" t="s">
        <v>44</v>
      </c>
      <c r="L321" s="18" t="s">
        <v>45</v>
      </c>
      <c r="M321" s="58" t="s">
        <v>274</v>
      </c>
      <c r="N321" s="18">
        <f>[1]!f_prt_stocktonav(C321,"2017/03/31")</f>
        <v>76.097984313964844</v>
      </c>
      <c r="O321" s="20" t="str">
        <f>[1]!f_info_fundmanager(C321)</f>
        <v>谢振东</v>
      </c>
      <c r="P321" s="21">
        <v>2.0821917808219177</v>
      </c>
      <c r="Q321" s="34" t="s">
        <v>1888</v>
      </c>
      <c r="R321" s="34" t="s">
        <v>1889</v>
      </c>
      <c r="S321" s="34" t="s">
        <v>63</v>
      </c>
      <c r="T321" s="34">
        <v>20140512</v>
      </c>
      <c r="U321" s="45">
        <v>6.3383929905</v>
      </c>
      <c r="V321" s="46">
        <v>6.4688959840000004</v>
      </c>
      <c r="W321" s="34" t="s">
        <v>3789</v>
      </c>
      <c r="X321" s="34" t="s">
        <v>44</v>
      </c>
      <c r="Y321" s="34" t="s">
        <v>45</v>
      </c>
      <c r="Z321" s="34" t="s">
        <v>274</v>
      </c>
      <c r="AA321" s="34"/>
      <c r="AB321" s="34"/>
      <c r="AC321" s="22">
        <v>0.8593331146240234</v>
      </c>
      <c r="AD321" s="23" t="s">
        <v>1890</v>
      </c>
      <c r="AE321" s="24">
        <v>1.8520547945205479</v>
      </c>
      <c r="AF321" s="25">
        <v>0.15316885110490497</v>
      </c>
      <c r="AG321" s="26">
        <v>0</v>
      </c>
      <c r="AH321" s="26">
        <v>0</v>
      </c>
      <c r="AI321" s="27">
        <v>0.59887048752911631</v>
      </c>
      <c r="AJ321" s="27">
        <v>0.59887048752911631</v>
      </c>
      <c r="AK321" s="27">
        <v>0.59887048752911631</v>
      </c>
      <c r="AL321" s="28" t="s">
        <v>602</v>
      </c>
      <c r="AM321" s="29">
        <v>5</v>
      </c>
      <c r="AN321" s="29">
        <v>5</v>
      </c>
      <c r="AO321" s="29" t="s">
        <v>48</v>
      </c>
      <c r="AP321" s="47" t="s">
        <v>1891</v>
      </c>
      <c r="AQ321" s="28">
        <v>0</v>
      </c>
      <c r="AR321" s="26">
        <v>1.4999999999999999E-2</v>
      </c>
      <c r="AS321" s="26">
        <v>0</v>
      </c>
    </row>
    <row r="322" spans="1:45" x14ac:dyDescent="0.15">
      <c r="A322" s="64">
        <v>374</v>
      </c>
      <c r="B322" s="64">
        <v>159</v>
      </c>
      <c r="C322" s="11">
        <v>940</v>
      </c>
      <c r="D322" s="61">
        <v>766</v>
      </c>
      <c r="E322" s="61">
        <v>-3.5453927018580201E-3</v>
      </c>
      <c r="F322" s="61">
        <v>112</v>
      </c>
      <c r="G322" s="61">
        <v>9.3956972983555195E-2</v>
      </c>
      <c r="H322" s="66">
        <v>312</v>
      </c>
      <c r="I322" s="66" t="str">
        <f>H322&amp;"/"&amp;428</f>
        <v>312/428</v>
      </c>
      <c r="J322" s="68">
        <f>H322/428</f>
        <v>0.7289719626168224</v>
      </c>
      <c r="K322" s="18" t="s">
        <v>44</v>
      </c>
      <c r="L322" s="18" t="s">
        <v>45</v>
      </c>
      <c r="M322" s="58" t="s">
        <v>274</v>
      </c>
      <c r="N322" s="18">
        <f>[1]!f_prt_stocktonav(C322,"2017/03/31")</f>
        <v>92.5892333984375</v>
      </c>
      <c r="O322" s="20" t="str">
        <f>[1]!f_info_fundmanager(C322)</f>
        <v>曹晋</v>
      </c>
      <c r="P322" s="21">
        <v>2.1863013698630138</v>
      </c>
      <c r="Q322" s="34" t="s">
        <v>1632</v>
      </c>
      <c r="R322" s="34" t="s">
        <v>1633</v>
      </c>
      <c r="S322" s="34" t="s">
        <v>396</v>
      </c>
      <c r="T322" s="34">
        <v>20150123</v>
      </c>
      <c r="U322" s="45">
        <v>9.8745481780999995</v>
      </c>
      <c r="V322" s="46">
        <v>13.24548555</v>
      </c>
      <c r="W322" s="34" t="s">
        <v>201</v>
      </c>
      <c r="X322" s="34" t="s">
        <v>44</v>
      </c>
      <c r="Y322" s="34" t="s">
        <v>45</v>
      </c>
      <c r="Z322" s="34" t="s">
        <v>274</v>
      </c>
      <c r="AA322" s="34"/>
      <c r="AB322" s="34"/>
      <c r="AC322" s="22">
        <v>0.90555633544921876</v>
      </c>
      <c r="AD322" s="23" t="s">
        <v>1634</v>
      </c>
      <c r="AE322" s="24">
        <v>1.9561643835616438</v>
      </c>
      <c r="AF322" s="25">
        <v>4.3881778396288151E-2</v>
      </c>
      <c r="AG322" s="26">
        <v>0</v>
      </c>
      <c r="AH322" s="26">
        <v>0</v>
      </c>
      <c r="AI322" s="27">
        <v>0.27180832411593725</v>
      </c>
      <c r="AJ322" s="27">
        <v>0.27180832411593725</v>
      </c>
      <c r="AK322" s="27">
        <v>0.27180832411593725</v>
      </c>
      <c r="AL322" s="28" t="s">
        <v>1635</v>
      </c>
      <c r="AM322" s="29" t="s">
        <v>48</v>
      </c>
      <c r="AN322" s="29" t="s">
        <v>48</v>
      </c>
      <c r="AO322" s="29" t="s">
        <v>48</v>
      </c>
      <c r="AP322" s="47" t="s">
        <v>1636</v>
      </c>
      <c r="AQ322" s="28" t="s">
        <v>608</v>
      </c>
      <c r="AR322" s="26">
        <v>1.4999999999999999E-2</v>
      </c>
      <c r="AS322" s="26">
        <v>0</v>
      </c>
    </row>
    <row r="323" spans="1:45" x14ac:dyDescent="0.15">
      <c r="A323" s="64">
        <v>884</v>
      </c>
      <c r="B323" s="64">
        <v>862</v>
      </c>
      <c r="C323" s="11">
        <v>420001</v>
      </c>
      <c r="D323" s="61">
        <v>768</v>
      </c>
      <c r="E323" s="61">
        <v>-3.5841575254964E-3</v>
      </c>
      <c r="F323" s="61">
        <v>219</v>
      </c>
      <c r="G323" s="61">
        <v>2.0149205065893199E-4</v>
      </c>
      <c r="H323" s="66">
        <v>313</v>
      </c>
      <c r="I323" s="66" t="str">
        <f>H323&amp;"/"&amp;428</f>
        <v>313/428</v>
      </c>
      <c r="J323" s="68">
        <f>H323/428</f>
        <v>0.73130841121495327</v>
      </c>
      <c r="K323" s="18" t="s">
        <v>44</v>
      </c>
      <c r="L323" s="18" t="s">
        <v>45</v>
      </c>
      <c r="M323" s="58" t="s">
        <v>274</v>
      </c>
      <c r="N323" s="18">
        <f>[1]!f_prt_stocktonav(C323,"2017/03/31")</f>
        <v>74.017120361328125</v>
      </c>
      <c r="O323" s="20" t="str">
        <f>[1]!f_info_fundmanager(C323)</f>
        <v>钱文成,程桯,姜晓丽</v>
      </c>
      <c r="P323" s="21">
        <v>4.2054794520547949</v>
      </c>
      <c r="Q323" s="34" t="s">
        <v>3433</v>
      </c>
      <c r="R323" s="34" t="s">
        <v>3434</v>
      </c>
      <c r="S323" s="34" t="s">
        <v>1215</v>
      </c>
      <c r="T323" s="34">
        <v>20051008</v>
      </c>
      <c r="U323" s="45">
        <v>12.753056838399999</v>
      </c>
      <c r="V323" s="46">
        <v>14.458922615600001</v>
      </c>
      <c r="W323" s="34" t="s">
        <v>231</v>
      </c>
      <c r="X323" s="34" t="s">
        <v>44</v>
      </c>
      <c r="Y323" s="34" t="s">
        <v>45</v>
      </c>
      <c r="Z323" s="34" t="s">
        <v>274</v>
      </c>
      <c r="AA323" s="34"/>
      <c r="AB323" s="34"/>
      <c r="AC323" s="22">
        <v>0.72397956848144529</v>
      </c>
      <c r="AD323" s="23" t="s">
        <v>3435</v>
      </c>
      <c r="AE323" s="24">
        <v>3.9753424657534246</v>
      </c>
      <c r="AF323" s="25">
        <v>6.281883603868188E-2</v>
      </c>
      <c r="AG323" s="26">
        <v>9.452029879362378E-2</v>
      </c>
      <c r="AH323" s="26">
        <v>3.3185448334051681E-2</v>
      </c>
      <c r="AI323" s="27">
        <v>0.30977018172453841</v>
      </c>
      <c r="AJ323" s="27">
        <v>0.39835817684928398</v>
      </c>
      <c r="AK323" s="27">
        <v>0.19912121498606355</v>
      </c>
      <c r="AL323" s="28" t="s">
        <v>3436</v>
      </c>
      <c r="AM323" s="29">
        <v>1</v>
      </c>
      <c r="AN323" s="29">
        <v>2</v>
      </c>
      <c r="AO323" s="29" t="s">
        <v>48</v>
      </c>
      <c r="AP323" s="47" t="s">
        <v>3437</v>
      </c>
      <c r="AQ323" s="28">
        <v>0</v>
      </c>
      <c r="AR323" s="26">
        <v>1.4999999999999999E-2</v>
      </c>
      <c r="AS323" s="26">
        <v>0</v>
      </c>
    </row>
    <row r="324" spans="1:45" x14ac:dyDescent="0.15">
      <c r="A324" s="64">
        <v>449</v>
      </c>
      <c r="B324" s="64">
        <v>136</v>
      </c>
      <c r="C324" s="11">
        <v>586</v>
      </c>
      <c r="D324" s="61">
        <v>771</v>
      </c>
      <c r="E324" s="61">
        <v>-3.5923915268050799E-3</v>
      </c>
      <c r="F324" s="61">
        <v>109</v>
      </c>
      <c r="G324" s="61">
        <v>4.0670184412106E-2</v>
      </c>
      <c r="H324" s="66">
        <v>314</v>
      </c>
      <c r="I324" s="66" t="str">
        <f>H324&amp;"/"&amp;428</f>
        <v>314/428</v>
      </c>
      <c r="J324" s="68">
        <f>H324/428</f>
        <v>0.73364485981308414</v>
      </c>
      <c r="K324" s="18" t="s">
        <v>44</v>
      </c>
      <c r="L324" s="18" t="s">
        <v>45</v>
      </c>
      <c r="M324" s="58" t="s">
        <v>274</v>
      </c>
      <c r="N324" s="18">
        <f>[1]!f_prt_stocktonav(C324,"2017/03/31")</f>
        <v>92.978775024414063</v>
      </c>
      <c r="O324" s="20" t="str">
        <f>[1]!f_info_fundmanager(C324)</f>
        <v>李孟海</v>
      </c>
      <c r="P324" s="21">
        <v>2.0794520547945203</v>
      </c>
      <c r="Q324" s="34" t="s">
        <v>1915</v>
      </c>
      <c r="R324" s="34" t="s">
        <v>1916</v>
      </c>
      <c r="S324" s="34" t="s">
        <v>353</v>
      </c>
      <c r="T324" s="34">
        <v>20140430</v>
      </c>
      <c r="U324" s="45">
        <v>6.7432423807999999</v>
      </c>
      <c r="V324" s="46">
        <v>7.6290850973</v>
      </c>
      <c r="W324" s="34" t="s">
        <v>3776</v>
      </c>
      <c r="X324" s="34" t="s">
        <v>44</v>
      </c>
      <c r="Y324" s="34" t="s">
        <v>45</v>
      </c>
      <c r="Z324" s="34" t="s">
        <v>274</v>
      </c>
      <c r="AA324" s="34"/>
      <c r="AB324" s="34"/>
      <c r="AC324" s="22">
        <v>0.91335113525390621</v>
      </c>
      <c r="AD324" s="23" t="s">
        <v>596</v>
      </c>
      <c r="AE324" s="24">
        <v>1.8493150684931507</v>
      </c>
      <c r="AF324" s="25">
        <v>0.21898552885169309</v>
      </c>
      <c r="AG324" s="26">
        <v>0</v>
      </c>
      <c r="AH324" s="26">
        <v>0</v>
      </c>
      <c r="AI324" s="27">
        <v>0.66177270900764462</v>
      </c>
      <c r="AJ324" s="27">
        <v>0.66177270900764462</v>
      </c>
      <c r="AK324" s="27">
        <v>0.66177270900764462</v>
      </c>
      <c r="AL324" s="28" t="s">
        <v>1917</v>
      </c>
      <c r="AM324" s="29" t="s">
        <v>48</v>
      </c>
      <c r="AN324" s="29" t="s">
        <v>48</v>
      </c>
      <c r="AO324" s="29" t="s">
        <v>48</v>
      </c>
      <c r="AP324" s="47" t="s">
        <v>1918</v>
      </c>
      <c r="AQ324" s="28">
        <v>0</v>
      </c>
      <c r="AR324" s="26">
        <v>1.4999999999999999E-2</v>
      </c>
      <c r="AS324" s="26">
        <v>0</v>
      </c>
    </row>
    <row r="325" spans="1:45" x14ac:dyDescent="0.15">
      <c r="A325" s="64">
        <v>646</v>
      </c>
      <c r="B325" s="64">
        <v>836</v>
      </c>
      <c r="C325" s="11">
        <v>240017</v>
      </c>
      <c r="D325" s="61">
        <v>773</v>
      </c>
      <c r="E325" s="61">
        <v>-3.6256176284958199E-3</v>
      </c>
      <c r="F325" s="61">
        <v>103</v>
      </c>
      <c r="G325" s="61">
        <v>5.6092263152970702E-2</v>
      </c>
      <c r="H325" s="66">
        <v>315</v>
      </c>
      <c r="I325" s="66" t="str">
        <f>H325&amp;"/"&amp;428</f>
        <v>315/428</v>
      </c>
      <c r="J325" s="68">
        <f>H325/428</f>
        <v>0.73598130841121501</v>
      </c>
      <c r="K325" s="18" t="s">
        <v>44</v>
      </c>
      <c r="L325" s="18" t="s">
        <v>87</v>
      </c>
      <c r="M325" s="58" t="s">
        <v>274</v>
      </c>
      <c r="N325" s="18">
        <f>[1]!f_prt_stocktonav(C325,"2017/03/31")</f>
        <v>75.430152893066406</v>
      </c>
      <c r="O325" s="20" t="str">
        <f>[1]!f_info_fundmanager(C325)</f>
        <v>易镜明</v>
      </c>
      <c r="P325" s="21">
        <v>1.978082191780822</v>
      </c>
      <c r="Q325" s="34" t="s">
        <v>2608</v>
      </c>
      <c r="R325" s="34" t="s">
        <v>2609</v>
      </c>
      <c r="S325" s="34" t="s">
        <v>737</v>
      </c>
      <c r="T325" s="34">
        <v>20101207</v>
      </c>
      <c r="U325" s="45">
        <v>6.9942340106999996</v>
      </c>
      <c r="V325" s="46">
        <v>7.6444675906999997</v>
      </c>
      <c r="W325" s="34" t="s">
        <v>3776</v>
      </c>
      <c r="X325" s="34" t="s">
        <v>44</v>
      </c>
      <c r="Y325" s="34" t="s">
        <v>45</v>
      </c>
      <c r="Z325" s="34" t="s">
        <v>274</v>
      </c>
      <c r="AA325" s="34"/>
      <c r="AB325" s="34"/>
      <c r="AC325" s="22">
        <v>0.79597976684570315</v>
      </c>
      <c r="AD325" s="23" t="s">
        <v>2610</v>
      </c>
      <c r="AE325" s="24">
        <v>1.747945205479452</v>
      </c>
      <c r="AF325" s="25">
        <v>0.12468941303714232</v>
      </c>
      <c r="AG325" s="26">
        <v>0.11733332519551087</v>
      </c>
      <c r="AH325" s="26">
        <v>0.21861271749294844</v>
      </c>
      <c r="AI325" s="27">
        <v>0.50934419464206404</v>
      </c>
      <c r="AJ325" s="27">
        <v>0.43585240068018155</v>
      </c>
      <c r="AK325" s="27">
        <v>0.76954200040251419</v>
      </c>
      <c r="AL325" s="28" t="s">
        <v>2307</v>
      </c>
      <c r="AM325" s="29">
        <v>5</v>
      </c>
      <c r="AN325" s="29">
        <v>3</v>
      </c>
      <c r="AO325" s="29" t="s">
        <v>48</v>
      </c>
      <c r="AP325" s="47" t="s">
        <v>739</v>
      </c>
      <c r="AQ325" s="28">
        <v>0</v>
      </c>
      <c r="AR325" s="26">
        <v>1.4999999999999999E-2</v>
      </c>
      <c r="AS325" s="26">
        <v>0</v>
      </c>
    </row>
    <row r="326" spans="1:45" x14ac:dyDescent="0.15">
      <c r="A326" s="64">
        <v>310</v>
      </c>
      <c r="B326" s="64">
        <v>744</v>
      </c>
      <c r="C326" s="11">
        <v>1192</v>
      </c>
      <c r="D326" s="61">
        <v>776</v>
      </c>
      <c r="E326" s="61">
        <v>-3.63455148297092E-3</v>
      </c>
      <c r="F326" s="61">
        <v>80</v>
      </c>
      <c r="G326" s="61">
        <v>2.8175342474614298E-2</v>
      </c>
      <c r="H326" s="66">
        <v>316</v>
      </c>
      <c r="I326" s="66" t="str">
        <f>H326&amp;"/"&amp;428</f>
        <v>316/428</v>
      </c>
      <c r="J326" s="68">
        <f>H326/428</f>
        <v>0.73831775700934577</v>
      </c>
      <c r="K326" s="18" t="s">
        <v>44</v>
      </c>
      <c r="L326" s="19" t="s">
        <v>45</v>
      </c>
      <c r="M326" s="59" t="s">
        <v>274</v>
      </c>
      <c r="N326" s="18">
        <f>[1]!f_prt_stocktonav(C326,"2017/03/31")</f>
        <v>78.491928100585938</v>
      </c>
      <c r="O326" s="20" t="str">
        <f>[1]!f_info_fundmanager(C326)</f>
        <v>赵艰申,征茂平</v>
      </c>
      <c r="P326" s="21">
        <v>1.5342465753424657</v>
      </c>
      <c r="Q326" s="32" t="s">
        <v>1400</v>
      </c>
      <c r="R326" s="13" t="s">
        <v>1401</v>
      </c>
      <c r="S326" s="13" t="s">
        <v>511</v>
      </c>
      <c r="T326" s="13">
        <v>20150423</v>
      </c>
      <c r="U326" s="14">
        <v>14.755727521100001</v>
      </c>
      <c r="V326" s="15" t="s">
        <v>3782</v>
      </c>
      <c r="W326" s="16" t="s">
        <v>40</v>
      </c>
      <c r="X326" s="17" t="s">
        <v>44</v>
      </c>
      <c r="Y326" s="17" t="s">
        <v>45</v>
      </c>
      <c r="Z326" s="17" t="s">
        <v>274</v>
      </c>
      <c r="AA326" s="13"/>
      <c r="AB326" s="13"/>
      <c r="AC326" s="22">
        <v>0.87415252685546874</v>
      </c>
      <c r="AD326" s="23" t="s">
        <v>1402</v>
      </c>
      <c r="AE326" s="24">
        <v>1.3041095890410959</v>
      </c>
      <c r="AF326" s="25">
        <v>-0.23777153475264379</v>
      </c>
      <c r="AG326" s="26">
        <v>0</v>
      </c>
      <c r="AH326" s="26">
        <v>0</v>
      </c>
      <c r="AI326" s="27">
        <v>-0.47531998156408506</v>
      </c>
      <c r="AJ326" s="27">
        <v>-0.47531998156408506</v>
      </c>
      <c r="AK326" s="27">
        <v>-0.47531998156408506</v>
      </c>
      <c r="AL326" s="28" t="s">
        <v>513</v>
      </c>
      <c r="AM326" s="29" t="s">
        <v>48</v>
      </c>
      <c r="AN326" s="29" t="s">
        <v>48</v>
      </c>
      <c r="AO326" s="29" t="s">
        <v>48</v>
      </c>
      <c r="AP326" s="23" t="s">
        <v>1403</v>
      </c>
      <c r="AQ326" s="30">
        <v>0</v>
      </c>
      <c r="AR326" s="31">
        <v>1.4999999999999999E-2</v>
      </c>
      <c r="AS326" s="31">
        <v>0</v>
      </c>
    </row>
    <row r="327" spans="1:45" x14ac:dyDescent="0.15">
      <c r="A327" s="64">
        <v>405</v>
      </c>
      <c r="B327" s="64">
        <v>694</v>
      </c>
      <c r="C327" s="11">
        <v>805</v>
      </c>
      <c r="D327" s="61">
        <v>777</v>
      </c>
      <c r="E327" s="61">
        <v>-3.6573543689370799E-3</v>
      </c>
      <c r="F327" s="61">
        <v>128</v>
      </c>
      <c r="G327" s="61">
        <v>9.2401913944752806E-2</v>
      </c>
      <c r="H327" s="66">
        <v>317</v>
      </c>
      <c r="I327" s="66" t="str">
        <f>H327&amp;"/"&amp;428</f>
        <v>317/428</v>
      </c>
      <c r="J327" s="68">
        <f>H327/428</f>
        <v>0.74065420560747663</v>
      </c>
      <c r="K327" s="18" t="s">
        <v>44</v>
      </c>
      <c r="L327" s="18" t="s">
        <v>45</v>
      </c>
      <c r="M327" s="58" t="s">
        <v>274</v>
      </c>
      <c r="N327" s="18">
        <f>[1]!f_prt_stocktonav(C327,"2017/03/31")</f>
        <v>80.1396484375</v>
      </c>
      <c r="O327" s="20" t="str">
        <f>[1]!f_info_fundmanager(C327)</f>
        <v>史彬</v>
      </c>
      <c r="P327" s="21">
        <v>2.5013698630136987</v>
      </c>
      <c r="Q327" s="34" t="s">
        <v>1752</v>
      </c>
      <c r="R327" s="34" t="s">
        <v>1753</v>
      </c>
      <c r="S327" s="34" t="s">
        <v>71</v>
      </c>
      <c r="T327" s="34">
        <v>20140930</v>
      </c>
      <c r="U327" s="45">
        <v>9.8140075229000008</v>
      </c>
      <c r="V327" s="46">
        <v>10.743801127399999</v>
      </c>
      <c r="W327" s="34" t="s">
        <v>3776</v>
      </c>
      <c r="X327" s="34" t="s">
        <v>44</v>
      </c>
      <c r="Y327" s="34" t="s">
        <v>45</v>
      </c>
      <c r="Z327" s="34" t="s">
        <v>274</v>
      </c>
      <c r="AA327" s="34"/>
      <c r="AB327" s="34"/>
      <c r="AC327" s="22">
        <v>0.89586013793945307</v>
      </c>
      <c r="AD327" s="23" t="s">
        <v>1550</v>
      </c>
      <c r="AE327" s="24">
        <v>2.2712328767123289</v>
      </c>
      <c r="AF327" s="25">
        <v>0.12858205669449063</v>
      </c>
      <c r="AG327" s="26">
        <v>0</v>
      </c>
      <c r="AH327" s="26">
        <v>0</v>
      </c>
      <c r="AI327" s="27">
        <v>0.47126840987572177</v>
      </c>
      <c r="AJ327" s="27">
        <v>0.47126840987572177</v>
      </c>
      <c r="AK327" s="27">
        <v>0.47126840987572177</v>
      </c>
      <c r="AL327" s="28" t="s">
        <v>409</v>
      </c>
      <c r="AM327" s="29" t="s">
        <v>48</v>
      </c>
      <c r="AN327" s="29" t="s">
        <v>48</v>
      </c>
      <c r="AO327" s="29" t="s">
        <v>48</v>
      </c>
      <c r="AP327" s="47" t="s">
        <v>845</v>
      </c>
      <c r="AQ327" s="28">
        <v>0</v>
      </c>
      <c r="AR327" s="26">
        <v>1.4999999999999999E-2</v>
      </c>
      <c r="AS327" s="26">
        <v>0</v>
      </c>
    </row>
    <row r="328" spans="1:45" x14ac:dyDescent="0.15">
      <c r="A328" s="64">
        <v>507</v>
      </c>
      <c r="B328" s="64">
        <v>820</v>
      </c>
      <c r="C328" s="11">
        <v>120</v>
      </c>
      <c r="D328" s="61">
        <v>780</v>
      </c>
      <c r="E328" s="61">
        <v>-3.7014136297263199E-3</v>
      </c>
      <c r="F328" s="61">
        <v>111</v>
      </c>
      <c r="G328" s="61">
        <v>4.3859672348421898E-2</v>
      </c>
      <c r="H328" s="66">
        <v>318</v>
      </c>
      <c r="I328" s="66" t="str">
        <f>H328&amp;"/"&amp;428</f>
        <v>318/428</v>
      </c>
      <c r="J328" s="68">
        <f>H328/428</f>
        <v>0.7429906542056075</v>
      </c>
      <c r="K328" s="18" t="s">
        <v>44</v>
      </c>
      <c r="L328" s="18" t="s">
        <v>45</v>
      </c>
      <c r="M328" s="58" t="s">
        <v>274</v>
      </c>
      <c r="N328" s="18">
        <f>[1]!f_prt_stocktonav(C328,"2017/03/31")</f>
        <v>75.875511169433594</v>
      </c>
      <c r="O328" s="20" t="str">
        <f>[1]!f_info_fundmanager(C328)</f>
        <v>王伟,严菲</v>
      </c>
      <c r="P328" s="21">
        <v>2.1342465753424658</v>
      </c>
      <c r="Q328" s="34" t="s">
        <v>2123</v>
      </c>
      <c r="R328" s="34" t="s">
        <v>2124</v>
      </c>
      <c r="S328" s="34" t="s">
        <v>71</v>
      </c>
      <c r="T328" s="34">
        <v>20130607</v>
      </c>
      <c r="U328" s="45">
        <v>0.49054005080000002</v>
      </c>
      <c r="V328" s="46">
        <v>0.49614829700000002</v>
      </c>
      <c r="W328" s="34" t="s">
        <v>3776</v>
      </c>
      <c r="X328" s="34" t="s">
        <v>44</v>
      </c>
      <c r="Y328" s="34" t="s">
        <v>45</v>
      </c>
      <c r="Z328" s="34" t="s">
        <v>274</v>
      </c>
      <c r="AA328" s="34"/>
      <c r="AB328" s="34"/>
      <c r="AC328" s="22">
        <v>0.78093078613281253</v>
      </c>
      <c r="AD328" s="23" t="s">
        <v>2125</v>
      </c>
      <c r="AE328" s="24">
        <v>1.904109589041096</v>
      </c>
      <c r="AF328" s="25">
        <v>6.8941347366622496E-2</v>
      </c>
      <c r="AG328" s="26">
        <v>7.7270792155275103E-2</v>
      </c>
      <c r="AH328" s="26">
        <v>0</v>
      </c>
      <c r="AI328" s="27">
        <v>0.32752111537666473</v>
      </c>
      <c r="AJ328" s="27">
        <v>0.33119517800055748</v>
      </c>
      <c r="AK328" s="27">
        <v>0.32752111537666473</v>
      </c>
      <c r="AL328" s="28" t="s">
        <v>167</v>
      </c>
      <c r="AM328" s="29" t="s">
        <v>48</v>
      </c>
      <c r="AN328" s="29" t="s">
        <v>48</v>
      </c>
      <c r="AO328" s="29" t="s">
        <v>48</v>
      </c>
      <c r="AP328" s="47" t="s">
        <v>845</v>
      </c>
      <c r="AQ328" s="28">
        <v>0</v>
      </c>
      <c r="AR328" s="26">
        <v>1.4999999999999999E-2</v>
      </c>
      <c r="AS328" s="26">
        <v>0</v>
      </c>
    </row>
    <row r="329" spans="1:45" x14ac:dyDescent="0.15">
      <c r="A329" s="64">
        <v>695</v>
      </c>
      <c r="B329" s="64">
        <v>201</v>
      </c>
      <c r="C329" s="11">
        <v>61</v>
      </c>
      <c r="D329" s="61">
        <v>782</v>
      </c>
      <c r="E329" s="61">
        <v>-3.7038229733401202E-3</v>
      </c>
      <c r="F329" s="61">
        <v>90</v>
      </c>
      <c r="G329" s="61">
        <v>2.5449948277554899E-2</v>
      </c>
      <c r="H329" s="66">
        <v>319</v>
      </c>
      <c r="I329" s="66" t="str">
        <f>H329&amp;"/"&amp;428</f>
        <v>319/428</v>
      </c>
      <c r="J329" s="68">
        <f>H329/428</f>
        <v>0.74532710280373837</v>
      </c>
      <c r="K329" s="18" t="s">
        <v>44</v>
      </c>
      <c r="L329" s="18" t="s">
        <v>45</v>
      </c>
      <c r="M329" s="58" t="s">
        <v>274</v>
      </c>
      <c r="N329" s="18">
        <f>[1]!f_prt_stocktonav(C329,"2017/03/31")</f>
        <v>91.785621643066406</v>
      </c>
      <c r="O329" s="20" t="str">
        <f>[1]!f_info_fundmanager(C329)</f>
        <v>代瑞亮</v>
      </c>
      <c r="P329" s="21">
        <v>1.7287671232876711</v>
      </c>
      <c r="Q329" s="34" t="s">
        <v>2766</v>
      </c>
      <c r="R329" s="34" t="s">
        <v>2767</v>
      </c>
      <c r="S329" s="34" t="s">
        <v>143</v>
      </c>
      <c r="T329" s="34">
        <v>20091211</v>
      </c>
      <c r="U329" s="45">
        <v>19.5708314876</v>
      </c>
      <c r="V329" s="46">
        <v>20.014213559800002</v>
      </c>
      <c r="W329" s="34" t="s">
        <v>3776</v>
      </c>
      <c r="X329" s="34" t="s">
        <v>44</v>
      </c>
      <c r="Y329" s="34" t="s">
        <v>45</v>
      </c>
      <c r="Z329" s="34" t="s">
        <v>274</v>
      </c>
      <c r="AA329" s="34"/>
      <c r="AB329" s="34"/>
      <c r="AC329" s="22">
        <v>0.88960174560546879</v>
      </c>
      <c r="AD329" s="23" t="s">
        <v>471</v>
      </c>
      <c r="AE329" s="24">
        <v>1.4986301369863013</v>
      </c>
      <c r="AF329" s="25">
        <v>5.8419824280413479E-3</v>
      </c>
      <c r="AG329" s="26">
        <v>0.11833130492720345</v>
      </c>
      <c r="AH329" s="26">
        <v>8.847051424220688E-2</v>
      </c>
      <c r="AI329" s="27">
        <v>0.10349747816669343</v>
      </c>
      <c r="AJ329" s="27">
        <v>0.4538731600965662</v>
      </c>
      <c r="AK329" s="27">
        <v>0.38737756082284752</v>
      </c>
      <c r="AL329" s="28" t="s">
        <v>726</v>
      </c>
      <c r="AM329" s="29">
        <v>1</v>
      </c>
      <c r="AN329" s="29">
        <v>2</v>
      </c>
      <c r="AO329" s="29" t="s">
        <v>48</v>
      </c>
      <c r="AP329" s="47" t="s">
        <v>592</v>
      </c>
      <c r="AQ329" s="28">
        <v>0</v>
      </c>
      <c r="AR329" s="26">
        <v>1.4999999999999999E-2</v>
      </c>
      <c r="AS329" s="26">
        <v>0</v>
      </c>
    </row>
    <row r="330" spans="1:45" x14ac:dyDescent="0.15">
      <c r="A330" s="64">
        <v>361</v>
      </c>
      <c r="B330" s="64">
        <v>405</v>
      </c>
      <c r="C330" s="11">
        <v>967</v>
      </c>
      <c r="D330" s="61">
        <v>783</v>
      </c>
      <c r="E330" s="61">
        <v>-3.71737653155284E-3</v>
      </c>
      <c r="F330" s="61">
        <v>110</v>
      </c>
      <c r="G330" s="61">
        <v>6.3312316322379894E-2</v>
      </c>
      <c r="H330" s="66">
        <v>320</v>
      </c>
      <c r="I330" s="66" t="str">
        <f>H330&amp;"/"&amp;428</f>
        <v>320/428</v>
      </c>
      <c r="J330" s="68">
        <f>H330/428</f>
        <v>0.74766355140186913</v>
      </c>
      <c r="K330" s="18" t="s">
        <v>44</v>
      </c>
      <c r="L330" s="18" t="s">
        <v>87</v>
      </c>
      <c r="M330" s="58" t="s">
        <v>274</v>
      </c>
      <c r="N330" s="18">
        <f>[1]!f_prt_stocktonav(C330,"2017/03/31")</f>
        <v>87.470832824707031</v>
      </c>
      <c r="O330" s="20" t="str">
        <f>[1]!f_info_fundmanager(C330)</f>
        <v>张慧</v>
      </c>
      <c r="P330" s="21">
        <v>2.1479452054794521</v>
      </c>
      <c r="Q330" s="34" t="s">
        <v>1587</v>
      </c>
      <c r="R330" s="34" t="s">
        <v>1588</v>
      </c>
      <c r="S330" s="34" t="s">
        <v>880</v>
      </c>
      <c r="T330" s="34">
        <v>20150206</v>
      </c>
      <c r="U330" s="45">
        <v>1.6236242685</v>
      </c>
      <c r="V330" s="46">
        <v>1.7892766192</v>
      </c>
      <c r="W330" s="34" t="s">
        <v>3776</v>
      </c>
      <c r="X330" s="34" t="s">
        <v>44</v>
      </c>
      <c r="Y330" s="34" t="s">
        <v>45</v>
      </c>
      <c r="Z330" s="34" t="s">
        <v>274</v>
      </c>
      <c r="AA330" s="34"/>
      <c r="AB330" s="34"/>
      <c r="AC330" s="22">
        <v>0.88727157592773442</v>
      </c>
      <c r="AD330" s="23" t="s">
        <v>1589</v>
      </c>
      <c r="AE330" s="24">
        <v>1.9178082191780821</v>
      </c>
      <c r="AF330" s="25">
        <v>4.5794362950931422E-2</v>
      </c>
      <c r="AG330" s="26">
        <v>0</v>
      </c>
      <c r="AH330" s="26">
        <v>0</v>
      </c>
      <c r="AI330" s="27">
        <v>0.26863572620883797</v>
      </c>
      <c r="AJ330" s="27">
        <v>0.26863572620883797</v>
      </c>
      <c r="AK330" s="27">
        <v>0.26863572620883797</v>
      </c>
      <c r="AL330" s="28" t="s">
        <v>1590</v>
      </c>
      <c r="AM330" s="29" t="s">
        <v>48</v>
      </c>
      <c r="AN330" s="29" t="s">
        <v>48</v>
      </c>
      <c r="AO330" s="29" t="s">
        <v>48</v>
      </c>
      <c r="AP330" s="47" t="s">
        <v>405</v>
      </c>
      <c r="AQ330" s="28">
        <v>0</v>
      </c>
      <c r="AR330" s="26">
        <v>1.4999999999999999E-2</v>
      </c>
      <c r="AS330" s="26">
        <v>0</v>
      </c>
    </row>
    <row r="331" spans="1:45" x14ac:dyDescent="0.15">
      <c r="A331" s="64">
        <v>755</v>
      </c>
      <c r="B331" s="64">
        <v>636</v>
      </c>
      <c r="C331" s="11">
        <v>240011</v>
      </c>
      <c r="D331" s="61">
        <v>787</v>
      </c>
      <c r="E331" s="61">
        <v>-3.77692709225957E-3</v>
      </c>
      <c r="F331" s="61">
        <v>127</v>
      </c>
      <c r="G331" s="61">
        <v>5.41700126180237E-3</v>
      </c>
      <c r="H331" s="66">
        <v>321</v>
      </c>
      <c r="I331" s="66" t="str">
        <f>H331&amp;"/"&amp;428</f>
        <v>321/428</v>
      </c>
      <c r="J331" s="68">
        <f>H331/428</f>
        <v>0.75</v>
      </c>
      <c r="K331" s="18" t="s">
        <v>44</v>
      </c>
      <c r="L331" s="18" t="s">
        <v>45</v>
      </c>
      <c r="M331" s="58" t="s">
        <v>274</v>
      </c>
      <c r="N331" s="18">
        <f>[1]!f_prt_stocktonav(C331,"2017/03/31")</f>
        <v>81.943153381347656</v>
      </c>
      <c r="O331" s="20" t="str">
        <f>[1]!f_info_fundmanager(C331)</f>
        <v>夏林锋</v>
      </c>
      <c r="P331" s="21">
        <v>2.441095890410959</v>
      </c>
      <c r="Q331" s="34" t="s">
        <v>2967</v>
      </c>
      <c r="R331" s="34" t="s">
        <v>2968</v>
      </c>
      <c r="S331" s="34" t="s">
        <v>737</v>
      </c>
      <c r="T331" s="34">
        <v>20081007</v>
      </c>
      <c r="U331" s="45">
        <v>0.93656120129999998</v>
      </c>
      <c r="V331" s="46">
        <v>1.0144565959</v>
      </c>
      <c r="W331" s="34" t="s">
        <v>231</v>
      </c>
      <c r="X331" s="34" t="s">
        <v>44</v>
      </c>
      <c r="Y331" s="34" t="s">
        <v>45</v>
      </c>
      <c r="Z331" s="34" t="s">
        <v>274</v>
      </c>
      <c r="AA331" s="34"/>
      <c r="AB331" s="34"/>
      <c r="AC331" s="22">
        <v>0.81365547180175779</v>
      </c>
      <c r="AD331" s="23" t="s">
        <v>2969</v>
      </c>
      <c r="AE331" s="24">
        <v>2.2109589041095892</v>
      </c>
      <c r="AF331" s="25">
        <v>7.9085942316656332E-2</v>
      </c>
      <c r="AG331" s="26">
        <v>6.9430019813352395E-2</v>
      </c>
      <c r="AH331" s="26">
        <v>7.5711780610372426E-2</v>
      </c>
      <c r="AI331" s="27">
        <v>0.37169926179075818</v>
      </c>
      <c r="AJ331" s="27">
        <v>0.32598215603627845</v>
      </c>
      <c r="AK331" s="27">
        <v>0.35117655714377127</v>
      </c>
      <c r="AL331" s="28" t="s">
        <v>1459</v>
      </c>
      <c r="AM331" s="29">
        <v>2</v>
      </c>
      <c r="AN331" s="29">
        <v>2</v>
      </c>
      <c r="AO331" s="29" t="s">
        <v>48</v>
      </c>
      <c r="AP331" s="47" t="s">
        <v>739</v>
      </c>
      <c r="AQ331" s="28">
        <v>0</v>
      </c>
      <c r="AR331" s="26">
        <v>1.4999999999999999E-2</v>
      </c>
      <c r="AS331" s="26">
        <v>0</v>
      </c>
    </row>
    <row r="332" spans="1:45" x14ac:dyDescent="0.15">
      <c r="A332" s="64">
        <v>606</v>
      </c>
      <c r="B332" s="64">
        <v>902</v>
      </c>
      <c r="C332" s="11">
        <v>450010</v>
      </c>
      <c r="D332" s="61">
        <v>788</v>
      </c>
      <c r="E332" s="61">
        <v>-3.8047132348891098E-3</v>
      </c>
      <c r="F332" s="61">
        <v>191</v>
      </c>
      <c r="G332" s="61">
        <v>1.9768159623304799E-4</v>
      </c>
      <c r="H332" s="66">
        <v>322</v>
      </c>
      <c r="I332" s="66" t="str">
        <f>H332&amp;"/"&amp;428</f>
        <v>322/428</v>
      </c>
      <c r="J332" s="68">
        <f>H332/428</f>
        <v>0.75233644859813087</v>
      </c>
      <c r="K332" s="18" t="s">
        <v>44</v>
      </c>
      <c r="L332" s="18" t="s">
        <v>45</v>
      </c>
      <c r="M332" s="58" t="s">
        <v>274</v>
      </c>
      <c r="N332" s="18">
        <f>[1]!f_prt_stocktonav(C332,"2017/03/31")</f>
        <v>72.501693725585937</v>
      </c>
      <c r="O332" s="20" t="str">
        <f>[1]!f_info_fundmanager(C332)</f>
        <v>王晓宁</v>
      </c>
      <c r="P332" s="21">
        <v>3.6712328767123288</v>
      </c>
      <c r="Q332" s="34" t="s">
        <v>2469</v>
      </c>
      <c r="R332" s="34" t="s">
        <v>2470</v>
      </c>
      <c r="S332" s="34" t="s">
        <v>742</v>
      </c>
      <c r="T332" s="34">
        <v>20110802</v>
      </c>
      <c r="U332" s="45">
        <v>0.59065044560000002</v>
      </c>
      <c r="V332" s="46">
        <v>0.61239360819999999</v>
      </c>
      <c r="W332" s="34" t="s">
        <v>201</v>
      </c>
      <c r="X332" s="34" t="s">
        <v>44</v>
      </c>
      <c r="Y332" s="34" t="s">
        <v>45</v>
      </c>
      <c r="Z332" s="34" t="s">
        <v>65</v>
      </c>
      <c r="AA332" s="34"/>
      <c r="AB332" s="34"/>
      <c r="AC332" s="22">
        <v>0.75124244689941411</v>
      </c>
      <c r="AD332" s="23" t="s">
        <v>1764</v>
      </c>
      <c r="AE332" s="24">
        <v>3.441095890410959</v>
      </c>
      <c r="AF332" s="25">
        <v>4.339416574378463E-2</v>
      </c>
      <c r="AG332" s="26">
        <v>0.12088933533589706</v>
      </c>
      <c r="AH332" s="26">
        <v>7.8957941019206723E-2</v>
      </c>
      <c r="AI332" s="27">
        <v>0.24243897108294707</v>
      </c>
      <c r="AJ332" s="27">
        <v>0.48035555351656362</v>
      </c>
      <c r="AK332" s="27">
        <v>0.36643148821091759</v>
      </c>
      <c r="AL332" s="28" t="s">
        <v>2471</v>
      </c>
      <c r="AM332" s="29">
        <v>2</v>
      </c>
      <c r="AN332" s="29">
        <v>4</v>
      </c>
      <c r="AO332" s="29" t="s">
        <v>48</v>
      </c>
      <c r="AP332" s="47" t="s">
        <v>2472</v>
      </c>
      <c r="AQ332" s="28">
        <v>0</v>
      </c>
      <c r="AR332" s="26">
        <v>1.4999999999999999E-2</v>
      </c>
      <c r="AS332" s="26">
        <v>0</v>
      </c>
    </row>
    <row r="333" spans="1:45" x14ac:dyDescent="0.15">
      <c r="A333" s="64">
        <v>425</v>
      </c>
      <c r="B333" s="64">
        <v>249</v>
      </c>
      <c r="C333" s="11">
        <v>688</v>
      </c>
      <c r="D333" s="61">
        <v>790</v>
      </c>
      <c r="E333" s="61">
        <v>-3.81274537821682E-3</v>
      </c>
      <c r="F333" s="61">
        <v>135</v>
      </c>
      <c r="G333" s="61">
        <v>2.3808391364385601E-3</v>
      </c>
      <c r="H333" s="66">
        <v>323</v>
      </c>
      <c r="I333" s="66" t="str">
        <f>H333&amp;"/"&amp;428</f>
        <v>323/428</v>
      </c>
      <c r="J333" s="68">
        <f>H333/428</f>
        <v>0.75467289719626163</v>
      </c>
      <c r="K333" s="18" t="s">
        <v>44</v>
      </c>
      <c r="L333" s="18" t="s">
        <v>45</v>
      </c>
      <c r="M333" s="58" t="s">
        <v>274</v>
      </c>
      <c r="N333" s="18">
        <f>[1]!f_prt_stocktonav(C333,"2017/03/31")</f>
        <v>90.572998046875</v>
      </c>
      <c r="O333" s="20" t="str">
        <f>[1]!f_info_fundmanager(C333)</f>
        <v>江科宏,徐喻军</v>
      </c>
      <c r="P333" s="21">
        <v>2.6356164383561644</v>
      </c>
      <c r="Q333" s="34" t="s">
        <v>1823</v>
      </c>
      <c r="R333" s="34" t="s">
        <v>1824</v>
      </c>
      <c r="S333" s="34" t="s">
        <v>353</v>
      </c>
      <c r="T333" s="34">
        <v>20140812</v>
      </c>
      <c r="U333" s="45">
        <v>0.50556050949999998</v>
      </c>
      <c r="V333" s="46">
        <v>0.58251269670000005</v>
      </c>
      <c r="W333" s="34" t="s">
        <v>3776</v>
      </c>
      <c r="X333" s="34" t="s">
        <v>44</v>
      </c>
      <c r="Y333" s="34" t="s">
        <v>45</v>
      </c>
      <c r="Z333" s="34" t="s">
        <v>274</v>
      </c>
      <c r="AA333" s="34"/>
      <c r="AB333" s="34"/>
      <c r="AC333" s="22">
        <v>0.88304100036621092</v>
      </c>
      <c r="AD333" s="23" t="s">
        <v>1825</v>
      </c>
      <c r="AE333" s="24">
        <v>2.4054794520547946</v>
      </c>
      <c r="AF333" s="25">
        <v>9.6983142087744945E-2</v>
      </c>
      <c r="AG333" s="26">
        <v>0</v>
      </c>
      <c r="AH333" s="26">
        <v>0</v>
      </c>
      <c r="AI333" s="27">
        <v>0.39726235375694957</v>
      </c>
      <c r="AJ333" s="27">
        <v>0.39726235375694957</v>
      </c>
      <c r="AK333" s="27">
        <v>0.39726235375694957</v>
      </c>
      <c r="AL333" s="28" t="s">
        <v>1468</v>
      </c>
      <c r="AM333" s="29" t="s">
        <v>48</v>
      </c>
      <c r="AN333" s="29" t="s">
        <v>48</v>
      </c>
      <c r="AO333" s="29" t="s">
        <v>48</v>
      </c>
      <c r="AP333" s="47" t="s">
        <v>1826</v>
      </c>
      <c r="AQ333" s="28">
        <v>0</v>
      </c>
      <c r="AR333" s="26">
        <v>1.4999999999999999E-2</v>
      </c>
      <c r="AS333" s="26">
        <v>0</v>
      </c>
    </row>
    <row r="334" spans="1:45" x14ac:dyDescent="0.15">
      <c r="A334" s="64">
        <v>502</v>
      </c>
      <c r="B334" s="64">
        <v>832</v>
      </c>
      <c r="C334" s="11">
        <v>264</v>
      </c>
      <c r="D334" s="61">
        <v>792</v>
      </c>
      <c r="E334" s="61">
        <v>-3.8537009438366601E-3</v>
      </c>
      <c r="F334" s="61">
        <v>91</v>
      </c>
      <c r="G334" s="61">
        <v>0.104697869403987</v>
      </c>
      <c r="H334" s="66">
        <v>324</v>
      </c>
      <c r="I334" s="66" t="str">
        <f>H334&amp;"/"&amp;428</f>
        <v>324/428</v>
      </c>
      <c r="J334" s="68">
        <f>H334/428</f>
        <v>0.7570093457943925</v>
      </c>
      <c r="K334" s="18" t="s">
        <v>44</v>
      </c>
      <c r="L334" s="18" t="s">
        <v>45</v>
      </c>
      <c r="M334" s="58" t="s">
        <v>274</v>
      </c>
      <c r="N334" s="18">
        <f>[1]!f_prt_stocktonav(C334,"2017/03/31")</f>
        <v>75.584907531738281</v>
      </c>
      <c r="O334" s="20" t="str">
        <f>[1]!f_info_fundmanager(C334)</f>
        <v>刘阳,陈雷</v>
      </c>
      <c r="P334" s="21">
        <v>1.7342465753424658</v>
      </c>
      <c r="Q334" s="34" t="s">
        <v>2108</v>
      </c>
      <c r="R334" s="34" t="s">
        <v>2109</v>
      </c>
      <c r="S334" s="34" t="s">
        <v>413</v>
      </c>
      <c r="T334" s="34">
        <v>20130715</v>
      </c>
      <c r="U334" s="45">
        <v>2.6421588452</v>
      </c>
      <c r="V334" s="46">
        <v>2.9930618172000001</v>
      </c>
      <c r="W334" s="34" t="s">
        <v>3789</v>
      </c>
      <c r="X334" s="34" t="s">
        <v>44</v>
      </c>
      <c r="Y334" s="34" t="s">
        <v>45</v>
      </c>
      <c r="Z334" s="34" t="s">
        <v>274</v>
      </c>
      <c r="AA334" s="34"/>
      <c r="AB334" s="34"/>
      <c r="AC334" s="22">
        <v>0.73920104980468748</v>
      </c>
      <c r="AD334" s="23" t="s">
        <v>2110</v>
      </c>
      <c r="AE334" s="24">
        <v>1.5041095890410958</v>
      </c>
      <c r="AF334" s="25">
        <v>-1.9631798674629053E-2</v>
      </c>
      <c r="AG334" s="26">
        <v>-1.6866631769439699E-2</v>
      </c>
      <c r="AH334" s="26">
        <v>0</v>
      </c>
      <c r="AI334" s="27">
        <v>6.3530595703485002E-2</v>
      </c>
      <c r="AJ334" s="27">
        <v>7.4730362281486648E-2</v>
      </c>
      <c r="AK334" s="27">
        <v>6.3530595703485002E-2</v>
      </c>
      <c r="AL334" s="28" t="s">
        <v>226</v>
      </c>
      <c r="AM334" s="29">
        <v>3</v>
      </c>
      <c r="AN334" s="29">
        <v>2</v>
      </c>
      <c r="AO334" s="29" t="s">
        <v>48</v>
      </c>
      <c r="AP334" s="47" t="s">
        <v>1869</v>
      </c>
      <c r="AQ334" s="28">
        <v>0</v>
      </c>
      <c r="AR334" s="26">
        <v>1.4999999999999999E-2</v>
      </c>
      <c r="AS334" s="26">
        <v>0</v>
      </c>
    </row>
    <row r="335" spans="1:45" x14ac:dyDescent="0.15">
      <c r="A335" s="64">
        <v>314</v>
      </c>
      <c r="B335" s="64">
        <v>648</v>
      </c>
      <c r="C335" s="11">
        <v>1144</v>
      </c>
      <c r="D335" s="61">
        <v>793</v>
      </c>
      <c r="E335" s="61">
        <v>-3.85636096860383E-3</v>
      </c>
      <c r="F335" s="61">
        <v>99</v>
      </c>
      <c r="G335" s="61">
        <v>4.1622467402691897E-2</v>
      </c>
      <c r="H335" s="66">
        <v>325</v>
      </c>
      <c r="I335" s="66" t="str">
        <f>H335&amp;"/"&amp;428</f>
        <v>325/428</v>
      </c>
      <c r="J335" s="68">
        <f>H335/428</f>
        <v>0.75934579439252337</v>
      </c>
      <c r="K335" s="18" t="s">
        <v>44</v>
      </c>
      <c r="L335" s="18" t="s">
        <v>45</v>
      </c>
      <c r="M335" s="58" t="s">
        <v>274</v>
      </c>
      <c r="N335" s="18">
        <f>[1]!f_prt_stocktonav(C335,"2017/03/31")</f>
        <v>81.496307373046875</v>
      </c>
      <c r="O335" s="20" t="str">
        <f>[1]!f_info_fundmanager(C335)</f>
        <v>李博</v>
      </c>
      <c r="P335" s="21">
        <v>1.9452054794520548</v>
      </c>
      <c r="Q335" s="34" t="s">
        <v>1417</v>
      </c>
      <c r="R335" s="34" t="s">
        <v>1418</v>
      </c>
      <c r="S335" s="34" t="s">
        <v>486</v>
      </c>
      <c r="T335" s="34">
        <v>20150421</v>
      </c>
      <c r="U335" s="45">
        <v>13.928286422099999</v>
      </c>
      <c r="V335" s="46">
        <v>14.9126499648</v>
      </c>
      <c r="W335" s="34" t="s">
        <v>3789</v>
      </c>
      <c r="X335" s="34" t="s">
        <v>44</v>
      </c>
      <c r="Y335" s="34" t="s">
        <v>45</v>
      </c>
      <c r="Z335" s="34" t="s">
        <v>274</v>
      </c>
      <c r="AA335" s="34"/>
      <c r="AB335" s="34"/>
      <c r="AC335" s="22">
        <v>0.80915542602539059</v>
      </c>
      <c r="AD335" s="23" t="s">
        <v>1419</v>
      </c>
      <c r="AE335" s="24">
        <v>1.715068493150685</v>
      </c>
      <c r="AF335" s="25">
        <v>-0.16954423911475247</v>
      </c>
      <c r="AG335" s="26">
        <v>0</v>
      </c>
      <c r="AH335" s="26">
        <v>0</v>
      </c>
      <c r="AI335" s="27">
        <v>-0.31687436827285437</v>
      </c>
      <c r="AJ335" s="27">
        <v>-0.31687436827285437</v>
      </c>
      <c r="AK335" s="27">
        <v>-0.31687436827285437</v>
      </c>
      <c r="AL335" s="28" t="s">
        <v>140</v>
      </c>
      <c r="AM335" s="29" t="s">
        <v>48</v>
      </c>
      <c r="AN335" s="29" t="s">
        <v>48</v>
      </c>
      <c r="AO335" s="29" t="s">
        <v>48</v>
      </c>
      <c r="AP335" s="47" t="s">
        <v>1420</v>
      </c>
      <c r="AQ335" s="28">
        <v>0</v>
      </c>
      <c r="AR335" s="26">
        <v>1.4999999999999999E-2</v>
      </c>
      <c r="AS335" s="26">
        <v>0</v>
      </c>
    </row>
    <row r="336" spans="1:45" x14ac:dyDescent="0.15">
      <c r="A336" s="64">
        <v>306</v>
      </c>
      <c r="B336" s="64">
        <v>908</v>
      </c>
      <c r="C336" s="11">
        <v>1125</v>
      </c>
      <c r="D336" s="61">
        <v>794</v>
      </c>
      <c r="E336" s="61">
        <v>-3.8720310660312301E-3</v>
      </c>
      <c r="F336" s="61">
        <v>98</v>
      </c>
      <c r="G336" s="61">
        <v>8.1675055500664603E-2</v>
      </c>
      <c r="H336" s="66">
        <v>326</v>
      </c>
      <c r="I336" s="66" t="str">
        <f>H336&amp;"/"&amp;428</f>
        <v>326/428</v>
      </c>
      <c r="J336" s="68">
        <f>H336/428</f>
        <v>0.76168224299065423</v>
      </c>
      <c r="K336" s="18" t="s">
        <v>44</v>
      </c>
      <c r="L336" s="18" t="s">
        <v>87</v>
      </c>
      <c r="M336" s="58" t="s">
        <v>274</v>
      </c>
      <c r="N336" s="18">
        <f>[1]!f_prt_stocktonav(C336,"2017/03/31")</f>
        <v>72.188827514648438</v>
      </c>
      <c r="O336" s="20" t="str">
        <f>[1]!f_info_fundmanager(C336)</f>
        <v>招扬,郭晓林,肖瑞瑾</v>
      </c>
      <c r="P336" s="21">
        <v>1.9260273972602739</v>
      </c>
      <c r="Q336" s="34" t="s">
        <v>1382</v>
      </c>
      <c r="R336" s="34" t="s">
        <v>1383</v>
      </c>
      <c r="S336" s="34" t="s">
        <v>413</v>
      </c>
      <c r="T336" s="34">
        <v>20150428</v>
      </c>
      <c r="U336" s="45">
        <v>18.120468829899998</v>
      </c>
      <c r="V336" s="46">
        <v>19.138955928200001</v>
      </c>
      <c r="W336" s="34" t="s">
        <v>201</v>
      </c>
      <c r="X336" s="34" t="s">
        <v>44</v>
      </c>
      <c r="Y336" s="34" t="s">
        <v>87</v>
      </c>
      <c r="Z336" s="34" t="s">
        <v>274</v>
      </c>
      <c r="AA336" s="34" t="s">
        <v>3792</v>
      </c>
      <c r="AB336" s="34"/>
      <c r="AC336" s="22">
        <v>0.71869316101074221</v>
      </c>
      <c r="AD336" s="23" t="s">
        <v>1384</v>
      </c>
      <c r="AE336" s="24">
        <v>1.6958904109589041</v>
      </c>
      <c r="AF336" s="25">
        <v>-0.23088973510879307</v>
      </c>
      <c r="AG336" s="26">
        <v>0</v>
      </c>
      <c r="AH336" s="26">
        <v>0</v>
      </c>
      <c r="AI336" s="27">
        <v>-0.41823462190739347</v>
      </c>
      <c r="AJ336" s="27">
        <v>-0.41823462190739347</v>
      </c>
      <c r="AK336" s="27">
        <v>-0.41823462190739347</v>
      </c>
      <c r="AL336" s="33" t="s">
        <v>323</v>
      </c>
      <c r="AM336" s="29" t="s">
        <v>48</v>
      </c>
      <c r="AN336" s="29" t="s">
        <v>48</v>
      </c>
      <c r="AO336" s="29" t="s">
        <v>48</v>
      </c>
      <c r="AP336" s="47" t="s">
        <v>417</v>
      </c>
      <c r="AQ336" s="28">
        <v>0</v>
      </c>
      <c r="AR336" s="26">
        <v>1.4999999999999999E-2</v>
      </c>
      <c r="AS336" s="26">
        <v>0</v>
      </c>
    </row>
    <row r="337" spans="1:45" x14ac:dyDescent="0.15">
      <c r="A337" s="64">
        <v>867</v>
      </c>
      <c r="B337" s="64">
        <v>367</v>
      </c>
      <c r="C337" s="11">
        <v>270006</v>
      </c>
      <c r="D337" s="61">
        <v>795</v>
      </c>
      <c r="E337" s="61">
        <v>-3.8729569137986599E-3</v>
      </c>
      <c r="F337" s="61">
        <v>159</v>
      </c>
      <c r="G337" s="61">
        <v>9.1775612964510502E-4</v>
      </c>
      <c r="H337" s="66">
        <v>327</v>
      </c>
      <c r="I337" s="66" t="str">
        <f>H337&amp;"/"&amp;428</f>
        <v>327/428</v>
      </c>
      <c r="J337" s="68">
        <f>H337/428</f>
        <v>0.76401869158878499</v>
      </c>
      <c r="K337" s="18" t="s">
        <v>44</v>
      </c>
      <c r="L337" s="18" t="s">
        <v>45</v>
      </c>
      <c r="M337" s="58" t="s">
        <v>274</v>
      </c>
      <c r="N337" s="18">
        <f>[1]!f_prt_stocktonav(C337,"2017/03/31")</f>
        <v>88.144523620605469</v>
      </c>
      <c r="O337" s="20" t="str">
        <f>[1]!f_info_fundmanager(C337)</f>
        <v>李巍,王小松</v>
      </c>
      <c r="P337" s="21">
        <v>3.0410958904109591</v>
      </c>
      <c r="Q337" s="34" t="s">
        <v>3367</v>
      </c>
      <c r="R337" s="34" t="s">
        <v>3368</v>
      </c>
      <c r="S337" s="34" t="s">
        <v>132</v>
      </c>
      <c r="T337" s="34">
        <v>20060517</v>
      </c>
      <c r="U337" s="45">
        <v>40.526319802099998</v>
      </c>
      <c r="V337" s="46">
        <v>43.2548149685</v>
      </c>
      <c r="W337" s="34" t="s">
        <v>231</v>
      </c>
      <c r="X337" s="34" t="s">
        <v>44</v>
      </c>
      <c r="Y337" s="34" t="s">
        <v>45</v>
      </c>
      <c r="Z337" s="34" t="s">
        <v>274</v>
      </c>
      <c r="AA337" s="34"/>
      <c r="AB337" s="34"/>
      <c r="AC337" s="22">
        <v>0.90013725280761714</v>
      </c>
      <c r="AD337" s="23" t="s">
        <v>687</v>
      </c>
      <c r="AE337" s="24">
        <v>2.8109589041095893</v>
      </c>
      <c r="AF337" s="25">
        <v>0.13408529500412425</v>
      </c>
      <c r="AG337" s="26">
        <v>9.6806248493586336E-2</v>
      </c>
      <c r="AH337" s="26">
        <v>8.4833051631685516E-2</v>
      </c>
      <c r="AI337" s="27">
        <v>0.53943065070882679</v>
      </c>
      <c r="AJ337" s="27">
        <v>0.39224723289558133</v>
      </c>
      <c r="AK337" s="27">
        <v>0.3778770991979391</v>
      </c>
      <c r="AL337" s="28" t="s">
        <v>2119</v>
      </c>
      <c r="AM337" s="29">
        <v>2</v>
      </c>
      <c r="AN337" s="29">
        <v>2</v>
      </c>
      <c r="AO337" s="29" t="s">
        <v>48</v>
      </c>
      <c r="AP337" s="47" t="s">
        <v>287</v>
      </c>
      <c r="AQ337" s="28" t="s">
        <v>3115</v>
      </c>
      <c r="AR337" s="26">
        <v>1.4999999999999999E-2</v>
      </c>
      <c r="AS337" s="26">
        <v>0</v>
      </c>
    </row>
    <row r="338" spans="1:45" x14ac:dyDescent="0.15">
      <c r="A338" s="64">
        <v>350</v>
      </c>
      <c r="B338" s="64">
        <v>227</v>
      </c>
      <c r="C338" s="11">
        <v>1017</v>
      </c>
      <c r="D338" s="61">
        <v>796</v>
      </c>
      <c r="E338" s="61">
        <v>-3.8759890520846498E-3</v>
      </c>
      <c r="F338" s="61">
        <v>109</v>
      </c>
      <c r="G338" s="61">
        <v>1.2099811800754499E-3</v>
      </c>
      <c r="H338" s="66">
        <v>328</v>
      </c>
      <c r="I338" s="66" t="str">
        <f>H338&amp;"/"&amp;428</f>
        <v>328/428</v>
      </c>
      <c r="J338" s="68">
        <f>H338/428</f>
        <v>0.76635514018691586</v>
      </c>
      <c r="K338" s="18" t="s">
        <v>44</v>
      </c>
      <c r="L338" s="18" t="s">
        <v>64</v>
      </c>
      <c r="M338" s="58" t="s">
        <v>274</v>
      </c>
      <c r="N338" s="18">
        <f>[1]!f_prt_stocktonav(C338,"2017/03/31")</f>
        <v>91.221710205078125</v>
      </c>
      <c r="O338" s="20" t="str">
        <f>[1]!f_info_fundmanager(C338)</f>
        <v>刘欣</v>
      </c>
      <c r="P338" s="21">
        <v>2.128767123287671</v>
      </c>
      <c r="Q338" s="34" t="s">
        <v>1545</v>
      </c>
      <c r="R338" s="34" t="s">
        <v>1546</v>
      </c>
      <c r="S338" s="34" t="s">
        <v>263</v>
      </c>
      <c r="T338" s="34">
        <v>20150213</v>
      </c>
      <c r="U338" s="45">
        <v>21.360999384399999</v>
      </c>
      <c r="V338" s="46">
        <v>14.632203413599999</v>
      </c>
      <c r="W338" s="34" t="s">
        <v>3776</v>
      </c>
      <c r="X338" s="34" t="s">
        <v>44</v>
      </c>
      <c r="Y338" s="34" t="s">
        <v>45</v>
      </c>
      <c r="Z338" s="34" t="s">
        <v>274</v>
      </c>
      <c r="AA338" s="34"/>
      <c r="AB338" s="34"/>
      <c r="AC338" s="22">
        <v>0.89970848083496091</v>
      </c>
      <c r="AD338" s="23" t="s">
        <v>622</v>
      </c>
      <c r="AE338" s="24">
        <v>1.8986301369863015</v>
      </c>
      <c r="AF338" s="25">
        <v>0.20237164376295591</v>
      </c>
      <c r="AG338" s="26">
        <v>0</v>
      </c>
      <c r="AH338" s="26">
        <v>0</v>
      </c>
      <c r="AI338" s="27">
        <v>0.62961768997114453</v>
      </c>
      <c r="AJ338" s="27">
        <v>0.62961768997114453</v>
      </c>
      <c r="AK338" s="27">
        <v>0.62961768997114453</v>
      </c>
      <c r="AL338" s="28" t="s">
        <v>346</v>
      </c>
      <c r="AM338" s="29" t="s">
        <v>48</v>
      </c>
      <c r="AN338" s="29" t="s">
        <v>48</v>
      </c>
      <c r="AO338" s="29" t="s">
        <v>48</v>
      </c>
      <c r="AP338" s="47" t="s">
        <v>1547</v>
      </c>
      <c r="AQ338" s="28">
        <v>0</v>
      </c>
      <c r="AR338" s="26">
        <v>1.4999999999999999E-2</v>
      </c>
      <c r="AS338" s="26">
        <v>0</v>
      </c>
    </row>
    <row r="339" spans="1:45" x14ac:dyDescent="0.15">
      <c r="A339" s="64">
        <v>616</v>
      </c>
      <c r="B339" s="64">
        <v>513</v>
      </c>
      <c r="C339" s="11">
        <v>610006</v>
      </c>
      <c r="D339" s="61">
        <v>798</v>
      </c>
      <c r="E339" s="61">
        <v>-3.8854516171653699E-3</v>
      </c>
      <c r="F339" s="61">
        <v>111</v>
      </c>
      <c r="G339" s="61">
        <v>1.0971250108155001E-2</v>
      </c>
      <c r="H339" s="66">
        <v>329</v>
      </c>
      <c r="I339" s="66" t="str">
        <f>H339&amp;"/"&amp;428</f>
        <v>329/428</v>
      </c>
      <c r="J339" s="68">
        <f>H339/428</f>
        <v>0.76869158878504673</v>
      </c>
      <c r="K339" s="18" t="s">
        <v>44</v>
      </c>
      <c r="L339" s="18" t="s">
        <v>45</v>
      </c>
      <c r="M339" s="58" t="s">
        <v>274</v>
      </c>
      <c r="N339" s="18">
        <f>[1]!f_prt_stocktonav(C339,"2017/03/31")</f>
        <v>84.99224853515625</v>
      </c>
      <c r="O339" s="20" t="str">
        <f>[1]!f_info_fundmanager(C339)</f>
        <v>曾国富</v>
      </c>
      <c r="P339" s="21">
        <v>2.1260273972602741</v>
      </c>
      <c r="Q339" s="34" t="s">
        <v>2505</v>
      </c>
      <c r="R339" s="34" t="s">
        <v>2506</v>
      </c>
      <c r="S339" s="34" t="s">
        <v>189</v>
      </c>
      <c r="T339" s="34">
        <v>20110613</v>
      </c>
      <c r="U339" s="45">
        <v>2.5596247328000001</v>
      </c>
      <c r="V339" s="46">
        <v>2.5503138761000002</v>
      </c>
      <c r="W339" s="34" t="s">
        <v>1235</v>
      </c>
      <c r="X339" s="34" t="s">
        <v>44</v>
      </c>
      <c r="Y339" s="34" t="s">
        <v>45</v>
      </c>
      <c r="Z339" s="34" t="s">
        <v>274</v>
      </c>
      <c r="AA339" s="34"/>
      <c r="AB339" s="34"/>
      <c r="AC339" s="22">
        <v>0.89644233703613285</v>
      </c>
      <c r="AD339" s="23" t="s">
        <v>2507</v>
      </c>
      <c r="AE339" s="24">
        <v>1.8958904109589041</v>
      </c>
      <c r="AF339" s="25">
        <v>0.1281523366173476</v>
      </c>
      <c r="AG339" s="26">
        <v>0.26529946380984781</v>
      </c>
      <c r="AH339" s="26">
        <v>0.18716354221577514</v>
      </c>
      <c r="AI339" s="27">
        <v>0.5072438920311918</v>
      </c>
      <c r="AJ339" s="27">
        <v>0.78235813017685873</v>
      </c>
      <c r="AK339" s="27">
        <v>0.66439090800122114</v>
      </c>
      <c r="AL339" s="28" t="s">
        <v>110</v>
      </c>
      <c r="AM339" s="29">
        <v>4</v>
      </c>
      <c r="AN339" s="29">
        <v>5</v>
      </c>
      <c r="AO339" s="29" t="s">
        <v>48</v>
      </c>
      <c r="AP339" s="47" t="s">
        <v>1002</v>
      </c>
      <c r="AQ339" s="28">
        <v>0</v>
      </c>
      <c r="AR339" s="26">
        <v>1.4999999999999999E-2</v>
      </c>
      <c r="AS339" s="26">
        <v>0</v>
      </c>
    </row>
    <row r="340" spans="1:45" x14ac:dyDescent="0.15">
      <c r="A340" s="64">
        <v>817</v>
      </c>
      <c r="B340" s="64">
        <v>404</v>
      </c>
      <c r="C340" s="11">
        <v>410003</v>
      </c>
      <c r="D340" s="61">
        <v>799</v>
      </c>
      <c r="E340" s="61">
        <v>-3.88735602232918E-3</v>
      </c>
      <c r="F340" s="61">
        <v>223</v>
      </c>
      <c r="G340" s="61">
        <v>1.1965288551387999E-4</v>
      </c>
      <c r="H340" s="66">
        <v>330</v>
      </c>
      <c r="I340" s="66" t="str">
        <f>H340&amp;"/"&amp;428</f>
        <v>330/428</v>
      </c>
      <c r="J340" s="68">
        <f>H340/428</f>
        <v>0.7710280373831776</v>
      </c>
      <c r="K340" s="18" t="s">
        <v>44</v>
      </c>
      <c r="L340" s="18" t="s">
        <v>45</v>
      </c>
      <c r="M340" s="58" t="s">
        <v>274</v>
      </c>
      <c r="N340" s="18">
        <f>[1]!f_prt_stocktonav(C340,"2017/03/31")</f>
        <v>87.479110717773438</v>
      </c>
      <c r="O340" s="20" t="str">
        <f>[1]!f_info_fundmanager(C340)</f>
        <v>龚炜,陈启明</v>
      </c>
      <c r="P340" s="21">
        <v>4.2767123287671236</v>
      </c>
      <c r="Q340" s="34" t="s">
        <v>3179</v>
      </c>
      <c r="R340" s="34" t="s">
        <v>3180</v>
      </c>
      <c r="S340" s="34" t="s">
        <v>1000</v>
      </c>
      <c r="T340" s="34">
        <v>20070319</v>
      </c>
      <c r="U340" s="45">
        <v>6.9489064643000003</v>
      </c>
      <c r="V340" s="46">
        <v>8.4975236457999994</v>
      </c>
      <c r="W340" s="34" t="s">
        <v>201</v>
      </c>
      <c r="X340" s="34" t="s">
        <v>44</v>
      </c>
      <c r="Y340" s="34" t="s">
        <v>45</v>
      </c>
      <c r="Z340" s="34" t="s">
        <v>274</v>
      </c>
      <c r="AA340" s="34"/>
      <c r="AB340" s="34"/>
      <c r="AC340" s="22">
        <v>0.88868705749511723</v>
      </c>
      <c r="AD340" s="23" t="s">
        <v>3181</v>
      </c>
      <c r="AE340" s="24">
        <v>4.0465753424657533</v>
      </c>
      <c r="AF340" s="25">
        <v>2.0705641745650816E-2</v>
      </c>
      <c r="AG340" s="26">
        <v>0.16337999957653371</v>
      </c>
      <c r="AH340" s="26">
        <v>0.12667526577572397</v>
      </c>
      <c r="AI340" s="27">
        <v>0.16825872654336205</v>
      </c>
      <c r="AJ340" s="27">
        <v>0.56695498852723669</v>
      </c>
      <c r="AK340" s="27">
        <v>0.49487988407311562</v>
      </c>
      <c r="AL340" s="28" t="s">
        <v>3182</v>
      </c>
      <c r="AM340" s="29">
        <v>4</v>
      </c>
      <c r="AN340" s="29">
        <v>2</v>
      </c>
      <c r="AO340" s="29" t="s">
        <v>48</v>
      </c>
      <c r="AP340" s="47" t="s">
        <v>3183</v>
      </c>
      <c r="AQ340" s="28">
        <v>0</v>
      </c>
      <c r="AR340" s="26">
        <v>1.4999999999999999E-2</v>
      </c>
      <c r="AS340" s="26">
        <v>0</v>
      </c>
    </row>
    <row r="341" spans="1:45" x14ac:dyDescent="0.15">
      <c r="A341" s="64">
        <v>860</v>
      </c>
      <c r="B341" s="64">
        <v>930</v>
      </c>
      <c r="C341" s="11">
        <v>483003</v>
      </c>
      <c r="D341" s="61">
        <v>802</v>
      </c>
      <c r="E341" s="61">
        <v>-3.92288199162588E-3</v>
      </c>
      <c r="F341" s="61">
        <v>185</v>
      </c>
      <c r="G341" s="61">
        <v>7.0210407651739805E-4</v>
      </c>
      <c r="H341" s="66">
        <v>331</v>
      </c>
      <c r="I341" s="66" t="str">
        <f>H341&amp;"/"&amp;428</f>
        <v>331/428</v>
      </c>
      <c r="J341" s="68">
        <f>H341/428</f>
        <v>0.77336448598130836</v>
      </c>
      <c r="K341" s="18" t="s">
        <v>44</v>
      </c>
      <c r="L341" s="18" t="s">
        <v>45</v>
      </c>
      <c r="M341" s="58" t="s">
        <v>274</v>
      </c>
      <c r="N341" s="18">
        <f>[1]!f_prt_stocktonav(C341,"2017/03/31")</f>
        <v>71.165229797363281</v>
      </c>
      <c r="O341" s="20" t="str">
        <f>[1]!f_info_fundmanager(C341)</f>
        <v>黄安乐,胡文彪</v>
      </c>
      <c r="P341" s="21">
        <v>3.5534246575342467</v>
      </c>
      <c r="Q341" s="34" t="s">
        <v>3342</v>
      </c>
      <c r="R341" s="34" t="s">
        <v>3343</v>
      </c>
      <c r="S341" s="34" t="s">
        <v>523</v>
      </c>
      <c r="T341" s="34">
        <v>20060713</v>
      </c>
      <c r="U341" s="45">
        <v>18.665524521399998</v>
      </c>
      <c r="V341" s="46">
        <v>20.387760930199999</v>
      </c>
      <c r="W341" s="34" t="s">
        <v>231</v>
      </c>
      <c r="X341" s="34" t="s">
        <v>44</v>
      </c>
      <c r="Y341" s="34" t="s">
        <v>45</v>
      </c>
      <c r="Z341" s="34" t="s">
        <v>274</v>
      </c>
      <c r="AA341" s="34"/>
      <c r="AB341" s="34"/>
      <c r="AC341" s="22">
        <v>0.71424072265625005</v>
      </c>
      <c r="AD341" s="23" t="s">
        <v>3344</v>
      </c>
      <c r="AE341" s="24">
        <v>3.3232876712328765</v>
      </c>
      <c r="AF341" s="25">
        <v>6.0920784423083019E-2</v>
      </c>
      <c r="AG341" s="26">
        <v>0.10516114864527371</v>
      </c>
      <c r="AH341" s="26">
        <v>2.4978976021948762E-2</v>
      </c>
      <c r="AI341" s="27">
        <v>0.30268783312231323</v>
      </c>
      <c r="AJ341" s="27">
        <v>0.42747844868005819</v>
      </c>
      <c r="AK341" s="27">
        <v>0.17406777754765704</v>
      </c>
      <c r="AL341" s="28" t="s">
        <v>3345</v>
      </c>
      <c r="AM341" s="29">
        <v>1</v>
      </c>
      <c r="AN341" s="29">
        <v>2</v>
      </c>
      <c r="AO341" s="29" t="s">
        <v>48</v>
      </c>
      <c r="AP341" s="47" t="s">
        <v>679</v>
      </c>
      <c r="AQ341" s="28">
        <v>0</v>
      </c>
      <c r="AR341" s="26">
        <v>1.4999999999999999E-2</v>
      </c>
      <c r="AS341" s="26">
        <v>0</v>
      </c>
    </row>
    <row r="342" spans="1:45" x14ac:dyDescent="0.15">
      <c r="A342" s="64">
        <v>382</v>
      </c>
      <c r="B342" s="64">
        <v>546</v>
      </c>
      <c r="C342" s="11">
        <v>160919</v>
      </c>
      <c r="D342" s="61">
        <v>803</v>
      </c>
      <c r="E342" s="61">
        <v>-3.9575698036464196E-3</v>
      </c>
      <c r="F342" s="61">
        <v>91</v>
      </c>
      <c r="G342" s="61">
        <v>2.0965463136809699E-2</v>
      </c>
      <c r="H342" s="66">
        <v>332</v>
      </c>
      <c r="I342" s="66" t="str">
        <f>H342&amp;"/"&amp;428</f>
        <v>332/428</v>
      </c>
      <c r="J342" s="68">
        <f>H342/428</f>
        <v>0.77570093457943923</v>
      </c>
      <c r="K342" s="18" t="s">
        <v>44</v>
      </c>
      <c r="L342" s="18" t="s">
        <v>45</v>
      </c>
      <c r="M342" s="58" t="s">
        <v>274</v>
      </c>
      <c r="N342" s="18">
        <f>[1]!f_prt_stocktonav(C342,"2017/03/31")</f>
        <v>84.096504211425781</v>
      </c>
      <c r="O342" s="20" t="str">
        <f>[1]!f_info_fundmanager(C342)</f>
        <v>李林益</v>
      </c>
      <c r="P342" s="21">
        <v>1.7342465753424658</v>
      </c>
      <c r="Q342" s="34" t="s">
        <v>1660</v>
      </c>
      <c r="R342" s="34" t="s">
        <v>1661</v>
      </c>
      <c r="S342" s="34" t="s">
        <v>486</v>
      </c>
      <c r="T342" s="34">
        <v>20141226</v>
      </c>
      <c r="U342" s="45">
        <v>3.2433902810999999</v>
      </c>
      <c r="V342" s="46">
        <v>3.8589567182</v>
      </c>
      <c r="W342" s="34" t="s">
        <v>3789</v>
      </c>
      <c r="X342" s="34" t="s">
        <v>44</v>
      </c>
      <c r="Y342" s="34" t="s">
        <v>45</v>
      </c>
      <c r="Z342" s="34" t="s">
        <v>274</v>
      </c>
      <c r="AA342" s="34"/>
      <c r="AB342" s="34"/>
      <c r="AC342" s="22">
        <v>0.86752502441406254</v>
      </c>
      <c r="AD342" s="23" t="s">
        <v>1662</v>
      </c>
      <c r="AE342" s="24">
        <v>1.5041095890410958</v>
      </c>
      <c r="AF342" s="25">
        <v>2.2166937949279486E-2</v>
      </c>
      <c r="AG342" s="26">
        <v>0</v>
      </c>
      <c r="AH342" s="26">
        <v>0</v>
      </c>
      <c r="AI342" s="27">
        <v>0.22399814803145821</v>
      </c>
      <c r="AJ342" s="27">
        <v>0.22399814803145821</v>
      </c>
      <c r="AK342" s="27">
        <v>0.22399814803145821</v>
      </c>
      <c r="AL342" s="28" t="s">
        <v>208</v>
      </c>
      <c r="AM342" s="29">
        <v>1</v>
      </c>
      <c r="AN342" s="29">
        <v>3</v>
      </c>
      <c r="AO342" s="29" t="s">
        <v>48</v>
      </c>
      <c r="AP342" s="47" t="s">
        <v>1604</v>
      </c>
      <c r="AQ342" s="28">
        <v>0</v>
      </c>
      <c r="AR342" s="26">
        <v>1.4999999999999999E-2</v>
      </c>
      <c r="AS342" s="26">
        <v>0</v>
      </c>
    </row>
    <row r="343" spans="1:45" x14ac:dyDescent="0.15">
      <c r="A343" s="64">
        <v>400</v>
      </c>
      <c r="B343" s="64">
        <v>679</v>
      </c>
      <c r="C343" s="11">
        <v>519673</v>
      </c>
      <c r="D343" s="61">
        <v>804</v>
      </c>
      <c r="E343" s="61">
        <v>-3.9679378522254598E-3</v>
      </c>
      <c r="F343" s="61">
        <v>121</v>
      </c>
      <c r="G343" s="61">
        <v>1.3402916157089001E-2</v>
      </c>
      <c r="H343" s="66">
        <v>333</v>
      </c>
      <c r="I343" s="66" t="str">
        <f>H343&amp;"/"&amp;428</f>
        <v>333/428</v>
      </c>
      <c r="J343" s="68">
        <f>H343/428</f>
        <v>0.7780373831775701</v>
      </c>
      <c r="K343" s="18" t="s">
        <v>44</v>
      </c>
      <c r="L343" s="18" t="s">
        <v>45</v>
      </c>
      <c r="M343" s="58" t="s">
        <v>274</v>
      </c>
      <c r="N343" s="18">
        <f>[1]!f_prt_stocktonav(C343,"2017/03/31")</f>
        <v>80.645553588867188</v>
      </c>
      <c r="O343" s="20" t="str">
        <f>[1]!f_info_fundmanager(C343)</f>
        <v>王海华</v>
      </c>
      <c r="P343" s="21">
        <v>2.3671232876712329</v>
      </c>
      <c r="Q343" s="34" t="s">
        <v>1728</v>
      </c>
      <c r="R343" s="34" t="s">
        <v>1729</v>
      </c>
      <c r="S343" s="34" t="s">
        <v>807</v>
      </c>
      <c r="T343" s="34">
        <v>20141118</v>
      </c>
      <c r="U343" s="45">
        <v>6.6213207428</v>
      </c>
      <c r="V343" s="46">
        <v>7.2612482800000002</v>
      </c>
      <c r="W343" s="34" t="s">
        <v>3776</v>
      </c>
      <c r="X343" s="34" t="s">
        <v>44</v>
      </c>
      <c r="Y343" s="34" t="s">
        <v>45</v>
      </c>
      <c r="Z343" s="34" t="s">
        <v>274</v>
      </c>
      <c r="AA343" s="34"/>
      <c r="AB343" s="34"/>
      <c r="AC343" s="22">
        <v>0.87672103881835939</v>
      </c>
      <c r="AD343" s="23" t="s">
        <v>1730</v>
      </c>
      <c r="AE343" s="24">
        <v>2.1369863013698631</v>
      </c>
      <c r="AF343" s="25">
        <v>0.1315236702198237</v>
      </c>
      <c r="AG343" s="26">
        <v>0</v>
      </c>
      <c r="AH343" s="26">
        <v>0</v>
      </c>
      <c r="AI343" s="27">
        <v>0.48001713850473837</v>
      </c>
      <c r="AJ343" s="27">
        <v>0.48001713850473837</v>
      </c>
      <c r="AK343" s="27">
        <v>0.48001713850473837</v>
      </c>
      <c r="AL343" s="28" t="s">
        <v>1731</v>
      </c>
      <c r="AM343" s="29" t="s">
        <v>48</v>
      </c>
      <c r="AN343" s="29" t="s">
        <v>48</v>
      </c>
      <c r="AO343" s="29" t="s">
        <v>48</v>
      </c>
      <c r="AP343" s="47" t="s">
        <v>101</v>
      </c>
      <c r="AQ343" s="28">
        <v>0</v>
      </c>
      <c r="AR343" s="26">
        <v>1.4999999999999999E-2</v>
      </c>
      <c r="AS343" s="26">
        <v>0</v>
      </c>
    </row>
    <row r="344" spans="1:45" x14ac:dyDescent="0.15">
      <c r="A344" s="64">
        <v>331</v>
      </c>
      <c r="B344" s="64">
        <v>518</v>
      </c>
      <c r="C344" s="11">
        <v>1056</v>
      </c>
      <c r="D344" s="61">
        <v>805</v>
      </c>
      <c r="E344" s="61">
        <v>-3.9819612904807098E-3</v>
      </c>
      <c r="F344" s="61">
        <v>103</v>
      </c>
      <c r="G344" s="61">
        <v>2.8317870066189899E-2</v>
      </c>
      <c r="H344" s="66">
        <v>334</v>
      </c>
      <c r="I344" s="66" t="str">
        <f>H344&amp;"/"&amp;428</f>
        <v>334/428</v>
      </c>
      <c r="J344" s="68">
        <f>H344/428</f>
        <v>0.78037383177570097</v>
      </c>
      <c r="K344" s="18" t="s">
        <v>44</v>
      </c>
      <c r="L344" s="18" t="s">
        <v>87</v>
      </c>
      <c r="M344" s="58" t="s">
        <v>274</v>
      </c>
      <c r="N344" s="18">
        <f>[1]!f_prt_stocktonav(C344,"2017/03/31")</f>
        <v>84.922027587890625</v>
      </c>
      <c r="O344" s="20" t="str">
        <f>[1]!f_info_fundmanager(C344)</f>
        <v>高峰,吴洋</v>
      </c>
      <c r="P344" s="21">
        <v>2.0136986301369864</v>
      </c>
      <c r="Q344" s="34" t="s">
        <v>1474</v>
      </c>
      <c r="R344" s="34" t="s">
        <v>1475</v>
      </c>
      <c r="S344" s="34" t="s">
        <v>711</v>
      </c>
      <c r="T344" s="34">
        <v>20150327</v>
      </c>
      <c r="U344" s="45">
        <v>8.3966771371999993</v>
      </c>
      <c r="V344" s="46">
        <v>9.0677816045000004</v>
      </c>
      <c r="W344" s="34" t="s">
        <v>3789</v>
      </c>
      <c r="X344" s="34" t="s">
        <v>44</v>
      </c>
      <c r="Y344" s="34" t="s">
        <v>87</v>
      </c>
      <c r="Z344" s="34" t="s">
        <v>274</v>
      </c>
      <c r="AA344" s="34" t="s">
        <v>3810</v>
      </c>
      <c r="AB344" s="34"/>
      <c r="AC344" s="22">
        <v>0.91136627197265629</v>
      </c>
      <c r="AD344" s="23" t="s">
        <v>1477</v>
      </c>
      <c r="AE344" s="24">
        <v>1.7835616438356163</v>
      </c>
      <c r="AF344" s="25">
        <v>-2.107685056638986E-2</v>
      </c>
      <c r="AG344" s="26">
        <v>0</v>
      </c>
      <c r="AH344" s="26">
        <v>0</v>
      </c>
      <c r="AI344" s="27">
        <v>7.0591775904222401E-2</v>
      </c>
      <c r="AJ344" s="27">
        <v>7.0591775904222401E-2</v>
      </c>
      <c r="AK344" s="27">
        <v>7.0591775904222401E-2</v>
      </c>
      <c r="AL344" s="33" t="s">
        <v>714</v>
      </c>
      <c r="AM344" s="29" t="s">
        <v>48</v>
      </c>
      <c r="AN344" s="29" t="s">
        <v>48</v>
      </c>
      <c r="AO344" s="29" t="s">
        <v>48</v>
      </c>
      <c r="AP344" s="47" t="s">
        <v>715</v>
      </c>
      <c r="AQ344" s="28">
        <v>0</v>
      </c>
      <c r="AR344" s="26">
        <v>1.4999999999999999E-2</v>
      </c>
      <c r="AS344" s="26">
        <v>0</v>
      </c>
    </row>
    <row r="345" spans="1:45" x14ac:dyDescent="0.15">
      <c r="A345" s="64">
        <v>721</v>
      </c>
      <c r="B345" s="64">
        <v>941</v>
      </c>
      <c r="C345" s="11">
        <v>217012</v>
      </c>
      <c r="D345" s="61">
        <v>806</v>
      </c>
      <c r="E345" s="61">
        <v>-4.0009708025571496E-3</v>
      </c>
      <c r="F345" s="61">
        <v>126</v>
      </c>
      <c r="G345" s="61">
        <v>4.0809735151282202E-2</v>
      </c>
      <c r="H345" s="66">
        <v>335</v>
      </c>
      <c r="I345" s="66" t="str">
        <f>H345&amp;"/"&amp;428</f>
        <v>335/428</v>
      </c>
      <c r="J345" s="68">
        <f>H345/428</f>
        <v>0.78271028037383172</v>
      </c>
      <c r="K345" s="18" t="s">
        <v>44</v>
      </c>
      <c r="L345" s="19" t="s">
        <v>45</v>
      </c>
      <c r="M345" s="59" t="s">
        <v>274</v>
      </c>
      <c r="N345" s="18">
        <f>[1]!f_prt_stocktonav(C345,"2017/03/31")</f>
        <v>70.691940307617188</v>
      </c>
      <c r="O345" s="20" t="str">
        <f>[1]!f_info_fundmanager(C345)</f>
        <v>吴昊</v>
      </c>
      <c r="P345" s="21">
        <v>2.4164383561643836</v>
      </c>
      <c r="Q345" s="32" t="s">
        <v>2851</v>
      </c>
      <c r="R345" s="13" t="s">
        <v>2852</v>
      </c>
      <c r="S345" s="13" t="s">
        <v>165</v>
      </c>
      <c r="T345" s="13">
        <v>20090619</v>
      </c>
      <c r="U345" s="14">
        <v>4.4094233200000001</v>
      </c>
      <c r="V345" s="15" t="s">
        <v>3782</v>
      </c>
      <c r="W345" s="16" t="s">
        <v>40</v>
      </c>
      <c r="X345" s="17" t="s">
        <v>44</v>
      </c>
      <c r="Y345" s="17" t="s">
        <v>45</v>
      </c>
      <c r="Z345" s="17" t="s">
        <v>274</v>
      </c>
      <c r="AA345" s="13"/>
      <c r="AB345" s="13"/>
      <c r="AC345" s="22">
        <v>0.79007461547851565</v>
      </c>
      <c r="AD345" s="23" t="s">
        <v>2853</v>
      </c>
      <c r="AE345" s="24">
        <v>2.1863013698630138</v>
      </c>
      <c r="AF345" s="25">
        <v>4.5552123994246019E-2</v>
      </c>
      <c r="AG345" s="26">
        <v>0.13899391774158221</v>
      </c>
      <c r="AH345" s="26">
        <v>0.10047205642359479</v>
      </c>
      <c r="AI345" s="27">
        <v>0.24472308458999315</v>
      </c>
      <c r="AJ345" s="27">
        <v>0.53088803265508577</v>
      </c>
      <c r="AK345" s="27">
        <v>0.43249008178968978</v>
      </c>
      <c r="AL345" s="28" t="s">
        <v>2854</v>
      </c>
      <c r="AM345" s="29">
        <v>2</v>
      </c>
      <c r="AN345" s="29">
        <v>2</v>
      </c>
      <c r="AO345" s="29" t="s">
        <v>48</v>
      </c>
      <c r="AP345" s="23" t="s">
        <v>2855</v>
      </c>
      <c r="AQ345" s="30">
        <v>0</v>
      </c>
      <c r="AR345" s="31">
        <v>1.4999999999999999E-2</v>
      </c>
      <c r="AS345" s="31">
        <v>0</v>
      </c>
    </row>
    <row r="346" spans="1:45" x14ac:dyDescent="0.15">
      <c r="A346" s="64">
        <v>736</v>
      </c>
      <c r="B346" s="64">
        <v>222</v>
      </c>
      <c r="C346" s="11">
        <v>450007</v>
      </c>
      <c r="D346" s="61">
        <v>807</v>
      </c>
      <c r="E346" s="61">
        <v>-4.0250432920314301E-3</v>
      </c>
      <c r="F346" s="61">
        <v>89</v>
      </c>
      <c r="G346" s="61">
        <v>1.6750770306904601E-2</v>
      </c>
      <c r="H346" s="66">
        <v>336</v>
      </c>
      <c r="I346" s="66" t="str">
        <f>H346&amp;"/"&amp;428</f>
        <v>336/428</v>
      </c>
      <c r="J346" s="68">
        <f>H346/428</f>
        <v>0.78504672897196259</v>
      </c>
      <c r="K346" s="18" t="s">
        <v>44</v>
      </c>
      <c r="L346" s="18" t="s">
        <v>45</v>
      </c>
      <c r="M346" s="58" t="s">
        <v>274</v>
      </c>
      <c r="N346" s="18">
        <f>[1]!f_prt_stocktonav(C346,"2017/03/31")</f>
        <v>91.383903503417969</v>
      </c>
      <c r="O346" s="20" t="str">
        <f>[1]!f_info_fundmanager(C346)</f>
        <v>杜飞</v>
      </c>
      <c r="P346" s="21">
        <v>1.7068493150684931</v>
      </c>
      <c r="Q346" s="34" t="s">
        <v>2901</v>
      </c>
      <c r="R346" s="34" t="s">
        <v>2902</v>
      </c>
      <c r="S346" s="34" t="s">
        <v>742</v>
      </c>
      <c r="T346" s="34">
        <v>20090325</v>
      </c>
      <c r="U346" s="45">
        <v>1.0364016425</v>
      </c>
      <c r="V346" s="46">
        <v>1.0713827523999999</v>
      </c>
      <c r="W346" s="34" t="s">
        <v>231</v>
      </c>
      <c r="X346" s="34" t="s">
        <v>44</v>
      </c>
      <c r="Y346" s="34" t="s">
        <v>45</v>
      </c>
      <c r="Z346" s="34" t="s">
        <v>274</v>
      </c>
      <c r="AA346" s="34"/>
      <c r="AB346" s="34"/>
      <c r="AC346" s="22">
        <v>0.88530212402343755</v>
      </c>
      <c r="AD346" s="23" t="s">
        <v>2903</v>
      </c>
      <c r="AE346" s="24">
        <v>1.6219178082191781</v>
      </c>
      <c r="AF346" s="25">
        <v>5.2564355607267244E-2</v>
      </c>
      <c r="AG346" s="26">
        <v>0.11994464507677405</v>
      </c>
      <c r="AH346" s="26">
        <v>9.6997248329563343E-2</v>
      </c>
      <c r="AI346" s="27">
        <v>0.27231353212460235</v>
      </c>
      <c r="AJ346" s="27">
        <v>0.47311613948090725</v>
      </c>
      <c r="AK346" s="27">
        <v>0.41392255134759925</v>
      </c>
      <c r="AL346" s="28" t="s">
        <v>2904</v>
      </c>
      <c r="AM346" s="29">
        <v>2</v>
      </c>
      <c r="AN346" s="29">
        <v>4</v>
      </c>
      <c r="AO346" s="29" t="s">
        <v>48</v>
      </c>
      <c r="AP346" s="47" t="s">
        <v>2905</v>
      </c>
      <c r="AQ346" s="28">
        <v>0</v>
      </c>
      <c r="AR346" s="26">
        <v>1.4999999999999999E-2</v>
      </c>
      <c r="AS346" s="26">
        <v>0</v>
      </c>
    </row>
    <row r="347" spans="1:45" x14ac:dyDescent="0.15">
      <c r="A347" s="64">
        <v>362</v>
      </c>
      <c r="B347" s="64">
        <v>38</v>
      </c>
      <c r="C347" s="11">
        <v>978</v>
      </c>
      <c r="D347" s="61">
        <v>811</v>
      </c>
      <c r="E347" s="61">
        <v>-4.10948520542085E-3</v>
      </c>
      <c r="F347" s="61">
        <v>110</v>
      </c>
      <c r="G347" s="61">
        <v>3.6327690489831199E-4</v>
      </c>
      <c r="H347" s="66">
        <v>337</v>
      </c>
      <c r="I347" s="66" t="str">
        <f>H347&amp;"/"&amp;428</f>
        <v>337/428</v>
      </c>
      <c r="J347" s="68">
        <f>H347/428</f>
        <v>0.78738317757009346</v>
      </c>
      <c r="K347" s="18" t="s">
        <v>44</v>
      </c>
      <c r="L347" s="18" t="s">
        <v>64</v>
      </c>
      <c r="M347" s="58" t="s">
        <v>274</v>
      </c>
      <c r="N347" s="18">
        <f>[1]!f_prt_stocktonav(C347,"2017/03/31")</f>
        <v>94.441864013671875</v>
      </c>
      <c r="O347" s="20" t="str">
        <f>[1]!f_info_fundmanager(C347)</f>
        <v>黎海威</v>
      </c>
      <c r="P347" s="21">
        <v>2.1534246575342464</v>
      </c>
      <c r="Q347" s="34" t="s">
        <v>1591</v>
      </c>
      <c r="R347" s="34" t="s">
        <v>1592</v>
      </c>
      <c r="S347" s="34" t="s">
        <v>353</v>
      </c>
      <c r="T347" s="34">
        <v>20150204</v>
      </c>
      <c r="U347" s="45">
        <v>10.0174291916</v>
      </c>
      <c r="V347" s="46">
        <v>8.9932130037999993</v>
      </c>
      <c r="W347" s="34" t="s">
        <v>201</v>
      </c>
      <c r="X347" s="34" t="s">
        <v>44</v>
      </c>
      <c r="Y347" s="34" t="s">
        <v>64</v>
      </c>
      <c r="Z347" s="34" t="s">
        <v>274</v>
      </c>
      <c r="AA347" s="34"/>
      <c r="AB347" s="34"/>
      <c r="AC347" s="22">
        <v>0.9377558135986328</v>
      </c>
      <c r="AD347" s="23" t="s">
        <v>355</v>
      </c>
      <c r="AE347" s="24">
        <v>1.9232876712328768</v>
      </c>
      <c r="AF347" s="25">
        <v>0.16563166376998972</v>
      </c>
      <c r="AG347" s="26">
        <v>0</v>
      </c>
      <c r="AH347" s="26">
        <v>0</v>
      </c>
      <c r="AI347" s="27">
        <v>0.556806055060313</v>
      </c>
      <c r="AJ347" s="27">
        <v>0.556806055060313</v>
      </c>
      <c r="AK347" s="27">
        <v>0.556806055060313</v>
      </c>
      <c r="AL347" s="28" t="s">
        <v>1593</v>
      </c>
      <c r="AM347" s="29" t="s">
        <v>48</v>
      </c>
      <c r="AN347" s="29" t="s">
        <v>48</v>
      </c>
      <c r="AO347" s="29" t="s">
        <v>48</v>
      </c>
      <c r="AP347" s="47" t="s">
        <v>583</v>
      </c>
      <c r="AQ347" s="28">
        <v>0</v>
      </c>
      <c r="AR347" s="26">
        <v>1.4999999999999999E-2</v>
      </c>
      <c r="AS347" s="26">
        <v>0</v>
      </c>
    </row>
    <row r="348" spans="1:45" x14ac:dyDescent="0.15">
      <c r="A348" s="64">
        <v>541</v>
      </c>
      <c r="B348" s="64">
        <v>312</v>
      </c>
      <c r="C348" s="11">
        <v>50026</v>
      </c>
      <c r="D348" s="61">
        <v>812</v>
      </c>
      <c r="E348" s="61">
        <v>-4.1126834887676503E-3</v>
      </c>
      <c r="F348" s="61">
        <v>181</v>
      </c>
      <c r="G348" s="61">
        <v>7.9534655163769196E-4</v>
      </c>
      <c r="H348" s="66">
        <v>338</v>
      </c>
      <c r="I348" s="66" t="str">
        <f>H348&amp;"/"&amp;428</f>
        <v>338/428</v>
      </c>
      <c r="J348" s="68">
        <f>H348/428</f>
        <v>0.78971962616822433</v>
      </c>
      <c r="K348" s="18" t="s">
        <v>44</v>
      </c>
      <c r="L348" s="18" t="s">
        <v>86</v>
      </c>
      <c r="M348" s="58" t="s">
        <v>274</v>
      </c>
      <c r="N348" s="18">
        <f>[1]!f_prt_stocktonav(C348,"2017/03/31")</f>
        <v>89.271682739257813</v>
      </c>
      <c r="O348" s="20" t="str">
        <f>[1]!f_info_fundmanager(C348)</f>
        <v>苏永超</v>
      </c>
      <c r="P348" s="21">
        <v>3.473972602739726</v>
      </c>
      <c r="Q348" s="34" t="s">
        <v>2246</v>
      </c>
      <c r="R348" s="34" t="s">
        <v>2247</v>
      </c>
      <c r="S348" s="34" t="s">
        <v>413</v>
      </c>
      <c r="T348" s="34">
        <v>20120828</v>
      </c>
      <c r="U348" s="45">
        <v>7.5815950234000002</v>
      </c>
      <c r="V348" s="46">
        <v>8.5219521449000002</v>
      </c>
      <c r="W348" s="34" t="s">
        <v>3776</v>
      </c>
      <c r="X348" s="34" t="s">
        <v>44</v>
      </c>
      <c r="Y348" s="34" t="s">
        <v>86</v>
      </c>
      <c r="Z348" s="34" t="s">
        <v>274</v>
      </c>
      <c r="AA348" s="34" t="s">
        <v>3830</v>
      </c>
      <c r="AB348" s="34"/>
      <c r="AC348" s="22">
        <v>0.88303588867187499</v>
      </c>
      <c r="AD348" s="23" t="s">
        <v>2248</v>
      </c>
      <c r="AE348" s="24">
        <v>3.2438356164383562</v>
      </c>
      <c r="AF348" s="25">
        <v>0.11928508351004365</v>
      </c>
      <c r="AG348" s="26">
        <v>7.3887318413429881E-2</v>
      </c>
      <c r="AH348" s="26">
        <v>0</v>
      </c>
      <c r="AI348" s="27">
        <v>0.48579707068096123</v>
      </c>
      <c r="AJ348" s="27">
        <v>0.33392159436157826</v>
      </c>
      <c r="AK348" s="27">
        <v>0.48579707068096123</v>
      </c>
      <c r="AL348" s="33" t="s">
        <v>2249</v>
      </c>
      <c r="AM348" s="29">
        <v>2</v>
      </c>
      <c r="AN348" s="29">
        <v>2</v>
      </c>
      <c r="AO348" s="29" t="s">
        <v>48</v>
      </c>
      <c r="AP348" s="47" t="s">
        <v>417</v>
      </c>
      <c r="AQ348" s="28">
        <v>0</v>
      </c>
      <c r="AR348" s="26">
        <v>1.4999999999999999E-2</v>
      </c>
      <c r="AS348" s="26">
        <v>0</v>
      </c>
    </row>
    <row r="349" spans="1:45" x14ac:dyDescent="0.15">
      <c r="A349" s="64">
        <v>480</v>
      </c>
      <c r="B349" s="64">
        <v>149</v>
      </c>
      <c r="C349" s="11">
        <v>160624</v>
      </c>
      <c r="D349" s="61">
        <v>813</v>
      </c>
      <c r="E349" s="61">
        <v>-4.1143856592235298E-3</v>
      </c>
      <c r="F349" s="61">
        <v>100</v>
      </c>
      <c r="G349" s="61">
        <v>1.1330123330357E-2</v>
      </c>
      <c r="H349" s="66">
        <v>339</v>
      </c>
      <c r="I349" s="66" t="str">
        <f>H349&amp;"/"&amp;428</f>
        <v>339/428</v>
      </c>
      <c r="J349" s="68">
        <f>H349/428</f>
        <v>0.79205607476635509</v>
      </c>
      <c r="K349" s="18" t="s">
        <v>44</v>
      </c>
      <c r="L349" s="18" t="s">
        <v>45</v>
      </c>
      <c r="M349" s="58" t="s">
        <v>274</v>
      </c>
      <c r="N349" s="18">
        <f>[1]!f_prt_stocktonav(C349,"2017/03/31")</f>
        <v>92.813529968261719</v>
      </c>
      <c r="O349" s="20" t="str">
        <f>[1]!f_info_fundmanager(C349)</f>
        <v>陈鹏</v>
      </c>
      <c r="P349" s="21">
        <v>1.9068493150684931</v>
      </c>
      <c r="Q349" s="34" t="s">
        <v>2031</v>
      </c>
      <c r="R349" s="34" t="s">
        <v>2032</v>
      </c>
      <c r="S349" s="34" t="s">
        <v>705</v>
      </c>
      <c r="T349" s="34">
        <v>20131223</v>
      </c>
      <c r="U349" s="45">
        <v>3.0392786875</v>
      </c>
      <c r="V349" s="46">
        <v>3.290100566</v>
      </c>
      <c r="W349" s="34" t="s">
        <v>3776</v>
      </c>
      <c r="X349" s="34" t="s">
        <v>44</v>
      </c>
      <c r="Y349" s="34" t="s">
        <v>45</v>
      </c>
      <c r="Z349" s="34" t="s">
        <v>274</v>
      </c>
      <c r="AA349" s="34"/>
      <c r="AB349" s="34"/>
      <c r="AC349" s="22">
        <v>0.83763984680175785</v>
      </c>
      <c r="AD349" s="23" t="s">
        <v>1767</v>
      </c>
      <c r="AE349" s="24">
        <v>1.6767123287671233</v>
      </c>
      <c r="AF349" s="25">
        <v>0.14028528851303768</v>
      </c>
      <c r="AG349" s="26">
        <v>0.13962321443354964</v>
      </c>
      <c r="AH349" s="26">
        <v>0</v>
      </c>
      <c r="AI349" s="27">
        <v>0.51628980242389755</v>
      </c>
      <c r="AJ349" s="27">
        <v>0.5161450691913666</v>
      </c>
      <c r="AK349" s="27">
        <v>0.51628980242389755</v>
      </c>
      <c r="AL349" s="28" t="s">
        <v>1193</v>
      </c>
      <c r="AM349" s="29">
        <v>2</v>
      </c>
      <c r="AN349" s="29">
        <v>3</v>
      </c>
      <c r="AO349" s="29" t="s">
        <v>48</v>
      </c>
      <c r="AP349" s="47" t="s">
        <v>2033</v>
      </c>
      <c r="AQ349" s="28">
        <v>0</v>
      </c>
      <c r="AR349" s="26">
        <v>1.4999999999999999E-2</v>
      </c>
      <c r="AS349" s="26">
        <v>0</v>
      </c>
    </row>
    <row r="350" spans="1:45" x14ac:dyDescent="0.15">
      <c r="A350" s="64">
        <v>463</v>
      </c>
      <c r="B350" s="64">
        <v>67</v>
      </c>
      <c r="C350" s="11">
        <v>531</v>
      </c>
      <c r="D350" s="61">
        <v>815</v>
      </c>
      <c r="E350" s="61">
        <v>-4.12425716342147E-3</v>
      </c>
      <c r="F350" s="61">
        <v>146</v>
      </c>
      <c r="G350" s="61">
        <v>8.1404970862970702E-2</v>
      </c>
      <c r="H350" s="66">
        <v>340</v>
      </c>
      <c r="I350" s="66" t="str">
        <f>H350&amp;"/"&amp;428</f>
        <v>340/428</v>
      </c>
      <c r="J350" s="68">
        <f>H350/428</f>
        <v>0.79439252336448596</v>
      </c>
      <c r="K350" s="18" t="s">
        <v>44</v>
      </c>
      <c r="L350" s="18" t="s">
        <v>64</v>
      </c>
      <c r="M350" s="58" t="s">
        <v>274</v>
      </c>
      <c r="N350" s="18">
        <f>[1]!f_prt_stocktonav(C350,"2017/03/31")</f>
        <v>94.096824645996094</v>
      </c>
      <c r="O350" s="20" t="str">
        <f>[1]!f_info_fundmanager(C350)</f>
        <v>王立立,张能进</v>
      </c>
      <c r="P350" s="21">
        <v>2.7972602739726029</v>
      </c>
      <c r="Q350" s="34" t="s">
        <v>1966</v>
      </c>
      <c r="R350" s="34" t="s">
        <v>1967</v>
      </c>
      <c r="S350" s="34" t="s">
        <v>1057</v>
      </c>
      <c r="T350" s="34">
        <v>20140319</v>
      </c>
      <c r="U350" s="45">
        <v>0.35451488460000002</v>
      </c>
      <c r="V350" s="46">
        <v>0.45552733849999999</v>
      </c>
      <c r="W350" s="34" t="s">
        <v>3776</v>
      </c>
      <c r="X350" s="34" t="s">
        <v>41</v>
      </c>
      <c r="Y350" s="34" t="s">
        <v>42</v>
      </c>
      <c r="Z350" s="34" t="s">
        <v>388</v>
      </c>
      <c r="AA350" s="34"/>
      <c r="AB350" s="34"/>
      <c r="AC350" s="22">
        <v>0.32546730041503907</v>
      </c>
      <c r="AD350" s="23" t="s">
        <v>1968</v>
      </c>
      <c r="AE350" s="24">
        <v>2.5671232876712327</v>
      </c>
      <c r="AF350" s="25">
        <v>1.9363077025688513E-2</v>
      </c>
      <c r="AG350" s="26">
        <v>0</v>
      </c>
      <c r="AH350" s="26">
        <v>0</v>
      </c>
      <c r="AI350" s="27">
        <v>0.16076630907470724</v>
      </c>
      <c r="AJ350" s="27">
        <v>0.16076630907470724</v>
      </c>
      <c r="AK350" s="27">
        <v>0.16076630907470724</v>
      </c>
      <c r="AL350" s="28" t="s">
        <v>1059</v>
      </c>
      <c r="AM350" s="29" t="s">
        <v>48</v>
      </c>
      <c r="AN350" s="29" t="s">
        <v>48</v>
      </c>
      <c r="AO350" s="29" t="s">
        <v>48</v>
      </c>
      <c r="AP350" s="47" t="s">
        <v>797</v>
      </c>
      <c r="AQ350" s="28">
        <v>0</v>
      </c>
      <c r="AR350" s="26">
        <v>1.4999999999999999E-2</v>
      </c>
      <c r="AS350" s="26">
        <v>0</v>
      </c>
    </row>
    <row r="351" spans="1:45" x14ac:dyDescent="0.15">
      <c r="A351" s="64">
        <v>630</v>
      </c>
      <c r="B351" s="64">
        <v>441</v>
      </c>
      <c r="C351" s="11">
        <v>410009</v>
      </c>
      <c r="D351" s="61">
        <v>816</v>
      </c>
      <c r="E351" s="61">
        <v>-4.1434539344180898E-3</v>
      </c>
      <c r="F351" s="61">
        <v>307</v>
      </c>
      <c r="G351" s="61">
        <v>9.1100789341161903E-7</v>
      </c>
      <c r="H351" s="66">
        <v>341</v>
      </c>
      <c r="I351" s="66" t="str">
        <f>H351&amp;"/"&amp;428</f>
        <v>341/428</v>
      </c>
      <c r="J351" s="68">
        <f>H351/428</f>
        <v>0.79672897196261683</v>
      </c>
      <c r="K351" s="18" t="s">
        <v>44</v>
      </c>
      <c r="L351" s="18" t="s">
        <v>45</v>
      </c>
      <c r="M351" s="58" t="s">
        <v>274</v>
      </c>
      <c r="N351" s="18">
        <f>[1]!f_prt_stocktonav(C351,"2017/03/31")</f>
        <v>86.460899353027344</v>
      </c>
      <c r="O351" s="20" t="str">
        <f>[1]!f_info_fundmanager(C351)</f>
        <v>孔庆卿,朱蓓</v>
      </c>
      <c r="P351" s="21">
        <v>6.0027397260273974</v>
      </c>
      <c r="Q351" s="34" t="s">
        <v>2551</v>
      </c>
      <c r="R351" s="34" t="s">
        <v>2552</v>
      </c>
      <c r="S351" s="34" t="s">
        <v>1000</v>
      </c>
      <c r="T351" s="34">
        <v>20110401</v>
      </c>
      <c r="U351" s="45">
        <v>0.83771801859999995</v>
      </c>
      <c r="V351" s="46">
        <v>0.66822922669999996</v>
      </c>
      <c r="W351" s="34" t="s">
        <v>3789</v>
      </c>
      <c r="X351" s="34" t="s">
        <v>44</v>
      </c>
      <c r="Y351" s="34" t="s">
        <v>45</v>
      </c>
      <c r="Z351" s="34" t="s">
        <v>274</v>
      </c>
      <c r="AA351" s="34"/>
      <c r="AB351" s="34"/>
      <c r="AC351" s="22">
        <v>0.82327438354492188</v>
      </c>
      <c r="AD351" s="23" t="s">
        <v>2553</v>
      </c>
      <c r="AE351" s="24">
        <v>5.7726027397260271</v>
      </c>
      <c r="AF351" s="25">
        <v>2.0473786119229453E-2</v>
      </c>
      <c r="AG351" s="26">
        <v>0.15693946262299896</v>
      </c>
      <c r="AH351" s="26">
        <v>8.5662639499701529E-2</v>
      </c>
      <c r="AI351" s="27">
        <v>0.17488089339427909</v>
      </c>
      <c r="AJ351" s="27">
        <v>0.53771176102272322</v>
      </c>
      <c r="AK351" s="27">
        <v>0.37336914936744314</v>
      </c>
      <c r="AL351" s="28" t="s">
        <v>1868</v>
      </c>
      <c r="AM351" s="29">
        <v>1</v>
      </c>
      <c r="AN351" s="29">
        <v>1</v>
      </c>
      <c r="AO351" s="29" t="s">
        <v>48</v>
      </c>
      <c r="AP351" s="47" t="s">
        <v>2554</v>
      </c>
      <c r="AQ351" s="28">
        <v>0</v>
      </c>
      <c r="AR351" s="26">
        <v>1.4999999999999999E-2</v>
      </c>
      <c r="AS351" s="26">
        <v>0</v>
      </c>
    </row>
    <row r="352" spans="1:45" x14ac:dyDescent="0.15">
      <c r="A352" s="64">
        <v>182</v>
      </c>
      <c r="B352" s="64">
        <v>127</v>
      </c>
      <c r="C352" s="11">
        <v>1766</v>
      </c>
      <c r="D352" s="61">
        <v>817</v>
      </c>
      <c r="E352" s="61">
        <v>-4.1485671459285901E-3</v>
      </c>
      <c r="F352" s="61">
        <v>73</v>
      </c>
      <c r="G352" s="61">
        <v>4.01381288418797E-2</v>
      </c>
      <c r="H352" s="66">
        <v>342</v>
      </c>
      <c r="I352" s="66" t="str">
        <f>H352&amp;"/"&amp;428</f>
        <v>342/428</v>
      </c>
      <c r="J352" s="68">
        <f>H352/428</f>
        <v>0.7990654205607477</v>
      </c>
      <c r="K352" s="18" t="s">
        <v>44</v>
      </c>
      <c r="L352" s="19" t="s">
        <v>45</v>
      </c>
      <c r="M352" s="59" t="s">
        <v>274</v>
      </c>
      <c r="N352" s="18">
        <f>[1]!f_prt_stocktonav(C352,"2017/03/31")</f>
        <v>93.10504150390625</v>
      </c>
      <c r="O352" s="20" t="str">
        <f>[1]!f_info_fundmanager(C352)</f>
        <v>张飞</v>
      </c>
      <c r="P352" s="21">
        <v>1.4438356164383561</v>
      </c>
      <c r="Q352" s="12" t="s">
        <v>891</v>
      </c>
      <c r="R352" s="13" t="s">
        <v>892</v>
      </c>
      <c r="S352" s="13" t="s">
        <v>511</v>
      </c>
      <c r="T352" s="13">
        <v>20151021</v>
      </c>
      <c r="U352" s="14">
        <v>1.6188948564000001</v>
      </c>
      <c r="V352" s="15" t="s">
        <v>72</v>
      </c>
      <c r="W352" s="16" t="s">
        <v>40</v>
      </c>
      <c r="X352" s="17" t="s">
        <v>44</v>
      </c>
      <c r="Y352" s="17" t="s">
        <v>45</v>
      </c>
      <c r="Z352" s="17" t="s">
        <v>274</v>
      </c>
      <c r="AA352" s="13"/>
      <c r="AB352" s="13"/>
      <c r="AC352" s="22">
        <v>0.90301651000976557</v>
      </c>
      <c r="AD352" s="23" t="s">
        <v>893</v>
      </c>
      <c r="AE352" s="24">
        <v>1.2136986301369863</v>
      </c>
      <c r="AF352" s="25">
        <v>-0.14984157563112033</v>
      </c>
      <c r="AG352" s="26">
        <v>0</v>
      </c>
      <c r="AH352" s="26">
        <v>0</v>
      </c>
      <c r="AI352" s="27">
        <v>-0.53502963979386053</v>
      </c>
      <c r="AJ352" s="27">
        <v>-0.53502963979386053</v>
      </c>
      <c r="AK352" s="27">
        <v>-0.53502963979386053</v>
      </c>
      <c r="AL352" s="28" t="s">
        <v>894</v>
      </c>
      <c r="AM352" s="29" t="s">
        <v>48</v>
      </c>
      <c r="AN352" s="29" t="s">
        <v>48</v>
      </c>
      <c r="AO352" s="29" t="s">
        <v>48</v>
      </c>
      <c r="AP352" s="23" t="s">
        <v>895</v>
      </c>
      <c r="AQ352" s="30">
        <v>0</v>
      </c>
      <c r="AR352" s="31">
        <v>1.4999999999999999E-2</v>
      </c>
      <c r="AS352" s="31">
        <v>0</v>
      </c>
    </row>
    <row r="353" spans="1:45" x14ac:dyDescent="0.15">
      <c r="A353" s="64">
        <v>494</v>
      </c>
      <c r="B353" s="64">
        <v>418</v>
      </c>
      <c r="C353" s="11">
        <v>167</v>
      </c>
      <c r="D353" s="61">
        <v>818</v>
      </c>
      <c r="E353" s="61">
        <v>-4.1580741290194899E-3</v>
      </c>
      <c r="F353" s="61">
        <v>118</v>
      </c>
      <c r="G353" s="61">
        <v>5.2667033113413801E-2</v>
      </c>
      <c r="H353" s="66">
        <v>343</v>
      </c>
      <c r="I353" s="66" t="str">
        <f>H353&amp;"/"&amp;428</f>
        <v>343/428</v>
      </c>
      <c r="J353" s="68">
        <f>H353/428</f>
        <v>0.80140186915887845</v>
      </c>
      <c r="K353" s="18" t="s">
        <v>44</v>
      </c>
      <c r="L353" s="19" t="s">
        <v>45</v>
      </c>
      <c r="M353" s="59" t="s">
        <v>274</v>
      </c>
      <c r="N353" s="18">
        <f>[1]!f_prt_stocktonav(C353,"2017/03/31")</f>
        <v>86.951461791992188</v>
      </c>
      <c r="O353" s="20" t="str">
        <f>[1]!f_info_fundmanager(C353)</f>
        <v>唐晓斌,张东一</v>
      </c>
      <c r="P353" s="21">
        <v>2.2684931506849315</v>
      </c>
      <c r="Q353" s="12" t="s">
        <v>2078</v>
      </c>
      <c r="R353" s="13" t="s">
        <v>2079</v>
      </c>
      <c r="S353" s="13" t="s">
        <v>132</v>
      </c>
      <c r="T353" s="13">
        <v>20130911</v>
      </c>
      <c r="U353" s="14">
        <v>2.1032707128000001</v>
      </c>
      <c r="V353" s="15" t="s">
        <v>3772</v>
      </c>
      <c r="W353" s="16" t="s">
        <v>40</v>
      </c>
      <c r="X353" s="17" t="s">
        <v>44</v>
      </c>
      <c r="Y353" s="17" t="s">
        <v>45</v>
      </c>
      <c r="Z353" s="17" t="s">
        <v>274</v>
      </c>
      <c r="AA353" s="13"/>
      <c r="AB353" s="13"/>
      <c r="AC353" s="22">
        <v>0.85794906616210942</v>
      </c>
      <c r="AD353" s="23" t="s">
        <v>2080</v>
      </c>
      <c r="AE353" s="24">
        <v>2.0383561643835617</v>
      </c>
      <c r="AF353" s="25">
        <v>5.7431991386243331E-2</v>
      </c>
      <c r="AG353" s="26">
        <v>6.8914903387979898E-2</v>
      </c>
      <c r="AH353" s="26">
        <v>0</v>
      </c>
      <c r="AI353" s="27">
        <v>0.29389953336189084</v>
      </c>
      <c r="AJ353" s="27">
        <v>0.29133464789328306</v>
      </c>
      <c r="AK353" s="27">
        <v>0.29389953336189084</v>
      </c>
      <c r="AL353" s="28" t="s">
        <v>1830</v>
      </c>
      <c r="AM353" s="29" t="s">
        <v>48</v>
      </c>
      <c r="AN353" s="29" t="s">
        <v>48</v>
      </c>
      <c r="AO353" s="29" t="s">
        <v>48</v>
      </c>
      <c r="AP353" s="23">
        <v>0</v>
      </c>
      <c r="AQ353" s="30">
        <v>0</v>
      </c>
      <c r="AR353" s="31">
        <v>1.4999999999999999E-2</v>
      </c>
      <c r="AS353" s="31">
        <v>0</v>
      </c>
    </row>
    <row r="354" spans="1:45" x14ac:dyDescent="0.15">
      <c r="A354" s="64">
        <v>328</v>
      </c>
      <c r="B354" s="64">
        <v>442</v>
      </c>
      <c r="C354" s="11">
        <v>320022</v>
      </c>
      <c r="D354" s="61">
        <v>819</v>
      </c>
      <c r="E354" s="61">
        <v>-4.1663303141816297E-3</v>
      </c>
      <c r="F354" s="61">
        <v>102</v>
      </c>
      <c r="G354" s="61">
        <v>1.36751383222024E-2</v>
      </c>
      <c r="H354" s="66">
        <v>344</v>
      </c>
      <c r="I354" s="66" t="str">
        <f>H354&amp;"/"&amp;428</f>
        <v>344/428</v>
      </c>
      <c r="J354" s="68">
        <f>H354/428</f>
        <v>0.80373831775700932</v>
      </c>
      <c r="K354" s="18" t="s">
        <v>44</v>
      </c>
      <c r="L354" s="18" t="s">
        <v>45</v>
      </c>
      <c r="M354" s="58" t="s">
        <v>274</v>
      </c>
      <c r="N354" s="18">
        <f>[1]!f_prt_stocktonav(C354,"2017/03/31")</f>
        <v>86.454154968261719</v>
      </c>
      <c r="O354" s="20" t="str">
        <f>[1]!f_info_fundmanager(C354)</f>
        <v>王创练</v>
      </c>
      <c r="P354" s="21">
        <v>2.0054794520547947</v>
      </c>
      <c r="Q354" s="34" t="s">
        <v>1465</v>
      </c>
      <c r="R354" s="34" t="s">
        <v>1466</v>
      </c>
      <c r="S354" s="34" t="s">
        <v>955</v>
      </c>
      <c r="T354" s="34">
        <v>20150330</v>
      </c>
      <c r="U354" s="45">
        <v>8.9071620684999999</v>
      </c>
      <c r="V354" s="46">
        <v>9.5721984699</v>
      </c>
      <c r="W354" s="34" t="s">
        <v>3776</v>
      </c>
      <c r="X354" s="34" t="s">
        <v>44</v>
      </c>
      <c r="Y354" s="34" t="s">
        <v>45</v>
      </c>
      <c r="Z354" s="34" t="s">
        <v>274</v>
      </c>
      <c r="AA354" s="34"/>
      <c r="AB354" s="34"/>
      <c r="AC354" s="22">
        <v>0.83624465942382809</v>
      </c>
      <c r="AD354" s="23" t="s">
        <v>1467</v>
      </c>
      <c r="AE354" s="24">
        <v>1.7753424657534247</v>
      </c>
      <c r="AF354" s="25">
        <v>-3.393108837976222E-2</v>
      </c>
      <c r="AG354" s="26">
        <v>0</v>
      </c>
      <c r="AH354" s="26">
        <v>0</v>
      </c>
      <c r="AI354" s="27">
        <v>7.2654552144810827E-2</v>
      </c>
      <c r="AJ354" s="27">
        <v>7.2654552144810827E-2</v>
      </c>
      <c r="AK354" s="27">
        <v>7.2654552144810827E-2</v>
      </c>
      <c r="AL354" s="28" t="s">
        <v>1468</v>
      </c>
      <c r="AM354" s="29" t="s">
        <v>48</v>
      </c>
      <c r="AN354" s="29" t="s">
        <v>48</v>
      </c>
      <c r="AO354" s="29" t="s">
        <v>48</v>
      </c>
      <c r="AP354" s="47" t="s">
        <v>249</v>
      </c>
      <c r="AQ354" s="28">
        <v>0</v>
      </c>
      <c r="AR354" s="26">
        <v>1.4999999999999999E-2</v>
      </c>
      <c r="AS354" s="26">
        <v>0</v>
      </c>
    </row>
    <row r="355" spans="1:45" x14ac:dyDescent="0.15">
      <c r="A355" s="64">
        <v>687</v>
      </c>
      <c r="B355" s="64">
        <v>246</v>
      </c>
      <c r="C355" s="11">
        <v>377530</v>
      </c>
      <c r="D355" s="61">
        <v>820</v>
      </c>
      <c r="E355" s="61">
        <v>-4.1762566664808303E-3</v>
      </c>
      <c r="F355" s="61">
        <v>119</v>
      </c>
      <c r="G355" s="61">
        <v>7.9445553382021406E-3</v>
      </c>
      <c r="H355" s="66">
        <v>345</v>
      </c>
      <c r="I355" s="66" t="str">
        <f>H355&amp;"/"&amp;428</f>
        <v>345/428</v>
      </c>
      <c r="J355" s="68">
        <f>H355/428</f>
        <v>0.80607476635514019</v>
      </c>
      <c r="K355" s="18" t="s">
        <v>44</v>
      </c>
      <c r="L355" s="19" t="s">
        <v>45</v>
      </c>
      <c r="M355" s="59" t="s">
        <v>274</v>
      </c>
      <c r="N355" s="18">
        <f>[1]!f_prt_stocktonav(C355,"2017/03/31")</f>
        <v>90.66680908203125</v>
      </c>
      <c r="O355" s="20" t="str">
        <f>[1]!f_info_fundmanager(C355)</f>
        <v>孙芳</v>
      </c>
      <c r="P355" s="21">
        <v>2.2821917808219179</v>
      </c>
      <c r="Q355" s="32" t="s">
        <v>2738</v>
      </c>
      <c r="R355" s="13" t="s">
        <v>2739</v>
      </c>
      <c r="S355" s="13" t="s">
        <v>511</v>
      </c>
      <c r="T355" s="13">
        <v>20100128</v>
      </c>
      <c r="U355" s="14">
        <v>7.6308353974000003</v>
      </c>
      <c r="V355" s="15" t="s">
        <v>3782</v>
      </c>
      <c r="W355" s="16" t="s">
        <v>40</v>
      </c>
      <c r="X355" s="17" t="s">
        <v>44</v>
      </c>
      <c r="Y355" s="17" t="s">
        <v>45</v>
      </c>
      <c r="Z355" s="17" t="s">
        <v>274</v>
      </c>
      <c r="AA355" s="13"/>
      <c r="AB355" s="13"/>
      <c r="AC355" s="22">
        <v>0.87338928222656254</v>
      </c>
      <c r="AD355" s="23" t="s">
        <v>2229</v>
      </c>
      <c r="AE355" s="24">
        <v>2.0520547945205481</v>
      </c>
      <c r="AF355" s="25">
        <v>7.7440037497826575E-2</v>
      </c>
      <c r="AG355" s="26">
        <v>9.8246393169087329E-2</v>
      </c>
      <c r="AH355" s="26">
        <v>0.16935813077051853</v>
      </c>
      <c r="AI355" s="27">
        <v>0.35772091906709574</v>
      </c>
      <c r="AJ355" s="27">
        <v>0.39588595510970331</v>
      </c>
      <c r="AK355" s="27">
        <v>0.61739531456767216</v>
      </c>
      <c r="AL355" s="28" t="s">
        <v>1459</v>
      </c>
      <c r="AM355" s="29">
        <v>3</v>
      </c>
      <c r="AN355" s="29">
        <v>2</v>
      </c>
      <c r="AO355" s="29" t="s">
        <v>48</v>
      </c>
      <c r="AP355" s="23" t="s">
        <v>2740</v>
      </c>
      <c r="AQ355" s="30">
        <v>0</v>
      </c>
      <c r="AR355" s="31">
        <v>1.4999999999999999E-2</v>
      </c>
      <c r="AS355" s="31">
        <v>0</v>
      </c>
    </row>
    <row r="356" spans="1:45" x14ac:dyDescent="0.15">
      <c r="A356" s="64">
        <v>526</v>
      </c>
      <c r="B356" s="64">
        <v>788</v>
      </c>
      <c r="C356" s="11">
        <v>630016</v>
      </c>
      <c r="D356" s="61">
        <v>821</v>
      </c>
      <c r="E356" s="61">
        <v>-4.1773921433862996E-3</v>
      </c>
      <c r="F356" s="61">
        <v>114</v>
      </c>
      <c r="G356" s="61">
        <v>8.6637431349181095E-3</v>
      </c>
      <c r="H356" s="66">
        <v>346</v>
      </c>
      <c r="I356" s="66" t="str">
        <f>H356&amp;"/"&amp;428</f>
        <v>346/428</v>
      </c>
      <c r="J356" s="68">
        <f>H356/428</f>
        <v>0.80841121495327106</v>
      </c>
      <c r="K356" s="18" t="s">
        <v>44</v>
      </c>
      <c r="L356" s="18" t="s">
        <v>45</v>
      </c>
      <c r="M356" s="58" t="s">
        <v>274</v>
      </c>
      <c r="N356" s="18">
        <f>[1]!f_prt_stocktonav(C356,"2017/03/31")</f>
        <v>77.145668029785156</v>
      </c>
      <c r="O356" s="20" t="str">
        <f>[1]!f_info_fundmanager(C356)</f>
        <v>何奇峰</v>
      </c>
      <c r="P356" s="21">
        <v>2.1753424657534248</v>
      </c>
      <c r="Q356" s="34" t="s">
        <v>2193</v>
      </c>
      <c r="R356" s="34" t="s">
        <v>2194</v>
      </c>
      <c r="S356" s="34" t="s">
        <v>387</v>
      </c>
      <c r="T356" s="34">
        <v>20130318</v>
      </c>
      <c r="U356" s="45">
        <v>6.7200307860999997</v>
      </c>
      <c r="V356" s="46">
        <v>7.0422918726999999</v>
      </c>
      <c r="W356" s="34" t="s">
        <v>3776</v>
      </c>
      <c r="X356" s="34" t="s">
        <v>44</v>
      </c>
      <c r="Y356" s="34" t="s">
        <v>45</v>
      </c>
      <c r="Z356" s="34" t="s">
        <v>274</v>
      </c>
      <c r="AA356" s="34"/>
      <c r="AB356" s="34"/>
      <c r="AC356" s="22">
        <v>0.7550516510009766</v>
      </c>
      <c r="AD356" s="23" t="s">
        <v>2195</v>
      </c>
      <c r="AE356" s="24">
        <v>1.9452054794520548</v>
      </c>
      <c r="AF356" s="25">
        <v>0.24465733493243835</v>
      </c>
      <c r="AG356" s="26">
        <v>0.19082209100333714</v>
      </c>
      <c r="AH356" s="26">
        <v>0</v>
      </c>
      <c r="AI356" s="27">
        <v>0.79268750962555445</v>
      </c>
      <c r="AJ356" s="27">
        <v>0.63456395946670263</v>
      </c>
      <c r="AK356" s="27">
        <v>0.79268750962555445</v>
      </c>
      <c r="AL356" s="28" t="s">
        <v>240</v>
      </c>
      <c r="AM356" s="29" t="s">
        <v>48</v>
      </c>
      <c r="AN356" s="29" t="s">
        <v>48</v>
      </c>
      <c r="AO356" s="29" t="s">
        <v>48</v>
      </c>
      <c r="AP356" s="47" t="s">
        <v>1525</v>
      </c>
      <c r="AQ356" s="28">
        <v>0</v>
      </c>
      <c r="AR356" s="26">
        <v>1.4999999999999999E-2</v>
      </c>
      <c r="AS356" s="26">
        <v>0</v>
      </c>
    </row>
    <row r="357" spans="1:45" x14ac:dyDescent="0.15">
      <c r="A357" s="64">
        <v>742</v>
      </c>
      <c r="B357" s="64">
        <v>361</v>
      </c>
      <c r="C357" s="11">
        <v>379010</v>
      </c>
      <c r="D357" s="61">
        <v>822</v>
      </c>
      <c r="E357" s="61">
        <v>-4.1822855165433697E-3</v>
      </c>
      <c r="F357" s="61">
        <v>113</v>
      </c>
      <c r="G357" s="61">
        <v>2.0595931991923101E-2</v>
      </c>
      <c r="H357" s="66">
        <v>347</v>
      </c>
      <c r="I357" s="66" t="str">
        <f>H357&amp;"/"&amp;428</f>
        <v>347/428</v>
      </c>
      <c r="J357" s="68">
        <f>H357/428</f>
        <v>0.81074766355140182</v>
      </c>
      <c r="K357" s="18" t="s">
        <v>44</v>
      </c>
      <c r="L357" s="19" t="s">
        <v>45</v>
      </c>
      <c r="M357" s="59" t="s">
        <v>274</v>
      </c>
      <c r="N357" s="18">
        <f>[1]!f_prt_stocktonav(C357,"2017/03/31")</f>
        <v>88.308357238769531</v>
      </c>
      <c r="O357" s="20" t="str">
        <f>[1]!f_info_fundmanager(C357)</f>
        <v>郭晨</v>
      </c>
      <c r="P357" s="21">
        <v>2.1671232876712327</v>
      </c>
      <c r="Q357" s="32" t="s">
        <v>2925</v>
      </c>
      <c r="R357" s="13" t="s">
        <v>2926</v>
      </c>
      <c r="S357" s="13" t="s">
        <v>511</v>
      </c>
      <c r="T357" s="13">
        <v>20090121</v>
      </c>
      <c r="U357" s="14">
        <v>4.0476094687000002</v>
      </c>
      <c r="V357" s="15" t="s">
        <v>39</v>
      </c>
      <c r="W357" s="16" t="s">
        <v>40</v>
      </c>
      <c r="X357" s="17" t="s">
        <v>44</v>
      </c>
      <c r="Y357" s="17" t="s">
        <v>45</v>
      </c>
      <c r="Z357" s="17" t="s">
        <v>274</v>
      </c>
      <c r="AA357" s="13"/>
      <c r="AB357" s="13"/>
      <c r="AC357" s="22">
        <v>0.90087913513183593</v>
      </c>
      <c r="AD357" s="23" t="s">
        <v>1165</v>
      </c>
      <c r="AE357" s="24">
        <v>1.9369863013698629</v>
      </c>
      <c r="AF357" s="25">
        <v>7.9464701540976179E-2</v>
      </c>
      <c r="AG357" s="26">
        <v>0.10935204615262695</v>
      </c>
      <c r="AH357" s="26">
        <v>9.9029402148051768E-2</v>
      </c>
      <c r="AI357" s="27">
        <v>0.361233202445573</v>
      </c>
      <c r="AJ357" s="27">
        <v>0.43000206848691552</v>
      </c>
      <c r="AK357" s="27">
        <v>0.41317953122557544</v>
      </c>
      <c r="AL357" s="28" t="s">
        <v>2927</v>
      </c>
      <c r="AM357" s="29">
        <v>1</v>
      </c>
      <c r="AN357" s="29">
        <v>3</v>
      </c>
      <c r="AO357" s="29" t="s">
        <v>48</v>
      </c>
      <c r="AP357" s="23" t="s">
        <v>1909</v>
      </c>
      <c r="AQ357" s="30">
        <v>0</v>
      </c>
      <c r="AR357" s="31">
        <v>1.4999999999999999E-2</v>
      </c>
      <c r="AS357" s="31">
        <v>0</v>
      </c>
    </row>
    <row r="358" spans="1:45" x14ac:dyDescent="0.15">
      <c r="A358" s="64">
        <v>620</v>
      </c>
      <c r="B358" s="64">
        <v>110</v>
      </c>
      <c r="C358" s="11">
        <v>257070</v>
      </c>
      <c r="D358" s="61">
        <v>823</v>
      </c>
      <c r="E358" s="61">
        <v>-4.2096078084295201E-3</v>
      </c>
      <c r="F358" s="61">
        <v>163</v>
      </c>
      <c r="G358" s="61">
        <v>2.6151309494721699E-2</v>
      </c>
      <c r="H358" s="66">
        <v>348</v>
      </c>
      <c r="I358" s="66" t="str">
        <f>H358&amp;"/"&amp;428</f>
        <v>348/428</v>
      </c>
      <c r="J358" s="68">
        <f>H358/428</f>
        <v>0.81308411214953269</v>
      </c>
      <c r="K358" s="18" t="s">
        <v>44</v>
      </c>
      <c r="L358" s="18" t="s">
        <v>45</v>
      </c>
      <c r="M358" s="58" t="s">
        <v>274</v>
      </c>
      <c r="N358" s="18">
        <f>[1]!f_prt_stocktonav(C358,"2017/03/31")</f>
        <v>93.426902770996094</v>
      </c>
      <c r="O358" s="20" t="str">
        <f>[1]!f_info_fundmanager(C358)</f>
        <v>潘明</v>
      </c>
      <c r="P358" s="21">
        <v>3.1232876712328768</v>
      </c>
      <c r="Q358" s="34" t="s">
        <v>2518</v>
      </c>
      <c r="R358" s="34" t="s">
        <v>2519</v>
      </c>
      <c r="S358" s="34" t="s">
        <v>724</v>
      </c>
      <c r="T358" s="34">
        <v>20110523</v>
      </c>
      <c r="U358" s="45">
        <v>9.2790366381999991</v>
      </c>
      <c r="V358" s="46">
        <v>13.1790045252</v>
      </c>
      <c r="W358" s="34" t="s">
        <v>3776</v>
      </c>
      <c r="X358" s="34" t="s">
        <v>44</v>
      </c>
      <c r="Y358" s="34" t="s">
        <v>45</v>
      </c>
      <c r="Z358" s="34" t="s">
        <v>274</v>
      </c>
      <c r="AA358" s="34"/>
      <c r="AB358" s="34"/>
      <c r="AC358" s="22">
        <v>0.94214790344238286</v>
      </c>
      <c r="AD358" s="23" t="s">
        <v>725</v>
      </c>
      <c r="AE358" s="24">
        <v>2.893150684931507</v>
      </c>
      <c r="AF358" s="25">
        <v>0.11975381057612179</v>
      </c>
      <c r="AG358" s="26">
        <v>0.12647741466513129</v>
      </c>
      <c r="AH358" s="26">
        <v>0.17134276874146478</v>
      </c>
      <c r="AI358" s="27">
        <v>0.45697889830231414</v>
      </c>
      <c r="AJ358" s="27">
        <v>0.45590871425208007</v>
      </c>
      <c r="AK358" s="27">
        <v>0.57284994862975835</v>
      </c>
      <c r="AL358" s="28" t="s">
        <v>726</v>
      </c>
      <c r="AM358" s="29">
        <v>3</v>
      </c>
      <c r="AN358" s="29">
        <v>2</v>
      </c>
      <c r="AO358" s="29" t="s">
        <v>48</v>
      </c>
      <c r="AP358" s="47" t="s">
        <v>2520</v>
      </c>
      <c r="AQ358" s="28">
        <v>0</v>
      </c>
      <c r="AR358" s="26">
        <v>1.4999999999999999E-2</v>
      </c>
      <c r="AS358" s="26">
        <v>0</v>
      </c>
    </row>
    <row r="359" spans="1:45" x14ac:dyDescent="0.15">
      <c r="A359" s="64">
        <v>352</v>
      </c>
      <c r="B359" s="64">
        <v>889</v>
      </c>
      <c r="C359" s="11">
        <v>603</v>
      </c>
      <c r="D359" s="61">
        <v>827</v>
      </c>
      <c r="E359" s="61">
        <v>-4.3241941913434801E-3</v>
      </c>
      <c r="F359" s="61">
        <v>107</v>
      </c>
      <c r="G359" s="61">
        <v>5.8206684855626703E-2</v>
      </c>
      <c r="H359" s="66">
        <v>349</v>
      </c>
      <c r="I359" s="66" t="str">
        <f>H359&amp;"/"&amp;428</f>
        <v>349/428</v>
      </c>
      <c r="J359" s="68">
        <f>H359/428</f>
        <v>0.81542056074766356</v>
      </c>
      <c r="K359" s="18" t="s">
        <v>44</v>
      </c>
      <c r="L359" s="18" t="s">
        <v>45</v>
      </c>
      <c r="M359" s="58" t="s">
        <v>274</v>
      </c>
      <c r="N359" s="18">
        <f>[1]!f_prt_stocktonav(C359,"2017/03/31")</f>
        <v>73.1475830078125</v>
      </c>
      <c r="O359" s="20" t="str">
        <f>[1]!f_info_fundmanager(C359)</f>
        <v>樊正伟</v>
      </c>
      <c r="P359" s="21">
        <v>2.0493150684931507</v>
      </c>
      <c r="Q359" s="34" t="s">
        <v>1551</v>
      </c>
      <c r="R359" s="34" t="s">
        <v>1552</v>
      </c>
      <c r="S359" s="34" t="s">
        <v>218</v>
      </c>
      <c r="T359" s="34">
        <v>20150213</v>
      </c>
      <c r="U359" s="45">
        <v>31.181883786299998</v>
      </c>
      <c r="V359" s="46">
        <v>32.927395808299998</v>
      </c>
      <c r="W359" s="34" t="s">
        <v>201</v>
      </c>
      <c r="X359" s="34" t="s">
        <v>44</v>
      </c>
      <c r="Y359" s="34" t="s">
        <v>45</v>
      </c>
      <c r="Z359" s="34" t="s">
        <v>274</v>
      </c>
      <c r="AA359" s="34"/>
      <c r="AB359" s="34"/>
      <c r="AC359" s="22">
        <v>0.84459358215332037</v>
      </c>
      <c r="AD359" s="23" t="s">
        <v>1553</v>
      </c>
      <c r="AE359" s="24">
        <v>1.8191780821917809</v>
      </c>
      <c r="AF359" s="25">
        <v>-4.7694414934082656E-2</v>
      </c>
      <c r="AG359" s="26">
        <v>0</v>
      </c>
      <c r="AH359" s="26">
        <v>0</v>
      </c>
      <c r="AI359" s="27">
        <v>9.8048127022335674E-2</v>
      </c>
      <c r="AJ359" s="27">
        <v>9.8048127022335674E-2</v>
      </c>
      <c r="AK359" s="27">
        <v>9.8048127022335674E-2</v>
      </c>
      <c r="AL359" s="28" t="s">
        <v>1554</v>
      </c>
      <c r="AM359" s="29" t="s">
        <v>48</v>
      </c>
      <c r="AN359" s="29" t="s">
        <v>48</v>
      </c>
      <c r="AO359" s="29" t="s">
        <v>48</v>
      </c>
      <c r="AP359" s="47" t="s">
        <v>1555</v>
      </c>
      <c r="AQ359" s="28">
        <v>0</v>
      </c>
      <c r="AR359" s="26">
        <v>1.4999999999999999E-2</v>
      </c>
      <c r="AS359" s="26">
        <v>0</v>
      </c>
    </row>
    <row r="360" spans="1:45" x14ac:dyDescent="0.15">
      <c r="A360" s="64">
        <v>388</v>
      </c>
      <c r="B360" s="64">
        <v>595</v>
      </c>
      <c r="C360" s="11">
        <v>878</v>
      </c>
      <c r="D360" s="61">
        <v>828</v>
      </c>
      <c r="E360" s="61">
        <v>-4.4062895655086701E-3</v>
      </c>
      <c r="F360" s="61">
        <v>117</v>
      </c>
      <c r="G360" s="61">
        <v>2.5217794151411399E-2</v>
      </c>
      <c r="H360" s="66">
        <v>350</v>
      </c>
      <c r="I360" s="66" t="str">
        <f>H360&amp;"/"&amp;428</f>
        <v>350/428</v>
      </c>
      <c r="J360" s="68">
        <f>H360/428</f>
        <v>0.81775700934579443</v>
      </c>
      <c r="K360" s="18" t="s">
        <v>44</v>
      </c>
      <c r="L360" s="18" t="s">
        <v>86</v>
      </c>
      <c r="M360" s="58" t="s">
        <v>274</v>
      </c>
      <c r="N360" s="18">
        <f>[1]!f_prt_stocktonav(C360,"2017/03/31")</f>
        <v>82.956634521484375</v>
      </c>
      <c r="O360" s="20" t="str">
        <f>[1]!f_info_fundmanager(C360)</f>
        <v>郑磊</v>
      </c>
      <c r="P360" s="21">
        <v>2.2876712328767121</v>
      </c>
      <c r="Q360" s="34" t="s">
        <v>1681</v>
      </c>
      <c r="R360" s="34" t="s">
        <v>1682</v>
      </c>
      <c r="S360" s="34" t="s">
        <v>505</v>
      </c>
      <c r="T360" s="34">
        <v>20141217</v>
      </c>
      <c r="U360" s="45">
        <v>4.3330324670999998</v>
      </c>
      <c r="V360" s="46">
        <v>5.3647716523</v>
      </c>
      <c r="W360" s="34" t="s">
        <v>3776</v>
      </c>
      <c r="X360" s="34" t="s">
        <v>44</v>
      </c>
      <c r="Y360" s="17" t="s">
        <v>45</v>
      </c>
      <c r="Z360" s="17" t="s">
        <v>274</v>
      </c>
      <c r="AA360" s="34"/>
      <c r="AB360" s="34"/>
      <c r="AC360" s="22">
        <v>0.84946624755859379</v>
      </c>
      <c r="AD360" s="23" t="s">
        <v>1683</v>
      </c>
      <c r="AE360" s="24">
        <v>2.0575342465753423</v>
      </c>
      <c r="AF360" s="25">
        <v>4.0722455870661811E-2</v>
      </c>
      <c r="AG360" s="26">
        <v>0</v>
      </c>
      <c r="AH360" s="26">
        <v>0</v>
      </c>
      <c r="AI360" s="27">
        <v>0.25547330876080637</v>
      </c>
      <c r="AJ360" s="27">
        <v>0.25547330876080637</v>
      </c>
      <c r="AK360" s="27">
        <v>0.25547330876080637</v>
      </c>
      <c r="AL360" s="28" t="s">
        <v>1684</v>
      </c>
      <c r="AM360" s="29" t="s">
        <v>48</v>
      </c>
      <c r="AN360" s="29" t="s">
        <v>48</v>
      </c>
      <c r="AO360" s="29" t="s">
        <v>48</v>
      </c>
      <c r="AP360" s="47" t="s">
        <v>1685</v>
      </c>
      <c r="AQ360" s="28">
        <v>0</v>
      </c>
      <c r="AR360" s="26">
        <v>1.4999999999999999E-2</v>
      </c>
      <c r="AS360" s="26">
        <v>0</v>
      </c>
    </row>
    <row r="361" spans="1:45" x14ac:dyDescent="0.15">
      <c r="A361" s="64">
        <v>334</v>
      </c>
      <c r="B361" s="64">
        <v>500</v>
      </c>
      <c r="C361" s="11">
        <v>1043</v>
      </c>
      <c r="D361" s="61">
        <v>829</v>
      </c>
      <c r="E361" s="61">
        <v>-4.4161568317011898E-3</v>
      </c>
      <c r="F361" s="61">
        <v>103</v>
      </c>
      <c r="G361" s="61">
        <v>5.4919553329260198E-3</v>
      </c>
      <c r="H361" s="66">
        <v>351</v>
      </c>
      <c r="I361" s="66" t="str">
        <f>H361&amp;"/"&amp;428</f>
        <v>351/428</v>
      </c>
      <c r="J361" s="68">
        <f>H361/428</f>
        <v>0.82009345794392519</v>
      </c>
      <c r="K361" s="18" t="s">
        <v>44</v>
      </c>
      <c r="L361" s="18" t="s">
        <v>87</v>
      </c>
      <c r="M361" s="58" t="s">
        <v>274</v>
      </c>
      <c r="N361" s="18">
        <f>[1]!f_prt_stocktonav(C361,"2017/03/31")</f>
        <v>85.271713256835938</v>
      </c>
      <c r="O361" s="20" t="str">
        <f>[1]!f_info_fundmanager(C361)</f>
        <v>王君正,鄢耀</v>
      </c>
      <c r="P361" s="21">
        <v>2.0164383561643837</v>
      </c>
      <c r="Q361" s="34" t="s">
        <v>1485</v>
      </c>
      <c r="R361" s="34" t="s">
        <v>1486</v>
      </c>
      <c r="S361" s="34" t="s">
        <v>523</v>
      </c>
      <c r="T361" s="34">
        <v>20150326</v>
      </c>
      <c r="U361" s="45">
        <v>7.1758832818</v>
      </c>
      <c r="V361" s="46">
        <v>7.4782007438999996</v>
      </c>
      <c r="W361" s="34" t="s">
        <v>201</v>
      </c>
      <c r="X361" s="34" t="s">
        <v>44</v>
      </c>
      <c r="Y361" s="34" t="s">
        <v>87</v>
      </c>
      <c r="Z361" s="34" t="s">
        <v>274</v>
      </c>
      <c r="AA361" s="34" t="s">
        <v>3811</v>
      </c>
      <c r="AB361" s="34"/>
      <c r="AC361" s="22">
        <v>0.85688728332519526</v>
      </c>
      <c r="AD361" s="23" t="s">
        <v>1488</v>
      </c>
      <c r="AE361" s="24">
        <v>1.7863013698630137</v>
      </c>
      <c r="AF361" s="25">
        <v>-6.5409167653512346E-2</v>
      </c>
      <c r="AG361" s="26">
        <v>0</v>
      </c>
      <c r="AH361" s="26">
        <v>0</v>
      </c>
      <c r="AI361" s="27">
        <v>-1.4129705746938346E-2</v>
      </c>
      <c r="AJ361" s="27">
        <v>-1.4129705746938346E-2</v>
      </c>
      <c r="AK361" s="27">
        <v>-1.4129705746938346E-2</v>
      </c>
      <c r="AL361" s="33" t="s">
        <v>167</v>
      </c>
      <c r="AM361" s="29" t="s">
        <v>48</v>
      </c>
      <c r="AN361" s="29" t="s">
        <v>48</v>
      </c>
      <c r="AO361" s="29" t="s">
        <v>48</v>
      </c>
      <c r="AP361" s="47" t="s">
        <v>255</v>
      </c>
      <c r="AQ361" s="28">
        <v>0</v>
      </c>
      <c r="AR361" s="26">
        <v>1.4999999999999999E-2</v>
      </c>
      <c r="AS361" s="26">
        <v>0</v>
      </c>
    </row>
    <row r="362" spans="1:45" x14ac:dyDescent="0.15">
      <c r="A362" s="64">
        <v>287</v>
      </c>
      <c r="B362" s="64">
        <v>98</v>
      </c>
      <c r="C362" s="11">
        <v>1042</v>
      </c>
      <c r="D362" s="61">
        <v>831</v>
      </c>
      <c r="E362" s="61">
        <v>-4.4637663766774003E-3</v>
      </c>
      <c r="F362" s="61">
        <v>96</v>
      </c>
      <c r="G362" s="61">
        <v>2.6042357003818802E-2</v>
      </c>
      <c r="H362" s="66">
        <v>352</v>
      </c>
      <c r="I362" s="66" t="str">
        <f>H362&amp;"/"&amp;428</f>
        <v>352/428</v>
      </c>
      <c r="J362" s="68">
        <f>H362/428</f>
        <v>0.82242990654205606</v>
      </c>
      <c r="K362" s="18" t="s">
        <v>44</v>
      </c>
      <c r="L362" s="18" t="s">
        <v>45</v>
      </c>
      <c r="M362" s="58" t="s">
        <v>274</v>
      </c>
      <c r="N362" s="18">
        <f>[1]!f_prt_stocktonav(C362,"2017/03/31")</f>
        <v>93.622566223144531</v>
      </c>
      <c r="O362" s="20" t="str">
        <f>[1]!f_info_fundmanager(C362)</f>
        <v>林峰</v>
      </c>
      <c r="P362" s="21">
        <v>1.8794520547945206</v>
      </c>
      <c r="Q362" s="34" t="s">
        <v>1312</v>
      </c>
      <c r="R362" s="34" t="s">
        <v>1313</v>
      </c>
      <c r="S362" s="34" t="s">
        <v>143</v>
      </c>
      <c r="T362" s="34">
        <v>20150515</v>
      </c>
      <c r="U362" s="45">
        <v>31.6617804029</v>
      </c>
      <c r="V362" s="46">
        <v>34.838910054400003</v>
      </c>
      <c r="W362" s="34" t="s">
        <v>201</v>
      </c>
      <c r="X362" s="34" t="s">
        <v>44</v>
      </c>
      <c r="Y362" s="34" t="s">
        <v>45</v>
      </c>
      <c r="Z362" s="34" t="s">
        <v>274</v>
      </c>
      <c r="AA362" s="34"/>
      <c r="AB362" s="34"/>
      <c r="AC362" s="22">
        <v>0.9254442596435547</v>
      </c>
      <c r="AD362" s="23" t="s">
        <v>1314</v>
      </c>
      <c r="AE362" s="24">
        <v>1.6493150684931508</v>
      </c>
      <c r="AF362" s="25">
        <v>-0.19102240737413789</v>
      </c>
      <c r="AG362" s="26">
        <v>0</v>
      </c>
      <c r="AH362" s="26">
        <v>0</v>
      </c>
      <c r="AI362" s="27">
        <v>-0.31869947318839081</v>
      </c>
      <c r="AJ362" s="27">
        <v>-0.31869947318839081</v>
      </c>
      <c r="AK362" s="27">
        <v>-0.31869947318839081</v>
      </c>
      <c r="AL362" s="28" t="s">
        <v>1315</v>
      </c>
      <c r="AM362" s="29" t="s">
        <v>48</v>
      </c>
      <c r="AN362" s="29" t="s">
        <v>48</v>
      </c>
      <c r="AO362" s="29" t="s">
        <v>48</v>
      </c>
      <c r="AP362" s="47" t="s">
        <v>101</v>
      </c>
      <c r="AQ362" s="28">
        <v>0</v>
      </c>
      <c r="AR362" s="26">
        <v>1.4999999999999999E-2</v>
      </c>
      <c r="AS362" s="26">
        <v>0</v>
      </c>
    </row>
    <row r="363" spans="1:45" x14ac:dyDescent="0.15">
      <c r="A363" s="64">
        <v>887</v>
      </c>
      <c r="B363" s="64">
        <v>269</v>
      </c>
      <c r="C363" s="11">
        <v>481001</v>
      </c>
      <c r="D363" s="61">
        <v>832</v>
      </c>
      <c r="E363" s="61">
        <v>-4.4924738503426499E-3</v>
      </c>
      <c r="F363" s="61">
        <v>160</v>
      </c>
      <c r="G363" s="61">
        <v>2.32512494029858E-5</v>
      </c>
      <c r="H363" s="66">
        <v>353</v>
      </c>
      <c r="I363" s="66" t="str">
        <f>H363&amp;"/"&amp;428</f>
        <v>353/428</v>
      </c>
      <c r="J363" s="68">
        <f>H363/428</f>
        <v>0.82476635514018692</v>
      </c>
      <c r="K363" s="18" t="s">
        <v>44</v>
      </c>
      <c r="L363" s="18" t="s">
        <v>45</v>
      </c>
      <c r="M363" s="58" t="s">
        <v>274</v>
      </c>
      <c r="N363" s="18">
        <f>[1]!f_prt_stocktonav(C363,"2017/03/31")</f>
        <v>90.068824768066406</v>
      </c>
      <c r="O363" s="20" t="str">
        <f>[1]!f_info_fundmanager(C363)</f>
        <v>何肖颉</v>
      </c>
      <c r="P363" s="21">
        <v>3.0712328767123287</v>
      </c>
      <c r="Q363" s="34" t="s">
        <v>3445</v>
      </c>
      <c r="R363" s="34" t="s">
        <v>3446</v>
      </c>
      <c r="S363" s="34" t="s">
        <v>523</v>
      </c>
      <c r="T363" s="34">
        <v>20050831</v>
      </c>
      <c r="U363" s="45">
        <v>42.084073288399999</v>
      </c>
      <c r="V363" s="46">
        <v>43.305950850999999</v>
      </c>
      <c r="W363" s="34" t="s">
        <v>201</v>
      </c>
      <c r="X363" s="34" t="s">
        <v>44</v>
      </c>
      <c r="Y363" s="34" t="s">
        <v>45</v>
      </c>
      <c r="Z363" s="34" t="s">
        <v>274</v>
      </c>
      <c r="AA363" s="34"/>
      <c r="AB363" s="34"/>
      <c r="AC363" s="22">
        <v>0.90307235717773438</v>
      </c>
      <c r="AD363" s="23" t="s">
        <v>3447</v>
      </c>
      <c r="AE363" s="24">
        <v>2.9643835616438357</v>
      </c>
      <c r="AF363" s="25">
        <v>0.16891307770694031</v>
      </c>
      <c r="AG363" s="26">
        <v>9.8909897192304364E-2</v>
      </c>
      <c r="AH363" s="26">
        <v>9.699195399892592E-2</v>
      </c>
      <c r="AI363" s="27">
        <v>0.67510451044519459</v>
      </c>
      <c r="AJ363" s="27">
        <v>0.43191384065145455</v>
      </c>
      <c r="AK363" s="27">
        <v>0.42316898851175949</v>
      </c>
      <c r="AL363" s="28" t="s">
        <v>2966</v>
      </c>
      <c r="AM363" s="29">
        <v>2</v>
      </c>
      <c r="AN363" s="29">
        <v>2</v>
      </c>
      <c r="AO363" s="29" t="s">
        <v>48</v>
      </c>
      <c r="AP363" s="47" t="s">
        <v>679</v>
      </c>
      <c r="AQ363" s="28">
        <v>0</v>
      </c>
      <c r="AR363" s="26">
        <v>1.4999999999999999E-2</v>
      </c>
      <c r="AS363" s="26">
        <v>0</v>
      </c>
    </row>
    <row r="364" spans="1:45" x14ac:dyDescent="0.15">
      <c r="A364" s="64">
        <v>594</v>
      </c>
      <c r="B364" s="64">
        <v>167</v>
      </c>
      <c r="C364" s="11">
        <v>580008</v>
      </c>
      <c r="D364" s="61">
        <v>833</v>
      </c>
      <c r="E364" s="61">
        <v>-4.4980225956603604E-3</v>
      </c>
      <c r="F364" s="61">
        <v>171</v>
      </c>
      <c r="G364" s="61">
        <v>1.72378040592196E-3</v>
      </c>
      <c r="H364" s="66">
        <v>354</v>
      </c>
      <c r="I364" s="66" t="str">
        <f>H364&amp;"/"&amp;428</f>
        <v>354/428</v>
      </c>
      <c r="J364" s="68">
        <f>H364/428</f>
        <v>0.82710280373831779</v>
      </c>
      <c r="K364" s="18" t="s">
        <v>44</v>
      </c>
      <c r="L364" s="18" t="s">
        <v>87</v>
      </c>
      <c r="M364" s="58" t="s">
        <v>274</v>
      </c>
      <c r="N364" s="18">
        <f>[1]!f_prt_stocktonav(C364,"2017/03/31")</f>
        <v>92.429458618164062</v>
      </c>
      <c r="O364" s="20" t="str">
        <f>[1]!f_info_fundmanager(C364)</f>
        <v>戴斌</v>
      </c>
      <c r="P364" s="21">
        <v>3.2712328767123289</v>
      </c>
      <c r="Q364" s="34" t="s">
        <v>2430</v>
      </c>
      <c r="R364" s="34" t="s">
        <v>2431</v>
      </c>
      <c r="S364" s="34" t="s">
        <v>1057</v>
      </c>
      <c r="T364" s="34">
        <v>20110928</v>
      </c>
      <c r="U364" s="45">
        <v>0.95162980409999998</v>
      </c>
      <c r="V364" s="46">
        <v>1.058860194</v>
      </c>
      <c r="W364" s="34" t="s">
        <v>201</v>
      </c>
      <c r="X364" s="34" t="s">
        <v>44</v>
      </c>
      <c r="Y364" s="34" t="s">
        <v>45</v>
      </c>
      <c r="Z364" s="34" t="s">
        <v>274</v>
      </c>
      <c r="AA364" s="34"/>
      <c r="AB364" s="34"/>
      <c r="AC364" s="22">
        <v>0.88942039489746094</v>
      </c>
      <c r="AD364" s="23" t="s">
        <v>1058</v>
      </c>
      <c r="AE364" s="24">
        <v>3.0410958904109591</v>
      </c>
      <c r="AF364" s="25">
        <v>0.10577464140859739</v>
      </c>
      <c r="AG364" s="26">
        <v>0.11741810193538192</v>
      </c>
      <c r="AH364" s="26">
        <v>0.12387378555733841</v>
      </c>
      <c r="AI364" s="27">
        <v>0.43069731321522664</v>
      </c>
      <c r="AJ364" s="27">
        <v>0.43050422380195619</v>
      </c>
      <c r="AK364" s="27">
        <v>0.47651194001439756</v>
      </c>
      <c r="AL364" s="28" t="s">
        <v>2432</v>
      </c>
      <c r="AM364" s="29">
        <v>3</v>
      </c>
      <c r="AN364" s="29">
        <v>3</v>
      </c>
      <c r="AO364" s="29" t="s">
        <v>48</v>
      </c>
      <c r="AP364" s="47" t="s">
        <v>310</v>
      </c>
      <c r="AQ364" s="28">
        <v>0</v>
      </c>
      <c r="AR364" s="26">
        <v>1.4999999999999999E-2</v>
      </c>
      <c r="AS364" s="26">
        <v>0</v>
      </c>
    </row>
    <row r="365" spans="1:45" x14ac:dyDescent="0.15">
      <c r="A365" s="64">
        <v>348</v>
      </c>
      <c r="B365" s="64">
        <v>265</v>
      </c>
      <c r="C365" s="11">
        <v>1050</v>
      </c>
      <c r="D365" s="61">
        <v>834</v>
      </c>
      <c r="E365" s="61">
        <v>-4.5000584578130101E-3</v>
      </c>
      <c r="F365" s="61">
        <v>108</v>
      </c>
      <c r="G365" s="61">
        <v>3.23898394266655E-4</v>
      </c>
      <c r="H365" s="66">
        <v>355</v>
      </c>
      <c r="I365" s="66" t="str">
        <f>H365&amp;"/"&amp;428</f>
        <v>355/428</v>
      </c>
      <c r="J365" s="68">
        <f>H365/428</f>
        <v>0.82943925233644855</v>
      </c>
      <c r="K365" s="18" t="s">
        <v>44</v>
      </c>
      <c r="L365" s="18" t="s">
        <v>64</v>
      </c>
      <c r="M365" s="58" t="s">
        <v>274</v>
      </c>
      <c r="N365" s="18">
        <f>[1]!f_prt_stocktonav(C365,"2017/03/31")</f>
        <v>90.135818481445313</v>
      </c>
      <c r="O365" s="20" t="str">
        <f>[1]!f_info_fundmanager(C365)</f>
        <v>吴振翔,许一尊</v>
      </c>
      <c r="P365" s="21">
        <v>2.1205479452054794</v>
      </c>
      <c r="Q365" s="34" t="s">
        <v>1537</v>
      </c>
      <c r="R365" s="34" t="s">
        <v>1538</v>
      </c>
      <c r="S365" s="34" t="s">
        <v>331</v>
      </c>
      <c r="T365" s="34">
        <v>20150216</v>
      </c>
      <c r="U365" s="45">
        <v>17.590766049500001</v>
      </c>
      <c r="V365" s="46">
        <v>16.973237061799999</v>
      </c>
      <c r="W365" s="34" t="s">
        <v>201</v>
      </c>
      <c r="X365" s="34" t="s">
        <v>44</v>
      </c>
      <c r="Y365" s="34" t="s">
        <v>64</v>
      </c>
      <c r="Z365" s="34" t="s">
        <v>274</v>
      </c>
      <c r="AA365" s="34"/>
      <c r="AB365" s="34"/>
      <c r="AC365" s="22">
        <v>0.90126464843749998</v>
      </c>
      <c r="AD365" s="23" t="s">
        <v>1539</v>
      </c>
      <c r="AE365" s="24">
        <v>1.8904109589041096</v>
      </c>
      <c r="AF365" s="25">
        <v>7.2814086780623066E-2</v>
      </c>
      <c r="AG365" s="26">
        <v>0</v>
      </c>
      <c r="AH365" s="26">
        <v>0</v>
      </c>
      <c r="AI365" s="27">
        <v>0.33539939661635948</v>
      </c>
      <c r="AJ365" s="27">
        <v>0.33539939661635948</v>
      </c>
      <c r="AK365" s="27">
        <v>0.33539939661635948</v>
      </c>
      <c r="AL365" s="28" t="s">
        <v>1540</v>
      </c>
      <c r="AM365" s="29" t="s">
        <v>48</v>
      </c>
      <c r="AN365" s="29" t="s">
        <v>48</v>
      </c>
      <c r="AO365" s="29" t="s">
        <v>48</v>
      </c>
      <c r="AP365" s="47" t="s">
        <v>334</v>
      </c>
      <c r="AQ365" s="28">
        <v>0</v>
      </c>
      <c r="AR365" s="26">
        <v>1.4999999999999999E-2</v>
      </c>
      <c r="AS365" s="26">
        <v>0</v>
      </c>
    </row>
    <row r="366" spans="1:45" x14ac:dyDescent="0.15">
      <c r="A366" s="64">
        <v>685</v>
      </c>
      <c r="B366" s="64">
        <v>539</v>
      </c>
      <c r="C366" s="11">
        <v>550009</v>
      </c>
      <c r="D366" s="61">
        <v>837</v>
      </c>
      <c r="E366" s="61">
        <v>-4.5448637012672002E-3</v>
      </c>
      <c r="F366" s="61">
        <v>153</v>
      </c>
      <c r="G366" s="61">
        <v>1.65592993354449E-3</v>
      </c>
      <c r="H366" s="66">
        <v>356</v>
      </c>
      <c r="I366" s="66" t="str">
        <f>H366&amp;"/"&amp;428</f>
        <v>356/428</v>
      </c>
      <c r="J366" s="68">
        <f>H366/428</f>
        <v>0.83177570093457942</v>
      </c>
      <c r="K366" s="18" t="s">
        <v>44</v>
      </c>
      <c r="L366" s="18" t="s">
        <v>45</v>
      </c>
      <c r="M366" s="58" t="s">
        <v>274</v>
      </c>
      <c r="N366" s="18">
        <f>[1]!f_prt_stocktonav(C366,"2017/03/31")</f>
        <v>84.286468505859375</v>
      </c>
      <c r="O366" s="20" t="str">
        <f>[1]!f_info_fundmanager(C366)</f>
        <v>郑伟</v>
      </c>
      <c r="P366" s="21">
        <v>2.9397260273972603</v>
      </c>
      <c r="Q366" s="34" t="s">
        <v>2733</v>
      </c>
      <c r="R366" s="34" t="s">
        <v>2734</v>
      </c>
      <c r="S366" s="34" t="s">
        <v>456</v>
      </c>
      <c r="T366" s="34">
        <v>20100210</v>
      </c>
      <c r="U366" s="45">
        <v>0.58095857490000002</v>
      </c>
      <c r="V366" s="46">
        <v>0.61251375699999999</v>
      </c>
      <c r="W366" s="34" t="s">
        <v>3776</v>
      </c>
      <c r="X366" s="34" t="s">
        <v>44</v>
      </c>
      <c r="Y366" s="34" t="s">
        <v>45</v>
      </c>
      <c r="Z366" s="34" t="s">
        <v>274</v>
      </c>
      <c r="AA366" s="34"/>
      <c r="AB366" s="34"/>
      <c r="AC366" s="22">
        <v>0.77516265869140621</v>
      </c>
      <c r="AD366" s="23" t="s">
        <v>2106</v>
      </c>
      <c r="AE366" s="24">
        <v>2.7095890410958905</v>
      </c>
      <c r="AF366" s="25">
        <v>7.5665203917244739E-2</v>
      </c>
      <c r="AG366" s="26">
        <v>0.15415204784449665</v>
      </c>
      <c r="AH366" s="26">
        <v>0.16461300638805088</v>
      </c>
      <c r="AI366" s="27">
        <v>0.3508635923261138</v>
      </c>
      <c r="AJ366" s="27">
        <v>0.53071897987339733</v>
      </c>
      <c r="AK366" s="27">
        <v>0.60011655925085639</v>
      </c>
      <c r="AL366" s="28" t="s">
        <v>2735</v>
      </c>
      <c r="AM366" s="29">
        <v>5</v>
      </c>
      <c r="AN366" s="29">
        <v>5</v>
      </c>
      <c r="AO366" s="29" t="s">
        <v>48</v>
      </c>
      <c r="AP366" s="47" t="s">
        <v>310</v>
      </c>
      <c r="AQ366" s="28">
        <v>0</v>
      </c>
      <c r="AR366" s="26">
        <v>1.4999999999999999E-2</v>
      </c>
      <c r="AS366" s="26">
        <v>0</v>
      </c>
    </row>
    <row r="367" spans="1:45" x14ac:dyDescent="0.15">
      <c r="A367" s="64">
        <v>394</v>
      </c>
      <c r="B367" s="64">
        <v>290</v>
      </c>
      <c r="C367" s="11">
        <v>925</v>
      </c>
      <c r="D367" s="61">
        <v>838</v>
      </c>
      <c r="E367" s="61">
        <v>-4.5513495346473903E-3</v>
      </c>
      <c r="F367" s="61">
        <v>118</v>
      </c>
      <c r="G367" s="61">
        <v>2.8564738586355599E-2</v>
      </c>
      <c r="H367" s="66">
        <v>357</v>
      </c>
      <c r="I367" s="66" t="str">
        <f>H367&amp;"/"&amp;428</f>
        <v>357/428</v>
      </c>
      <c r="J367" s="68">
        <f>H367/428</f>
        <v>0.83411214953271029</v>
      </c>
      <c r="K367" s="18" t="s">
        <v>44</v>
      </c>
      <c r="L367" s="18" t="s">
        <v>87</v>
      </c>
      <c r="M367" s="58" t="s">
        <v>274</v>
      </c>
      <c r="N367" s="18">
        <f>[1]!f_prt_stocktonav(C367,"2017/03/31")</f>
        <v>89.594398498535156</v>
      </c>
      <c r="O367" s="20" t="str">
        <f>[1]!f_info_fundmanager(C367)</f>
        <v>韩贤旺,李威</v>
      </c>
      <c r="P367" s="21">
        <v>2.3123287671232875</v>
      </c>
      <c r="Q367" s="34" t="s">
        <v>1704</v>
      </c>
      <c r="R367" s="34" t="s">
        <v>1705</v>
      </c>
      <c r="S367" s="34" t="s">
        <v>331</v>
      </c>
      <c r="T367" s="34">
        <v>20141208</v>
      </c>
      <c r="U367" s="45">
        <v>38.207313286900003</v>
      </c>
      <c r="V367" s="46">
        <v>41.913907236999997</v>
      </c>
      <c r="W367" s="34" t="s">
        <v>3789</v>
      </c>
      <c r="X367" s="34" t="s">
        <v>44</v>
      </c>
      <c r="Y367" s="34" t="s">
        <v>87</v>
      </c>
      <c r="Z367" s="34" t="s">
        <v>274</v>
      </c>
      <c r="AA367" s="34" t="s">
        <v>3819</v>
      </c>
      <c r="AB367" s="34"/>
      <c r="AC367" s="22">
        <v>0.90857795715332035</v>
      </c>
      <c r="AD367" s="23" t="s">
        <v>1706</v>
      </c>
      <c r="AE367" s="24">
        <v>2.0821917808219177</v>
      </c>
      <c r="AF367" s="25">
        <v>2.1035020995614273E-2</v>
      </c>
      <c r="AG367" s="26">
        <v>0</v>
      </c>
      <c r="AH367" s="26">
        <v>0</v>
      </c>
      <c r="AI367" s="27">
        <v>0.25817779337762986</v>
      </c>
      <c r="AJ367" s="27">
        <v>0.25817779337762986</v>
      </c>
      <c r="AK367" s="27">
        <v>0.25817779337762986</v>
      </c>
      <c r="AL367" s="33" t="s">
        <v>1707</v>
      </c>
      <c r="AM367" s="29" t="s">
        <v>48</v>
      </c>
      <c r="AN367" s="29" t="s">
        <v>48</v>
      </c>
      <c r="AO367" s="29" t="s">
        <v>48</v>
      </c>
      <c r="AP367" s="47" t="s">
        <v>334</v>
      </c>
      <c r="AQ367" s="28">
        <v>0</v>
      </c>
      <c r="AR367" s="26">
        <v>1.4999999999999999E-2</v>
      </c>
      <c r="AS367" s="26">
        <v>0</v>
      </c>
    </row>
    <row r="368" spans="1:45" x14ac:dyDescent="0.15">
      <c r="A368" s="64">
        <v>468</v>
      </c>
      <c r="B368" s="64">
        <v>493</v>
      </c>
      <c r="C368" s="11">
        <v>535</v>
      </c>
      <c r="D368" s="61">
        <v>840</v>
      </c>
      <c r="E368" s="61">
        <v>-4.5973317582924996E-3</v>
      </c>
      <c r="F368" s="61">
        <v>101</v>
      </c>
      <c r="G368" s="61">
        <v>1.791232954376E-2</v>
      </c>
      <c r="H368" s="66">
        <v>358</v>
      </c>
      <c r="I368" s="66" t="str">
        <f>H368&amp;"/"&amp;428</f>
        <v>358/428</v>
      </c>
      <c r="J368" s="68">
        <f>H368/428</f>
        <v>0.83644859813084116</v>
      </c>
      <c r="K368" s="18" t="s">
        <v>44</v>
      </c>
      <c r="L368" s="18" t="s">
        <v>45</v>
      </c>
      <c r="M368" s="58" t="s">
        <v>274</v>
      </c>
      <c r="N368" s="18">
        <f>[1]!f_prt_stocktonav(C368,"2017/03/31")</f>
        <v>85.468704223632812</v>
      </c>
      <c r="O368" s="20" t="str">
        <f>[1]!f_info_fundmanager(C368)</f>
        <v>王超</v>
      </c>
      <c r="P368" s="21">
        <v>1.9287671232876713</v>
      </c>
      <c r="Q368" s="34" t="s">
        <v>1986</v>
      </c>
      <c r="R368" s="34" t="s">
        <v>1987</v>
      </c>
      <c r="S368" s="34" t="s">
        <v>364</v>
      </c>
      <c r="T368" s="34">
        <v>20140311</v>
      </c>
      <c r="U368" s="45">
        <v>1.6045194704000001</v>
      </c>
      <c r="V368" s="46">
        <v>1.6727371732</v>
      </c>
      <c r="W368" s="34" t="s">
        <v>3789</v>
      </c>
      <c r="X368" s="34" t="s">
        <v>44</v>
      </c>
      <c r="Y368" s="34" t="s">
        <v>45</v>
      </c>
      <c r="Z368" s="34" t="s">
        <v>274</v>
      </c>
      <c r="AA368" s="34"/>
      <c r="AB368" s="34"/>
      <c r="AC368" s="22">
        <v>0.83869087219238281</v>
      </c>
      <c r="AD368" s="23" t="s">
        <v>1988</v>
      </c>
      <c r="AE368" s="24">
        <v>1.6986301369863013</v>
      </c>
      <c r="AF368" s="25">
        <v>0.20207555565262769</v>
      </c>
      <c r="AG368" s="26">
        <v>0</v>
      </c>
      <c r="AH368" s="26">
        <v>0</v>
      </c>
      <c r="AI368" s="27">
        <v>0.70754135164734067</v>
      </c>
      <c r="AJ368" s="27">
        <v>0.70754135164734067</v>
      </c>
      <c r="AK368" s="27">
        <v>0.70754135164734067</v>
      </c>
      <c r="AL368" s="28" t="s">
        <v>1989</v>
      </c>
      <c r="AM368" s="29" t="s">
        <v>48</v>
      </c>
      <c r="AN368" s="29" t="s">
        <v>48</v>
      </c>
      <c r="AO368" s="29" t="s">
        <v>48</v>
      </c>
      <c r="AP368" s="47" t="s">
        <v>367</v>
      </c>
      <c r="AQ368" s="28">
        <v>0</v>
      </c>
      <c r="AR368" s="26">
        <v>1.4999999999999999E-2</v>
      </c>
      <c r="AS368" s="26">
        <v>0</v>
      </c>
    </row>
    <row r="369" spans="1:45" x14ac:dyDescent="0.15">
      <c r="A369" s="64">
        <v>376</v>
      </c>
      <c r="B369" s="64">
        <v>309</v>
      </c>
      <c r="C369" s="11">
        <v>867</v>
      </c>
      <c r="D369" s="61">
        <v>841</v>
      </c>
      <c r="E369" s="61">
        <v>-4.5980065433541299E-3</v>
      </c>
      <c r="F369" s="61">
        <v>112</v>
      </c>
      <c r="G369" s="61">
        <v>6.4820285295490799E-3</v>
      </c>
      <c r="H369" s="66">
        <v>359</v>
      </c>
      <c r="I369" s="66" t="str">
        <f>H369&amp;"/"&amp;428</f>
        <v>359/428</v>
      </c>
      <c r="J369" s="68">
        <f>H369/428</f>
        <v>0.83878504672897192</v>
      </c>
      <c r="K369" s="18" t="s">
        <v>44</v>
      </c>
      <c r="L369" s="18" t="s">
        <v>45</v>
      </c>
      <c r="M369" s="58" t="s">
        <v>274</v>
      </c>
      <c r="N369" s="18">
        <f>[1]!f_prt_stocktonav(C369,"2017/03/31")</f>
        <v>89.298789978027344</v>
      </c>
      <c r="O369" s="20" t="str">
        <f>[1]!f_info_fundmanager(C369)</f>
        <v>光磊,胡戈游</v>
      </c>
      <c r="P369" s="21">
        <v>2.1917808219178081</v>
      </c>
      <c r="Q369" s="34" t="s">
        <v>1641</v>
      </c>
      <c r="R369" s="34" t="s">
        <v>1642</v>
      </c>
      <c r="S369" s="34" t="s">
        <v>737</v>
      </c>
      <c r="T369" s="34">
        <v>20150121</v>
      </c>
      <c r="U369" s="45">
        <v>2.2869891427</v>
      </c>
      <c r="V369" s="46">
        <v>2.5049523153000002</v>
      </c>
      <c r="W369" s="34" t="s">
        <v>1235</v>
      </c>
      <c r="X369" s="34" t="s">
        <v>44</v>
      </c>
      <c r="Y369" s="34" t="s">
        <v>45</v>
      </c>
      <c r="Z369" s="34" t="s">
        <v>274</v>
      </c>
      <c r="AA369" s="34"/>
      <c r="AB369" s="34"/>
      <c r="AC369" s="22">
        <v>0.85269836425781254</v>
      </c>
      <c r="AD369" s="23" t="s">
        <v>1643</v>
      </c>
      <c r="AE369" s="24">
        <v>1.9616438356164383</v>
      </c>
      <c r="AF369" s="25">
        <v>-9.7157090765982237E-2</v>
      </c>
      <c r="AG369" s="26">
        <v>0</v>
      </c>
      <c r="AH369" s="26">
        <v>0</v>
      </c>
      <c r="AI369" s="27">
        <v>-0.18028970794738627</v>
      </c>
      <c r="AJ369" s="27">
        <v>-0.18028970794738627</v>
      </c>
      <c r="AK369" s="27">
        <v>-0.18028970794738627</v>
      </c>
      <c r="AL369" s="28" t="s">
        <v>1459</v>
      </c>
      <c r="AM369" s="29" t="s">
        <v>48</v>
      </c>
      <c r="AN369" s="29" t="s">
        <v>48</v>
      </c>
      <c r="AO369" s="29" t="s">
        <v>48</v>
      </c>
      <c r="AP369" s="47" t="s">
        <v>739</v>
      </c>
      <c r="AQ369" s="28">
        <v>0</v>
      </c>
      <c r="AR369" s="26">
        <v>1.4999999999999999E-2</v>
      </c>
      <c r="AS369" s="26">
        <v>0</v>
      </c>
    </row>
    <row r="370" spans="1:45" x14ac:dyDescent="0.15">
      <c r="A370" s="64">
        <v>732</v>
      </c>
      <c r="B370" s="64">
        <v>215</v>
      </c>
      <c r="C370" s="11">
        <v>519698</v>
      </c>
      <c r="D370" s="61">
        <v>842</v>
      </c>
      <c r="E370" s="61">
        <v>-4.6048480155528801E-3</v>
      </c>
      <c r="F370" s="61">
        <v>98</v>
      </c>
      <c r="G370" s="61">
        <v>2.04479396159221E-2</v>
      </c>
      <c r="H370" s="66">
        <v>360</v>
      </c>
      <c r="I370" s="66" t="str">
        <f>H370&amp;"/"&amp;428</f>
        <v>360/428</v>
      </c>
      <c r="J370" s="68">
        <f>H370/428</f>
        <v>0.84112149532710279</v>
      </c>
      <c r="K370" s="18" t="s">
        <v>44</v>
      </c>
      <c r="L370" s="18" t="s">
        <v>45</v>
      </c>
      <c r="M370" s="58" t="s">
        <v>274</v>
      </c>
      <c r="N370" s="18">
        <f>[1]!f_prt_stocktonav(C370,"2017/03/31")</f>
        <v>91.513984680175781</v>
      </c>
      <c r="O370" s="20" t="str">
        <f>[1]!f_info_fundmanager(C370)</f>
        <v>芮晨</v>
      </c>
      <c r="P370" s="21">
        <v>1.8712328767123287</v>
      </c>
      <c r="Q370" s="34" t="s">
        <v>2889</v>
      </c>
      <c r="R370" s="34" t="s">
        <v>2890</v>
      </c>
      <c r="S370" s="34" t="s">
        <v>138</v>
      </c>
      <c r="T370" s="34">
        <v>20090410</v>
      </c>
      <c r="U370" s="45">
        <v>18.266364285400002</v>
      </c>
      <c r="V370" s="46">
        <v>21.500759269100001</v>
      </c>
      <c r="W370" s="34" t="s">
        <v>231</v>
      </c>
      <c r="X370" s="34" t="s">
        <v>44</v>
      </c>
      <c r="Y370" s="34" t="s">
        <v>45</v>
      </c>
      <c r="Z370" s="34" t="s">
        <v>274</v>
      </c>
      <c r="AA370" s="34"/>
      <c r="AB370" s="34"/>
      <c r="AC370" s="22">
        <v>0.87194816589355473</v>
      </c>
      <c r="AD370" s="23" t="s">
        <v>295</v>
      </c>
      <c r="AE370" s="24">
        <v>1.6410958904109589</v>
      </c>
      <c r="AF370" s="25">
        <v>8.7064471676745914E-2</v>
      </c>
      <c r="AG370" s="26">
        <v>0.14892748887549168</v>
      </c>
      <c r="AH370" s="26">
        <v>0.141944568469897</v>
      </c>
      <c r="AI370" s="27">
        <v>0.3846891086058799</v>
      </c>
      <c r="AJ370" s="27">
        <v>0.50261348591985755</v>
      </c>
      <c r="AK370" s="27">
        <v>0.52735914635035486</v>
      </c>
      <c r="AL370" s="28" t="s">
        <v>2891</v>
      </c>
      <c r="AM370" s="29">
        <v>2</v>
      </c>
      <c r="AN370" s="29">
        <v>3</v>
      </c>
      <c r="AO370" s="29" t="s">
        <v>48</v>
      </c>
      <c r="AP370" s="47" t="s">
        <v>2892</v>
      </c>
      <c r="AQ370" s="28" t="s">
        <v>608</v>
      </c>
      <c r="AR370" s="26">
        <v>1.4999999999999999E-2</v>
      </c>
      <c r="AS370" s="26">
        <v>0</v>
      </c>
    </row>
    <row r="371" spans="1:45" x14ac:dyDescent="0.15">
      <c r="A371" s="64">
        <v>762</v>
      </c>
      <c r="B371" s="64">
        <v>179</v>
      </c>
      <c r="C371" s="11">
        <v>310368</v>
      </c>
      <c r="D371" s="61">
        <v>843</v>
      </c>
      <c r="E371" s="61">
        <v>-4.6232364496553496E-3</v>
      </c>
      <c r="F371" s="61">
        <v>165</v>
      </c>
      <c r="G371" s="61">
        <v>4.0762357678693203E-3</v>
      </c>
      <c r="H371" s="66">
        <v>361</v>
      </c>
      <c r="I371" s="66" t="str">
        <f>H371&amp;"/"&amp;428</f>
        <v>361/428</v>
      </c>
      <c r="J371" s="68">
        <f>H371/428</f>
        <v>0.84345794392523366</v>
      </c>
      <c r="K371" s="18" t="s">
        <v>44</v>
      </c>
      <c r="L371" s="18" t="s">
        <v>45</v>
      </c>
      <c r="M371" s="58" t="s">
        <v>274</v>
      </c>
      <c r="N371" s="18">
        <f>[1]!f_prt_stocktonav(C371,"2017/03/31")</f>
        <v>92.1248779296875</v>
      </c>
      <c r="O371" s="20" t="str">
        <f>[1]!f_info_fundmanager(C371)</f>
        <v>孙琳</v>
      </c>
      <c r="P371" s="21">
        <v>3.1726027397260275</v>
      </c>
      <c r="Q371" s="34" t="s">
        <v>2985</v>
      </c>
      <c r="R371" s="34" t="s">
        <v>2986</v>
      </c>
      <c r="S371" s="34" t="s">
        <v>2493</v>
      </c>
      <c r="T371" s="34">
        <v>20080704</v>
      </c>
      <c r="U371" s="45">
        <v>0.85140306600000004</v>
      </c>
      <c r="V371" s="46">
        <v>0.51020664709999997</v>
      </c>
      <c r="W371" s="34" t="s">
        <v>231</v>
      </c>
      <c r="X371" s="34" t="s">
        <v>44</v>
      </c>
      <c r="Y371" s="34" t="s">
        <v>45</v>
      </c>
      <c r="Z371" s="34" t="s">
        <v>274</v>
      </c>
      <c r="AA371" s="34"/>
      <c r="AB371" s="34"/>
      <c r="AC371" s="22">
        <v>0.90585258483886721</v>
      </c>
      <c r="AD371" s="23" t="s">
        <v>2987</v>
      </c>
      <c r="AE371" s="24">
        <v>2.9424657534246577</v>
      </c>
      <c r="AF371" s="25">
        <v>8.7748622173738688E-2</v>
      </c>
      <c r="AG371" s="26">
        <v>9.0820533959316455E-2</v>
      </c>
      <c r="AH371" s="26">
        <v>9.4367068668119961E-2</v>
      </c>
      <c r="AI371" s="27">
        <v>0.38981806047596912</v>
      </c>
      <c r="AJ371" s="27">
        <v>0.34995183426123344</v>
      </c>
      <c r="AK371" s="27">
        <v>0.40047917450771542</v>
      </c>
      <c r="AL371" s="28" t="s">
        <v>2988</v>
      </c>
      <c r="AM371" s="29">
        <v>1</v>
      </c>
      <c r="AN371" s="29">
        <v>1</v>
      </c>
      <c r="AO371" s="29" t="s">
        <v>48</v>
      </c>
      <c r="AP371" s="47" t="s">
        <v>2989</v>
      </c>
      <c r="AQ371" s="28">
        <v>0</v>
      </c>
      <c r="AR371" s="26">
        <v>1.4999999999999999E-2</v>
      </c>
      <c r="AS371" s="26">
        <v>0</v>
      </c>
    </row>
    <row r="372" spans="1:45" x14ac:dyDescent="0.15">
      <c r="A372" s="64">
        <v>870</v>
      </c>
      <c r="B372" s="64">
        <v>186</v>
      </c>
      <c r="C372" s="11">
        <v>121003</v>
      </c>
      <c r="D372" s="61">
        <v>844</v>
      </c>
      <c r="E372" s="61">
        <v>-4.6373412633536303E-3</v>
      </c>
      <c r="F372" s="61">
        <v>71</v>
      </c>
      <c r="G372" s="61">
        <v>5.2815637580038198E-3</v>
      </c>
      <c r="H372" s="66">
        <v>362</v>
      </c>
      <c r="I372" s="66" t="str">
        <f>H372&amp;"/"&amp;428</f>
        <v>362/428</v>
      </c>
      <c r="J372" s="68">
        <f>H372/428</f>
        <v>0.84579439252336452</v>
      </c>
      <c r="K372" s="18" t="s">
        <v>44</v>
      </c>
      <c r="L372" s="18" t="s">
        <v>45</v>
      </c>
      <c r="M372" s="58" t="s">
        <v>274</v>
      </c>
      <c r="N372" s="18">
        <f>[1]!f_prt_stocktonav(C372,"2017/03/31")</f>
        <v>92.019050598144531</v>
      </c>
      <c r="O372" s="20" t="str">
        <f>[1]!f_info_fundmanager(C372)</f>
        <v>于雷</v>
      </c>
      <c r="P372" s="21">
        <v>1.3589041095890411</v>
      </c>
      <c r="Q372" s="34" t="s">
        <v>3379</v>
      </c>
      <c r="R372" s="34" t="s">
        <v>3380</v>
      </c>
      <c r="S372" s="34" t="s">
        <v>452</v>
      </c>
      <c r="T372" s="34">
        <v>20060419</v>
      </c>
      <c r="U372" s="45">
        <v>11.482489360500001</v>
      </c>
      <c r="V372" s="46">
        <v>12.2008638539</v>
      </c>
      <c r="W372" s="34" t="s">
        <v>231</v>
      </c>
      <c r="X372" s="34" t="s">
        <v>44</v>
      </c>
      <c r="Y372" s="34" t="s">
        <v>45</v>
      </c>
      <c r="Z372" s="34" t="s">
        <v>274</v>
      </c>
      <c r="AA372" s="34"/>
      <c r="AB372" s="34"/>
      <c r="AC372" s="22">
        <v>0.87064949035644534</v>
      </c>
      <c r="AD372" s="23" t="s">
        <v>3381</v>
      </c>
      <c r="AE372" s="24">
        <v>1.1287671232876713</v>
      </c>
      <c r="AF372" s="25">
        <v>7.3209115793633872E-2</v>
      </c>
      <c r="AG372" s="26">
        <v>1.1739959465847605E-2</v>
      </c>
      <c r="AH372" s="26">
        <v>1.400248812582805E-2</v>
      </c>
      <c r="AI372" s="27">
        <v>0.34343131767270851</v>
      </c>
      <c r="AJ372" s="27">
        <v>0.14383486564648601</v>
      </c>
      <c r="AK372" s="27">
        <v>0.12950250849877079</v>
      </c>
      <c r="AL372" s="28" t="s">
        <v>3382</v>
      </c>
      <c r="AM372" s="29">
        <v>1</v>
      </c>
      <c r="AN372" s="29">
        <v>2</v>
      </c>
      <c r="AO372" s="29" t="s">
        <v>48</v>
      </c>
      <c r="AP372" s="47" t="s">
        <v>3051</v>
      </c>
      <c r="AQ372" s="28">
        <v>0</v>
      </c>
      <c r="AR372" s="26">
        <v>1.4999999999999999E-2</v>
      </c>
      <c r="AS372" s="26">
        <v>0</v>
      </c>
    </row>
    <row r="373" spans="1:45" x14ac:dyDescent="0.15">
      <c r="A373" s="64">
        <v>722</v>
      </c>
      <c r="B373" s="64">
        <v>82</v>
      </c>
      <c r="C373" s="11">
        <v>270021</v>
      </c>
      <c r="D373" s="61">
        <v>845</v>
      </c>
      <c r="E373" s="61">
        <v>-4.6471888239337901E-3</v>
      </c>
      <c r="F373" s="61">
        <v>118</v>
      </c>
      <c r="G373" s="61">
        <v>2.21238114302899E-4</v>
      </c>
      <c r="H373" s="66">
        <v>363</v>
      </c>
      <c r="I373" s="66" t="str">
        <f>H373&amp;"/"&amp;428</f>
        <v>363/428</v>
      </c>
      <c r="J373" s="68">
        <f>H373/428</f>
        <v>0.84813084112149528</v>
      </c>
      <c r="K373" s="18" t="s">
        <v>44</v>
      </c>
      <c r="L373" s="18" t="s">
        <v>45</v>
      </c>
      <c r="M373" s="58" t="s">
        <v>274</v>
      </c>
      <c r="N373" s="18">
        <f>[1]!f_prt_stocktonav(C373,"2017/03/31")</f>
        <v>93.871147155761719</v>
      </c>
      <c r="O373" s="20" t="str">
        <f>[1]!f_info_fundmanager(C373)</f>
        <v>王颂</v>
      </c>
      <c r="P373" s="21">
        <v>2.2684931506849315</v>
      </c>
      <c r="Q373" s="34" t="s">
        <v>2856</v>
      </c>
      <c r="R373" s="34" t="s">
        <v>2857</v>
      </c>
      <c r="S373" s="34" t="s">
        <v>132</v>
      </c>
      <c r="T373" s="34">
        <v>20090616</v>
      </c>
      <c r="U373" s="45">
        <v>10.620603983500001</v>
      </c>
      <c r="V373" s="46">
        <v>11.1931419172</v>
      </c>
      <c r="W373" s="34" t="s">
        <v>201</v>
      </c>
      <c r="X373" s="34" t="s">
        <v>44</v>
      </c>
      <c r="Y373" s="34" t="s">
        <v>45</v>
      </c>
      <c r="Z373" s="34" t="s">
        <v>274</v>
      </c>
      <c r="AA373" s="34"/>
      <c r="AB373" s="34"/>
      <c r="AC373" s="22">
        <v>0.9025775146484375</v>
      </c>
      <c r="AD373" s="23" t="s">
        <v>279</v>
      </c>
      <c r="AE373" s="24">
        <v>2.0383561643835617</v>
      </c>
      <c r="AF373" s="25">
        <v>7.537432293334323E-2</v>
      </c>
      <c r="AG373" s="26">
        <v>6.4754061870380575E-2</v>
      </c>
      <c r="AH373" s="26">
        <v>0.11891213265317833</v>
      </c>
      <c r="AI373" s="27">
        <v>0.34794253983929191</v>
      </c>
      <c r="AJ373" s="27">
        <v>0.27241389549964218</v>
      </c>
      <c r="AK373" s="27">
        <v>0.47717324169014269</v>
      </c>
      <c r="AL373" s="28" t="s">
        <v>957</v>
      </c>
      <c r="AM373" s="29">
        <v>2</v>
      </c>
      <c r="AN373" s="29">
        <v>1</v>
      </c>
      <c r="AO373" s="29" t="s">
        <v>48</v>
      </c>
      <c r="AP373" s="47" t="s">
        <v>287</v>
      </c>
      <c r="AQ373" s="28">
        <v>0</v>
      </c>
      <c r="AR373" s="26">
        <v>1.4999999999999999E-2</v>
      </c>
      <c r="AS373" s="26">
        <v>0</v>
      </c>
    </row>
    <row r="374" spans="1:45" x14ac:dyDescent="0.15">
      <c r="A374" s="64">
        <v>402</v>
      </c>
      <c r="B374" s="64">
        <v>306</v>
      </c>
      <c r="C374" s="11">
        <v>803</v>
      </c>
      <c r="D374" s="61">
        <v>846</v>
      </c>
      <c r="E374" s="61">
        <v>-4.6532405891965001E-3</v>
      </c>
      <c r="F374" s="61">
        <v>125</v>
      </c>
      <c r="G374" s="61">
        <v>3.6182163953960601E-3</v>
      </c>
      <c r="H374" s="66">
        <v>364</v>
      </c>
      <c r="I374" s="66" t="str">
        <f>H374&amp;"/"&amp;428</f>
        <v>364/428</v>
      </c>
      <c r="J374" s="68">
        <f>H374/428</f>
        <v>0.85046728971962615</v>
      </c>
      <c r="K374" s="18" t="s">
        <v>44</v>
      </c>
      <c r="L374" s="18" t="s">
        <v>45</v>
      </c>
      <c r="M374" s="58" t="s">
        <v>274</v>
      </c>
      <c r="N374" s="18">
        <f>[1]!f_prt_stocktonav(C374,"2017/03/31")</f>
        <v>89.320716857910156</v>
      </c>
      <c r="O374" s="20" t="str">
        <f>[1]!f_info_fundmanager(C374)</f>
        <v>宋炳珅,杨柯</v>
      </c>
      <c r="P374" s="21">
        <v>2.4383561643835616</v>
      </c>
      <c r="Q374" s="34" t="s">
        <v>1737</v>
      </c>
      <c r="R374" s="34" t="s">
        <v>1738</v>
      </c>
      <c r="S374" s="34" t="s">
        <v>523</v>
      </c>
      <c r="T374" s="34">
        <v>20141023</v>
      </c>
      <c r="U374" s="45">
        <v>0.75980936590000003</v>
      </c>
      <c r="V374" s="46">
        <v>0.78045904460000004</v>
      </c>
      <c r="W374" s="34" t="s">
        <v>3789</v>
      </c>
      <c r="X374" s="34" t="s">
        <v>44</v>
      </c>
      <c r="Y374" s="34" t="s">
        <v>45</v>
      </c>
      <c r="Z374" s="34" t="s">
        <v>274</v>
      </c>
      <c r="AA374" s="34"/>
      <c r="AB374" s="34"/>
      <c r="AC374" s="22">
        <v>0.88876777648925787</v>
      </c>
      <c r="AD374" s="23" t="s">
        <v>1739</v>
      </c>
      <c r="AE374" s="24">
        <v>2.2082191780821918</v>
      </c>
      <c r="AF374" s="25">
        <v>0.11666691002959496</v>
      </c>
      <c r="AG374" s="26">
        <v>0</v>
      </c>
      <c r="AH374" s="26">
        <v>0</v>
      </c>
      <c r="AI374" s="27">
        <v>0.44891937744398341</v>
      </c>
      <c r="AJ374" s="27">
        <v>0.44891937744398341</v>
      </c>
      <c r="AK374" s="27">
        <v>0.44891937744398341</v>
      </c>
      <c r="AL374" s="28" t="s">
        <v>1740</v>
      </c>
      <c r="AM374" s="29" t="s">
        <v>48</v>
      </c>
      <c r="AN374" s="29" t="s">
        <v>48</v>
      </c>
      <c r="AO374" s="29" t="s">
        <v>48</v>
      </c>
      <c r="AP374" s="47" t="s">
        <v>255</v>
      </c>
      <c r="AQ374" s="28">
        <v>0</v>
      </c>
      <c r="AR374" s="26">
        <v>1.4999999999999999E-2</v>
      </c>
      <c r="AS374" s="26">
        <v>0</v>
      </c>
    </row>
    <row r="375" spans="1:45" x14ac:dyDescent="0.15">
      <c r="A375" s="64">
        <v>423</v>
      </c>
      <c r="B375" s="64">
        <v>142</v>
      </c>
      <c r="C375" s="11">
        <v>711</v>
      </c>
      <c r="D375" s="61">
        <v>849</v>
      </c>
      <c r="E375" s="61">
        <v>-4.7112098438707502E-3</v>
      </c>
      <c r="F375" s="61">
        <v>135</v>
      </c>
      <c r="G375" s="61">
        <v>1.5749845804837799E-3</v>
      </c>
      <c r="H375" s="66">
        <v>365</v>
      </c>
      <c r="I375" s="66" t="str">
        <f>H375&amp;"/"&amp;428</f>
        <v>365/428</v>
      </c>
      <c r="J375" s="68">
        <f>H375/428</f>
        <v>0.85280373831775702</v>
      </c>
      <c r="K375" s="18" t="s">
        <v>44</v>
      </c>
      <c r="L375" s="18" t="s">
        <v>86</v>
      </c>
      <c r="M375" s="58" t="s">
        <v>274</v>
      </c>
      <c r="N375" s="18">
        <f>[1]!f_prt_stocktonav(C375,"2017/03/31")</f>
        <v>92.895027160644531</v>
      </c>
      <c r="O375" s="20" t="str">
        <f>[1]!f_info_fundmanager(C375)</f>
        <v>齐海滔</v>
      </c>
      <c r="P375" s="21">
        <v>2.6328767123287671</v>
      </c>
      <c r="Q375" s="34" t="s">
        <v>1816</v>
      </c>
      <c r="R375" s="34" t="s">
        <v>1817</v>
      </c>
      <c r="S375" s="34" t="s">
        <v>92</v>
      </c>
      <c r="T375" s="34">
        <v>20140813</v>
      </c>
      <c r="U375" s="45">
        <v>16.354790371</v>
      </c>
      <c r="V375" s="46">
        <v>15.786649066000001</v>
      </c>
      <c r="W375" s="34" t="s">
        <v>3776</v>
      </c>
      <c r="X375" s="34" t="s">
        <v>44</v>
      </c>
      <c r="Y375" s="34" t="s">
        <v>45</v>
      </c>
      <c r="Z375" s="34" t="s">
        <v>274</v>
      </c>
      <c r="AA375" s="34"/>
      <c r="AB375" s="34"/>
      <c r="AC375" s="22">
        <v>0.9303916931152344</v>
      </c>
      <c r="AD375" s="23" t="s">
        <v>1818</v>
      </c>
      <c r="AE375" s="24">
        <v>2.4027397260273973</v>
      </c>
      <c r="AF375" s="25">
        <v>0.11607705165595504</v>
      </c>
      <c r="AG375" s="26">
        <v>0</v>
      </c>
      <c r="AH375" s="26">
        <v>0</v>
      </c>
      <c r="AI375" s="27">
        <v>0.45202062105614405</v>
      </c>
      <c r="AJ375" s="27">
        <v>0.45202062105614405</v>
      </c>
      <c r="AK375" s="27">
        <v>0.45202062105614405</v>
      </c>
      <c r="AL375" s="28" t="s">
        <v>1819</v>
      </c>
      <c r="AM375" s="29" t="s">
        <v>48</v>
      </c>
      <c r="AN375" s="29" t="s">
        <v>48</v>
      </c>
      <c r="AO375" s="29" t="s">
        <v>48</v>
      </c>
      <c r="AP375" s="47" t="s">
        <v>249</v>
      </c>
      <c r="AQ375" s="28">
        <v>0</v>
      </c>
      <c r="AR375" s="26">
        <v>1.4999999999999999E-2</v>
      </c>
      <c r="AS375" s="26">
        <v>0</v>
      </c>
    </row>
    <row r="376" spans="1:45" x14ac:dyDescent="0.15">
      <c r="A376" s="64">
        <v>926</v>
      </c>
      <c r="B376" s="64">
        <v>324</v>
      </c>
      <c r="C376" s="11">
        <v>70006</v>
      </c>
      <c r="D376" s="61">
        <v>850</v>
      </c>
      <c r="E376" s="61">
        <v>-4.7403229551684E-3</v>
      </c>
      <c r="F376" s="61">
        <v>107</v>
      </c>
      <c r="G376" s="61">
        <v>1.1335267515884E-3</v>
      </c>
      <c r="H376" s="66">
        <v>366</v>
      </c>
      <c r="I376" s="66" t="str">
        <f>H376&amp;"/"&amp;428</f>
        <v>366/428</v>
      </c>
      <c r="J376" s="68">
        <f>H376/428</f>
        <v>0.85514018691588789</v>
      </c>
      <c r="K376" s="18" t="s">
        <v>44</v>
      </c>
      <c r="L376" s="18" t="s">
        <v>45</v>
      </c>
      <c r="M376" s="58" t="s">
        <v>274</v>
      </c>
      <c r="N376" s="18">
        <f>[1]!f_prt_stocktonav(C376,"2017/03/31")</f>
        <v>88.959915161132813</v>
      </c>
      <c r="O376" s="20" t="str">
        <f>[1]!f_info_fundmanager(C376)</f>
        <v>焦云</v>
      </c>
      <c r="P376" s="21">
        <v>2.0547945205479454</v>
      </c>
      <c r="Q376" s="34" t="s">
        <v>3601</v>
      </c>
      <c r="R376" s="34" t="s">
        <v>3602</v>
      </c>
      <c r="S376" s="34" t="s">
        <v>92</v>
      </c>
      <c r="T376" s="34">
        <v>20040401</v>
      </c>
      <c r="U376" s="45">
        <v>23.7925575754</v>
      </c>
      <c r="V376" s="46">
        <v>26.796064127699999</v>
      </c>
      <c r="W376" s="34" t="s">
        <v>231</v>
      </c>
      <c r="X376" s="34" t="s">
        <v>44</v>
      </c>
      <c r="Y376" s="34" t="s">
        <v>87</v>
      </c>
      <c r="Z376" s="34" t="s">
        <v>274</v>
      </c>
      <c r="AA376" s="34" t="s">
        <v>3841</v>
      </c>
      <c r="AB376" s="34"/>
      <c r="AC376" s="22">
        <v>0.92223350524902348</v>
      </c>
      <c r="AD376" s="23" t="s">
        <v>3604</v>
      </c>
      <c r="AE376" s="24">
        <v>1.8246575342465754</v>
      </c>
      <c r="AF376" s="25">
        <v>0.16529508908730192</v>
      </c>
      <c r="AG376" s="26">
        <v>0.10195426948016915</v>
      </c>
      <c r="AH376" s="26">
        <v>0.11172758639443625</v>
      </c>
      <c r="AI376" s="27">
        <v>0.68280578899570077</v>
      </c>
      <c r="AJ376" s="27">
        <v>0.42255498204217146</v>
      </c>
      <c r="AK376" s="27">
        <v>0.47022504348475508</v>
      </c>
      <c r="AL376" s="33" t="s">
        <v>3605</v>
      </c>
      <c r="AM376" s="29">
        <v>4</v>
      </c>
      <c r="AN376" s="29">
        <v>3</v>
      </c>
      <c r="AO376" s="29" t="s">
        <v>48</v>
      </c>
      <c r="AP376" s="47" t="s">
        <v>427</v>
      </c>
      <c r="AQ376" s="28" t="s">
        <v>2293</v>
      </c>
      <c r="AR376" s="26">
        <v>1.4999999999999999E-2</v>
      </c>
      <c r="AS376" s="26">
        <v>0</v>
      </c>
    </row>
    <row r="377" spans="1:45" x14ac:dyDescent="0.15">
      <c r="A377" s="64">
        <v>294</v>
      </c>
      <c r="B377" s="64">
        <v>333</v>
      </c>
      <c r="C377" s="11">
        <v>1186</v>
      </c>
      <c r="D377" s="61">
        <v>851</v>
      </c>
      <c r="E377" s="61">
        <v>-4.7810716200923304E-3</v>
      </c>
      <c r="F377" s="61">
        <v>97</v>
      </c>
      <c r="G377" s="61">
        <v>2.7656553248138802E-2</v>
      </c>
      <c r="H377" s="66">
        <v>367</v>
      </c>
      <c r="I377" s="66" t="str">
        <f>H377&amp;"/"&amp;428</f>
        <v>367/428</v>
      </c>
      <c r="J377" s="68">
        <f>H377/428</f>
        <v>0.85747663551401865</v>
      </c>
      <c r="K377" s="18" t="s">
        <v>44</v>
      </c>
      <c r="L377" s="18" t="s">
        <v>45</v>
      </c>
      <c r="M377" s="58" t="s">
        <v>274</v>
      </c>
      <c r="N377" s="18">
        <f>[1]!f_prt_stocktonav(C377,"2017/03/31")</f>
        <v>88.766197204589844</v>
      </c>
      <c r="O377" s="20" t="str">
        <f>[1]!f_info_fundmanager(C377)</f>
        <v>林庆</v>
      </c>
      <c r="P377" s="21">
        <v>1.904109589041096</v>
      </c>
      <c r="Q377" s="34" t="s">
        <v>1336</v>
      </c>
      <c r="R377" s="34" t="s">
        <v>1337</v>
      </c>
      <c r="S377" s="34" t="s">
        <v>396</v>
      </c>
      <c r="T377" s="34">
        <v>20150506</v>
      </c>
      <c r="U377" s="45">
        <v>21.070411881199998</v>
      </c>
      <c r="V377" s="46">
        <v>21.262660726</v>
      </c>
      <c r="W377" s="34" t="s">
        <v>3789</v>
      </c>
      <c r="X377" s="34" t="s">
        <v>44</v>
      </c>
      <c r="Y377" s="34" t="s">
        <v>45</v>
      </c>
      <c r="Z377" s="34" t="s">
        <v>274</v>
      </c>
      <c r="AA377" s="34"/>
      <c r="AB377" s="34"/>
      <c r="AC377" s="22">
        <v>0.85675231933593754</v>
      </c>
      <c r="AD377" s="23" t="s">
        <v>1338</v>
      </c>
      <c r="AE377" s="24">
        <v>1.6739726027397259</v>
      </c>
      <c r="AF377" s="25">
        <v>-0.12905625944930554</v>
      </c>
      <c r="AG377" s="26">
        <v>0</v>
      </c>
      <c r="AH377" s="26">
        <v>0</v>
      </c>
      <c r="AI377" s="27">
        <v>-0.14357068214972016</v>
      </c>
      <c r="AJ377" s="27">
        <v>-0.14357068214972016</v>
      </c>
      <c r="AK377" s="27">
        <v>-0.14357068214972016</v>
      </c>
      <c r="AL377" s="28" t="s">
        <v>489</v>
      </c>
      <c r="AM377" s="29" t="s">
        <v>48</v>
      </c>
      <c r="AN377" s="29" t="s">
        <v>48</v>
      </c>
      <c r="AO377" s="29" t="s">
        <v>48</v>
      </c>
      <c r="AP377" s="47" t="s">
        <v>1339</v>
      </c>
      <c r="AQ377" s="28" t="s">
        <v>608</v>
      </c>
      <c r="AR377" s="26">
        <v>1.4999999999999999E-2</v>
      </c>
      <c r="AS377" s="26">
        <v>0</v>
      </c>
    </row>
    <row r="378" spans="1:45" x14ac:dyDescent="0.15">
      <c r="A378" s="64">
        <v>758</v>
      </c>
      <c r="B378" s="64">
        <v>915</v>
      </c>
      <c r="C378" s="11">
        <v>660001</v>
      </c>
      <c r="D378" s="61">
        <v>852</v>
      </c>
      <c r="E378" s="61">
        <v>-4.7848669282933602E-3</v>
      </c>
      <c r="F378" s="61">
        <v>165</v>
      </c>
      <c r="G378" s="61">
        <v>1.5230542603011799E-4</v>
      </c>
      <c r="H378" s="66">
        <v>368</v>
      </c>
      <c r="I378" s="66" t="str">
        <f>H378&amp;"/"&amp;428</f>
        <v>368/428</v>
      </c>
      <c r="J378" s="68">
        <f>H378/428</f>
        <v>0.85981308411214952</v>
      </c>
      <c r="K378" s="18" t="s">
        <v>44</v>
      </c>
      <c r="L378" s="19" t="s">
        <v>45</v>
      </c>
      <c r="M378" s="59" t="s">
        <v>274</v>
      </c>
      <c r="N378" s="18">
        <f>[1]!f_prt_stocktonav(C378,"2017/03/31")</f>
        <v>71.7105712890625</v>
      </c>
      <c r="O378" s="20" t="str">
        <f>[1]!f_info_fundmanager(C378)</f>
        <v>郭世凯</v>
      </c>
      <c r="P378" s="21">
        <v>3.1726027397260275</v>
      </c>
      <c r="Q378" s="32" t="s">
        <v>2976</v>
      </c>
      <c r="R378" s="13" t="s">
        <v>2977</v>
      </c>
      <c r="S378" s="13" t="s">
        <v>424</v>
      </c>
      <c r="T378" s="13">
        <v>20080804</v>
      </c>
      <c r="U378" s="14">
        <v>22.493845690200001</v>
      </c>
      <c r="V378" s="15" t="s">
        <v>39</v>
      </c>
      <c r="W378" s="16" t="s">
        <v>40</v>
      </c>
      <c r="X378" s="17" t="s">
        <v>44</v>
      </c>
      <c r="Y378" s="17" t="s">
        <v>45</v>
      </c>
      <c r="Z378" s="17" t="s">
        <v>274</v>
      </c>
      <c r="AA378" s="13"/>
      <c r="AB378" s="13"/>
      <c r="AC378" s="22">
        <v>0.70528404235839848</v>
      </c>
      <c r="AD378" s="23" t="s">
        <v>700</v>
      </c>
      <c r="AE378" s="24">
        <v>2.9424657534246577</v>
      </c>
      <c r="AF378" s="25">
        <v>0.15474784942747233</v>
      </c>
      <c r="AG378" s="26">
        <v>0.10585718654727817</v>
      </c>
      <c r="AH378" s="26">
        <v>0.16929786965591531</v>
      </c>
      <c r="AI378" s="27">
        <v>0.62084906653214267</v>
      </c>
      <c r="AJ378" s="27">
        <v>0.39172873551518167</v>
      </c>
      <c r="AK378" s="27">
        <v>0.62708500180996662</v>
      </c>
      <c r="AL378" s="28" t="s">
        <v>2119</v>
      </c>
      <c r="AM378" s="29">
        <v>3</v>
      </c>
      <c r="AN378" s="29">
        <v>3</v>
      </c>
      <c r="AO378" s="29" t="s">
        <v>48</v>
      </c>
      <c r="AP378" s="23" t="s">
        <v>2978</v>
      </c>
      <c r="AQ378" s="30">
        <v>0</v>
      </c>
      <c r="AR378" s="31">
        <v>1.4999999999999999E-2</v>
      </c>
      <c r="AS378" s="31">
        <v>0</v>
      </c>
    </row>
    <row r="379" spans="1:45" x14ac:dyDescent="0.15">
      <c r="A379" s="64">
        <v>451</v>
      </c>
      <c r="B379" s="64">
        <v>637</v>
      </c>
      <c r="C379" s="11">
        <v>551</v>
      </c>
      <c r="D379" s="61">
        <v>854</v>
      </c>
      <c r="E379" s="61">
        <v>-4.8208916352057603E-3</v>
      </c>
      <c r="F379" s="61">
        <v>100</v>
      </c>
      <c r="G379" s="61">
        <v>1.0422740960387999E-3</v>
      </c>
      <c r="H379" s="66">
        <v>369</v>
      </c>
      <c r="I379" s="66" t="str">
        <f>H379&amp;"/"&amp;428</f>
        <v>369/428</v>
      </c>
      <c r="J379" s="68">
        <f>H379/428</f>
        <v>0.86214953271028039</v>
      </c>
      <c r="K379" s="18" t="s">
        <v>44</v>
      </c>
      <c r="L379" s="18" t="s">
        <v>45</v>
      </c>
      <c r="M379" s="58" t="s">
        <v>274</v>
      </c>
      <c r="N379" s="18">
        <f>[1]!f_prt_stocktonav(C379,"2017/03/31")</f>
        <v>81.907806396484375</v>
      </c>
      <c r="O379" s="20" t="str">
        <f>[1]!f_info_fundmanager(C379)</f>
        <v>张光成,闾志刚</v>
      </c>
      <c r="P379" s="21">
        <v>1.9205479452054794</v>
      </c>
      <c r="Q379" s="34" t="s">
        <v>1924</v>
      </c>
      <c r="R379" s="34" t="s">
        <v>1925</v>
      </c>
      <c r="S379" s="34" t="s">
        <v>456</v>
      </c>
      <c r="T379" s="34">
        <v>20140429</v>
      </c>
      <c r="U379" s="45">
        <v>0.17837444529999999</v>
      </c>
      <c r="V379" s="46">
        <v>0.170598482</v>
      </c>
      <c r="W379" s="34" t="s">
        <v>3776</v>
      </c>
      <c r="X379" s="34" t="s">
        <v>41</v>
      </c>
      <c r="Y379" s="34" t="s">
        <v>42</v>
      </c>
      <c r="Z379" s="34" t="s">
        <v>181</v>
      </c>
      <c r="AA379" s="34"/>
      <c r="AB379" s="34"/>
      <c r="AC379" s="22">
        <v>0.68738914489746095</v>
      </c>
      <c r="AD379" s="23" t="s">
        <v>1926</v>
      </c>
      <c r="AE379" s="24">
        <v>1.6904109589041096</v>
      </c>
      <c r="AF379" s="25">
        <v>0.21713067592297186</v>
      </c>
      <c r="AG379" s="26">
        <v>0</v>
      </c>
      <c r="AH379" s="26">
        <v>0</v>
      </c>
      <c r="AI379" s="27">
        <v>0.69524569106603196</v>
      </c>
      <c r="AJ379" s="27">
        <v>0.69524569106603196</v>
      </c>
      <c r="AK379" s="27">
        <v>0.69524569106603196</v>
      </c>
      <c r="AL379" s="28" t="s">
        <v>380</v>
      </c>
      <c r="AM379" s="29" t="s">
        <v>48</v>
      </c>
      <c r="AN379" s="29" t="s">
        <v>48</v>
      </c>
      <c r="AO379" s="29" t="s">
        <v>48</v>
      </c>
      <c r="AP379" s="47" t="s">
        <v>101</v>
      </c>
      <c r="AQ379" s="28">
        <v>0</v>
      </c>
      <c r="AR379" s="26">
        <v>1.4999999999999999E-2</v>
      </c>
      <c r="AS379" s="26">
        <v>0</v>
      </c>
    </row>
    <row r="380" spans="1:45" x14ac:dyDescent="0.15">
      <c r="A380" s="64">
        <v>393</v>
      </c>
      <c r="B380" s="64">
        <v>682</v>
      </c>
      <c r="C380" s="11">
        <v>866</v>
      </c>
      <c r="D380" s="61">
        <v>855</v>
      </c>
      <c r="E380" s="61">
        <v>-4.8277044221541297E-3</v>
      </c>
      <c r="F380" s="61">
        <v>118</v>
      </c>
      <c r="G380" s="61">
        <v>5.1233091674294205E-4</v>
      </c>
      <c r="H380" s="66">
        <v>370</v>
      </c>
      <c r="I380" s="66" t="str">
        <f>H380&amp;"/"&amp;428</f>
        <v>370/428</v>
      </c>
      <c r="J380" s="68">
        <f>H380/428</f>
        <v>0.86448598130841126</v>
      </c>
      <c r="K380" s="18" t="s">
        <v>44</v>
      </c>
      <c r="L380" s="18" t="s">
        <v>87</v>
      </c>
      <c r="M380" s="58" t="s">
        <v>274</v>
      </c>
      <c r="N380" s="18">
        <f>[1]!f_prt_stocktonav(C380,"2017/03/31")</f>
        <v>80.526611328125</v>
      </c>
      <c r="O380" s="20" t="str">
        <f>[1]!f_info_fundmanager(C380)</f>
        <v>刘自强</v>
      </c>
      <c r="P380" s="21">
        <v>2.3068493150684932</v>
      </c>
      <c r="Q380" s="34" t="s">
        <v>1700</v>
      </c>
      <c r="R380" s="34" t="s">
        <v>1701</v>
      </c>
      <c r="S380" s="34" t="s">
        <v>737</v>
      </c>
      <c r="T380" s="34">
        <v>20141210</v>
      </c>
      <c r="U380" s="45">
        <v>9.2571215089999992</v>
      </c>
      <c r="V380" s="46">
        <v>9.4819990359999995</v>
      </c>
      <c r="W380" s="34" t="s">
        <v>3789</v>
      </c>
      <c r="X380" s="34" t="s">
        <v>44</v>
      </c>
      <c r="Y380" s="34" t="s">
        <v>45</v>
      </c>
      <c r="Z380" s="34" t="s">
        <v>274</v>
      </c>
      <c r="AA380" s="34"/>
      <c r="AB380" s="34"/>
      <c r="AC380" s="22">
        <v>0.92493408203125005</v>
      </c>
      <c r="AD380" s="23" t="s">
        <v>1702</v>
      </c>
      <c r="AE380" s="24">
        <v>2.0767123287671234</v>
      </c>
      <c r="AF380" s="25">
        <v>0.16279336990692084</v>
      </c>
      <c r="AG380" s="26">
        <v>0</v>
      </c>
      <c r="AH380" s="26">
        <v>0</v>
      </c>
      <c r="AI380" s="27">
        <v>0.54168854895913632</v>
      </c>
      <c r="AJ380" s="27">
        <v>0.54168854895913632</v>
      </c>
      <c r="AK380" s="27">
        <v>0.54168854895913632</v>
      </c>
      <c r="AL380" s="28" t="s">
        <v>1703</v>
      </c>
      <c r="AM380" s="29" t="s">
        <v>48</v>
      </c>
      <c r="AN380" s="29" t="s">
        <v>48</v>
      </c>
      <c r="AO380" s="29" t="s">
        <v>48</v>
      </c>
      <c r="AP380" s="47" t="s">
        <v>739</v>
      </c>
      <c r="AQ380" s="28">
        <v>0</v>
      </c>
      <c r="AR380" s="26">
        <v>1.4999999999999999E-2</v>
      </c>
      <c r="AS380" s="26">
        <v>0</v>
      </c>
    </row>
    <row r="381" spans="1:45" x14ac:dyDescent="0.15">
      <c r="A381" s="64">
        <v>717</v>
      </c>
      <c r="B381" s="64">
        <v>958</v>
      </c>
      <c r="C381" s="11">
        <v>200011</v>
      </c>
      <c r="D381" s="61">
        <v>856</v>
      </c>
      <c r="E381" s="61">
        <v>-4.8385302945354201E-3</v>
      </c>
      <c r="F381" s="61">
        <v>153</v>
      </c>
      <c r="G381" s="61">
        <v>2.00683599998266E-4</v>
      </c>
      <c r="H381" s="66">
        <v>371</v>
      </c>
      <c r="I381" s="66" t="str">
        <f>H381&amp;"/"&amp;428</f>
        <v>371/428</v>
      </c>
      <c r="J381" s="68">
        <f>H381/428</f>
        <v>0.86682242990654201</v>
      </c>
      <c r="K381" s="18" t="s">
        <v>44</v>
      </c>
      <c r="L381" s="18" t="s">
        <v>45</v>
      </c>
      <c r="M381" s="58" t="s">
        <v>274</v>
      </c>
      <c r="N381" s="18">
        <f>[1]!f_prt_stocktonav(C381,"2017/03/31")</f>
        <v>70.175994873046875</v>
      </c>
      <c r="O381" s="20" t="str">
        <f>[1]!f_info_fundmanager(C381)</f>
        <v>赵波</v>
      </c>
      <c r="P381" s="21">
        <v>2.9369863013698629</v>
      </c>
      <c r="Q381" s="34" t="s">
        <v>2836</v>
      </c>
      <c r="R381" s="34" t="s">
        <v>2837</v>
      </c>
      <c r="S381" s="34" t="s">
        <v>1172</v>
      </c>
      <c r="T381" s="34">
        <v>20090630</v>
      </c>
      <c r="U381" s="45">
        <v>0.6832625417</v>
      </c>
      <c r="V381" s="46">
        <v>0.74108471760000005</v>
      </c>
      <c r="W381" s="34" t="s">
        <v>1235</v>
      </c>
      <c r="X381" s="34" t="s">
        <v>41</v>
      </c>
      <c r="Y381" s="17" t="s">
        <v>42</v>
      </c>
      <c r="Z381" s="17" t="s">
        <v>181</v>
      </c>
      <c r="AA381" s="34"/>
      <c r="AB381" s="34"/>
      <c r="AC381" s="22">
        <v>0.69280654907226558</v>
      </c>
      <c r="AD381" s="23" t="s">
        <v>2838</v>
      </c>
      <c r="AE381" s="24">
        <v>2.7068493150684931</v>
      </c>
      <c r="AF381" s="25">
        <v>2.2076481412599991E-2</v>
      </c>
      <c r="AG381" s="26">
        <v>3.6644033716128011E-2</v>
      </c>
      <c r="AH381" s="26">
        <v>5.0327058591693064E-2</v>
      </c>
      <c r="AI381" s="27">
        <v>0.14319516117745318</v>
      </c>
      <c r="AJ381" s="27">
        <v>0.22652899581643796</v>
      </c>
      <c r="AK381" s="27">
        <v>0.26357109553299346</v>
      </c>
      <c r="AL381" s="28" t="s">
        <v>2839</v>
      </c>
      <c r="AM381" s="29">
        <v>1</v>
      </c>
      <c r="AN381" s="29">
        <v>4</v>
      </c>
      <c r="AO381" s="29" t="s">
        <v>48</v>
      </c>
      <c r="AP381" s="47" t="s">
        <v>2337</v>
      </c>
      <c r="AQ381" s="28">
        <v>0</v>
      </c>
      <c r="AR381" s="26">
        <v>1.4999999999999999E-2</v>
      </c>
      <c r="AS381" s="26">
        <v>0</v>
      </c>
    </row>
    <row r="382" spans="1:45" x14ac:dyDescent="0.15">
      <c r="A382" s="64">
        <v>412</v>
      </c>
      <c r="B382" s="64">
        <v>134</v>
      </c>
      <c r="C382" s="11">
        <v>696</v>
      </c>
      <c r="D382" s="61">
        <v>857</v>
      </c>
      <c r="E382" s="61">
        <v>-4.8594273372425702E-3</v>
      </c>
      <c r="F382" s="61">
        <v>130</v>
      </c>
      <c r="G382" s="61">
        <v>1.68430096435981E-3</v>
      </c>
      <c r="H382" s="66">
        <v>372</v>
      </c>
      <c r="I382" s="66" t="str">
        <f>H382&amp;"/"&amp;428</f>
        <v>372/428</v>
      </c>
      <c r="J382" s="68">
        <f>H382/428</f>
        <v>0.86915887850467288</v>
      </c>
      <c r="K382" s="18" t="s">
        <v>44</v>
      </c>
      <c r="L382" s="18" t="s">
        <v>87</v>
      </c>
      <c r="M382" s="58" t="s">
        <v>274</v>
      </c>
      <c r="N382" s="18">
        <f>[1]!f_prt_stocktonav(C382,"2017/03/31")</f>
        <v>93.011848449707031</v>
      </c>
      <c r="O382" s="20" t="str">
        <f>[1]!f_info_fundmanager(C382)</f>
        <v>叶从飞</v>
      </c>
      <c r="P382" s="21">
        <v>2.5397260273972604</v>
      </c>
      <c r="Q382" s="34" t="s">
        <v>1776</v>
      </c>
      <c r="R382" s="34" t="s">
        <v>1777</v>
      </c>
      <c r="S382" s="34" t="s">
        <v>331</v>
      </c>
      <c r="T382" s="34">
        <v>20140916</v>
      </c>
      <c r="U382" s="45">
        <v>35.013171080600003</v>
      </c>
      <c r="V382" s="46">
        <v>37.701309884200001</v>
      </c>
      <c r="W382" s="34" t="s">
        <v>1235</v>
      </c>
      <c r="X382" s="34" t="s">
        <v>44</v>
      </c>
      <c r="Y382" s="34" t="s">
        <v>86</v>
      </c>
      <c r="Z382" s="34" t="s">
        <v>274</v>
      </c>
      <c r="AA382" s="34" t="s">
        <v>3823</v>
      </c>
      <c r="AB382" s="34"/>
      <c r="AC382" s="22">
        <v>0.93054748535156251</v>
      </c>
      <c r="AD382" s="23" t="s">
        <v>1779</v>
      </c>
      <c r="AE382" s="24">
        <v>2.3095890410958906</v>
      </c>
      <c r="AF382" s="25">
        <v>0.15963690102132344</v>
      </c>
      <c r="AG382" s="26">
        <v>0</v>
      </c>
      <c r="AH382" s="26">
        <v>0</v>
      </c>
      <c r="AI382" s="27">
        <v>0.53700629488539875</v>
      </c>
      <c r="AJ382" s="27">
        <v>0.53700629488539875</v>
      </c>
      <c r="AK382" s="27">
        <v>0.53700629488539875</v>
      </c>
      <c r="AL382" s="33" t="s">
        <v>1780</v>
      </c>
      <c r="AM382" s="29" t="s">
        <v>48</v>
      </c>
      <c r="AN382" s="29" t="s">
        <v>48</v>
      </c>
      <c r="AO382" s="29" t="s">
        <v>48</v>
      </c>
      <c r="AP382" s="47" t="s">
        <v>334</v>
      </c>
      <c r="AQ382" s="28">
        <v>0</v>
      </c>
      <c r="AR382" s="26">
        <v>1.4999999999999999E-2</v>
      </c>
      <c r="AS382" s="26">
        <v>0</v>
      </c>
    </row>
    <row r="383" spans="1:45" x14ac:dyDescent="0.15">
      <c r="A383" s="64">
        <v>830</v>
      </c>
      <c r="B383" s="64">
        <v>75</v>
      </c>
      <c r="C383" s="11">
        <v>162208</v>
      </c>
      <c r="D383" s="61">
        <v>859</v>
      </c>
      <c r="E383" s="61">
        <v>-4.8836816411719497E-3</v>
      </c>
      <c r="F383" s="61">
        <v>123</v>
      </c>
      <c r="G383" s="61">
        <v>9.2417568617565097E-4</v>
      </c>
      <c r="H383" s="66">
        <v>373</v>
      </c>
      <c r="I383" s="66" t="str">
        <f>H383&amp;"/"&amp;428</f>
        <v>373/428</v>
      </c>
      <c r="J383" s="68">
        <f>H383/428</f>
        <v>0.87149532710280375</v>
      </c>
      <c r="K383" s="18" t="s">
        <v>44</v>
      </c>
      <c r="L383" s="18" t="s">
        <v>45</v>
      </c>
      <c r="M383" s="58" t="s">
        <v>274</v>
      </c>
      <c r="N383" s="18">
        <f>[1]!f_prt_stocktonav(C383,"2017/03/31")</f>
        <v>93.980247497558594</v>
      </c>
      <c r="O383" s="20" t="str">
        <f>[1]!f_info_fundmanager(C383)</f>
        <v>张勋</v>
      </c>
      <c r="P383" s="21">
        <v>2.3589041095890413</v>
      </c>
      <c r="Q383" s="34" t="s">
        <v>3227</v>
      </c>
      <c r="R383" s="34" t="s">
        <v>3228</v>
      </c>
      <c r="S383" s="34" t="s">
        <v>263</v>
      </c>
      <c r="T383" s="34">
        <v>20061201</v>
      </c>
      <c r="U383" s="45">
        <v>5.5402638286999997</v>
      </c>
      <c r="V383" s="46">
        <v>4.6540583649</v>
      </c>
      <c r="W383" s="34" t="s">
        <v>231</v>
      </c>
      <c r="X383" s="34" t="s">
        <v>41</v>
      </c>
      <c r="Y383" s="17" t="s">
        <v>42</v>
      </c>
      <c r="Z383" s="17" t="s">
        <v>181</v>
      </c>
      <c r="AA383" s="34"/>
      <c r="AB383" s="34"/>
      <c r="AC383" s="22">
        <v>0.44301830291748046</v>
      </c>
      <c r="AD383" s="23" t="s">
        <v>1734</v>
      </c>
      <c r="AE383" s="24">
        <v>2.128767123287671</v>
      </c>
      <c r="AF383" s="25">
        <v>6.6655544417917101E-2</v>
      </c>
      <c r="AG383" s="26">
        <v>6.2740292369162676E-2</v>
      </c>
      <c r="AH383" s="26">
        <v>9.8778963623508353E-2</v>
      </c>
      <c r="AI383" s="27">
        <v>0.31801332725930359</v>
      </c>
      <c r="AJ383" s="27">
        <v>0.29699494894691536</v>
      </c>
      <c r="AK383" s="27">
        <v>0.41519510680742056</v>
      </c>
      <c r="AL383" s="28" t="s">
        <v>3229</v>
      </c>
      <c r="AM383" s="29">
        <v>2</v>
      </c>
      <c r="AN383" s="29">
        <v>1</v>
      </c>
      <c r="AO383" s="29" t="s">
        <v>48</v>
      </c>
      <c r="AP383" s="47" t="s">
        <v>2582</v>
      </c>
      <c r="AQ383" s="28">
        <v>0</v>
      </c>
      <c r="AR383" s="26">
        <v>1.4999999999999999E-2</v>
      </c>
      <c r="AS383" s="26">
        <v>0</v>
      </c>
    </row>
    <row r="384" spans="1:45" x14ac:dyDescent="0.15">
      <c r="A384" s="64">
        <v>277</v>
      </c>
      <c r="B384" s="64">
        <v>683</v>
      </c>
      <c r="C384" s="11">
        <v>1152</v>
      </c>
      <c r="D384" s="61">
        <v>860</v>
      </c>
      <c r="E384" s="61">
        <v>-4.8965606470105904E-3</v>
      </c>
      <c r="F384" s="61">
        <v>95</v>
      </c>
      <c r="G384" s="61">
        <v>1.79299407697673E-2</v>
      </c>
      <c r="H384" s="66">
        <v>374</v>
      </c>
      <c r="I384" s="66" t="str">
        <f>H384&amp;"/"&amp;428</f>
        <v>374/428</v>
      </c>
      <c r="J384" s="68">
        <f>H384/428</f>
        <v>0.87383177570093462</v>
      </c>
      <c r="K384" s="18" t="s">
        <v>44</v>
      </c>
      <c r="L384" s="18" t="s">
        <v>87</v>
      </c>
      <c r="M384" s="58" t="s">
        <v>274</v>
      </c>
      <c r="N384" s="18">
        <f>[1]!f_prt_stocktonav(C384,"2017/03/31")</f>
        <v>80.468048095703125</v>
      </c>
      <c r="O384" s="20" t="str">
        <f>[1]!f_info_fundmanager(C384)</f>
        <v>杨博琳</v>
      </c>
      <c r="P384" s="21">
        <v>1.8657534246575342</v>
      </c>
      <c r="Q384" s="34" t="s">
        <v>1272</v>
      </c>
      <c r="R384" s="34" t="s">
        <v>1273</v>
      </c>
      <c r="S384" s="34" t="s">
        <v>230</v>
      </c>
      <c r="T384" s="34">
        <v>20150520</v>
      </c>
      <c r="U384" s="45">
        <v>10.990020705599999</v>
      </c>
      <c r="V384" s="46">
        <v>12.102364011500001</v>
      </c>
      <c r="W384" s="34" t="s">
        <v>3789</v>
      </c>
      <c r="X384" s="34" t="s">
        <v>44</v>
      </c>
      <c r="Y384" s="34" t="s">
        <v>45</v>
      </c>
      <c r="Z384" s="34" t="s">
        <v>274</v>
      </c>
      <c r="AA384" s="34"/>
      <c r="AB384" s="34"/>
      <c r="AC384" s="22">
        <v>0.80261138916015629</v>
      </c>
      <c r="AD384" s="23" t="s">
        <v>1274</v>
      </c>
      <c r="AE384" s="24">
        <v>1.6356164383561644</v>
      </c>
      <c r="AF384" s="25">
        <v>-0.3270657554486206</v>
      </c>
      <c r="AG384" s="26">
        <v>0</v>
      </c>
      <c r="AH384" s="26">
        <v>0</v>
      </c>
      <c r="AI384" s="27">
        <v>-0.95777793266640177</v>
      </c>
      <c r="AJ384" s="27">
        <v>-0.95777793266640177</v>
      </c>
      <c r="AK384" s="27">
        <v>-0.95777793266640177</v>
      </c>
      <c r="AL384" s="28" t="s">
        <v>1275</v>
      </c>
      <c r="AM384" s="29" t="s">
        <v>48</v>
      </c>
      <c r="AN384" s="29" t="s">
        <v>48</v>
      </c>
      <c r="AO384" s="29" t="s">
        <v>48</v>
      </c>
      <c r="AP384" s="47" t="s">
        <v>1276</v>
      </c>
      <c r="AQ384" s="28" t="s">
        <v>1277</v>
      </c>
      <c r="AR384" s="26">
        <v>1.4999999999999999E-2</v>
      </c>
      <c r="AS384" s="26">
        <v>0</v>
      </c>
    </row>
    <row r="385" spans="1:45" x14ac:dyDescent="0.15">
      <c r="A385" s="64">
        <v>501</v>
      </c>
      <c r="B385" s="64">
        <v>567</v>
      </c>
      <c r="C385" s="11">
        <v>209</v>
      </c>
      <c r="D385" s="61">
        <v>861</v>
      </c>
      <c r="E385" s="61">
        <v>-4.9291819803797899E-3</v>
      </c>
      <c r="F385" s="61">
        <v>189</v>
      </c>
      <c r="G385" s="61">
        <v>2.6897278297559899E-4</v>
      </c>
      <c r="H385" s="66">
        <v>375</v>
      </c>
      <c r="I385" s="66" t="str">
        <f>H385&amp;"/"&amp;428</f>
        <v>375/428</v>
      </c>
      <c r="J385" s="68">
        <f>H385/428</f>
        <v>0.87616822429906538</v>
      </c>
      <c r="K385" s="18" t="s">
        <v>44</v>
      </c>
      <c r="L385" s="18" t="s">
        <v>87</v>
      </c>
      <c r="M385" s="58" t="s">
        <v>274</v>
      </c>
      <c r="N385" s="18">
        <f>[1]!f_prt_stocktonav(C385,"2017/03/31")</f>
        <v>83.62213134765625</v>
      </c>
      <c r="O385" s="20" t="str">
        <f>[1]!f_info_fundmanager(C385)</f>
        <v>郑伟,杨旭</v>
      </c>
      <c r="P385" s="21">
        <v>3.6246575342465754</v>
      </c>
      <c r="Q385" s="34" t="s">
        <v>2104</v>
      </c>
      <c r="R385" s="34" t="s">
        <v>2105</v>
      </c>
      <c r="S385" s="34" t="s">
        <v>456</v>
      </c>
      <c r="T385" s="34">
        <v>20130717</v>
      </c>
      <c r="U385" s="45">
        <v>0.26809860969999999</v>
      </c>
      <c r="V385" s="46">
        <v>0.28837946060000003</v>
      </c>
      <c r="W385" s="34" t="s">
        <v>201</v>
      </c>
      <c r="X385" s="34" t="s">
        <v>44</v>
      </c>
      <c r="Y385" s="34" t="s">
        <v>45</v>
      </c>
      <c r="Z385" s="34" t="s">
        <v>274</v>
      </c>
      <c r="AA385" s="34"/>
      <c r="AB385" s="34"/>
      <c r="AC385" s="22">
        <v>0.76686569213867184</v>
      </c>
      <c r="AD385" s="23" t="s">
        <v>2106</v>
      </c>
      <c r="AE385" s="24">
        <v>3.3945205479452056</v>
      </c>
      <c r="AF385" s="25">
        <v>0.15639334849895037</v>
      </c>
      <c r="AG385" s="26">
        <v>0.18499460635275766</v>
      </c>
      <c r="AH385" s="26">
        <v>0</v>
      </c>
      <c r="AI385" s="27">
        <v>0.54792469563421731</v>
      </c>
      <c r="AJ385" s="27">
        <v>0.59521885445123912</v>
      </c>
      <c r="AK385" s="27">
        <v>0.54792469563421731</v>
      </c>
      <c r="AL385" s="28" t="s">
        <v>2107</v>
      </c>
      <c r="AM385" s="29" t="s">
        <v>48</v>
      </c>
      <c r="AN385" s="29" t="s">
        <v>48</v>
      </c>
      <c r="AO385" s="29" t="s">
        <v>48</v>
      </c>
      <c r="AP385" s="47" t="s">
        <v>101</v>
      </c>
      <c r="AQ385" s="28">
        <v>0</v>
      </c>
      <c r="AR385" s="26">
        <v>1.4999999999999999E-2</v>
      </c>
      <c r="AS385" s="26">
        <v>0</v>
      </c>
    </row>
    <row r="386" spans="1:45" x14ac:dyDescent="0.15">
      <c r="A386" s="64">
        <v>897</v>
      </c>
      <c r="B386" s="64">
        <v>335</v>
      </c>
      <c r="C386" s="11">
        <v>213002</v>
      </c>
      <c r="D386" s="61">
        <v>862</v>
      </c>
      <c r="E386" s="61">
        <v>-4.9464340951064301E-3</v>
      </c>
      <c r="F386" s="61">
        <v>150</v>
      </c>
      <c r="G386" s="61">
        <v>2.22599486689637E-4</v>
      </c>
      <c r="H386" s="66">
        <v>376</v>
      </c>
      <c r="I386" s="66" t="str">
        <f>H386&amp;"/"&amp;428</f>
        <v>376/428</v>
      </c>
      <c r="J386" s="68">
        <f>H386/428</f>
        <v>0.87850467289719625</v>
      </c>
      <c r="K386" s="18" t="s">
        <v>44</v>
      </c>
      <c r="L386" s="18" t="s">
        <v>45</v>
      </c>
      <c r="M386" s="58" t="s">
        <v>274</v>
      </c>
      <c r="N386" s="18">
        <f>[1]!f_prt_stocktonav(C386,"2017/03/31")</f>
        <v>88.746208190917969</v>
      </c>
      <c r="O386" s="20" t="str">
        <f>[1]!f_info_fundmanager(C386)</f>
        <v>盖俊龙</v>
      </c>
      <c r="P386" s="21">
        <v>2.8767123287671232</v>
      </c>
      <c r="Q386" s="34" t="s">
        <v>3485</v>
      </c>
      <c r="R386" s="34" t="s">
        <v>3486</v>
      </c>
      <c r="S386" s="34" t="s">
        <v>402</v>
      </c>
      <c r="T386" s="34">
        <v>20050308</v>
      </c>
      <c r="U386" s="45">
        <v>15.0118365127</v>
      </c>
      <c r="V386" s="46">
        <v>15.6851782955</v>
      </c>
      <c r="W386" s="34" t="s">
        <v>231</v>
      </c>
      <c r="X386" s="34" t="s">
        <v>44</v>
      </c>
      <c r="Y386" s="34" t="s">
        <v>45</v>
      </c>
      <c r="Z386" s="34" t="s">
        <v>274</v>
      </c>
      <c r="AA386" s="34"/>
      <c r="AB386" s="34"/>
      <c r="AC386" s="22">
        <v>0.89474220275878902</v>
      </c>
      <c r="AD386" s="23" t="s">
        <v>873</v>
      </c>
      <c r="AE386" s="24">
        <v>2.6465753424657534</v>
      </c>
      <c r="AF386" s="25">
        <v>8.3859960909886677E-2</v>
      </c>
      <c r="AG386" s="26">
        <v>0.12864031098409412</v>
      </c>
      <c r="AH386" s="26">
        <v>0.11164518551772161</v>
      </c>
      <c r="AI386" s="27">
        <v>0.37591441838254386</v>
      </c>
      <c r="AJ386" s="27">
        <v>0.49046469030889822</v>
      </c>
      <c r="AK386" s="27">
        <v>0.45124950051928769</v>
      </c>
      <c r="AL386" s="28" t="s">
        <v>3487</v>
      </c>
      <c r="AM386" s="29">
        <v>1</v>
      </c>
      <c r="AN386" s="29">
        <v>3</v>
      </c>
      <c r="AO386" s="29" t="s">
        <v>48</v>
      </c>
      <c r="AP386" s="47" t="s">
        <v>3488</v>
      </c>
      <c r="AQ386" s="28">
        <v>0</v>
      </c>
      <c r="AR386" s="26">
        <v>1.4999999999999999E-2</v>
      </c>
      <c r="AS386" s="26">
        <v>0</v>
      </c>
    </row>
    <row r="387" spans="1:45" x14ac:dyDescent="0.15">
      <c r="A387" s="64">
        <v>438</v>
      </c>
      <c r="B387" s="64">
        <v>302</v>
      </c>
      <c r="C387" s="11">
        <v>519126</v>
      </c>
      <c r="D387" s="61">
        <v>863</v>
      </c>
      <c r="E387" s="61">
        <v>-5.0352889854786004E-3</v>
      </c>
      <c r="F387" s="61">
        <v>140</v>
      </c>
      <c r="G387" s="61">
        <v>2.0683208565331901E-3</v>
      </c>
      <c r="H387" s="66">
        <v>377</v>
      </c>
      <c r="I387" s="66" t="str">
        <f>H387&amp;"/"&amp;428</f>
        <v>377/428</v>
      </c>
      <c r="J387" s="68">
        <f>H387/428</f>
        <v>0.88084112149532712</v>
      </c>
      <c r="K387" s="18" t="s">
        <v>44</v>
      </c>
      <c r="L387" s="18" t="s">
        <v>45</v>
      </c>
      <c r="M387" s="58" t="s">
        <v>274</v>
      </c>
      <c r="N387" s="18">
        <f>[1]!f_prt_stocktonav(C387,"2017/03/31")</f>
        <v>89.4083251953125</v>
      </c>
      <c r="O387" s="20" t="str">
        <f>[1]!f_info_fundmanager(C387)</f>
        <v>褚艳辉</v>
      </c>
      <c r="P387" s="21">
        <v>2.6767123287671235</v>
      </c>
      <c r="Q387" s="34" t="s">
        <v>1874</v>
      </c>
      <c r="R387" s="34" t="s">
        <v>1875</v>
      </c>
      <c r="S387" s="34" t="s">
        <v>649</v>
      </c>
      <c r="T387" s="34">
        <v>20140520</v>
      </c>
      <c r="U387" s="45">
        <v>1.2304290808</v>
      </c>
      <c r="V387" s="46">
        <v>1.2944241889999999</v>
      </c>
      <c r="W387" s="34" t="s">
        <v>3776</v>
      </c>
      <c r="X387" s="34" t="s">
        <v>44</v>
      </c>
      <c r="Y387" s="34" t="s">
        <v>45</v>
      </c>
      <c r="Z387" s="34" t="s">
        <v>274</v>
      </c>
      <c r="AA387" s="34"/>
      <c r="AB387" s="34"/>
      <c r="AC387" s="22">
        <v>0.87036987304687496</v>
      </c>
      <c r="AD387" s="23" t="s">
        <v>1876</v>
      </c>
      <c r="AE387" s="24">
        <v>2.4465753424657533</v>
      </c>
      <c r="AF387" s="25">
        <v>0.1335134202965127</v>
      </c>
      <c r="AG387" s="26">
        <v>0</v>
      </c>
      <c r="AH387" s="26">
        <v>0</v>
      </c>
      <c r="AI387" s="27">
        <v>0.48506560467773174</v>
      </c>
      <c r="AJ387" s="27">
        <v>0.48506560467773174</v>
      </c>
      <c r="AK387" s="27">
        <v>0.48506560467773174</v>
      </c>
      <c r="AL387" s="28" t="s">
        <v>1877</v>
      </c>
      <c r="AM387" s="29" t="s">
        <v>48</v>
      </c>
      <c r="AN387" s="29" t="s">
        <v>48</v>
      </c>
      <c r="AO387" s="29" t="s">
        <v>48</v>
      </c>
      <c r="AP387" s="47" t="s">
        <v>652</v>
      </c>
      <c r="AQ387" s="28">
        <v>0</v>
      </c>
      <c r="AR387" s="26">
        <v>1.4999999999999999E-2</v>
      </c>
      <c r="AS387" s="26">
        <v>0</v>
      </c>
    </row>
    <row r="388" spans="1:45" x14ac:dyDescent="0.15">
      <c r="A388" s="64">
        <v>366</v>
      </c>
      <c r="B388" s="64">
        <v>681</v>
      </c>
      <c r="C388" s="11">
        <v>994</v>
      </c>
      <c r="D388" s="61">
        <v>864</v>
      </c>
      <c r="E388" s="61">
        <v>-5.0438599817752604E-3</v>
      </c>
      <c r="F388" s="61">
        <v>110</v>
      </c>
      <c r="G388" s="61">
        <v>7.0197925909789797E-3</v>
      </c>
      <c r="H388" s="66">
        <v>378</v>
      </c>
      <c r="I388" s="66" t="str">
        <f>H388&amp;"/"&amp;428</f>
        <v>378/428</v>
      </c>
      <c r="J388" s="68">
        <f>H388/428</f>
        <v>0.88317757009345799</v>
      </c>
      <c r="K388" s="18" t="s">
        <v>44</v>
      </c>
      <c r="L388" s="18" t="s">
        <v>45</v>
      </c>
      <c r="M388" s="58" t="s">
        <v>274</v>
      </c>
      <c r="N388" s="18">
        <f>[1]!f_prt_stocktonav(C388,"2017/03/31")</f>
        <v>80.628555297851563</v>
      </c>
      <c r="O388" s="20" t="str">
        <f>[1]!f_info_fundmanager(C388)</f>
        <v>许杰</v>
      </c>
      <c r="P388" s="21">
        <v>2.1561643835616437</v>
      </c>
      <c r="Q388" s="34" t="s">
        <v>1605</v>
      </c>
      <c r="R388" s="34" t="s">
        <v>1606</v>
      </c>
      <c r="S388" s="34" t="s">
        <v>307</v>
      </c>
      <c r="T388" s="34">
        <v>20150203</v>
      </c>
      <c r="U388" s="45">
        <v>2.9139024159</v>
      </c>
      <c r="V388" s="46">
        <v>3.0339749752</v>
      </c>
      <c r="W388" s="34" t="s">
        <v>201</v>
      </c>
      <c r="X388" s="34" t="s">
        <v>44</v>
      </c>
      <c r="Y388" s="34" t="s">
        <v>45</v>
      </c>
      <c r="Z388" s="34" t="s">
        <v>274</v>
      </c>
      <c r="AA388" s="34"/>
      <c r="AB388" s="34"/>
      <c r="AC388" s="22">
        <v>0.73198806762695312</v>
      </c>
      <c r="AD388" s="23" t="s">
        <v>1241</v>
      </c>
      <c r="AE388" s="24">
        <v>1.9260273972602739</v>
      </c>
      <c r="AF388" s="25">
        <v>-2.3789869108455375E-2</v>
      </c>
      <c r="AG388" s="26">
        <v>0</v>
      </c>
      <c r="AH388" s="26">
        <v>0</v>
      </c>
      <c r="AI388" s="27">
        <v>5.6020410766247121E-2</v>
      </c>
      <c r="AJ388" s="27">
        <v>5.6020410766247121E-2</v>
      </c>
      <c r="AK388" s="27">
        <v>5.6020410766247121E-2</v>
      </c>
      <c r="AL388" s="28" t="s">
        <v>1607</v>
      </c>
      <c r="AM388" s="29" t="s">
        <v>48</v>
      </c>
      <c r="AN388" s="29" t="s">
        <v>48</v>
      </c>
      <c r="AO388" s="29" t="s">
        <v>48</v>
      </c>
      <c r="AP388" s="47" t="s">
        <v>310</v>
      </c>
      <c r="AQ388" s="28">
        <v>0</v>
      </c>
      <c r="AR388" s="26">
        <v>1.4999999999999999E-2</v>
      </c>
      <c r="AS388" s="26">
        <v>0</v>
      </c>
    </row>
    <row r="389" spans="1:45" x14ac:dyDescent="0.15">
      <c r="A389" s="64">
        <v>818</v>
      </c>
      <c r="B389" s="64">
        <v>370</v>
      </c>
      <c r="C389" s="11">
        <v>398021</v>
      </c>
      <c r="D389" s="61">
        <v>865</v>
      </c>
      <c r="E389" s="61">
        <v>-5.0443518948733402E-3</v>
      </c>
      <c r="F389" s="61">
        <v>102</v>
      </c>
      <c r="G389" s="61">
        <v>6.5923868111194203E-2</v>
      </c>
      <c r="H389" s="66">
        <v>379</v>
      </c>
      <c r="I389" s="66" t="str">
        <f>H389&amp;"/"&amp;428</f>
        <v>379/428</v>
      </c>
      <c r="J389" s="68">
        <f>H389/428</f>
        <v>0.88551401869158874</v>
      </c>
      <c r="K389" s="18" t="s">
        <v>44</v>
      </c>
      <c r="L389" s="18" t="s">
        <v>45</v>
      </c>
      <c r="M389" s="58" t="s">
        <v>274</v>
      </c>
      <c r="N389" s="18">
        <f>[1]!f_prt_stocktonav(C389,"2017/03/31")</f>
        <v>88.08306884765625</v>
      </c>
      <c r="O389" s="20" t="str">
        <f>[1]!f_info_fundmanager(C389)</f>
        <v>姚晨曦</v>
      </c>
      <c r="P389" s="21">
        <v>1.9561643835616438</v>
      </c>
      <c r="Q389" s="34" t="s">
        <v>3184</v>
      </c>
      <c r="R389" s="34" t="s">
        <v>3185</v>
      </c>
      <c r="S389" s="34" t="s">
        <v>505</v>
      </c>
      <c r="T389" s="34">
        <v>20070313</v>
      </c>
      <c r="U389" s="45">
        <v>13.9774392359</v>
      </c>
      <c r="V389" s="46">
        <v>14.783078805100001</v>
      </c>
      <c r="W389" s="34" t="s">
        <v>231</v>
      </c>
      <c r="X389" s="34" t="s">
        <v>44</v>
      </c>
      <c r="Y389" s="34" t="s">
        <v>45</v>
      </c>
      <c r="Z389" s="34" t="s">
        <v>274</v>
      </c>
      <c r="AA389" s="34"/>
      <c r="AB389" s="34"/>
      <c r="AC389" s="22">
        <v>0.84295005798339839</v>
      </c>
      <c r="AD389" s="23" t="s">
        <v>2420</v>
      </c>
      <c r="AE389" s="24">
        <v>1.726027397260274</v>
      </c>
      <c r="AF389" s="25">
        <v>-3.0613829727266229E-3</v>
      </c>
      <c r="AG389" s="26">
        <v>2.8472397098499469E-2</v>
      </c>
      <c r="AH389" s="26">
        <v>1.965238440201067E-2</v>
      </c>
      <c r="AI389" s="27">
        <v>6.477940625902022E-2</v>
      </c>
      <c r="AJ389" s="27">
        <v>0.20221691840764672</v>
      </c>
      <c r="AK389" s="27">
        <v>0.15798444132523043</v>
      </c>
      <c r="AL389" s="28" t="s">
        <v>3186</v>
      </c>
      <c r="AM389" s="29">
        <v>1</v>
      </c>
      <c r="AN389" s="29">
        <v>2</v>
      </c>
      <c r="AO389" s="29" t="s">
        <v>48</v>
      </c>
      <c r="AP389" s="47" t="s">
        <v>3187</v>
      </c>
      <c r="AQ389" s="28">
        <v>0</v>
      </c>
      <c r="AR389" s="26">
        <v>1.4999999999999999E-2</v>
      </c>
      <c r="AS389" s="26">
        <v>0</v>
      </c>
    </row>
    <row r="390" spans="1:45" x14ac:dyDescent="0.15">
      <c r="A390" s="64">
        <v>304</v>
      </c>
      <c r="B390" s="64">
        <v>230</v>
      </c>
      <c r="C390" s="11">
        <v>1171</v>
      </c>
      <c r="D390" s="61">
        <v>866</v>
      </c>
      <c r="E390" s="61">
        <v>-5.0945855377224096E-3</v>
      </c>
      <c r="F390" s="61">
        <v>98</v>
      </c>
      <c r="G390" s="61">
        <v>4.1404155794923497E-3</v>
      </c>
      <c r="H390" s="66">
        <v>380</v>
      </c>
      <c r="I390" s="66" t="str">
        <f>H390&amp;"/"&amp;428</f>
        <v>380/428</v>
      </c>
      <c r="J390" s="68">
        <f>H390/428</f>
        <v>0.88785046728971961</v>
      </c>
      <c r="K390" s="18" t="s">
        <v>44</v>
      </c>
      <c r="L390" s="18" t="s">
        <v>87</v>
      </c>
      <c r="M390" s="58" t="s">
        <v>274</v>
      </c>
      <c r="N390" s="18">
        <f>[1]!f_prt_stocktonav(C390,"2017/03/31")</f>
        <v>91.1060791015625</v>
      </c>
      <c r="O390" s="20" t="str">
        <f>[1]!f_info_fundmanager(C390)</f>
        <v>胡文彪,赵蓓</v>
      </c>
      <c r="P390" s="21">
        <v>1.9260273972602739</v>
      </c>
      <c r="Q390" s="34" t="s">
        <v>1373</v>
      </c>
      <c r="R390" s="34" t="s">
        <v>1374</v>
      </c>
      <c r="S390" s="34" t="s">
        <v>523</v>
      </c>
      <c r="T390" s="34">
        <v>20150428</v>
      </c>
      <c r="U390" s="45">
        <v>7.2299360990999997</v>
      </c>
      <c r="V390" s="46">
        <v>7.5962195838</v>
      </c>
      <c r="W390" s="34" t="s">
        <v>3789</v>
      </c>
      <c r="X390" s="34" t="s">
        <v>44</v>
      </c>
      <c r="Y390" s="34" t="s">
        <v>45</v>
      </c>
      <c r="Z390" s="34" t="s">
        <v>274</v>
      </c>
      <c r="AA390" s="34"/>
      <c r="AB390" s="34"/>
      <c r="AC390" s="22">
        <v>0.83585937499999996</v>
      </c>
      <c r="AD390" s="23" t="s">
        <v>1375</v>
      </c>
      <c r="AE390" s="24">
        <v>1.6958904109589041</v>
      </c>
      <c r="AF390" s="25">
        <v>-0.22309506579979099</v>
      </c>
      <c r="AG390" s="26">
        <v>0</v>
      </c>
      <c r="AH390" s="26">
        <v>0</v>
      </c>
      <c r="AI390" s="27">
        <v>-0.50638374999854907</v>
      </c>
      <c r="AJ390" s="27">
        <v>-0.50638374999854907</v>
      </c>
      <c r="AK390" s="27">
        <v>-0.50638374999854907</v>
      </c>
      <c r="AL390" s="28" t="s">
        <v>1376</v>
      </c>
      <c r="AM390" s="29" t="s">
        <v>48</v>
      </c>
      <c r="AN390" s="29" t="s">
        <v>48</v>
      </c>
      <c r="AO390" s="29" t="s">
        <v>48</v>
      </c>
      <c r="AP390" s="47" t="s">
        <v>255</v>
      </c>
      <c r="AQ390" s="28">
        <v>0</v>
      </c>
      <c r="AR390" s="26">
        <v>1.4999999999999999E-2</v>
      </c>
      <c r="AS390" s="26">
        <v>0</v>
      </c>
    </row>
    <row r="391" spans="1:45" x14ac:dyDescent="0.15">
      <c r="A391" s="64">
        <v>521</v>
      </c>
      <c r="B391" s="64">
        <v>845</v>
      </c>
      <c r="C391" s="11">
        <v>17</v>
      </c>
      <c r="D391" s="61">
        <v>867</v>
      </c>
      <c r="E391" s="61">
        <v>-5.1036828405867998E-3</v>
      </c>
      <c r="F391" s="61">
        <v>90</v>
      </c>
      <c r="G391" s="61">
        <v>1.98952410426451E-2</v>
      </c>
      <c r="H391" s="66">
        <v>381</v>
      </c>
      <c r="I391" s="66" t="str">
        <f>H391&amp;"/"&amp;428</f>
        <v>381/428</v>
      </c>
      <c r="J391" s="68">
        <f>H391/428</f>
        <v>0.89018691588785048</v>
      </c>
      <c r="K391" s="18" t="s">
        <v>44</v>
      </c>
      <c r="L391" s="18" t="s">
        <v>87</v>
      </c>
      <c r="M391" s="58" t="s">
        <v>274</v>
      </c>
      <c r="N391" s="18">
        <f>[1]!f_prt_stocktonav(C391,"2017/03/31")</f>
        <v>74.618293762207031</v>
      </c>
      <c r="O391" s="20" t="str">
        <f>[1]!f_info_fundmanager(C391)</f>
        <v>金梓才,夏钦</v>
      </c>
      <c r="P391" s="21">
        <v>1.7178082191780821</v>
      </c>
      <c r="Q391" s="34" t="s">
        <v>2179</v>
      </c>
      <c r="R391" s="34" t="s">
        <v>2180</v>
      </c>
      <c r="S391" s="34" t="s">
        <v>238</v>
      </c>
      <c r="T391" s="34">
        <v>20130327</v>
      </c>
      <c r="U391" s="45">
        <v>1.1084311606999999</v>
      </c>
      <c r="V391" s="46">
        <v>1.2332414202999999</v>
      </c>
      <c r="W391" s="34" t="s">
        <v>1235</v>
      </c>
      <c r="X391" s="34" t="s">
        <v>44</v>
      </c>
      <c r="Y391" s="34" t="s">
        <v>87</v>
      </c>
      <c r="Z391" s="34" t="s">
        <v>274</v>
      </c>
      <c r="AA391" s="34" t="s">
        <v>3829</v>
      </c>
      <c r="AB391" s="34"/>
      <c r="AC391" s="22">
        <v>0.78541160583496095</v>
      </c>
      <c r="AD391" s="23" t="s">
        <v>2182</v>
      </c>
      <c r="AE391" s="24">
        <v>1.4876712328767123</v>
      </c>
      <c r="AF391" s="25">
        <v>0.21229280105469095</v>
      </c>
      <c r="AG391" s="26">
        <v>0.2115116579299898</v>
      </c>
      <c r="AH391" s="26">
        <v>0</v>
      </c>
      <c r="AI391" s="27">
        <v>0.76400930437563364</v>
      </c>
      <c r="AJ391" s="27">
        <v>0.71034316154671306</v>
      </c>
      <c r="AK391" s="27">
        <v>0.76400930437563364</v>
      </c>
      <c r="AL391" s="33" t="s">
        <v>1459</v>
      </c>
      <c r="AM391" s="29" t="s">
        <v>48</v>
      </c>
      <c r="AN391" s="29" t="s">
        <v>48</v>
      </c>
      <c r="AO391" s="29" t="s">
        <v>48</v>
      </c>
      <c r="AP391" s="47" t="s">
        <v>1909</v>
      </c>
      <c r="AQ391" s="28">
        <v>0</v>
      </c>
      <c r="AR391" s="26">
        <v>1.4999999999999999E-2</v>
      </c>
      <c r="AS391" s="26">
        <v>0</v>
      </c>
    </row>
    <row r="392" spans="1:45" x14ac:dyDescent="0.15">
      <c r="A392" s="64">
        <v>307</v>
      </c>
      <c r="B392" s="64">
        <v>83</v>
      </c>
      <c r="C392" s="11">
        <v>1039</v>
      </c>
      <c r="D392" s="61">
        <v>868</v>
      </c>
      <c r="E392" s="61">
        <v>-5.1077635970931496E-3</v>
      </c>
      <c r="F392" s="61">
        <v>99</v>
      </c>
      <c r="G392" s="61">
        <v>2.7251151600879799E-3</v>
      </c>
      <c r="H392" s="66">
        <v>382</v>
      </c>
      <c r="I392" s="66" t="str">
        <f>H392&amp;"/"&amp;428</f>
        <v>382/428</v>
      </c>
      <c r="J392" s="68">
        <f>H392/428</f>
        <v>0.89252336448598135</v>
      </c>
      <c r="K392" s="18" t="s">
        <v>44</v>
      </c>
      <c r="L392" s="18" t="s">
        <v>87</v>
      </c>
      <c r="M392" s="58" t="s">
        <v>274</v>
      </c>
      <c r="N392" s="18">
        <f>[1]!f_prt_stocktonav(C392,"2017/03/31")</f>
        <v>93.863601684570313</v>
      </c>
      <c r="O392" s="20" t="str">
        <f>[1]!f_info_fundmanager(C392)</f>
        <v>张淼</v>
      </c>
      <c r="P392" s="21">
        <v>1.9369863013698629</v>
      </c>
      <c r="Q392" s="34" t="s">
        <v>1385</v>
      </c>
      <c r="R392" s="34" t="s">
        <v>1386</v>
      </c>
      <c r="S392" s="34" t="s">
        <v>92</v>
      </c>
      <c r="T392" s="34">
        <v>20150424</v>
      </c>
      <c r="U392" s="45">
        <v>22.631956714000001</v>
      </c>
      <c r="V392" s="46">
        <v>24.5336947186</v>
      </c>
      <c r="W392" s="34" t="s">
        <v>3789</v>
      </c>
      <c r="X392" s="34" t="s">
        <v>44</v>
      </c>
      <c r="Y392" s="34" t="s">
        <v>45</v>
      </c>
      <c r="Z392" s="34" t="s">
        <v>65</v>
      </c>
      <c r="AA392" s="34"/>
      <c r="AB392" s="34"/>
      <c r="AC392" s="22">
        <v>0.92343971252441404</v>
      </c>
      <c r="AD392" s="23" t="s">
        <v>1387</v>
      </c>
      <c r="AE392" s="24">
        <v>1.7068493150684931</v>
      </c>
      <c r="AF392" s="25">
        <v>-0.12477150472211139</v>
      </c>
      <c r="AG392" s="26">
        <v>0</v>
      </c>
      <c r="AH392" s="26">
        <v>0</v>
      </c>
      <c r="AI392" s="27">
        <v>-0.19994343285681598</v>
      </c>
      <c r="AJ392" s="27">
        <v>-0.19994343285681598</v>
      </c>
      <c r="AK392" s="27">
        <v>-0.19994343285681598</v>
      </c>
      <c r="AL392" s="28" t="s">
        <v>1388</v>
      </c>
      <c r="AM392" s="29" t="s">
        <v>48</v>
      </c>
      <c r="AN392" s="29" t="s">
        <v>48</v>
      </c>
      <c r="AO392" s="29" t="s">
        <v>48</v>
      </c>
      <c r="AP392" s="47" t="s">
        <v>249</v>
      </c>
      <c r="AQ392" s="28">
        <v>0</v>
      </c>
      <c r="AR392" s="26">
        <v>1.4999999999999999E-2</v>
      </c>
      <c r="AS392" s="26">
        <v>0</v>
      </c>
    </row>
    <row r="393" spans="1:45" x14ac:dyDescent="0.15">
      <c r="A393" s="64">
        <v>223</v>
      </c>
      <c r="B393" s="64">
        <v>236</v>
      </c>
      <c r="C393" s="11">
        <v>1365</v>
      </c>
      <c r="D393" s="61">
        <v>869</v>
      </c>
      <c r="E393" s="61">
        <v>-5.1082959309690203E-3</v>
      </c>
      <c r="F393" s="61">
        <v>88</v>
      </c>
      <c r="G393" s="61">
        <v>4.0363093239294802E-2</v>
      </c>
      <c r="H393" s="66">
        <v>383</v>
      </c>
      <c r="I393" s="66" t="str">
        <f>H393&amp;"/"&amp;428</f>
        <v>383/428</v>
      </c>
      <c r="J393" s="68">
        <f>H393/428</f>
        <v>0.89485981308411211</v>
      </c>
      <c r="K393" s="18" t="s">
        <v>44</v>
      </c>
      <c r="L393" s="18" t="s">
        <v>45</v>
      </c>
      <c r="M393" s="58" t="s">
        <v>274</v>
      </c>
      <c r="N393" s="18">
        <f>[1]!f_prt_stocktonav(C393,"2017/03/31")</f>
        <v>90.957931518554687</v>
      </c>
      <c r="O393" s="20" t="str">
        <f>[1]!f_info_fundmanager(C393)</f>
        <v>杨挺</v>
      </c>
      <c r="P393" s="21">
        <v>1.7315068493150685</v>
      </c>
      <c r="Q393" s="34" t="s">
        <v>1041</v>
      </c>
      <c r="R393" s="34" t="s">
        <v>1042</v>
      </c>
      <c r="S393" s="34" t="s">
        <v>486</v>
      </c>
      <c r="T393" s="34">
        <v>20150708</v>
      </c>
      <c r="U393" s="45">
        <v>1.8592949111999999</v>
      </c>
      <c r="V393" s="46">
        <v>1.9990961625000001</v>
      </c>
      <c r="W393" s="34" t="s">
        <v>1235</v>
      </c>
      <c r="X393" s="34" t="s">
        <v>44</v>
      </c>
      <c r="Y393" s="34" t="s">
        <v>45</v>
      </c>
      <c r="Z393" s="34" t="s">
        <v>274</v>
      </c>
      <c r="AA393" s="34"/>
      <c r="AB393" s="34"/>
      <c r="AC393" s="22">
        <v>0.82850021362304682</v>
      </c>
      <c r="AD393" s="23" t="s">
        <v>1043</v>
      </c>
      <c r="AE393" s="24">
        <v>1.5013698630136987</v>
      </c>
      <c r="AF393" s="25">
        <v>-0.24446200381953209</v>
      </c>
      <c r="AG393" s="26">
        <v>0</v>
      </c>
      <c r="AH393" s="26">
        <v>0</v>
      </c>
      <c r="AI393" s="27">
        <v>-0.70020971765563433</v>
      </c>
      <c r="AJ393" s="27">
        <v>-0.70020971765563433</v>
      </c>
      <c r="AK393" s="27">
        <v>-0.70020971765563433</v>
      </c>
      <c r="AL393" s="28" t="s">
        <v>1044</v>
      </c>
      <c r="AM393" s="29" t="s">
        <v>48</v>
      </c>
      <c r="AN393" s="29" t="s">
        <v>48</v>
      </c>
      <c r="AO393" s="29" t="s">
        <v>48</v>
      </c>
      <c r="AP393" s="47" t="s">
        <v>82</v>
      </c>
      <c r="AQ393" s="28">
        <v>0</v>
      </c>
      <c r="AR393" s="26">
        <v>1.4999999999999999E-2</v>
      </c>
      <c r="AS393" s="26">
        <v>0</v>
      </c>
    </row>
    <row r="394" spans="1:45" x14ac:dyDescent="0.15">
      <c r="A394" s="64">
        <v>327</v>
      </c>
      <c r="B394" s="64">
        <v>153</v>
      </c>
      <c r="C394" s="11">
        <v>1037</v>
      </c>
      <c r="D394" s="61">
        <v>870</v>
      </c>
      <c r="E394" s="61">
        <v>-5.1146084177550004E-3</v>
      </c>
      <c r="F394" s="61">
        <v>102</v>
      </c>
      <c r="G394" s="61">
        <v>1.9542689042912698E-3</v>
      </c>
      <c r="H394" s="66">
        <v>384</v>
      </c>
      <c r="I394" s="66" t="str">
        <f>H394&amp;"/"&amp;428</f>
        <v>384/428</v>
      </c>
      <c r="J394" s="68">
        <f>H394/428</f>
        <v>0.89719626168224298</v>
      </c>
      <c r="K394" s="18" t="s">
        <v>44</v>
      </c>
      <c r="L394" s="18" t="s">
        <v>45</v>
      </c>
      <c r="M394" s="58" t="s">
        <v>274</v>
      </c>
      <c r="N394" s="18">
        <f>[1]!f_prt_stocktonav(C394,"2017/03/31")</f>
        <v>92.654640197753906</v>
      </c>
      <c r="O394" s="20" t="str">
        <f>[1]!f_info_fundmanager(C394)</f>
        <v>杨冬冬</v>
      </c>
      <c r="P394" s="21">
        <v>2.0027397260273974</v>
      </c>
      <c r="Q394" s="34" t="s">
        <v>1463</v>
      </c>
      <c r="R394" s="34" t="s">
        <v>1464</v>
      </c>
      <c r="S394" s="34" t="s">
        <v>452</v>
      </c>
      <c r="T394" s="34">
        <v>20150331</v>
      </c>
      <c r="U394" s="45">
        <v>16.327675820100001</v>
      </c>
      <c r="V394" s="46">
        <v>17.316396637</v>
      </c>
      <c r="W394" s="34" t="s">
        <v>201</v>
      </c>
      <c r="X394" s="34" t="s">
        <v>44</v>
      </c>
      <c r="Y394" s="17" t="s">
        <v>45</v>
      </c>
      <c r="Z394" s="17" t="s">
        <v>274</v>
      </c>
      <c r="AA394" s="34"/>
      <c r="AB394" s="34"/>
      <c r="AC394" s="22">
        <v>0.94518844604492191</v>
      </c>
      <c r="AD394" s="23" t="s">
        <v>1296</v>
      </c>
      <c r="AE394" s="24">
        <v>1.7726027397260273</v>
      </c>
      <c r="AF394" s="25">
        <v>-6.1717457344121707E-2</v>
      </c>
      <c r="AG394" s="26">
        <v>0</v>
      </c>
      <c r="AH394" s="26">
        <v>0</v>
      </c>
      <c r="AI394" s="27">
        <v>1.3360641801775893E-3</v>
      </c>
      <c r="AJ394" s="27">
        <v>1.3360641801775893E-3</v>
      </c>
      <c r="AK394" s="27">
        <v>1.3360641801775893E-3</v>
      </c>
      <c r="AL394" s="28" t="s">
        <v>409</v>
      </c>
      <c r="AM394" s="29" t="s">
        <v>48</v>
      </c>
      <c r="AN394" s="29" t="s">
        <v>48</v>
      </c>
      <c r="AO394" s="29" t="s">
        <v>48</v>
      </c>
      <c r="AP394" s="47" t="s">
        <v>209</v>
      </c>
      <c r="AQ394" s="28">
        <v>0</v>
      </c>
      <c r="AR394" s="26">
        <v>1.4999999999999999E-2</v>
      </c>
      <c r="AS394" s="26">
        <v>0</v>
      </c>
    </row>
    <row r="395" spans="1:45" x14ac:dyDescent="0.15">
      <c r="A395" s="64">
        <v>432</v>
      </c>
      <c r="B395" s="64">
        <v>251</v>
      </c>
      <c r="C395" s="11">
        <v>513</v>
      </c>
      <c r="D395" s="61">
        <v>871</v>
      </c>
      <c r="E395" s="61">
        <v>-5.1210706332560597E-3</v>
      </c>
      <c r="F395" s="61">
        <v>143</v>
      </c>
      <c r="G395" s="61">
        <v>1.1888509418069499E-3</v>
      </c>
      <c r="H395" s="66">
        <v>385</v>
      </c>
      <c r="I395" s="66" t="str">
        <f>H395&amp;"/"&amp;428</f>
        <v>385/428</v>
      </c>
      <c r="J395" s="68">
        <f>H395/428</f>
        <v>0.89953271028037385</v>
      </c>
      <c r="K395" s="18" t="s">
        <v>44</v>
      </c>
      <c r="L395" s="18" t="s">
        <v>45</v>
      </c>
      <c r="M395" s="58" t="s">
        <v>274</v>
      </c>
      <c r="N395" s="18">
        <f>[1]!f_prt_stocktonav(C395,"2017/03/31")</f>
        <v>90.553619384765625</v>
      </c>
      <c r="O395" s="20" t="str">
        <f>[1]!f_info_fundmanager(C395)</f>
        <v>毕天宇,厉叶淼</v>
      </c>
      <c r="P395" s="21">
        <v>2.7808219178082192</v>
      </c>
      <c r="Q395" s="39" t="s">
        <v>1851</v>
      </c>
      <c r="R395" s="39" t="s">
        <v>1852</v>
      </c>
      <c r="S395" s="39" t="s">
        <v>396</v>
      </c>
      <c r="T395" s="39">
        <v>20140620</v>
      </c>
      <c r="U395" s="48">
        <v>8.6097582109000008</v>
      </c>
      <c r="V395" s="46">
        <v>10.228941057</v>
      </c>
      <c r="W395" s="39" t="s">
        <v>3776</v>
      </c>
      <c r="X395" s="39" t="s">
        <v>44</v>
      </c>
      <c r="Y395" s="39" t="s">
        <v>87</v>
      </c>
      <c r="Z395" s="55" t="s">
        <v>274</v>
      </c>
      <c r="AA395" s="34" t="s">
        <v>3821</v>
      </c>
      <c r="AB395" s="34"/>
      <c r="AC395" s="22">
        <v>0.92057617187499996</v>
      </c>
      <c r="AD395" s="23" t="s">
        <v>1853</v>
      </c>
      <c r="AE395" s="24">
        <v>2.5506849315068494</v>
      </c>
      <c r="AF395" s="25">
        <v>0.131464280950778</v>
      </c>
      <c r="AG395" s="26">
        <v>0</v>
      </c>
      <c r="AH395" s="26">
        <v>0</v>
      </c>
      <c r="AI395" s="27">
        <v>0.47575936757208459</v>
      </c>
      <c r="AJ395" s="27">
        <v>0.47575936757208459</v>
      </c>
      <c r="AK395" s="27">
        <v>0.47575936757208459</v>
      </c>
      <c r="AL395" s="40" t="s">
        <v>489</v>
      </c>
      <c r="AM395" s="41" t="s">
        <v>48</v>
      </c>
      <c r="AN395" s="41" t="s">
        <v>48</v>
      </c>
      <c r="AO395" s="41" t="s">
        <v>48</v>
      </c>
      <c r="AP395" s="50" t="s">
        <v>1854</v>
      </c>
      <c r="AQ395" s="51" t="s">
        <v>608</v>
      </c>
      <c r="AR395" s="52">
        <v>1.4999999999999999E-2</v>
      </c>
      <c r="AS395" s="52">
        <v>0</v>
      </c>
    </row>
    <row r="396" spans="1:45" x14ac:dyDescent="0.15">
      <c r="A396" s="64">
        <v>548</v>
      </c>
      <c r="B396" s="64">
        <v>502</v>
      </c>
      <c r="C396" s="11">
        <v>620008</v>
      </c>
      <c r="D396" s="61">
        <v>876</v>
      </c>
      <c r="E396" s="61">
        <v>-5.2497684532924801E-3</v>
      </c>
      <c r="F396" s="61">
        <v>76</v>
      </c>
      <c r="G396" s="61">
        <v>1.0948250270802699E-2</v>
      </c>
      <c r="H396" s="66">
        <v>386</v>
      </c>
      <c r="I396" s="66" t="str">
        <f>H396&amp;"/"&amp;428</f>
        <v>386/428</v>
      </c>
      <c r="J396" s="68">
        <f>H396/428</f>
        <v>0.90186915887850472</v>
      </c>
      <c r="K396" s="18" t="s">
        <v>44</v>
      </c>
      <c r="L396" s="18" t="s">
        <v>87</v>
      </c>
      <c r="M396" s="58" t="s">
        <v>274</v>
      </c>
      <c r="N396" s="18">
        <f>[1]!f_prt_stocktonav(C396,"2017/03/31")</f>
        <v>85.223785400390625</v>
      </c>
      <c r="O396" s="20" t="str">
        <f>[1]!f_info_fundmanager(C396)</f>
        <v>闵杭</v>
      </c>
      <c r="P396" s="21">
        <v>1.4575342465753425</v>
      </c>
      <c r="Q396" s="34" t="s">
        <v>2273</v>
      </c>
      <c r="R396" s="34" t="s">
        <v>2274</v>
      </c>
      <c r="S396" s="34" t="s">
        <v>2275</v>
      </c>
      <c r="T396" s="34">
        <v>20120731</v>
      </c>
      <c r="U396" s="45">
        <v>0.22787837010000001</v>
      </c>
      <c r="V396" s="46">
        <v>0.26586688019999999</v>
      </c>
      <c r="W396" s="34" t="s">
        <v>3776</v>
      </c>
      <c r="X396" s="34" t="s">
        <v>44</v>
      </c>
      <c r="Y396" s="34" t="s">
        <v>87</v>
      </c>
      <c r="Z396" s="34" t="s">
        <v>274</v>
      </c>
      <c r="AA396" s="34" t="s">
        <v>3831</v>
      </c>
      <c r="AB396" s="34"/>
      <c r="AC396" s="22">
        <v>0.85923179626464841</v>
      </c>
      <c r="AD396" s="23" t="s">
        <v>2277</v>
      </c>
      <c r="AE396" s="24">
        <v>1.2273972602739727</v>
      </c>
      <c r="AF396" s="25">
        <v>1.5837424057038252E-2</v>
      </c>
      <c r="AG396" s="26">
        <v>-2.0005389940710772E-2</v>
      </c>
      <c r="AH396" s="26">
        <v>0</v>
      </c>
      <c r="AI396" s="27">
        <v>0.15960127103977431</v>
      </c>
      <c r="AJ396" s="27">
        <v>8.1462258477472391E-2</v>
      </c>
      <c r="AK396" s="27">
        <v>0.15960127103977431</v>
      </c>
      <c r="AL396" s="33" t="s">
        <v>110</v>
      </c>
      <c r="AM396" s="29">
        <v>1</v>
      </c>
      <c r="AN396" s="29">
        <v>3</v>
      </c>
      <c r="AO396" s="29" t="s">
        <v>48</v>
      </c>
      <c r="AP396" s="47" t="s">
        <v>2130</v>
      </c>
      <c r="AQ396" s="28">
        <v>0</v>
      </c>
      <c r="AR396" s="26">
        <v>1.4999999999999999E-2</v>
      </c>
      <c r="AS396" s="26">
        <v>0</v>
      </c>
    </row>
    <row r="397" spans="1:45" x14ac:dyDescent="0.15">
      <c r="A397" s="64">
        <v>945</v>
      </c>
      <c r="B397" s="64">
        <v>886</v>
      </c>
      <c r="C397" s="11">
        <v>161601</v>
      </c>
      <c r="D397" s="61">
        <v>878</v>
      </c>
      <c r="E397" s="61">
        <v>-5.2612735026270098E-3</v>
      </c>
      <c r="F397" s="61">
        <v>83</v>
      </c>
      <c r="G397" s="61">
        <v>1.9974228797925301E-3</v>
      </c>
      <c r="H397" s="66">
        <v>387</v>
      </c>
      <c r="I397" s="66" t="str">
        <f>H397&amp;"/"&amp;428</f>
        <v>387/428</v>
      </c>
      <c r="J397" s="68">
        <f>H397/428</f>
        <v>0.90420560747663548</v>
      </c>
      <c r="K397" s="18" t="s">
        <v>44</v>
      </c>
      <c r="L397" s="18" t="s">
        <v>45</v>
      </c>
      <c r="M397" s="58" t="s">
        <v>274</v>
      </c>
      <c r="N397" s="18">
        <f>[1]!f_prt_stocktonav(C397,"2017/03/31")</f>
        <v>73.277999877929688</v>
      </c>
      <c r="O397" s="20" t="str">
        <f>[1]!f_info_fundmanager(C397)</f>
        <v>何龙,张延闽</v>
      </c>
      <c r="P397" s="21">
        <v>1.5890410958904109</v>
      </c>
      <c r="Q397" s="34" t="s">
        <v>3670</v>
      </c>
      <c r="R397" s="34" t="s">
        <v>3671</v>
      </c>
      <c r="S397" s="34" t="s">
        <v>230</v>
      </c>
      <c r="T397" s="34">
        <v>20020913</v>
      </c>
      <c r="U397" s="45">
        <v>24.0023316439</v>
      </c>
      <c r="V397" s="46">
        <v>25.7697090974</v>
      </c>
      <c r="W397" s="34" t="s">
        <v>231</v>
      </c>
      <c r="X397" s="34" t="s">
        <v>41</v>
      </c>
      <c r="Y397" s="17" t="s">
        <v>42</v>
      </c>
      <c r="Z397" s="17" t="s">
        <v>181</v>
      </c>
      <c r="AA397" s="34"/>
      <c r="AB397" s="34"/>
      <c r="AC397" s="22">
        <v>0.66401062011718748</v>
      </c>
      <c r="AD397" s="23" t="s">
        <v>3672</v>
      </c>
      <c r="AE397" s="24">
        <v>1.3589041095890411</v>
      </c>
      <c r="AF397" s="25">
        <v>0.10506202457310465</v>
      </c>
      <c r="AG397" s="26">
        <v>2.4458321750691514E-2</v>
      </c>
      <c r="AH397" s="26">
        <v>3.6247660972072548E-2</v>
      </c>
      <c r="AI397" s="27">
        <v>0.50792745697828445</v>
      </c>
      <c r="AJ397" s="27">
        <v>0.16845579193217028</v>
      </c>
      <c r="AK397" s="27">
        <v>0.20623492132793278</v>
      </c>
      <c r="AL397" s="28" t="s">
        <v>2854</v>
      </c>
      <c r="AM397" s="29">
        <v>2</v>
      </c>
      <c r="AN397" s="29">
        <v>3</v>
      </c>
      <c r="AO397" s="29" t="s">
        <v>48</v>
      </c>
      <c r="AP397" s="47" t="s">
        <v>3266</v>
      </c>
      <c r="AQ397" s="28" t="s">
        <v>3673</v>
      </c>
      <c r="AR397" s="26">
        <v>1.4999999999999999E-2</v>
      </c>
      <c r="AS397" s="26">
        <v>0</v>
      </c>
    </row>
    <row r="398" spans="1:45" x14ac:dyDescent="0.15">
      <c r="A398" s="64">
        <v>369</v>
      </c>
      <c r="B398" s="64">
        <v>250</v>
      </c>
      <c r="C398" s="11">
        <v>960</v>
      </c>
      <c r="D398" s="61">
        <v>879</v>
      </c>
      <c r="E398" s="61">
        <v>-5.27844460589659E-3</v>
      </c>
      <c r="F398" s="61">
        <v>111</v>
      </c>
      <c r="G398" s="61">
        <v>2.9407317267407399E-3</v>
      </c>
      <c r="H398" s="66">
        <v>388</v>
      </c>
      <c r="I398" s="66" t="str">
        <f>H398&amp;"/"&amp;428</f>
        <v>388/428</v>
      </c>
      <c r="J398" s="68">
        <f>H398/428</f>
        <v>0.90654205607476634</v>
      </c>
      <c r="K398" s="18" t="s">
        <v>44</v>
      </c>
      <c r="L398" s="18" t="s">
        <v>45</v>
      </c>
      <c r="M398" s="58" t="s">
        <v>274</v>
      </c>
      <c r="N398" s="18">
        <f>[1]!f_prt_stocktonav(C398,"2017/03/31")</f>
        <v>90.555793762207031</v>
      </c>
      <c r="O398" s="20" t="str">
        <f>[1]!f_info_fundmanager(C398)</f>
        <v>李佳存</v>
      </c>
      <c r="P398" s="21">
        <v>2.1671232876712327</v>
      </c>
      <c r="Q398" s="34" t="s">
        <v>1615</v>
      </c>
      <c r="R398" s="34" t="s">
        <v>1616</v>
      </c>
      <c r="S398" s="34" t="s">
        <v>165</v>
      </c>
      <c r="T398" s="34">
        <v>20150130</v>
      </c>
      <c r="U398" s="45">
        <v>10.830198021199999</v>
      </c>
      <c r="V398" s="46">
        <v>11.476741341</v>
      </c>
      <c r="W398" s="34" t="s">
        <v>3789</v>
      </c>
      <c r="X398" s="34" t="s">
        <v>44</v>
      </c>
      <c r="Y398" s="34" t="s">
        <v>45</v>
      </c>
      <c r="Z398" s="34" t="s">
        <v>274</v>
      </c>
      <c r="AA398" s="34"/>
      <c r="AB398" s="34"/>
      <c r="AC398" s="22">
        <v>0.9040374755859375</v>
      </c>
      <c r="AD398" s="23" t="s">
        <v>1617</v>
      </c>
      <c r="AE398" s="24">
        <v>1.9369863013698629</v>
      </c>
      <c r="AF398" s="25">
        <v>2.5966027438555361E-3</v>
      </c>
      <c r="AG398" s="26">
        <v>0</v>
      </c>
      <c r="AH398" s="26">
        <v>0</v>
      </c>
      <c r="AI398" s="27">
        <v>0.17736022528100964</v>
      </c>
      <c r="AJ398" s="27">
        <v>0.17736022528100964</v>
      </c>
      <c r="AK398" s="27">
        <v>0.17736022528100964</v>
      </c>
      <c r="AL398" s="28" t="s">
        <v>1618</v>
      </c>
      <c r="AM398" s="29" t="s">
        <v>48</v>
      </c>
      <c r="AN398" s="29" t="s">
        <v>48</v>
      </c>
      <c r="AO398" s="29" t="s">
        <v>48</v>
      </c>
      <c r="AP398" s="47" t="s">
        <v>1619</v>
      </c>
      <c r="AQ398" s="28">
        <v>0</v>
      </c>
      <c r="AR398" s="26">
        <v>1.4999999999999999E-2</v>
      </c>
      <c r="AS398" s="26">
        <v>0</v>
      </c>
    </row>
    <row r="399" spans="1:45" x14ac:dyDescent="0.15">
      <c r="A399" s="64">
        <v>344</v>
      </c>
      <c r="B399" s="64">
        <v>770</v>
      </c>
      <c r="C399" s="11">
        <v>1106</v>
      </c>
      <c r="D399" s="61">
        <v>881</v>
      </c>
      <c r="E399" s="61">
        <v>-5.36337614082845E-3</v>
      </c>
      <c r="F399" s="61">
        <v>104</v>
      </c>
      <c r="G399" s="61">
        <v>1.17905347338042E-4</v>
      </c>
      <c r="H399" s="66">
        <v>389</v>
      </c>
      <c r="I399" s="66" t="str">
        <f>H399&amp;"/"&amp;428</f>
        <v>389/428</v>
      </c>
      <c r="J399" s="68">
        <f>H399/428</f>
        <v>0.90887850467289721</v>
      </c>
      <c r="K399" s="18" t="s">
        <v>44</v>
      </c>
      <c r="L399" s="18" t="s">
        <v>45</v>
      </c>
      <c r="M399" s="58" t="s">
        <v>274</v>
      </c>
      <c r="N399" s="18">
        <f>[1]!f_prt_stocktonav(C399,"2017/03/31")</f>
        <v>77.584526062011719</v>
      </c>
      <c r="O399" s="20" t="str">
        <f>[1]!f_info_fundmanager(C399)</f>
        <v>蔡建军</v>
      </c>
      <c r="P399" s="21">
        <v>2.0410958904109591</v>
      </c>
      <c r="Q399" s="34" t="s">
        <v>1522</v>
      </c>
      <c r="R399" s="34" t="s">
        <v>1523</v>
      </c>
      <c r="S399" s="34" t="s">
        <v>387</v>
      </c>
      <c r="T399" s="34">
        <v>20150317</v>
      </c>
      <c r="U399" s="45">
        <v>13.195263623800001</v>
      </c>
      <c r="V399" s="46">
        <v>13.696386837</v>
      </c>
      <c r="W399" s="34" t="s">
        <v>3776</v>
      </c>
      <c r="X399" s="34" t="s">
        <v>41</v>
      </c>
      <c r="Y399" s="17" t="s">
        <v>42</v>
      </c>
      <c r="Z399" s="17" t="s">
        <v>181</v>
      </c>
      <c r="AA399" s="34"/>
      <c r="AB399" s="34"/>
      <c r="AC399" s="22">
        <v>0.65452224731445308</v>
      </c>
      <c r="AD399" s="23" t="s">
        <v>1524</v>
      </c>
      <c r="AE399" s="24">
        <v>1.810958904109589</v>
      </c>
      <c r="AF399" s="25">
        <v>-9.8697744257843723E-2</v>
      </c>
      <c r="AG399" s="26">
        <v>0</v>
      </c>
      <c r="AH399" s="26">
        <v>0</v>
      </c>
      <c r="AI399" s="27">
        <v>-0.16699461091472104</v>
      </c>
      <c r="AJ399" s="27">
        <v>-0.16699461091472104</v>
      </c>
      <c r="AK399" s="27">
        <v>-0.16699461091472104</v>
      </c>
      <c r="AL399" s="28" t="s">
        <v>240</v>
      </c>
      <c r="AM399" s="29" t="s">
        <v>48</v>
      </c>
      <c r="AN399" s="29" t="s">
        <v>48</v>
      </c>
      <c r="AO399" s="29" t="s">
        <v>48</v>
      </c>
      <c r="AP399" s="47" t="s">
        <v>1525</v>
      </c>
      <c r="AQ399" s="28">
        <v>0</v>
      </c>
      <c r="AR399" s="26">
        <v>1.4999999999999999E-2</v>
      </c>
      <c r="AS399" s="26">
        <v>0</v>
      </c>
    </row>
    <row r="400" spans="1:45" x14ac:dyDescent="0.15">
      <c r="A400" s="64">
        <v>779</v>
      </c>
      <c r="B400" s="64">
        <v>209</v>
      </c>
      <c r="C400" s="11">
        <v>202009</v>
      </c>
      <c r="D400" s="61">
        <v>882</v>
      </c>
      <c r="E400" s="61">
        <v>-5.4068727929647798E-3</v>
      </c>
      <c r="F400" s="61">
        <v>227</v>
      </c>
      <c r="G400" s="61">
        <v>1.05720584066944E-7</v>
      </c>
      <c r="H400" s="66">
        <v>390</v>
      </c>
      <c r="I400" s="66" t="str">
        <f>H400&amp;"/"&amp;428</f>
        <v>390/428</v>
      </c>
      <c r="J400" s="68">
        <f>H400/428</f>
        <v>0.91121495327102808</v>
      </c>
      <c r="K400" s="18" t="s">
        <v>44</v>
      </c>
      <c r="L400" s="18" t="s">
        <v>87</v>
      </c>
      <c r="M400" s="58" t="s">
        <v>274</v>
      </c>
      <c r="N400" s="18">
        <f>[1]!f_prt_stocktonav(C400,"2017/03/31")</f>
        <v>91.6187744140625</v>
      </c>
      <c r="O400" s="20" t="str">
        <f>[1]!f_info_fundmanager(C400)</f>
        <v>张旭</v>
      </c>
      <c r="P400" s="21">
        <v>4.353424657534247</v>
      </c>
      <c r="Q400" s="34" t="s">
        <v>3045</v>
      </c>
      <c r="R400" s="34" t="s">
        <v>3046</v>
      </c>
      <c r="S400" s="34" t="s">
        <v>284</v>
      </c>
      <c r="T400" s="34">
        <v>20080321</v>
      </c>
      <c r="U400" s="45">
        <v>11.6366727462</v>
      </c>
      <c r="V400" s="46">
        <v>14.9263477975</v>
      </c>
      <c r="W400" s="34" t="s">
        <v>231</v>
      </c>
      <c r="X400" s="34" t="s">
        <v>44</v>
      </c>
      <c r="Y400" s="34" t="s">
        <v>45</v>
      </c>
      <c r="Z400" s="34" t="s">
        <v>274</v>
      </c>
      <c r="AA400" s="34"/>
      <c r="AB400" s="34"/>
      <c r="AC400" s="22">
        <v>0.83873893737792971</v>
      </c>
      <c r="AD400" s="23" t="s">
        <v>285</v>
      </c>
      <c r="AE400" s="24">
        <v>4.1232876712328768</v>
      </c>
      <c r="AF400" s="25">
        <v>4.5758612081046701E-2</v>
      </c>
      <c r="AG400" s="26">
        <v>0.1973004462204484</v>
      </c>
      <c r="AH400" s="26">
        <v>0.13736855321043917</v>
      </c>
      <c r="AI400" s="27">
        <v>0.25081208795249721</v>
      </c>
      <c r="AJ400" s="27">
        <v>0.62374052537168445</v>
      </c>
      <c r="AK400" s="27">
        <v>0.51795139451492733</v>
      </c>
      <c r="AL400" s="28" t="s">
        <v>3047</v>
      </c>
      <c r="AM400" s="29">
        <v>2</v>
      </c>
      <c r="AN400" s="29">
        <v>3</v>
      </c>
      <c r="AO400" s="29" t="s">
        <v>48</v>
      </c>
      <c r="AP400" s="47" t="s">
        <v>287</v>
      </c>
      <c r="AQ400" s="28" t="s">
        <v>1843</v>
      </c>
      <c r="AR400" s="26">
        <v>1.4999999999999999E-2</v>
      </c>
      <c r="AS400" s="26">
        <v>0</v>
      </c>
    </row>
    <row r="401" spans="1:45" x14ac:dyDescent="0.15">
      <c r="A401" s="64">
        <v>847</v>
      </c>
      <c r="B401" s="64">
        <v>95</v>
      </c>
      <c r="C401" s="11">
        <v>590001</v>
      </c>
      <c r="D401" s="61">
        <v>885</v>
      </c>
      <c r="E401" s="61">
        <v>-5.4676361538054498E-3</v>
      </c>
      <c r="F401" s="61">
        <v>111</v>
      </c>
      <c r="G401" s="61">
        <v>1.56944232916422E-4</v>
      </c>
      <c r="H401" s="66">
        <v>391</v>
      </c>
      <c r="I401" s="66" t="str">
        <f>H401&amp;"/"&amp;428</f>
        <v>391/428</v>
      </c>
      <c r="J401" s="68">
        <f>H401/428</f>
        <v>0.91355140186915884</v>
      </c>
      <c r="K401" s="18" t="s">
        <v>44</v>
      </c>
      <c r="L401" s="18" t="s">
        <v>45</v>
      </c>
      <c r="M401" s="58" t="s">
        <v>274</v>
      </c>
      <c r="N401" s="18">
        <f>[1]!f_prt_stocktonav(C401,"2017/03/31")</f>
        <v>93.678916931152344</v>
      </c>
      <c r="O401" s="20" t="str">
        <f>[1]!f_info_fundmanager(C401)</f>
        <v>刘涛,纪云飞</v>
      </c>
      <c r="P401" s="21">
        <v>2.128767123287671</v>
      </c>
      <c r="Q401" s="34" t="s">
        <v>3289</v>
      </c>
      <c r="R401" s="34" t="s">
        <v>3290</v>
      </c>
      <c r="S401" s="34" t="s">
        <v>85</v>
      </c>
      <c r="T401" s="34">
        <v>20060928</v>
      </c>
      <c r="U401" s="45">
        <v>32.9554297034</v>
      </c>
      <c r="V401" s="46">
        <v>35.381298049100003</v>
      </c>
      <c r="W401" s="34" t="s">
        <v>231</v>
      </c>
      <c r="X401" s="34" t="s">
        <v>44</v>
      </c>
      <c r="Y401" s="34" t="s">
        <v>45</v>
      </c>
      <c r="Z401" s="34" t="s">
        <v>274</v>
      </c>
      <c r="AA401" s="34"/>
      <c r="AB401" s="34"/>
      <c r="AC401" s="22">
        <v>0.79286087036132813</v>
      </c>
      <c r="AD401" s="23" t="s">
        <v>3291</v>
      </c>
      <c r="AE401" s="24">
        <v>1.8986301369863015</v>
      </c>
      <c r="AF401" s="25">
        <v>9.6720107362159524E-2</v>
      </c>
      <c r="AG401" s="26">
        <v>6.981019333982541E-2</v>
      </c>
      <c r="AH401" s="26">
        <v>5.9681451991583145E-2</v>
      </c>
      <c r="AI401" s="27">
        <v>0.40092927149785296</v>
      </c>
      <c r="AJ401" s="27">
        <v>0.3389956565404999</v>
      </c>
      <c r="AK401" s="27">
        <v>0.2967509894207459</v>
      </c>
      <c r="AL401" s="28" t="s">
        <v>3080</v>
      </c>
      <c r="AM401" s="29">
        <v>1</v>
      </c>
      <c r="AN401" s="29">
        <v>2</v>
      </c>
      <c r="AO401" s="29" t="s">
        <v>48</v>
      </c>
      <c r="AP401" s="47" t="s">
        <v>310</v>
      </c>
      <c r="AQ401" s="28">
        <v>0</v>
      </c>
      <c r="AR401" s="26">
        <v>1.4999999999999999E-2</v>
      </c>
      <c r="AS401" s="26">
        <v>0</v>
      </c>
    </row>
    <row r="402" spans="1:45" x14ac:dyDescent="0.15">
      <c r="A402" s="64">
        <v>937</v>
      </c>
      <c r="B402" s="64">
        <v>508</v>
      </c>
      <c r="C402" s="11">
        <v>162201</v>
      </c>
      <c r="D402" s="61">
        <v>886</v>
      </c>
      <c r="E402" s="61">
        <v>-5.4716370427532997E-3</v>
      </c>
      <c r="F402" s="61">
        <v>98</v>
      </c>
      <c r="G402" s="61">
        <v>7.8125171964555295E-4</v>
      </c>
      <c r="H402" s="66">
        <v>392</v>
      </c>
      <c r="I402" s="66" t="str">
        <f>H402&amp;"/"&amp;428</f>
        <v>392/428</v>
      </c>
      <c r="J402" s="68">
        <f>H402/428</f>
        <v>0.91588785046728971</v>
      </c>
      <c r="K402" s="18" t="s">
        <v>44</v>
      </c>
      <c r="L402" s="18" t="s">
        <v>45</v>
      </c>
      <c r="M402" s="58" t="s">
        <v>274</v>
      </c>
      <c r="N402" s="18">
        <f>[1]!f_prt_stocktonav(C402,"2017/03/31")</f>
        <v>85.105239868164062</v>
      </c>
      <c r="O402" s="20" t="str">
        <f>[1]!f_info_fundmanager(C402)</f>
        <v>周琦凯</v>
      </c>
      <c r="P402" s="21">
        <v>1.8821917808219177</v>
      </c>
      <c r="Q402" s="34" t="s">
        <v>3643</v>
      </c>
      <c r="R402" s="34" t="s">
        <v>3644</v>
      </c>
      <c r="S402" s="34" t="s">
        <v>263</v>
      </c>
      <c r="T402" s="34">
        <v>20030425</v>
      </c>
      <c r="U402" s="45">
        <v>7.9042018319</v>
      </c>
      <c r="V402" s="46">
        <v>8.3347126525000004</v>
      </c>
      <c r="W402" s="34" t="s">
        <v>231</v>
      </c>
      <c r="X402" s="34" t="s">
        <v>44</v>
      </c>
      <c r="Y402" s="34" t="s">
        <v>45</v>
      </c>
      <c r="Z402" s="34" t="s">
        <v>274</v>
      </c>
      <c r="AA402" s="34"/>
      <c r="AB402" s="34"/>
      <c r="AC402" s="22">
        <v>0.90236801147460932</v>
      </c>
      <c r="AD402" s="23" t="s">
        <v>3645</v>
      </c>
      <c r="AE402" s="24">
        <v>1.6520547945205479</v>
      </c>
      <c r="AF402" s="25">
        <v>0.16930658510950902</v>
      </c>
      <c r="AG402" s="26">
        <v>9.4864214657245829E-2</v>
      </c>
      <c r="AH402" s="26">
        <v>0.13326113026379183</v>
      </c>
      <c r="AI402" s="27">
        <v>0.69427591253165366</v>
      </c>
      <c r="AJ402" s="27">
        <v>0.36327258993932876</v>
      </c>
      <c r="AK402" s="27">
        <v>0.51124697544260744</v>
      </c>
      <c r="AL402" s="28" t="s">
        <v>3646</v>
      </c>
      <c r="AM402" s="29">
        <v>2</v>
      </c>
      <c r="AN402" s="29">
        <v>1</v>
      </c>
      <c r="AO402" s="29" t="s">
        <v>48</v>
      </c>
      <c r="AP402" s="47" t="s">
        <v>2772</v>
      </c>
      <c r="AQ402" s="28">
        <v>0</v>
      </c>
      <c r="AR402" s="26">
        <v>1.4999999999999999E-2</v>
      </c>
      <c r="AS402" s="26">
        <v>0</v>
      </c>
    </row>
    <row r="403" spans="1:45" x14ac:dyDescent="0.15">
      <c r="A403" s="64">
        <v>355</v>
      </c>
      <c r="B403" s="64">
        <v>841</v>
      </c>
      <c r="C403" s="11">
        <v>966</v>
      </c>
      <c r="D403" s="61">
        <v>889</v>
      </c>
      <c r="E403" s="61">
        <v>-5.5016002599219101E-3</v>
      </c>
      <c r="F403" s="61">
        <v>109</v>
      </c>
      <c r="G403" s="61">
        <v>3.1542129906359101E-3</v>
      </c>
      <c r="H403" s="66">
        <v>393</v>
      </c>
      <c r="I403" s="66" t="str">
        <f>H403&amp;"/"&amp;428</f>
        <v>393/428</v>
      </c>
      <c r="J403" s="68">
        <f>H403/428</f>
        <v>0.91822429906542058</v>
      </c>
      <c r="K403" s="18" t="s">
        <v>44</v>
      </c>
      <c r="L403" s="18" t="s">
        <v>45</v>
      </c>
      <c r="M403" s="58" t="s">
        <v>274</v>
      </c>
      <c r="N403" s="18">
        <f>[1]!f_prt_stocktonav(C403,"2017/03/31")</f>
        <v>74.994209289550781</v>
      </c>
      <c r="O403" s="20" t="str">
        <f>[1]!f_info_fundmanager(C403)</f>
        <v>曹思</v>
      </c>
      <c r="P403" s="21">
        <v>2.1342465753424658</v>
      </c>
      <c r="Q403" s="34" t="s">
        <v>1562</v>
      </c>
      <c r="R403" s="34" t="s">
        <v>1563</v>
      </c>
      <c r="S403" s="34" t="s">
        <v>85</v>
      </c>
      <c r="T403" s="34">
        <v>20150211</v>
      </c>
      <c r="U403" s="45">
        <v>2.7909219268999998</v>
      </c>
      <c r="V403" s="46">
        <v>3.129229343</v>
      </c>
      <c r="W403" s="34" t="s">
        <v>3789</v>
      </c>
      <c r="X403" s="34" t="s">
        <v>44</v>
      </c>
      <c r="Y403" s="34" t="s">
        <v>45</v>
      </c>
      <c r="Z403" s="34" t="s">
        <v>274</v>
      </c>
      <c r="AA403" s="34"/>
      <c r="AB403" s="34"/>
      <c r="AC403" s="22">
        <v>0.78824699401855469</v>
      </c>
      <c r="AD403" s="23" t="s">
        <v>1564</v>
      </c>
      <c r="AE403" s="24">
        <v>1.904109589041096</v>
      </c>
      <c r="AF403" s="25">
        <v>-5.0879316202372953E-2</v>
      </c>
      <c r="AG403" s="26">
        <v>0</v>
      </c>
      <c r="AH403" s="26">
        <v>0</v>
      </c>
      <c r="AI403" s="27">
        <v>5.0290444463544408E-2</v>
      </c>
      <c r="AJ403" s="27">
        <v>5.0290444463544408E-2</v>
      </c>
      <c r="AK403" s="27">
        <v>5.0290444463544408E-2</v>
      </c>
      <c r="AL403" s="28" t="s">
        <v>1226</v>
      </c>
      <c r="AM403" s="29" t="s">
        <v>48</v>
      </c>
      <c r="AN403" s="29" t="s">
        <v>48</v>
      </c>
      <c r="AO403" s="29" t="s">
        <v>48</v>
      </c>
      <c r="AP403" s="47" t="s">
        <v>1565</v>
      </c>
      <c r="AQ403" s="28">
        <v>0</v>
      </c>
      <c r="AR403" s="26">
        <v>1.4999999999999999E-2</v>
      </c>
      <c r="AS403" s="26">
        <v>0</v>
      </c>
    </row>
    <row r="404" spans="1:45" x14ac:dyDescent="0.15">
      <c r="A404" s="64">
        <v>309</v>
      </c>
      <c r="B404" s="64">
        <v>680</v>
      </c>
      <c r="C404" s="11">
        <v>1076</v>
      </c>
      <c r="D404" s="61">
        <v>891</v>
      </c>
      <c r="E404" s="61">
        <v>-5.5494920262136602E-3</v>
      </c>
      <c r="F404" s="61">
        <v>99</v>
      </c>
      <c r="G404" s="61">
        <v>1.6016115729484701E-3</v>
      </c>
      <c r="H404" s="66">
        <v>394</v>
      </c>
      <c r="I404" s="66" t="str">
        <f>H404&amp;"/"&amp;428</f>
        <v>394/428</v>
      </c>
      <c r="J404" s="68">
        <f>H404/428</f>
        <v>0.92056074766355145</v>
      </c>
      <c r="K404" s="18" t="s">
        <v>44</v>
      </c>
      <c r="L404" s="18" t="s">
        <v>45</v>
      </c>
      <c r="M404" s="58" t="s">
        <v>274</v>
      </c>
      <c r="N404" s="18">
        <f>[1]!f_prt_stocktonav(C404,"2017/03/31")</f>
        <v>80.63128662109375</v>
      </c>
      <c r="O404" s="20" t="str">
        <f>[1]!f_info_fundmanager(C404)</f>
        <v>郭杰</v>
      </c>
      <c r="P404" s="21">
        <v>1.9397260273972603</v>
      </c>
      <c r="Q404" s="34" t="s">
        <v>1395</v>
      </c>
      <c r="R404" s="34" t="s">
        <v>1396</v>
      </c>
      <c r="S404" s="34" t="s">
        <v>218</v>
      </c>
      <c r="T404" s="34">
        <v>20150423</v>
      </c>
      <c r="U404" s="45">
        <v>16.884955679200001</v>
      </c>
      <c r="V404" s="46">
        <v>17.704949816199999</v>
      </c>
      <c r="W404" s="34" t="s">
        <v>3789</v>
      </c>
      <c r="X404" s="34" t="s">
        <v>44</v>
      </c>
      <c r="Y404" s="34" t="s">
        <v>45</v>
      </c>
      <c r="Z404" s="34" t="s">
        <v>274</v>
      </c>
      <c r="AA404" s="34"/>
      <c r="AB404" s="34"/>
      <c r="AC404" s="22">
        <v>0.77154472351074221</v>
      </c>
      <c r="AD404" s="23" t="s">
        <v>1397</v>
      </c>
      <c r="AE404" s="24">
        <v>1.7095890410958905</v>
      </c>
      <c r="AF404" s="25">
        <v>-0.19309084583351566</v>
      </c>
      <c r="AG404" s="26">
        <v>0</v>
      </c>
      <c r="AH404" s="26">
        <v>0</v>
      </c>
      <c r="AI404" s="27">
        <v>-0.36849793289570876</v>
      </c>
      <c r="AJ404" s="27">
        <v>-0.36849793289570876</v>
      </c>
      <c r="AK404" s="27">
        <v>-0.36849793289570876</v>
      </c>
      <c r="AL404" s="28" t="s">
        <v>1398</v>
      </c>
      <c r="AM404" s="29" t="s">
        <v>48</v>
      </c>
      <c r="AN404" s="29" t="s">
        <v>48</v>
      </c>
      <c r="AO404" s="29" t="s">
        <v>48</v>
      </c>
      <c r="AP404" s="47" t="s">
        <v>1399</v>
      </c>
      <c r="AQ404" s="28">
        <v>0</v>
      </c>
      <c r="AR404" s="26">
        <v>1.4999999999999999E-2</v>
      </c>
      <c r="AS404" s="26">
        <v>0</v>
      </c>
    </row>
    <row r="405" spans="1:45" x14ac:dyDescent="0.15">
      <c r="A405" s="64">
        <v>696</v>
      </c>
      <c r="B405" s="64">
        <v>303</v>
      </c>
      <c r="C405" s="11">
        <v>162212</v>
      </c>
      <c r="D405" s="61">
        <v>892</v>
      </c>
      <c r="E405" s="61">
        <v>-5.5968719233863802E-3</v>
      </c>
      <c r="F405" s="61">
        <v>104</v>
      </c>
      <c r="G405" s="61">
        <v>1.1941506704275601E-2</v>
      </c>
      <c r="H405" s="66">
        <v>395</v>
      </c>
      <c r="I405" s="66" t="str">
        <f>H405&amp;"/"&amp;428</f>
        <v>395/428</v>
      </c>
      <c r="J405" s="68">
        <f>H405/428</f>
        <v>0.92289719626168221</v>
      </c>
      <c r="K405" s="18" t="s">
        <v>44</v>
      </c>
      <c r="L405" s="18" t="s">
        <v>45</v>
      </c>
      <c r="M405" s="58" t="s">
        <v>274</v>
      </c>
      <c r="N405" s="18">
        <f>[1]!f_prt_stocktonav(C405,"2017/03/31")</f>
        <v>89.389801025390625</v>
      </c>
      <c r="O405" s="20" t="str">
        <f>[1]!f_info_fundmanager(C405)</f>
        <v>邓艺颖</v>
      </c>
      <c r="P405" s="21">
        <v>1.9945205479452055</v>
      </c>
      <c r="Q405" s="34" t="s">
        <v>2768</v>
      </c>
      <c r="R405" s="34" t="s">
        <v>2769</v>
      </c>
      <c r="S405" s="34" t="s">
        <v>263</v>
      </c>
      <c r="T405" s="34">
        <v>20091203</v>
      </c>
      <c r="U405" s="45">
        <v>1.9545290151000001</v>
      </c>
      <c r="V405" s="46">
        <v>2.2673055404000002</v>
      </c>
      <c r="W405" s="34" t="s">
        <v>3776</v>
      </c>
      <c r="X405" s="34" t="s">
        <v>44</v>
      </c>
      <c r="Y405" s="34" t="s">
        <v>45</v>
      </c>
      <c r="Z405" s="34" t="s">
        <v>274</v>
      </c>
      <c r="AA405" s="34"/>
      <c r="AB405" s="34"/>
      <c r="AC405" s="22">
        <v>0.94705810546875002</v>
      </c>
      <c r="AD405" s="23" t="s">
        <v>2770</v>
      </c>
      <c r="AE405" s="24">
        <v>1.7643835616438357</v>
      </c>
      <c r="AF405" s="25">
        <v>5.7534064732819745E-2</v>
      </c>
      <c r="AG405" s="26">
        <v>1.6707161184084551E-2</v>
      </c>
      <c r="AH405" s="26">
        <v>7.4491616828087581E-2</v>
      </c>
      <c r="AI405" s="27">
        <v>0.28993371459469053</v>
      </c>
      <c r="AJ405" s="27">
        <v>0.15630291286028242</v>
      </c>
      <c r="AK405" s="27">
        <v>0.34386259127898411</v>
      </c>
      <c r="AL405" s="28" t="s">
        <v>2771</v>
      </c>
      <c r="AM405" s="29">
        <v>2</v>
      </c>
      <c r="AN405" s="29">
        <v>1</v>
      </c>
      <c r="AO405" s="29" t="s">
        <v>48</v>
      </c>
      <c r="AP405" s="47" t="s">
        <v>2772</v>
      </c>
      <c r="AQ405" s="28">
        <v>0</v>
      </c>
      <c r="AR405" s="26">
        <v>1.4999999999999999E-2</v>
      </c>
      <c r="AS405" s="26">
        <v>0</v>
      </c>
    </row>
    <row r="406" spans="1:45" x14ac:dyDescent="0.15">
      <c r="A406" s="64">
        <v>485</v>
      </c>
      <c r="B406" s="64">
        <v>35</v>
      </c>
      <c r="C406" s="11">
        <v>519125</v>
      </c>
      <c r="D406" s="61">
        <v>893</v>
      </c>
      <c r="E406" s="61">
        <v>-5.7161833415646599E-3</v>
      </c>
      <c r="F406" s="61">
        <v>171</v>
      </c>
      <c r="G406" s="61">
        <v>3.6737072959243199E-4</v>
      </c>
      <c r="H406" s="66">
        <v>396</v>
      </c>
      <c r="I406" s="66" t="str">
        <f>H406&amp;"/"&amp;428</f>
        <v>396/428</v>
      </c>
      <c r="J406" s="68">
        <f>H406/428</f>
        <v>0.92523364485981308</v>
      </c>
      <c r="K406" s="18" t="s">
        <v>44</v>
      </c>
      <c r="L406" s="18" t="s">
        <v>87</v>
      </c>
      <c r="M406" s="58" t="s">
        <v>274</v>
      </c>
      <c r="N406" s="18">
        <f>[1]!f_prt_stocktonav(C406,"2017/03/31")</f>
        <v>94.511940002441406</v>
      </c>
      <c r="O406" s="20" t="str">
        <f>[1]!f_info_fundmanager(C406)</f>
        <v>吴勇</v>
      </c>
      <c r="P406" s="21">
        <v>3.3232876712328765</v>
      </c>
      <c r="Q406" s="34" t="s">
        <v>2048</v>
      </c>
      <c r="R406" s="34" t="s">
        <v>2049</v>
      </c>
      <c r="S406" s="34" t="s">
        <v>649</v>
      </c>
      <c r="T406" s="34">
        <v>20131204</v>
      </c>
      <c r="U406" s="45">
        <v>1.5917106429000001</v>
      </c>
      <c r="V406" s="46">
        <v>1.8422690246</v>
      </c>
      <c r="W406" s="34" t="s">
        <v>3789</v>
      </c>
      <c r="X406" s="34" t="s">
        <v>44</v>
      </c>
      <c r="Y406" s="34" t="s">
        <v>45</v>
      </c>
      <c r="Z406" s="34" t="s">
        <v>274</v>
      </c>
      <c r="AA406" s="34"/>
      <c r="AB406" s="34"/>
      <c r="AC406" s="22">
        <v>0.94108024597167972</v>
      </c>
      <c r="AD406" s="23" t="s">
        <v>650</v>
      </c>
      <c r="AE406" s="24">
        <v>3.0931506849315067</v>
      </c>
      <c r="AF406" s="25">
        <v>0.1646524450282405</v>
      </c>
      <c r="AG406" s="26">
        <v>0.17014399299641306</v>
      </c>
      <c r="AH406" s="26">
        <v>0</v>
      </c>
      <c r="AI406" s="27">
        <v>0.54369902326126607</v>
      </c>
      <c r="AJ406" s="27">
        <v>0.54690751310978014</v>
      </c>
      <c r="AK406" s="27">
        <v>0.54369902326126607</v>
      </c>
      <c r="AL406" s="28" t="s">
        <v>2050</v>
      </c>
      <c r="AM406" s="29" t="s">
        <v>48</v>
      </c>
      <c r="AN406" s="29" t="s">
        <v>48</v>
      </c>
      <c r="AO406" s="29" t="s">
        <v>48</v>
      </c>
      <c r="AP406" s="47" t="s">
        <v>652</v>
      </c>
      <c r="AQ406" s="28">
        <v>0</v>
      </c>
      <c r="AR406" s="26">
        <v>1.4999999999999999E-2</v>
      </c>
      <c r="AS406" s="26">
        <v>0</v>
      </c>
    </row>
    <row r="407" spans="1:45" x14ac:dyDescent="0.15">
      <c r="A407" s="64">
        <v>428</v>
      </c>
      <c r="B407" s="64">
        <v>91</v>
      </c>
      <c r="C407" s="11">
        <v>654</v>
      </c>
      <c r="D407" s="61">
        <v>894</v>
      </c>
      <c r="E407" s="61">
        <v>-5.7178953075382403E-3</v>
      </c>
      <c r="F407" s="61">
        <v>138</v>
      </c>
      <c r="G407" s="61">
        <v>1.42845039717676E-3</v>
      </c>
      <c r="H407" s="66">
        <v>397</v>
      </c>
      <c r="I407" s="66" t="str">
        <f>H407&amp;"/"&amp;428</f>
        <v>397/428</v>
      </c>
      <c r="J407" s="68">
        <f>H407/428</f>
        <v>0.92757009345794394</v>
      </c>
      <c r="K407" s="18" t="s">
        <v>44</v>
      </c>
      <c r="L407" s="18" t="s">
        <v>45</v>
      </c>
      <c r="M407" s="58" t="s">
        <v>274</v>
      </c>
      <c r="N407" s="18">
        <f>[1]!f_prt_stocktonav(C407,"2017/03/31")</f>
        <v>93.739067077636719</v>
      </c>
      <c r="O407" s="20" t="str">
        <f>[1]!f_info_fundmanager(C407)</f>
        <v>梁永强,童立</v>
      </c>
      <c r="P407" s="21">
        <v>2.6876712328767125</v>
      </c>
      <c r="Q407" s="34" t="s">
        <v>1835</v>
      </c>
      <c r="R407" s="34" t="s">
        <v>1836</v>
      </c>
      <c r="S407" s="34" t="s">
        <v>387</v>
      </c>
      <c r="T407" s="34">
        <v>20140724</v>
      </c>
      <c r="U407" s="45">
        <v>41.522037922700001</v>
      </c>
      <c r="V407" s="46">
        <v>45.771731602999999</v>
      </c>
      <c r="W407" s="34" t="s">
        <v>3776</v>
      </c>
      <c r="X407" s="34" t="s">
        <v>44</v>
      </c>
      <c r="Y407" s="34" t="s">
        <v>45</v>
      </c>
      <c r="Z407" s="34" t="s">
        <v>274</v>
      </c>
      <c r="AA407" s="34"/>
      <c r="AB407" s="34"/>
      <c r="AC407" s="22">
        <v>0.94951179504394534</v>
      </c>
      <c r="AD407" s="23" t="s">
        <v>1837</v>
      </c>
      <c r="AE407" s="24">
        <v>2.4575342465753423</v>
      </c>
      <c r="AF407" s="25">
        <v>0.14239591254210948</v>
      </c>
      <c r="AG407" s="26">
        <v>0</v>
      </c>
      <c r="AH407" s="26">
        <v>0</v>
      </c>
      <c r="AI407" s="27">
        <v>0.49684838887215615</v>
      </c>
      <c r="AJ407" s="27">
        <v>0.49684838887215615</v>
      </c>
      <c r="AK407" s="27">
        <v>0.49684838887215615</v>
      </c>
      <c r="AL407" s="28" t="s">
        <v>1048</v>
      </c>
      <c r="AM407" s="29" t="s">
        <v>48</v>
      </c>
      <c r="AN407" s="29" t="s">
        <v>48</v>
      </c>
      <c r="AO407" s="29" t="s">
        <v>48</v>
      </c>
      <c r="AP407" s="47" t="s">
        <v>1838</v>
      </c>
      <c r="AQ407" s="28">
        <v>0</v>
      </c>
      <c r="AR407" s="26">
        <v>1.4999999999999999E-2</v>
      </c>
      <c r="AS407" s="26">
        <v>0</v>
      </c>
    </row>
    <row r="408" spans="1:45" x14ac:dyDescent="0.15">
      <c r="A408" s="64">
        <v>840</v>
      </c>
      <c r="B408" s="64">
        <v>961</v>
      </c>
      <c r="C408" s="11">
        <v>161609</v>
      </c>
      <c r="D408" s="61">
        <v>896</v>
      </c>
      <c r="E408" s="61">
        <v>-5.7438576335766597E-3</v>
      </c>
      <c r="F408" s="61">
        <v>91</v>
      </c>
      <c r="G408" s="61">
        <v>6.9061481704783205E-4</v>
      </c>
      <c r="H408" s="66">
        <v>398</v>
      </c>
      <c r="I408" s="66" t="str">
        <f>H408&amp;"/"&amp;428</f>
        <v>398/428</v>
      </c>
      <c r="J408" s="68">
        <f>H408/428</f>
        <v>0.92990654205607481</v>
      </c>
      <c r="K408" s="18" t="s">
        <v>44</v>
      </c>
      <c r="L408" s="18" t="s">
        <v>45</v>
      </c>
      <c r="M408" s="58" t="s">
        <v>274</v>
      </c>
      <c r="N408" s="18">
        <f>[1]!f_prt_stocktonav(C408,"2017/03/31")</f>
        <v>70.110733032226562</v>
      </c>
      <c r="O408" s="20" t="str">
        <f>[1]!f_info_fundmanager(C408)</f>
        <v>朱丹</v>
      </c>
      <c r="P408" s="21">
        <v>1.7424657534246575</v>
      </c>
      <c r="Q408" s="34" t="s">
        <v>3263</v>
      </c>
      <c r="R408" s="34" t="s">
        <v>3264</v>
      </c>
      <c r="S408" s="34" t="s">
        <v>230</v>
      </c>
      <c r="T408" s="34">
        <v>20061115</v>
      </c>
      <c r="U408" s="45">
        <v>11.359825044700001</v>
      </c>
      <c r="V408" s="46">
        <v>14.033065581000001</v>
      </c>
      <c r="W408" s="34" t="s">
        <v>231</v>
      </c>
      <c r="X408" s="34" t="s">
        <v>44</v>
      </c>
      <c r="Y408" s="34" t="s">
        <v>45</v>
      </c>
      <c r="Z408" s="34" t="s">
        <v>274</v>
      </c>
      <c r="AA408" s="34"/>
      <c r="AB408" s="34"/>
      <c r="AC408" s="22">
        <v>0.86755279541015629</v>
      </c>
      <c r="AD408" s="23" t="s">
        <v>3265</v>
      </c>
      <c r="AE408" s="24">
        <v>1.5123287671232877</v>
      </c>
      <c r="AF408" s="25">
        <v>9.2196682128436347E-2</v>
      </c>
      <c r="AG408" s="26">
        <v>0.14582691261866843</v>
      </c>
      <c r="AH408" s="26">
        <v>0.13378515088812004</v>
      </c>
      <c r="AI408" s="27">
        <v>0.39578504089549599</v>
      </c>
      <c r="AJ408" s="27">
        <v>0.52182345026003119</v>
      </c>
      <c r="AK408" s="27">
        <v>0.51246157503951983</v>
      </c>
      <c r="AL408" s="28" t="s">
        <v>167</v>
      </c>
      <c r="AM408" s="29">
        <v>2</v>
      </c>
      <c r="AN408" s="29">
        <v>2</v>
      </c>
      <c r="AO408" s="29" t="s">
        <v>48</v>
      </c>
      <c r="AP408" s="47" t="s">
        <v>3266</v>
      </c>
      <c r="AQ408" s="28" t="s">
        <v>235</v>
      </c>
      <c r="AR408" s="26">
        <v>1.4999999999999999E-2</v>
      </c>
      <c r="AS408" s="26">
        <v>0</v>
      </c>
    </row>
    <row r="409" spans="1:45" x14ac:dyDescent="0.15">
      <c r="A409" s="64">
        <v>408</v>
      </c>
      <c r="B409" s="64">
        <v>487</v>
      </c>
      <c r="C409" s="11">
        <v>761</v>
      </c>
      <c r="D409" s="61">
        <v>897</v>
      </c>
      <c r="E409" s="61">
        <v>-5.7474258392725304E-3</v>
      </c>
      <c r="F409" s="61">
        <v>129</v>
      </c>
      <c r="G409" s="61">
        <v>2.9031069653181001E-3</v>
      </c>
      <c r="H409" s="66">
        <v>399</v>
      </c>
      <c r="I409" s="66" t="str">
        <f>H409&amp;"/"&amp;428</f>
        <v>399/428</v>
      </c>
      <c r="J409" s="68">
        <f>H409/428</f>
        <v>0.93224299065420557</v>
      </c>
      <c r="K409" s="18" t="s">
        <v>44</v>
      </c>
      <c r="L409" s="18" t="s">
        <v>45</v>
      </c>
      <c r="M409" s="58" t="s">
        <v>274</v>
      </c>
      <c r="N409" s="18">
        <f>[1]!f_prt_stocktonav(C409,"2017/03/31")</f>
        <v>85.5784912109375</v>
      </c>
      <c r="O409" s="20" t="str">
        <f>[1]!f_info_fundmanager(C409)</f>
        <v>王晓宁</v>
      </c>
      <c r="P409" s="21">
        <v>2.5205479452054793</v>
      </c>
      <c r="Q409" s="34" t="s">
        <v>1762</v>
      </c>
      <c r="R409" s="34" t="s">
        <v>1763</v>
      </c>
      <c r="S409" s="34" t="s">
        <v>742</v>
      </c>
      <c r="T409" s="34">
        <v>20140923</v>
      </c>
      <c r="U409" s="45">
        <v>0.18252794789999999</v>
      </c>
      <c r="V409" s="46">
        <v>0.22095985360000001</v>
      </c>
      <c r="W409" s="34" t="s">
        <v>3776</v>
      </c>
      <c r="X409" s="34" t="s">
        <v>44</v>
      </c>
      <c r="Y409" s="34" t="s">
        <v>45</v>
      </c>
      <c r="Z409" s="34" t="s">
        <v>274</v>
      </c>
      <c r="AA409" s="34"/>
      <c r="AB409" s="34"/>
      <c r="AC409" s="22">
        <v>0.82334350585937499</v>
      </c>
      <c r="AD409" s="23" t="s">
        <v>1764</v>
      </c>
      <c r="AE409" s="24">
        <v>2.2904109589041095</v>
      </c>
      <c r="AF409" s="25">
        <v>2.9740687117021158E-2</v>
      </c>
      <c r="AG409" s="26">
        <v>0</v>
      </c>
      <c r="AH409" s="26">
        <v>0</v>
      </c>
      <c r="AI409" s="27">
        <v>0.23981248024677609</v>
      </c>
      <c r="AJ409" s="27">
        <v>0.23981248024677609</v>
      </c>
      <c r="AK409" s="27">
        <v>0.23981248024677609</v>
      </c>
      <c r="AL409" s="28" t="s">
        <v>744</v>
      </c>
      <c r="AM409" s="29" t="s">
        <v>48</v>
      </c>
      <c r="AN409" s="29" t="s">
        <v>48</v>
      </c>
      <c r="AO409" s="29" t="s">
        <v>48</v>
      </c>
      <c r="AP409" s="47" t="s">
        <v>249</v>
      </c>
      <c r="AQ409" s="28">
        <v>0</v>
      </c>
      <c r="AR409" s="26">
        <v>1.4999999999999999E-2</v>
      </c>
      <c r="AS409" s="26">
        <v>0</v>
      </c>
    </row>
    <row r="410" spans="1:45" x14ac:dyDescent="0.15">
      <c r="A410" s="64">
        <v>305</v>
      </c>
      <c r="B410" s="64">
        <v>346</v>
      </c>
      <c r="C410" s="11">
        <v>1158</v>
      </c>
      <c r="D410" s="61">
        <v>898</v>
      </c>
      <c r="E410" s="61">
        <v>-5.8115010880479302E-3</v>
      </c>
      <c r="F410" s="61">
        <v>98</v>
      </c>
      <c r="G410" s="61">
        <v>1.4586727157745101E-2</v>
      </c>
      <c r="H410" s="66">
        <v>400</v>
      </c>
      <c r="I410" s="66" t="str">
        <f>H410&amp;"/"&amp;428</f>
        <v>400/428</v>
      </c>
      <c r="J410" s="68">
        <f>H410/428</f>
        <v>0.93457943925233644</v>
      </c>
      <c r="K410" s="18" t="s">
        <v>44</v>
      </c>
      <c r="L410" s="18" t="s">
        <v>45</v>
      </c>
      <c r="M410" s="58" t="s">
        <v>274</v>
      </c>
      <c r="N410" s="18">
        <f>[1]!f_prt_stocktonav(C410,"2017/03/31")</f>
        <v>88.581947326660156</v>
      </c>
      <c r="O410" s="20" t="str">
        <f>[1]!f_info_fundmanager(C410)</f>
        <v>黄安乐,孙楠,张剑峰,陈小鹭</v>
      </c>
      <c r="P410" s="21">
        <v>1.9260273972602739</v>
      </c>
      <c r="Q410" s="34" t="s">
        <v>1377</v>
      </c>
      <c r="R410" s="34" t="s">
        <v>1378</v>
      </c>
      <c r="S410" s="34" t="s">
        <v>523</v>
      </c>
      <c r="T410" s="34">
        <v>20150428</v>
      </c>
      <c r="U410" s="45">
        <v>26.8570368697</v>
      </c>
      <c r="V410" s="46">
        <v>30.905091501899999</v>
      </c>
      <c r="W410" s="34" t="s">
        <v>3789</v>
      </c>
      <c r="X410" s="34" t="s">
        <v>44</v>
      </c>
      <c r="Y410" s="34" t="s">
        <v>86</v>
      </c>
      <c r="Z410" s="34" t="s">
        <v>274</v>
      </c>
      <c r="AA410" s="34" t="s">
        <v>3807</v>
      </c>
      <c r="AB410" s="34"/>
      <c r="AC410" s="22">
        <v>0.91281723022460937</v>
      </c>
      <c r="AD410" s="23" t="s">
        <v>1380</v>
      </c>
      <c r="AE410" s="24">
        <v>1.6958904109589041</v>
      </c>
      <c r="AF410" s="25">
        <v>-0.19794930212634021</v>
      </c>
      <c r="AG410" s="26">
        <v>0</v>
      </c>
      <c r="AH410" s="26">
        <v>0</v>
      </c>
      <c r="AI410" s="27">
        <v>-0.26854777721150541</v>
      </c>
      <c r="AJ410" s="27">
        <v>-0.26854777721150541</v>
      </c>
      <c r="AK410" s="27">
        <v>-0.26854777721150541</v>
      </c>
      <c r="AL410" s="33" t="s">
        <v>1381</v>
      </c>
      <c r="AM410" s="29" t="s">
        <v>48</v>
      </c>
      <c r="AN410" s="29" t="s">
        <v>48</v>
      </c>
      <c r="AO410" s="29" t="s">
        <v>48</v>
      </c>
      <c r="AP410" s="47" t="s">
        <v>255</v>
      </c>
      <c r="AQ410" s="28">
        <v>0</v>
      </c>
      <c r="AR410" s="26">
        <v>1.4999999999999999E-2</v>
      </c>
      <c r="AS410" s="26">
        <v>0</v>
      </c>
    </row>
    <row r="411" spans="1:45" x14ac:dyDescent="0.15">
      <c r="A411" s="64">
        <v>809</v>
      </c>
      <c r="B411" s="64">
        <v>686</v>
      </c>
      <c r="C411" s="11">
        <v>50008</v>
      </c>
      <c r="D411" s="61">
        <v>901</v>
      </c>
      <c r="E411" s="61">
        <v>-5.9427174979138899E-3</v>
      </c>
      <c r="F411" s="61">
        <v>112</v>
      </c>
      <c r="G411" s="61">
        <v>4.6392653561666697E-6</v>
      </c>
      <c r="H411" s="66">
        <v>401</v>
      </c>
      <c r="I411" s="66" t="str">
        <f>H411&amp;"/"&amp;428</f>
        <v>401/428</v>
      </c>
      <c r="J411" s="68">
        <f>H411/428</f>
        <v>0.93691588785046731</v>
      </c>
      <c r="K411" s="18" t="s">
        <v>44</v>
      </c>
      <c r="L411" s="18" t="s">
        <v>45</v>
      </c>
      <c r="M411" s="58" t="s">
        <v>274</v>
      </c>
      <c r="N411" s="18">
        <f>[1]!f_prt_stocktonav(C411,"2017/03/31")</f>
        <v>80.449188232421875</v>
      </c>
      <c r="O411" s="20" t="str">
        <f>[1]!f_info_fundmanager(C411)</f>
        <v>苏永超,韩茂华</v>
      </c>
      <c r="P411" s="21">
        <v>2.1397260273972605</v>
      </c>
      <c r="Q411" s="34" t="s">
        <v>3150</v>
      </c>
      <c r="R411" s="34" t="s">
        <v>3151</v>
      </c>
      <c r="S411" s="34" t="s">
        <v>413</v>
      </c>
      <c r="T411" s="34">
        <v>20070412</v>
      </c>
      <c r="U411" s="45">
        <v>21.695481348200001</v>
      </c>
      <c r="V411" s="46">
        <v>22.623836842700001</v>
      </c>
      <c r="W411" s="34" t="s">
        <v>231</v>
      </c>
      <c r="X411" s="34" t="s">
        <v>44</v>
      </c>
      <c r="Y411" s="34" t="s">
        <v>45</v>
      </c>
      <c r="Z411" s="34" t="s">
        <v>274</v>
      </c>
      <c r="AA411" s="34"/>
      <c r="AB411" s="34"/>
      <c r="AC411" s="22">
        <v>0.81993118286132816</v>
      </c>
      <c r="AD411" s="23" t="s">
        <v>2248</v>
      </c>
      <c r="AE411" s="24">
        <v>1.9095890410958904</v>
      </c>
      <c r="AF411" s="25">
        <v>4.1133230684682331E-2</v>
      </c>
      <c r="AG411" s="26">
        <v>5.089826532529762E-2</v>
      </c>
      <c r="AH411" s="26">
        <v>5.8353030950053952E-2</v>
      </c>
      <c r="AI411" s="27">
        <v>0.22939027893751787</v>
      </c>
      <c r="AJ411" s="27">
        <v>0.27029376439194697</v>
      </c>
      <c r="AK411" s="27">
        <v>0.29175382543577139</v>
      </c>
      <c r="AL411" s="28" t="s">
        <v>110</v>
      </c>
      <c r="AM411" s="29">
        <v>1</v>
      </c>
      <c r="AN411" s="29">
        <v>3</v>
      </c>
      <c r="AO411" s="29" t="s">
        <v>48</v>
      </c>
      <c r="AP411" s="47" t="s">
        <v>209</v>
      </c>
      <c r="AQ411" s="28">
        <v>0</v>
      </c>
      <c r="AR411" s="26">
        <v>1.4999999999999999E-2</v>
      </c>
      <c r="AS411" s="26">
        <v>0</v>
      </c>
    </row>
    <row r="412" spans="1:45" x14ac:dyDescent="0.15">
      <c r="A412" s="64">
        <v>745</v>
      </c>
      <c r="B412" s="64">
        <v>743</v>
      </c>
      <c r="C412" s="11">
        <v>398031</v>
      </c>
      <c r="D412" s="61">
        <v>902</v>
      </c>
      <c r="E412" s="61">
        <v>-5.9476061175650803E-3</v>
      </c>
      <c r="F412" s="61">
        <v>158</v>
      </c>
      <c r="G412" s="61">
        <v>1.15070936046545E-4</v>
      </c>
      <c r="H412" s="66">
        <v>402</v>
      </c>
      <c r="I412" s="66" t="str">
        <f>H412&amp;"/"&amp;428</f>
        <v>402/428</v>
      </c>
      <c r="J412" s="68">
        <f>H412/428</f>
        <v>0.93925233644859818</v>
      </c>
      <c r="K412" s="18" t="s">
        <v>44</v>
      </c>
      <c r="L412" s="18" t="s">
        <v>45</v>
      </c>
      <c r="M412" s="58" t="s">
        <v>274</v>
      </c>
      <c r="N412" s="18">
        <f>[1]!f_prt_stocktonav(C412,"2017/03/31")</f>
        <v>78.526359558105469</v>
      </c>
      <c r="O412" s="20" t="str">
        <f>[1]!f_info_fundmanager(C412)</f>
        <v>邱红丽</v>
      </c>
      <c r="P412" s="21">
        <v>3.032876712328767</v>
      </c>
      <c r="Q412" s="34" t="s">
        <v>2936</v>
      </c>
      <c r="R412" s="34" t="s">
        <v>2937</v>
      </c>
      <c r="S412" s="34" t="s">
        <v>505</v>
      </c>
      <c r="T412" s="34">
        <v>20081203</v>
      </c>
      <c r="U412" s="45">
        <v>0.99893982380000002</v>
      </c>
      <c r="V412" s="46">
        <v>1.2794591287999999</v>
      </c>
      <c r="W412" s="34" t="s">
        <v>231</v>
      </c>
      <c r="X412" s="34" t="s">
        <v>41</v>
      </c>
      <c r="Y412" s="17" t="s">
        <v>42</v>
      </c>
      <c r="Z412" s="17" t="s">
        <v>181</v>
      </c>
      <c r="AA412" s="34"/>
      <c r="AB412" s="34"/>
      <c r="AC412" s="22">
        <v>0.68764289855957028</v>
      </c>
      <c r="AD412" s="23" t="s">
        <v>862</v>
      </c>
      <c r="AE412" s="24">
        <v>2.8027397260273972</v>
      </c>
      <c r="AF412" s="25">
        <v>7.6823592324572143E-2</v>
      </c>
      <c r="AG412" s="26">
        <v>3.6214497459665873E-2</v>
      </c>
      <c r="AH412" s="26">
        <v>9.8812905187320124E-2</v>
      </c>
      <c r="AI412" s="27">
        <v>0.37142088413457996</v>
      </c>
      <c r="AJ412" s="27">
        <v>0.20890554630182057</v>
      </c>
      <c r="AK412" s="27">
        <v>0.43238698730450381</v>
      </c>
      <c r="AL412" s="28" t="s">
        <v>2938</v>
      </c>
      <c r="AM412" s="29">
        <v>2</v>
      </c>
      <c r="AN412" s="29">
        <v>3</v>
      </c>
      <c r="AO412" s="29" t="s">
        <v>48</v>
      </c>
      <c r="AP412" s="47" t="s">
        <v>2939</v>
      </c>
      <c r="AQ412" s="28">
        <v>0</v>
      </c>
      <c r="AR412" s="26">
        <v>1.4999999999999999E-2</v>
      </c>
      <c r="AS412" s="26">
        <v>0</v>
      </c>
    </row>
    <row r="413" spans="1:45" x14ac:dyDescent="0.15">
      <c r="A413" s="64">
        <v>404</v>
      </c>
      <c r="B413" s="64">
        <v>7</v>
      </c>
      <c r="C413" s="11">
        <v>800</v>
      </c>
      <c r="D413" s="61">
        <v>903</v>
      </c>
      <c r="E413" s="61">
        <v>-5.9623552074833698E-3</v>
      </c>
      <c r="F413" s="61">
        <v>126</v>
      </c>
      <c r="G413" s="61">
        <v>4.0575651866970597E-3</v>
      </c>
      <c r="H413" s="66">
        <v>403</v>
      </c>
      <c r="I413" s="66" t="str">
        <f>H413&amp;"/"&amp;428</f>
        <v>403/428</v>
      </c>
      <c r="J413" s="68">
        <f>H413/428</f>
        <v>0.94158878504672894</v>
      </c>
      <c r="K413" s="18" t="s">
        <v>44</v>
      </c>
      <c r="L413" s="18" t="s">
        <v>87</v>
      </c>
      <c r="M413" s="58" t="s">
        <v>274</v>
      </c>
      <c r="N413" s="18">
        <f>[1]!f_prt_stocktonav(C413,"2017/03/31")</f>
        <v>94.85791015625</v>
      </c>
      <c r="O413" s="20" t="str">
        <f>[1]!f_info_fundmanager(C413)</f>
        <v>梁永强</v>
      </c>
      <c r="P413" s="21">
        <v>2.463013698630137</v>
      </c>
      <c r="Q413" s="34" t="s">
        <v>1746</v>
      </c>
      <c r="R413" s="34" t="s">
        <v>1747</v>
      </c>
      <c r="S413" s="34" t="s">
        <v>387</v>
      </c>
      <c r="T413" s="34">
        <v>20141014</v>
      </c>
      <c r="U413" s="45">
        <v>21.286664403500001</v>
      </c>
      <c r="V413" s="46">
        <v>28.4428550033</v>
      </c>
      <c r="W413" s="34" t="s">
        <v>3789</v>
      </c>
      <c r="X413" s="34" t="s">
        <v>44</v>
      </c>
      <c r="Y413" s="34" t="s">
        <v>87</v>
      </c>
      <c r="Z413" s="34" t="s">
        <v>274</v>
      </c>
      <c r="AA413" s="34" t="s">
        <v>3822</v>
      </c>
      <c r="AB413" s="34"/>
      <c r="AC413" s="22">
        <v>0.94846183776855464</v>
      </c>
      <c r="AD413" s="23" t="s">
        <v>1749</v>
      </c>
      <c r="AE413" s="24">
        <v>2.2328767123287672</v>
      </c>
      <c r="AF413" s="25">
        <v>4.5592855699666313E-2</v>
      </c>
      <c r="AG413" s="26">
        <v>0</v>
      </c>
      <c r="AH413" s="26">
        <v>0</v>
      </c>
      <c r="AI413" s="27">
        <v>0.28690980165502933</v>
      </c>
      <c r="AJ413" s="27">
        <v>0.28690980165502933</v>
      </c>
      <c r="AK413" s="27">
        <v>0.28690980165502933</v>
      </c>
      <c r="AL413" s="33" t="s">
        <v>1750</v>
      </c>
      <c r="AM413" s="29" t="s">
        <v>48</v>
      </c>
      <c r="AN413" s="29" t="s">
        <v>48</v>
      </c>
      <c r="AO413" s="29" t="s">
        <v>48</v>
      </c>
      <c r="AP413" s="47" t="s">
        <v>1751</v>
      </c>
      <c r="AQ413" s="28">
        <v>0</v>
      </c>
      <c r="AR413" s="26">
        <v>1.4999999999999999E-2</v>
      </c>
      <c r="AS413" s="26">
        <v>0</v>
      </c>
    </row>
    <row r="414" spans="1:45" x14ac:dyDescent="0.15">
      <c r="A414" s="64">
        <v>588</v>
      </c>
      <c r="B414" s="64">
        <v>745</v>
      </c>
      <c r="C414" s="11">
        <v>163818</v>
      </c>
      <c r="D414" s="61">
        <v>904</v>
      </c>
      <c r="E414" s="61">
        <v>-6.0206400507114496E-3</v>
      </c>
      <c r="F414" s="61">
        <v>106</v>
      </c>
      <c r="G414" s="61">
        <v>1.5025807680275299E-3</v>
      </c>
      <c r="H414" s="66">
        <v>404</v>
      </c>
      <c r="I414" s="66" t="str">
        <f>H414&amp;"/"&amp;428</f>
        <v>404/428</v>
      </c>
      <c r="J414" s="68">
        <f>H414/428</f>
        <v>0.94392523364485981</v>
      </c>
      <c r="K414" s="18" t="s">
        <v>44</v>
      </c>
      <c r="L414" s="18" t="s">
        <v>45</v>
      </c>
      <c r="M414" s="58" t="s">
        <v>274</v>
      </c>
      <c r="N414" s="18">
        <f>[1]!f_prt_stocktonav(C414,"2017/03/31")</f>
        <v>78.475540161132813</v>
      </c>
      <c r="O414" s="20" t="str">
        <f>[1]!f_info_fundmanager(C414)</f>
        <v>王伟</v>
      </c>
      <c r="P414" s="21">
        <v>2.0246575342465754</v>
      </c>
      <c r="Q414" s="34" t="s">
        <v>2412</v>
      </c>
      <c r="R414" s="34" t="s">
        <v>2413</v>
      </c>
      <c r="S414" s="34" t="s">
        <v>71</v>
      </c>
      <c r="T414" s="34">
        <v>20111123</v>
      </c>
      <c r="U414" s="45">
        <v>0.41598093930000002</v>
      </c>
      <c r="V414" s="46">
        <v>0.442034914</v>
      </c>
      <c r="W414" s="34" t="s">
        <v>3776</v>
      </c>
      <c r="X414" s="34" t="s">
        <v>41</v>
      </c>
      <c r="Y414" s="17" t="s">
        <v>42</v>
      </c>
      <c r="Z414" s="17" t="s">
        <v>181</v>
      </c>
      <c r="AA414" s="34"/>
      <c r="AB414" s="34"/>
      <c r="AC414" s="22">
        <v>0.69993553161621092</v>
      </c>
      <c r="AD414" s="23" t="s">
        <v>1129</v>
      </c>
      <c r="AE414" s="24">
        <v>1.7945205479452055</v>
      </c>
      <c r="AF414" s="25">
        <v>6.336233851828954E-2</v>
      </c>
      <c r="AG414" s="26">
        <v>9.1765172460938307E-2</v>
      </c>
      <c r="AH414" s="26">
        <v>6.4405586632303891E-2</v>
      </c>
      <c r="AI414" s="27">
        <v>0.31032907506030499</v>
      </c>
      <c r="AJ414" s="27">
        <v>0.38148565524479749</v>
      </c>
      <c r="AK414" s="27">
        <v>0.3128857420148462</v>
      </c>
      <c r="AL414" s="28" t="s">
        <v>2414</v>
      </c>
      <c r="AM414" s="29">
        <v>1</v>
      </c>
      <c r="AN414" s="29">
        <v>2</v>
      </c>
      <c r="AO414" s="29" t="s">
        <v>48</v>
      </c>
      <c r="AP414" s="47" t="s">
        <v>845</v>
      </c>
      <c r="AQ414" s="28">
        <v>0</v>
      </c>
      <c r="AR414" s="26">
        <v>1.4999999999999999E-2</v>
      </c>
      <c r="AS414" s="26">
        <v>0</v>
      </c>
    </row>
    <row r="415" spans="1:45" x14ac:dyDescent="0.15">
      <c r="A415" s="64">
        <v>354</v>
      </c>
      <c r="B415" s="64">
        <v>131</v>
      </c>
      <c r="C415" s="11">
        <v>1036</v>
      </c>
      <c r="D415" s="61">
        <v>905</v>
      </c>
      <c r="E415" s="61">
        <v>-6.1046675625078001E-3</v>
      </c>
      <c r="F415" s="61">
        <v>109</v>
      </c>
      <c r="G415" s="61">
        <v>4.0189689686256799E-4</v>
      </c>
      <c r="H415" s="66">
        <v>405</v>
      </c>
      <c r="I415" s="66" t="str">
        <f>H415&amp;"/"&amp;428</f>
        <v>405/428</v>
      </c>
      <c r="J415" s="68">
        <f>H415/428</f>
        <v>0.94626168224299068</v>
      </c>
      <c r="K415" s="18" t="s">
        <v>44</v>
      </c>
      <c r="L415" s="18" t="s">
        <v>45</v>
      </c>
      <c r="M415" s="58" t="s">
        <v>274</v>
      </c>
      <c r="N415" s="18">
        <f>[1]!f_prt_stocktonav(C415,"2017/03/31")</f>
        <v>93.077484130859375</v>
      </c>
      <c r="O415" s="20" t="str">
        <f>[1]!f_info_fundmanager(C415)</f>
        <v>杜毅</v>
      </c>
      <c r="P415" s="21">
        <v>2.0876712328767124</v>
      </c>
      <c r="Q415" s="34" t="s">
        <v>1559</v>
      </c>
      <c r="R415" s="34" t="s">
        <v>1560</v>
      </c>
      <c r="S415" s="34" t="s">
        <v>92</v>
      </c>
      <c r="T415" s="34">
        <v>20150212</v>
      </c>
      <c r="U415" s="45">
        <v>25.216862882699999</v>
      </c>
      <c r="V415" s="46">
        <v>24.955786675500001</v>
      </c>
      <c r="W415" s="34" t="s">
        <v>3776</v>
      </c>
      <c r="X415" s="34" t="s">
        <v>44</v>
      </c>
      <c r="Y415" s="34" t="s">
        <v>45</v>
      </c>
      <c r="Z415" s="34" t="s">
        <v>274</v>
      </c>
      <c r="AA415" s="34"/>
      <c r="AB415" s="34"/>
      <c r="AC415" s="22">
        <v>0.84072540283203123</v>
      </c>
      <c r="AD415" s="23" t="s">
        <v>1561</v>
      </c>
      <c r="AE415" s="24">
        <v>1.8575342465753424</v>
      </c>
      <c r="AF415" s="25">
        <v>-6.0987010081440134E-2</v>
      </c>
      <c r="AG415" s="26">
        <v>0</v>
      </c>
      <c r="AH415" s="26">
        <v>0</v>
      </c>
      <c r="AI415" s="27">
        <v>8.1045243584185172E-3</v>
      </c>
      <c r="AJ415" s="27">
        <v>8.1045243584185172E-3</v>
      </c>
      <c r="AK415" s="27">
        <v>8.1045243584185172E-3</v>
      </c>
      <c r="AL415" s="28" t="s">
        <v>208</v>
      </c>
      <c r="AM415" s="29" t="s">
        <v>48</v>
      </c>
      <c r="AN415" s="29" t="s">
        <v>48</v>
      </c>
      <c r="AO415" s="29" t="s">
        <v>48</v>
      </c>
      <c r="AP415" s="47" t="s">
        <v>249</v>
      </c>
      <c r="AQ415" s="28">
        <v>0</v>
      </c>
      <c r="AR415" s="26">
        <v>1.4999999999999999E-2</v>
      </c>
      <c r="AS415" s="26">
        <v>0</v>
      </c>
    </row>
    <row r="416" spans="1:45" x14ac:dyDescent="0.15">
      <c r="A416" s="64">
        <v>297</v>
      </c>
      <c r="B416" s="64">
        <v>520</v>
      </c>
      <c r="C416" s="11">
        <v>1167</v>
      </c>
      <c r="D416" s="61">
        <v>909</v>
      </c>
      <c r="E416" s="61">
        <v>-6.2830342691713196E-3</v>
      </c>
      <c r="F416" s="61">
        <v>98</v>
      </c>
      <c r="G416" s="61">
        <v>3.85531166786042E-4</v>
      </c>
      <c r="H416" s="66">
        <v>406</v>
      </c>
      <c r="I416" s="66" t="str">
        <f>H416&amp;"/"&amp;428</f>
        <v>406/428</v>
      </c>
      <c r="J416" s="68">
        <f>H416/428</f>
        <v>0.94859813084112155</v>
      </c>
      <c r="K416" s="18" t="s">
        <v>44</v>
      </c>
      <c r="L416" s="18" t="s">
        <v>45</v>
      </c>
      <c r="M416" s="58" t="s">
        <v>274</v>
      </c>
      <c r="N416" s="18">
        <f>[1]!f_prt_stocktonav(C416,"2017/03/31")</f>
        <v>84.911033630371094</v>
      </c>
      <c r="O416" s="20" t="str">
        <f>[1]!f_info_fundmanager(C416)</f>
        <v>方超</v>
      </c>
      <c r="P416" s="21">
        <v>1.9205479452054794</v>
      </c>
      <c r="Q416" s="34" t="s">
        <v>1348</v>
      </c>
      <c r="R416" s="34" t="s">
        <v>1349</v>
      </c>
      <c r="S416" s="34" t="s">
        <v>273</v>
      </c>
      <c r="T416" s="34">
        <v>20150430</v>
      </c>
      <c r="U416" s="45">
        <v>7.9282882012</v>
      </c>
      <c r="V416" s="46">
        <v>9.0258560811000006</v>
      </c>
      <c r="W416" s="34" t="s">
        <v>3789</v>
      </c>
      <c r="X416" s="34" t="s">
        <v>44</v>
      </c>
      <c r="Y416" s="34" t="s">
        <v>45</v>
      </c>
      <c r="Z416" s="34" t="s">
        <v>274</v>
      </c>
      <c r="AA416" s="34"/>
      <c r="AB416" s="34"/>
      <c r="AC416" s="22">
        <v>0.81895683288574217</v>
      </c>
      <c r="AD416" s="23" t="s">
        <v>1350</v>
      </c>
      <c r="AE416" s="24">
        <v>1.6904109589041096</v>
      </c>
      <c r="AF416" s="25">
        <v>-0.22657082974724052</v>
      </c>
      <c r="AG416" s="26">
        <v>0</v>
      </c>
      <c r="AH416" s="26">
        <v>0</v>
      </c>
      <c r="AI416" s="27">
        <v>-0.45781516001970851</v>
      </c>
      <c r="AJ416" s="27">
        <v>-0.45781516001970851</v>
      </c>
      <c r="AK416" s="27">
        <v>-0.45781516001970851</v>
      </c>
      <c r="AL416" s="28" t="s">
        <v>276</v>
      </c>
      <c r="AM416" s="29" t="s">
        <v>48</v>
      </c>
      <c r="AN416" s="29" t="s">
        <v>48</v>
      </c>
      <c r="AO416" s="29" t="s">
        <v>48</v>
      </c>
      <c r="AP416" s="47" t="s">
        <v>227</v>
      </c>
      <c r="AQ416" s="28">
        <v>0</v>
      </c>
      <c r="AR416" s="26">
        <v>1.4999999999999999E-2</v>
      </c>
      <c r="AS416" s="26">
        <v>0</v>
      </c>
    </row>
    <row r="417" spans="1:45" x14ac:dyDescent="0.15">
      <c r="A417" s="64">
        <v>342</v>
      </c>
      <c r="B417" s="64">
        <v>62</v>
      </c>
      <c r="C417" s="11">
        <v>1028</v>
      </c>
      <c r="D417" s="61">
        <v>910</v>
      </c>
      <c r="E417" s="61">
        <v>-6.3282291246522498E-3</v>
      </c>
      <c r="F417" s="61">
        <v>104</v>
      </c>
      <c r="G417" s="61">
        <v>7.5713648163762697E-4</v>
      </c>
      <c r="H417" s="66">
        <v>407</v>
      </c>
      <c r="I417" s="66" t="str">
        <f>H417&amp;"/"&amp;428</f>
        <v>407/428</v>
      </c>
      <c r="J417" s="68">
        <f>H417/428</f>
        <v>0.9509345794392523</v>
      </c>
      <c r="K417" s="18" t="s">
        <v>44</v>
      </c>
      <c r="L417" s="18" t="s">
        <v>87</v>
      </c>
      <c r="M417" s="58" t="s">
        <v>274</v>
      </c>
      <c r="N417" s="18">
        <f>[1]!f_prt_stocktonav(C417,"2017/03/31")</f>
        <v>94.173393249511719</v>
      </c>
      <c r="O417" s="20" t="str">
        <f>[1]!f_info_fundmanager(C417)</f>
        <v>翁启森</v>
      </c>
      <c r="P417" s="21">
        <v>2.0410958904109591</v>
      </c>
      <c r="Q417" s="34" t="s">
        <v>1514</v>
      </c>
      <c r="R417" s="34" t="s">
        <v>1515</v>
      </c>
      <c r="S417" s="34" t="s">
        <v>63</v>
      </c>
      <c r="T417" s="34">
        <v>20150317</v>
      </c>
      <c r="U417" s="45">
        <v>15.4990905243</v>
      </c>
      <c r="V417" s="46">
        <v>16.963292014</v>
      </c>
      <c r="W417" s="34" t="s">
        <v>3789</v>
      </c>
      <c r="X417" s="34" t="s">
        <v>44</v>
      </c>
      <c r="Y417" s="34" t="s">
        <v>87</v>
      </c>
      <c r="Z417" s="34" t="s">
        <v>274</v>
      </c>
      <c r="AA417" s="34" t="s">
        <v>3779</v>
      </c>
      <c r="AB417" s="34"/>
      <c r="AC417" s="22">
        <v>0.94300270080566406</v>
      </c>
      <c r="AD417" s="23" t="s">
        <v>1516</v>
      </c>
      <c r="AE417" s="24">
        <v>1.810958904109589</v>
      </c>
      <c r="AF417" s="25">
        <v>-0.14917833223114152</v>
      </c>
      <c r="AG417" s="26">
        <v>0</v>
      </c>
      <c r="AH417" s="26">
        <v>0</v>
      </c>
      <c r="AI417" s="27">
        <v>-0.20350609475503914</v>
      </c>
      <c r="AJ417" s="27">
        <v>-0.20350609475503914</v>
      </c>
      <c r="AK417" s="27">
        <v>-0.20350609475503914</v>
      </c>
      <c r="AL417" s="33" t="s">
        <v>1393</v>
      </c>
      <c r="AM417" s="29" t="s">
        <v>48</v>
      </c>
      <c r="AN417" s="29" t="s">
        <v>48</v>
      </c>
      <c r="AO417" s="29" t="s">
        <v>48</v>
      </c>
      <c r="AP417" s="47" t="s">
        <v>1517</v>
      </c>
      <c r="AQ417" s="28">
        <v>0</v>
      </c>
      <c r="AR417" s="26">
        <v>1.4999999999999999E-2</v>
      </c>
      <c r="AS417" s="26">
        <v>0</v>
      </c>
    </row>
    <row r="418" spans="1:45" x14ac:dyDescent="0.15">
      <c r="A418" s="64">
        <v>371</v>
      </c>
      <c r="B418" s="64">
        <v>349</v>
      </c>
      <c r="C418" s="11">
        <v>955</v>
      </c>
      <c r="D418" s="61">
        <v>911</v>
      </c>
      <c r="E418" s="61">
        <v>-6.3346300365023801E-3</v>
      </c>
      <c r="F418" s="61">
        <v>111</v>
      </c>
      <c r="G418" s="61">
        <v>5.1696295214494097E-6</v>
      </c>
      <c r="H418" s="66">
        <v>408</v>
      </c>
      <c r="I418" s="66" t="str">
        <f>H418&amp;"/"&amp;428</f>
        <v>408/428</v>
      </c>
      <c r="J418" s="68">
        <f>H418/428</f>
        <v>0.95327102803738317</v>
      </c>
      <c r="K418" s="18" t="s">
        <v>44</v>
      </c>
      <c r="L418" s="18" t="s">
        <v>45</v>
      </c>
      <c r="M418" s="58" t="s">
        <v>274</v>
      </c>
      <c r="N418" s="18">
        <f>[1]!f_prt_stocktonav(C418,"2017/03/31")</f>
        <v>88.55340576171875</v>
      </c>
      <c r="O418" s="20" t="str">
        <f>[1]!f_info_fundmanager(C418)</f>
        <v>张旭</v>
      </c>
      <c r="P418" s="21">
        <v>2.1753424657534248</v>
      </c>
      <c r="Q418" s="34" t="s">
        <v>1623</v>
      </c>
      <c r="R418" s="34" t="s">
        <v>1624</v>
      </c>
      <c r="S418" s="34" t="s">
        <v>284</v>
      </c>
      <c r="T418" s="34">
        <v>20150127</v>
      </c>
      <c r="U418" s="45">
        <v>23.161413067400002</v>
      </c>
      <c r="V418" s="46">
        <v>29.377264654099999</v>
      </c>
      <c r="W418" s="34" t="s">
        <v>201</v>
      </c>
      <c r="X418" s="34" t="s">
        <v>44</v>
      </c>
      <c r="Y418" s="34" t="s">
        <v>45</v>
      </c>
      <c r="Z418" s="34" t="s">
        <v>274</v>
      </c>
      <c r="AA418" s="34"/>
      <c r="AB418" s="34"/>
      <c r="AC418" s="22">
        <v>0.86694000244140623</v>
      </c>
      <c r="AD418" s="23" t="s">
        <v>285</v>
      </c>
      <c r="AE418" s="24">
        <v>1.9452054794520548</v>
      </c>
      <c r="AF418" s="25">
        <v>0.10277917089201161</v>
      </c>
      <c r="AG418" s="26">
        <v>0</v>
      </c>
      <c r="AH418" s="26">
        <v>0</v>
      </c>
      <c r="AI418" s="27">
        <v>0.41625149892062424</v>
      </c>
      <c r="AJ418" s="27">
        <v>0.41625149892062424</v>
      </c>
      <c r="AK418" s="27">
        <v>0.41625149892062424</v>
      </c>
      <c r="AL418" s="28" t="s">
        <v>1459</v>
      </c>
      <c r="AM418" s="29" t="s">
        <v>48</v>
      </c>
      <c r="AN418" s="29" t="s">
        <v>48</v>
      </c>
      <c r="AO418" s="29" t="s">
        <v>48</v>
      </c>
      <c r="AP418" s="47" t="s">
        <v>287</v>
      </c>
      <c r="AQ418" s="28">
        <v>0</v>
      </c>
      <c r="AR418" s="26">
        <v>1.4999999999999999E-2</v>
      </c>
      <c r="AS418" s="26">
        <v>0</v>
      </c>
    </row>
    <row r="419" spans="1:45" x14ac:dyDescent="0.15">
      <c r="A419" s="64">
        <v>899</v>
      </c>
      <c r="B419" s="64">
        <v>657</v>
      </c>
      <c r="C419" s="11">
        <v>162703</v>
      </c>
      <c r="D419" s="61">
        <v>913</v>
      </c>
      <c r="E419" s="61">
        <v>-6.5180769588588598E-3</v>
      </c>
      <c r="F419" s="61">
        <v>94</v>
      </c>
      <c r="G419" s="61">
        <v>2.72682642406365E-3</v>
      </c>
      <c r="H419" s="66">
        <v>409</v>
      </c>
      <c r="I419" s="66" t="str">
        <f>H419&amp;"/"&amp;428</f>
        <v>409/428</v>
      </c>
      <c r="J419" s="68">
        <f>H419/428</f>
        <v>0.95560747663551404</v>
      </c>
      <c r="K419" s="18" t="s">
        <v>44</v>
      </c>
      <c r="L419" s="18" t="s">
        <v>45</v>
      </c>
      <c r="M419" s="58" t="s">
        <v>274</v>
      </c>
      <c r="N419" s="18">
        <f>[1]!f_prt_stocktonav(C419,"2017/03/31")</f>
        <v>81.212570190429688</v>
      </c>
      <c r="O419" s="20" t="str">
        <f>[1]!f_info_fundmanager(C419)</f>
        <v>李险峰</v>
      </c>
      <c r="P419" s="21">
        <v>1.8</v>
      </c>
      <c r="Q419" s="34" t="s">
        <v>3493</v>
      </c>
      <c r="R419" s="34" t="s">
        <v>3494</v>
      </c>
      <c r="S419" s="34" t="s">
        <v>132</v>
      </c>
      <c r="T419" s="34">
        <v>20050202</v>
      </c>
      <c r="U419" s="45">
        <v>18.477412532700001</v>
      </c>
      <c r="V419" s="46">
        <v>19.135601780999998</v>
      </c>
      <c r="W419" s="34" t="s">
        <v>231</v>
      </c>
      <c r="X419" s="34" t="s">
        <v>44</v>
      </c>
      <c r="Y419" s="34" t="s">
        <v>45</v>
      </c>
      <c r="Z419" s="34" t="s">
        <v>274</v>
      </c>
      <c r="AA419" s="34"/>
      <c r="AB419" s="34"/>
      <c r="AC419" s="22">
        <v>0.84193122863769532</v>
      </c>
      <c r="AD419" s="23" t="s">
        <v>2207</v>
      </c>
      <c r="AE419" s="24">
        <v>1.5698630136986302</v>
      </c>
      <c r="AF419" s="25">
        <v>0.13738006632472688</v>
      </c>
      <c r="AG419" s="26">
        <v>6.3114031955144867E-2</v>
      </c>
      <c r="AH419" s="26">
        <v>5.8997967617858249E-2</v>
      </c>
      <c r="AI419" s="27">
        <v>0.53455778814427735</v>
      </c>
      <c r="AJ419" s="27">
        <v>0.32763671624548152</v>
      </c>
      <c r="AK419" s="27">
        <v>0.29404775130978011</v>
      </c>
      <c r="AL419" s="28" t="s">
        <v>3495</v>
      </c>
      <c r="AM419" s="29">
        <v>1</v>
      </c>
      <c r="AN419" s="29">
        <v>1</v>
      </c>
      <c r="AO419" s="29" t="s">
        <v>48</v>
      </c>
      <c r="AP419" s="47" t="s">
        <v>3496</v>
      </c>
      <c r="AQ419" s="28">
        <v>0</v>
      </c>
      <c r="AR419" s="26">
        <v>1.4999999999999999E-2</v>
      </c>
      <c r="AS419" s="26">
        <v>0</v>
      </c>
    </row>
    <row r="420" spans="1:45" x14ac:dyDescent="0.15">
      <c r="A420" s="64">
        <v>595</v>
      </c>
      <c r="B420" s="64">
        <v>449</v>
      </c>
      <c r="C420" s="11">
        <v>161818</v>
      </c>
      <c r="D420" s="61">
        <v>914</v>
      </c>
      <c r="E420" s="61">
        <v>-6.5801161945028197E-3</v>
      </c>
      <c r="F420" s="61">
        <v>168</v>
      </c>
      <c r="G420" s="61">
        <v>2.4596715982295502E-6</v>
      </c>
      <c r="H420" s="66">
        <v>410</v>
      </c>
      <c r="I420" s="66" t="str">
        <f>H420&amp;"/"&amp;428</f>
        <v>410/428</v>
      </c>
      <c r="J420" s="68">
        <f>H420/428</f>
        <v>0.95794392523364491</v>
      </c>
      <c r="K420" s="18" t="s">
        <v>44</v>
      </c>
      <c r="L420" s="18" t="s">
        <v>87</v>
      </c>
      <c r="M420" s="58" t="s">
        <v>274</v>
      </c>
      <c r="N420" s="18">
        <f>[1]!f_prt_stocktonav(C420,"2017/03/31")</f>
        <v>86.355690002441406</v>
      </c>
      <c r="O420" s="20" t="str">
        <f>[1]!f_info_fundmanager(C420)</f>
        <v>周思聪</v>
      </c>
      <c r="P420" s="21">
        <v>3.2136986301369861</v>
      </c>
      <c r="Q420" s="34" t="s">
        <v>2433</v>
      </c>
      <c r="R420" s="34" t="s">
        <v>2434</v>
      </c>
      <c r="S420" s="34" t="s">
        <v>57</v>
      </c>
      <c r="T420" s="34">
        <v>20110928</v>
      </c>
      <c r="U420" s="45">
        <v>2.4067123906000001</v>
      </c>
      <c r="V420" s="46">
        <v>2.8203433284999999</v>
      </c>
      <c r="W420" s="34" t="s">
        <v>3776</v>
      </c>
      <c r="X420" s="34" t="s">
        <v>44</v>
      </c>
      <c r="Y420" s="34" t="s">
        <v>87</v>
      </c>
      <c r="Z420" s="34" t="s">
        <v>274</v>
      </c>
      <c r="AA420" s="34" t="s">
        <v>3774</v>
      </c>
      <c r="AB420" s="34" t="s">
        <v>3832</v>
      </c>
      <c r="AC420" s="22">
        <v>0.79797782897949221</v>
      </c>
      <c r="AD420" s="23" t="s">
        <v>128</v>
      </c>
      <c r="AE420" s="24">
        <v>2.9835616438356163</v>
      </c>
      <c r="AF420" s="25">
        <v>2.4892162108417715E-2</v>
      </c>
      <c r="AG420" s="26">
        <v>-6.1397205929336618E-3</v>
      </c>
      <c r="AH420" s="26">
        <v>4.4171552018790194E-2</v>
      </c>
      <c r="AI420" s="27">
        <v>0.1799178044430336</v>
      </c>
      <c r="AJ420" s="27">
        <v>9.4962055351154345E-2</v>
      </c>
      <c r="AK420" s="27">
        <v>0.24628151547604996</v>
      </c>
      <c r="AL420" s="33" t="s">
        <v>2435</v>
      </c>
      <c r="AM420" s="29">
        <v>1</v>
      </c>
      <c r="AN420" s="29">
        <v>1</v>
      </c>
      <c r="AO420" s="29" t="s">
        <v>48</v>
      </c>
      <c r="AP420" s="47" t="s">
        <v>2297</v>
      </c>
      <c r="AQ420" s="28">
        <v>0</v>
      </c>
      <c r="AR420" s="26">
        <v>0.02</v>
      </c>
      <c r="AS420" s="26">
        <v>0</v>
      </c>
    </row>
    <row r="421" spans="1:45" x14ac:dyDescent="0.15">
      <c r="A421" s="64">
        <v>296</v>
      </c>
      <c r="B421" s="64">
        <v>140</v>
      </c>
      <c r="C421" s="11">
        <v>1184</v>
      </c>
      <c r="D421" s="61">
        <v>916</v>
      </c>
      <c r="E421" s="61">
        <v>-6.6152395731489001E-3</v>
      </c>
      <c r="F421" s="61">
        <v>98</v>
      </c>
      <c r="G421" s="61">
        <v>4.36416999481692E-3</v>
      </c>
      <c r="H421" s="66">
        <v>411</v>
      </c>
      <c r="I421" s="66" t="str">
        <f>H421&amp;"/"&amp;428</f>
        <v>411/428</v>
      </c>
      <c r="J421" s="68">
        <f>H421/428</f>
        <v>0.96028037383177567</v>
      </c>
      <c r="K421" s="18" t="s">
        <v>44</v>
      </c>
      <c r="L421" s="18" t="s">
        <v>45</v>
      </c>
      <c r="M421" s="58" t="s">
        <v>274</v>
      </c>
      <c r="N421" s="18">
        <f>[1]!f_prt_stocktonav(C421,"2017/03/31")</f>
        <v>92.913978576660156</v>
      </c>
      <c r="O421" s="20" t="str">
        <f>[1]!f_info_fundmanager(C421)</f>
        <v>樊正伟,宋昆</v>
      </c>
      <c r="P421" s="21">
        <v>1.9205479452054794</v>
      </c>
      <c r="Q421" s="34" t="s">
        <v>1344</v>
      </c>
      <c r="R421" s="34" t="s">
        <v>1345</v>
      </c>
      <c r="S421" s="34" t="s">
        <v>218</v>
      </c>
      <c r="T421" s="34">
        <v>20150430</v>
      </c>
      <c r="U421" s="45">
        <v>50.049748696000002</v>
      </c>
      <c r="V421" s="46">
        <v>57.244232378500001</v>
      </c>
      <c r="W421" s="34" t="s">
        <v>3789</v>
      </c>
      <c r="X421" s="34" t="s">
        <v>44</v>
      </c>
      <c r="Y421" s="34" t="s">
        <v>45</v>
      </c>
      <c r="Z421" s="34" t="s">
        <v>274</v>
      </c>
      <c r="AA421" s="34"/>
      <c r="AB421" s="34"/>
      <c r="AC421" s="22">
        <v>0.78957298278808596</v>
      </c>
      <c r="AD421" s="23" t="s">
        <v>1346</v>
      </c>
      <c r="AE421" s="24">
        <v>1.6904109589041096</v>
      </c>
      <c r="AF421" s="25">
        <v>-0.32605760093639008</v>
      </c>
      <c r="AG421" s="26">
        <v>0</v>
      </c>
      <c r="AH421" s="26">
        <v>0</v>
      </c>
      <c r="AI421" s="27">
        <v>-0.85298025552674739</v>
      </c>
      <c r="AJ421" s="27">
        <v>-0.85298025552674739</v>
      </c>
      <c r="AK421" s="27">
        <v>-0.85298025552674739</v>
      </c>
      <c r="AL421" s="28" t="s">
        <v>1230</v>
      </c>
      <c r="AM421" s="29" t="s">
        <v>48</v>
      </c>
      <c r="AN421" s="29" t="s">
        <v>48</v>
      </c>
      <c r="AO421" s="29" t="s">
        <v>48</v>
      </c>
      <c r="AP421" s="47" t="s">
        <v>1347</v>
      </c>
      <c r="AQ421" s="28">
        <v>0</v>
      </c>
      <c r="AR421" s="26">
        <v>1.4999999999999999E-2</v>
      </c>
      <c r="AS421" s="26">
        <v>0</v>
      </c>
    </row>
    <row r="422" spans="1:45" x14ac:dyDescent="0.15">
      <c r="A422" s="64">
        <v>325</v>
      </c>
      <c r="B422" s="64">
        <v>369</v>
      </c>
      <c r="C422" s="11">
        <v>1118</v>
      </c>
      <c r="D422" s="61">
        <v>917</v>
      </c>
      <c r="E422" s="61">
        <v>-6.6183401667619197E-3</v>
      </c>
      <c r="F422" s="61">
        <v>101</v>
      </c>
      <c r="G422" s="61">
        <v>1.3261071771464101E-6</v>
      </c>
      <c r="H422" s="66">
        <v>412</v>
      </c>
      <c r="I422" s="66" t="str">
        <f>H422&amp;"/"&amp;428</f>
        <v>412/428</v>
      </c>
      <c r="J422" s="68">
        <f>H422/428</f>
        <v>0.96261682242990654</v>
      </c>
      <c r="K422" s="18" t="s">
        <v>44</v>
      </c>
      <c r="L422" s="18" t="s">
        <v>45</v>
      </c>
      <c r="M422" s="58" t="s">
        <v>274</v>
      </c>
      <c r="N422" s="18">
        <f>[1]!f_prt_stocktonav(C422,"2017/03/31")</f>
        <v>88.083770751953125</v>
      </c>
      <c r="O422" s="20" t="str">
        <f>[1]!f_info_fundmanager(C422)</f>
        <v>陈建华,徐林明</v>
      </c>
      <c r="P422" s="21">
        <v>1.9808219178082191</v>
      </c>
      <c r="Q422" s="34" t="s">
        <v>1456</v>
      </c>
      <c r="R422" s="34" t="s">
        <v>1457</v>
      </c>
      <c r="S422" s="34" t="s">
        <v>737</v>
      </c>
      <c r="T422" s="34">
        <v>20150408</v>
      </c>
      <c r="U422" s="45">
        <v>32.454457700799999</v>
      </c>
      <c r="V422" s="46">
        <v>34.225164112500003</v>
      </c>
      <c r="W422" s="34" t="s">
        <v>3776</v>
      </c>
      <c r="X422" s="34" t="s">
        <v>44</v>
      </c>
      <c r="Y422" s="34" t="s">
        <v>45</v>
      </c>
      <c r="Z422" s="34" t="s">
        <v>274</v>
      </c>
      <c r="AA422" s="34"/>
      <c r="AB422" s="34"/>
      <c r="AC422" s="22">
        <v>0.89492004394531255</v>
      </c>
      <c r="AD422" s="23" t="s">
        <v>1458</v>
      </c>
      <c r="AE422" s="24">
        <v>1.7506849315068493</v>
      </c>
      <c r="AF422" s="25">
        <v>-0.1611202002452029</v>
      </c>
      <c r="AG422" s="26">
        <v>0</v>
      </c>
      <c r="AH422" s="26">
        <v>0</v>
      </c>
      <c r="AI422" s="27">
        <v>-0.2783066141986219</v>
      </c>
      <c r="AJ422" s="27">
        <v>-0.2783066141986219</v>
      </c>
      <c r="AK422" s="27">
        <v>-0.2783066141986219</v>
      </c>
      <c r="AL422" s="28" t="s">
        <v>1459</v>
      </c>
      <c r="AM422" s="29" t="s">
        <v>48</v>
      </c>
      <c r="AN422" s="29" t="s">
        <v>48</v>
      </c>
      <c r="AO422" s="29" t="s">
        <v>48</v>
      </c>
      <c r="AP422" s="47" t="s">
        <v>739</v>
      </c>
      <c r="AQ422" s="28">
        <v>0</v>
      </c>
      <c r="AR422" s="26">
        <v>1.4999999999999999E-2</v>
      </c>
      <c r="AS422" s="26">
        <v>0</v>
      </c>
    </row>
    <row r="423" spans="1:45" x14ac:dyDescent="0.15">
      <c r="A423" s="64">
        <v>826</v>
      </c>
      <c r="B423" s="64">
        <v>19</v>
      </c>
      <c r="C423" s="11">
        <v>580002</v>
      </c>
      <c r="D423" s="61">
        <v>918</v>
      </c>
      <c r="E423" s="61">
        <v>-6.7393014011848697E-3</v>
      </c>
      <c r="F423" s="61">
        <v>120</v>
      </c>
      <c r="G423" s="61">
        <v>1.2356184785439301E-4</v>
      </c>
      <c r="H423" s="66">
        <v>413</v>
      </c>
      <c r="I423" s="66" t="str">
        <f>H423&amp;"/"&amp;428</f>
        <v>413/428</v>
      </c>
      <c r="J423" s="68">
        <f>H423/428</f>
        <v>0.96495327102803741</v>
      </c>
      <c r="K423" s="18" t="s">
        <v>44</v>
      </c>
      <c r="L423" s="18" t="s">
        <v>86</v>
      </c>
      <c r="M423" s="58" t="s">
        <v>274</v>
      </c>
      <c r="N423" s="18">
        <f>[1]!f_prt_stocktonav(C423,"2017/03/31")</f>
        <v>94.760536193847656</v>
      </c>
      <c r="O423" s="20" t="str">
        <f>[1]!f_info_fundmanager(C423)</f>
        <v>戴斌</v>
      </c>
      <c r="P423" s="21">
        <v>2.3013698630136985</v>
      </c>
      <c r="Q423" s="34" t="s">
        <v>3213</v>
      </c>
      <c r="R423" s="34" t="s">
        <v>3214</v>
      </c>
      <c r="S423" s="34" t="s">
        <v>1057</v>
      </c>
      <c r="T423" s="34">
        <v>20061215</v>
      </c>
      <c r="U423" s="45">
        <v>3.9271064098999999</v>
      </c>
      <c r="V423" s="46">
        <v>5.2497252382999999</v>
      </c>
      <c r="W423" s="34" t="s">
        <v>231</v>
      </c>
      <c r="X423" s="34" t="s">
        <v>44</v>
      </c>
      <c r="Y423" s="34" t="s">
        <v>45</v>
      </c>
      <c r="Z423" s="34" t="s">
        <v>274</v>
      </c>
      <c r="AA423" s="34"/>
      <c r="AB423" s="34"/>
      <c r="AC423" s="22">
        <v>0.86879692077636717</v>
      </c>
      <c r="AD423" s="23" t="s">
        <v>1058</v>
      </c>
      <c r="AE423" s="24">
        <v>2.0712328767123287</v>
      </c>
      <c r="AF423" s="25">
        <v>5.7306795975471392E-2</v>
      </c>
      <c r="AG423" s="26">
        <v>-2.577982365144238E-2</v>
      </c>
      <c r="AH423" s="26">
        <v>2.5263705460423669E-2</v>
      </c>
      <c r="AI423" s="27">
        <v>0.28813091558156573</v>
      </c>
      <c r="AJ423" s="27">
        <v>5.7670470144673809E-2</v>
      </c>
      <c r="AK423" s="27">
        <v>0.19437771223125591</v>
      </c>
      <c r="AL423" s="28" t="s">
        <v>3215</v>
      </c>
      <c r="AM423" s="29">
        <v>1</v>
      </c>
      <c r="AN423" s="29">
        <v>1</v>
      </c>
      <c r="AO423" s="29" t="s">
        <v>48</v>
      </c>
      <c r="AP423" s="47" t="s">
        <v>310</v>
      </c>
      <c r="AQ423" s="28" t="s">
        <v>3216</v>
      </c>
      <c r="AR423" s="26">
        <v>1.4999999999999999E-2</v>
      </c>
      <c r="AS423" s="26">
        <v>0</v>
      </c>
    </row>
    <row r="424" spans="1:45" x14ac:dyDescent="0.15">
      <c r="A424" s="64">
        <v>900</v>
      </c>
      <c r="B424" s="64">
        <v>469</v>
      </c>
      <c r="C424" s="11">
        <v>580001</v>
      </c>
      <c r="D424" s="61">
        <v>919</v>
      </c>
      <c r="E424" s="61">
        <v>-6.7689863840225501E-3</v>
      </c>
      <c r="F424" s="61">
        <v>171</v>
      </c>
      <c r="G424" s="61">
        <v>3.6134585924102002E-6</v>
      </c>
      <c r="H424" s="66">
        <v>414</v>
      </c>
      <c r="I424" s="66" t="str">
        <f>H424&amp;"/"&amp;428</f>
        <v>414/428</v>
      </c>
      <c r="J424" s="68">
        <f>H424/428</f>
        <v>0.96728971962616828</v>
      </c>
      <c r="K424" s="18" t="s">
        <v>44</v>
      </c>
      <c r="L424" s="18" t="s">
        <v>45</v>
      </c>
      <c r="M424" s="58" t="s">
        <v>274</v>
      </c>
      <c r="N424" s="18">
        <f>[1]!f_prt_stocktonav(C424,"2017/03/31")</f>
        <v>85.8289794921875</v>
      </c>
      <c r="O424" s="20" t="str">
        <f>[1]!f_info_fundmanager(C424)</f>
        <v>王立立,曹松涛</v>
      </c>
      <c r="P424" s="21">
        <v>3.2712328767123289</v>
      </c>
      <c r="Q424" s="34" t="s">
        <v>3497</v>
      </c>
      <c r="R424" s="34" t="s">
        <v>3498</v>
      </c>
      <c r="S424" s="34" t="s">
        <v>1057</v>
      </c>
      <c r="T424" s="34">
        <v>20050201</v>
      </c>
      <c r="U424" s="45">
        <v>6.1532861598000004</v>
      </c>
      <c r="V424" s="46">
        <v>6.3026099376999998</v>
      </c>
      <c r="W424" s="34" t="s">
        <v>231</v>
      </c>
      <c r="X424" s="34" t="s">
        <v>44</v>
      </c>
      <c r="Y424" s="34" t="s">
        <v>45</v>
      </c>
      <c r="Z424" s="34" t="s">
        <v>274</v>
      </c>
      <c r="AA424" s="34"/>
      <c r="AB424" s="34"/>
      <c r="AC424" s="22">
        <v>0.9414636993408203</v>
      </c>
      <c r="AD424" s="23" t="s">
        <v>3035</v>
      </c>
      <c r="AE424" s="24">
        <v>3.0410958904109591</v>
      </c>
      <c r="AF424" s="25">
        <v>0.10750548739416343</v>
      </c>
      <c r="AG424" s="26">
        <v>5.5450842545557766E-2</v>
      </c>
      <c r="AH424" s="26">
        <v>3.9319920124635477E-2</v>
      </c>
      <c r="AI424" s="27">
        <v>0.45397336849054065</v>
      </c>
      <c r="AJ424" s="27">
        <v>0.27458472277550805</v>
      </c>
      <c r="AK424" s="27">
        <v>0.24136745398705714</v>
      </c>
      <c r="AL424" s="28" t="s">
        <v>3499</v>
      </c>
      <c r="AM424" s="29">
        <v>1</v>
      </c>
      <c r="AN424" s="29">
        <v>1</v>
      </c>
      <c r="AO424" s="29" t="s">
        <v>48</v>
      </c>
      <c r="AP424" s="47" t="s">
        <v>592</v>
      </c>
      <c r="AQ424" s="28">
        <v>0</v>
      </c>
      <c r="AR424" s="26">
        <v>1.4999999999999999E-2</v>
      </c>
      <c r="AS424" s="26">
        <v>0</v>
      </c>
    </row>
    <row r="425" spans="1:45" x14ac:dyDescent="0.15">
      <c r="A425" s="64">
        <v>856</v>
      </c>
      <c r="B425" s="64">
        <v>125</v>
      </c>
      <c r="C425" s="11">
        <v>519029</v>
      </c>
      <c r="D425" s="61">
        <v>921</v>
      </c>
      <c r="E425" s="61">
        <v>-6.80763931983601E-3</v>
      </c>
      <c r="F425" s="61">
        <v>112</v>
      </c>
      <c r="G425" s="61">
        <v>6.1763678886332294E-5</v>
      </c>
      <c r="H425" s="66">
        <v>415</v>
      </c>
      <c r="I425" s="66" t="str">
        <f>H425&amp;"/"&amp;428</f>
        <v>415/428</v>
      </c>
      <c r="J425" s="68">
        <f>H425/428</f>
        <v>0.96962616822429903</v>
      </c>
      <c r="K425" s="18" t="s">
        <v>44</v>
      </c>
      <c r="L425" s="18" t="s">
        <v>86</v>
      </c>
      <c r="M425" s="58" t="s">
        <v>274</v>
      </c>
      <c r="N425" s="18">
        <f>[1]!f_prt_stocktonav(C425,"2017/03/31")</f>
        <v>93.156211853027344</v>
      </c>
      <c r="O425" s="20" t="str">
        <f>[1]!f_info_fundmanager(C425)</f>
        <v>彭海伟</v>
      </c>
      <c r="P425" s="21">
        <v>2.1397260273972605</v>
      </c>
      <c r="Q425" s="34" t="s">
        <v>3329</v>
      </c>
      <c r="R425" s="34" t="s">
        <v>3330</v>
      </c>
      <c r="S425" s="34" t="s">
        <v>143</v>
      </c>
      <c r="T425" s="34">
        <v>20060809</v>
      </c>
      <c r="U425" s="45">
        <v>17.6075159263</v>
      </c>
      <c r="V425" s="46">
        <v>18.3878451243</v>
      </c>
      <c r="W425" s="34" t="s">
        <v>231</v>
      </c>
      <c r="X425" s="34" t="s">
        <v>44</v>
      </c>
      <c r="Y425" s="34" t="s">
        <v>45</v>
      </c>
      <c r="Z425" s="34" t="s">
        <v>274</v>
      </c>
      <c r="AA425" s="34"/>
      <c r="AB425" s="34"/>
      <c r="AC425" s="22">
        <v>0.93442085266113284</v>
      </c>
      <c r="AD425" s="23" t="s">
        <v>586</v>
      </c>
      <c r="AE425" s="24">
        <v>1.9095890410958904</v>
      </c>
      <c r="AF425" s="25">
        <v>0.11323768301447812</v>
      </c>
      <c r="AG425" s="26">
        <v>4.7771006542985273E-2</v>
      </c>
      <c r="AH425" s="26">
        <v>8.6150830100578654E-2</v>
      </c>
      <c r="AI425" s="27">
        <v>0.46697356126592604</v>
      </c>
      <c r="AJ425" s="27">
        <v>0.27394823236707783</v>
      </c>
      <c r="AK425" s="27">
        <v>0.37700894147757363</v>
      </c>
      <c r="AL425" s="28" t="s">
        <v>3331</v>
      </c>
      <c r="AM425" s="29">
        <v>2</v>
      </c>
      <c r="AN425" s="29">
        <v>1</v>
      </c>
      <c r="AO425" s="29" t="s">
        <v>48</v>
      </c>
      <c r="AP425" s="47" t="s">
        <v>3332</v>
      </c>
      <c r="AQ425" s="28">
        <v>0</v>
      </c>
      <c r="AR425" s="26">
        <v>1.4999999999999999E-2</v>
      </c>
      <c r="AS425" s="26">
        <v>0</v>
      </c>
    </row>
    <row r="426" spans="1:45" x14ac:dyDescent="0.15">
      <c r="A426" s="64">
        <v>373</v>
      </c>
      <c r="B426" s="64">
        <v>359</v>
      </c>
      <c r="C426" s="11">
        <v>971</v>
      </c>
      <c r="D426" s="61">
        <v>922</v>
      </c>
      <c r="E426" s="61">
        <v>-6.8394424083950602E-3</v>
      </c>
      <c r="F426" s="61">
        <v>111</v>
      </c>
      <c r="G426" s="61">
        <v>5.7694534531349605E-4</v>
      </c>
      <c r="H426" s="66">
        <v>416</v>
      </c>
      <c r="I426" s="66" t="str">
        <f>H426&amp;"/"&amp;428</f>
        <v>416/428</v>
      </c>
      <c r="J426" s="68">
        <f>H426/428</f>
        <v>0.9719626168224299</v>
      </c>
      <c r="K426" s="18" t="s">
        <v>44</v>
      </c>
      <c r="L426" s="18" t="s">
        <v>45</v>
      </c>
      <c r="M426" s="58" t="s">
        <v>274</v>
      </c>
      <c r="N426" s="18">
        <f>[1]!f_prt_stocktonav(C426,"2017/03/31")</f>
        <v>88.312553405761719</v>
      </c>
      <c r="O426" s="20" t="str">
        <f>[1]!f_info_fundmanager(C426)</f>
        <v>史高飞</v>
      </c>
      <c r="P426" s="21">
        <v>2.1780821917808217</v>
      </c>
      <c r="Q426" s="34" t="s">
        <v>1629</v>
      </c>
      <c r="R426" s="34" t="s">
        <v>1630</v>
      </c>
      <c r="S426" s="34" t="s">
        <v>955</v>
      </c>
      <c r="T426" s="34">
        <v>20150126</v>
      </c>
      <c r="U426" s="45">
        <v>6.0177674590999999</v>
      </c>
      <c r="V426" s="46">
        <v>6.9233905224000001</v>
      </c>
      <c r="W426" s="34" t="s">
        <v>3789</v>
      </c>
      <c r="X426" s="34" t="s">
        <v>44</v>
      </c>
      <c r="Y426" s="34" t="s">
        <v>45</v>
      </c>
      <c r="Z426" s="34" t="s">
        <v>274</v>
      </c>
      <c r="AA426" s="34"/>
      <c r="AB426" s="34"/>
      <c r="AC426" s="22">
        <v>0.84079322814941404</v>
      </c>
      <c r="AD426" s="23" t="s">
        <v>1631</v>
      </c>
      <c r="AE426" s="24">
        <v>1.9479452054794522</v>
      </c>
      <c r="AF426" s="25">
        <v>-1.0344942508471178E-3</v>
      </c>
      <c r="AG426" s="26">
        <v>0</v>
      </c>
      <c r="AH426" s="26">
        <v>0</v>
      </c>
      <c r="AI426" s="27">
        <v>0.22153028271576741</v>
      </c>
      <c r="AJ426" s="27">
        <v>0.22153028271576741</v>
      </c>
      <c r="AK426" s="27">
        <v>0.22153028271576741</v>
      </c>
      <c r="AL426" s="28" t="s">
        <v>276</v>
      </c>
      <c r="AM426" s="29" t="s">
        <v>48</v>
      </c>
      <c r="AN426" s="29" t="s">
        <v>48</v>
      </c>
      <c r="AO426" s="29" t="s">
        <v>48</v>
      </c>
      <c r="AP426" s="47" t="s">
        <v>255</v>
      </c>
      <c r="AQ426" s="28">
        <v>0</v>
      </c>
      <c r="AR426" s="26">
        <v>1.4999999999999999E-2</v>
      </c>
      <c r="AS426" s="26">
        <v>0</v>
      </c>
    </row>
    <row r="427" spans="1:45" x14ac:dyDescent="0.15">
      <c r="A427" s="64">
        <v>384</v>
      </c>
      <c r="B427" s="64">
        <v>28</v>
      </c>
      <c r="C427" s="11">
        <v>886</v>
      </c>
      <c r="D427" s="61">
        <v>923</v>
      </c>
      <c r="E427" s="61">
        <v>-6.8665740970230496E-3</v>
      </c>
      <c r="F427" s="61">
        <v>116</v>
      </c>
      <c r="G427" s="61">
        <v>8.5394303226380992E-3</v>
      </c>
      <c r="H427" s="66">
        <v>417</v>
      </c>
      <c r="I427" s="66" t="str">
        <f>H427&amp;"/"&amp;428</f>
        <v>417/428</v>
      </c>
      <c r="J427" s="68">
        <f>H427/428</f>
        <v>0.97429906542056077</v>
      </c>
      <c r="K427" s="18" t="s">
        <v>44</v>
      </c>
      <c r="L427" s="18" t="s">
        <v>87</v>
      </c>
      <c r="M427" s="58" t="s">
        <v>274</v>
      </c>
      <c r="N427" s="18">
        <f>[1]!f_prt_stocktonav(C427,"2017/03/31")</f>
        <v>94.640243530273438</v>
      </c>
      <c r="O427" s="20" t="str">
        <f>[1]!f_info_fundmanager(C427)</f>
        <v>高峰,陈乐华</v>
      </c>
      <c r="P427" s="21">
        <v>2.2684931506849315</v>
      </c>
      <c r="Q427" s="34" t="s">
        <v>1668</v>
      </c>
      <c r="R427" s="34" t="s">
        <v>1669</v>
      </c>
      <c r="S427" s="34" t="s">
        <v>711</v>
      </c>
      <c r="T427" s="34">
        <v>20141224</v>
      </c>
      <c r="U427" s="45">
        <v>0.50845241939999997</v>
      </c>
      <c r="V427" s="46">
        <v>0.61132445660000001</v>
      </c>
      <c r="W427" s="34" t="s">
        <v>1235</v>
      </c>
      <c r="X427" s="34" t="s">
        <v>44</v>
      </c>
      <c r="Y427" s="34" t="s">
        <v>87</v>
      </c>
      <c r="Z427" s="34" t="s">
        <v>274</v>
      </c>
      <c r="AA427" s="34" t="s">
        <v>3817</v>
      </c>
      <c r="AB427" s="34"/>
      <c r="AC427" s="22">
        <v>0.81919937133789067</v>
      </c>
      <c r="AD427" s="23" t="s">
        <v>1671</v>
      </c>
      <c r="AE427" s="24">
        <v>2.0383561643835617</v>
      </c>
      <c r="AF427" s="25">
        <v>-6.7954063857922797E-2</v>
      </c>
      <c r="AG427" s="26">
        <v>0</v>
      </c>
      <c r="AH427" s="26">
        <v>0</v>
      </c>
      <c r="AI427" s="27">
        <v>-3.9904936559278958E-2</v>
      </c>
      <c r="AJ427" s="27">
        <v>-3.9904936559278958E-2</v>
      </c>
      <c r="AK427" s="27">
        <v>-3.9904936559278958E-2</v>
      </c>
      <c r="AL427" s="33" t="s">
        <v>714</v>
      </c>
      <c r="AM427" s="29" t="s">
        <v>48</v>
      </c>
      <c r="AN427" s="29" t="s">
        <v>48</v>
      </c>
      <c r="AO427" s="29" t="s">
        <v>48</v>
      </c>
      <c r="AP427" s="47" t="s">
        <v>715</v>
      </c>
      <c r="AQ427" s="28">
        <v>0</v>
      </c>
      <c r="AR427" s="26">
        <v>1.4999999999999999E-2</v>
      </c>
      <c r="AS427" s="26">
        <v>0</v>
      </c>
    </row>
    <row r="428" spans="1:45" x14ac:dyDescent="0.15">
      <c r="A428" s="64">
        <v>320</v>
      </c>
      <c r="B428" s="64">
        <v>421</v>
      </c>
      <c r="C428" s="11">
        <v>1126</v>
      </c>
      <c r="D428" s="61">
        <v>924</v>
      </c>
      <c r="E428" s="61">
        <v>-6.9176413466752696E-3</v>
      </c>
      <c r="F428" s="61">
        <v>100</v>
      </c>
      <c r="G428" s="61">
        <v>3.3367000994872099E-4</v>
      </c>
      <c r="H428" s="66">
        <v>418</v>
      </c>
      <c r="I428" s="66" t="str">
        <f>H428&amp;"/"&amp;428</f>
        <v>418/428</v>
      </c>
      <c r="J428" s="68">
        <f>H428/428</f>
        <v>0.97663551401869164</v>
      </c>
      <c r="K428" s="18" t="s">
        <v>44</v>
      </c>
      <c r="L428" s="19" t="s">
        <v>45</v>
      </c>
      <c r="M428" s="59" t="s">
        <v>274</v>
      </c>
      <c r="N428" s="18">
        <f>[1]!f_prt_stocktonav(C428,"2017/03/31")</f>
        <v>86.911216735839844</v>
      </c>
      <c r="O428" s="20" t="str">
        <f>[1]!f_info_fundmanager(C428)</f>
        <v>许俊哲</v>
      </c>
      <c r="P428" s="21">
        <v>1.9643835616438357</v>
      </c>
      <c r="Q428" s="32" t="s">
        <v>1440</v>
      </c>
      <c r="R428" s="13" t="s">
        <v>1441</v>
      </c>
      <c r="S428" s="13" t="s">
        <v>511</v>
      </c>
      <c r="T428" s="13">
        <v>20150414</v>
      </c>
      <c r="U428" s="14">
        <v>17.09665906</v>
      </c>
      <c r="V428" s="15" t="s">
        <v>3772</v>
      </c>
      <c r="W428" s="16" t="s">
        <v>40</v>
      </c>
      <c r="X428" s="17" t="s">
        <v>44</v>
      </c>
      <c r="Y428" s="17" t="s">
        <v>45</v>
      </c>
      <c r="Z428" s="17" t="s">
        <v>274</v>
      </c>
      <c r="AA428" s="13"/>
      <c r="AB428" s="13"/>
      <c r="AC428" s="22">
        <v>0.89011573791503906</v>
      </c>
      <c r="AD428" s="23" t="s">
        <v>1442</v>
      </c>
      <c r="AE428" s="24">
        <v>1.7342465753424658</v>
      </c>
      <c r="AF428" s="25">
        <v>-0.19603416416709052</v>
      </c>
      <c r="AG428" s="26">
        <v>0</v>
      </c>
      <c r="AH428" s="26">
        <v>0</v>
      </c>
      <c r="AI428" s="27">
        <v>-0.357672344220964</v>
      </c>
      <c r="AJ428" s="27">
        <v>-0.357672344220964</v>
      </c>
      <c r="AK428" s="27">
        <v>-0.357672344220964</v>
      </c>
      <c r="AL428" s="28" t="s">
        <v>1443</v>
      </c>
      <c r="AM428" s="29" t="s">
        <v>48</v>
      </c>
      <c r="AN428" s="29" t="s">
        <v>48</v>
      </c>
      <c r="AO428" s="29" t="s">
        <v>48</v>
      </c>
      <c r="AP428" s="23">
        <v>0</v>
      </c>
      <c r="AQ428" s="30">
        <v>0</v>
      </c>
      <c r="AR428" s="31">
        <v>1.4999999999999999E-2</v>
      </c>
      <c r="AS428" s="31">
        <v>0</v>
      </c>
    </row>
    <row r="429" spans="1:45" x14ac:dyDescent="0.15">
      <c r="A429" s="64">
        <v>403</v>
      </c>
      <c r="B429" s="64">
        <v>182</v>
      </c>
      <c r="C429" s="11">
        <v>793</v>
      </c>
      <c r="D429" s="61">
        <v>925</v>
      </c>
      <c r="E429" s="61">
        <v>-6.97180375144051E-3</v>
      </c>
      <c r="F429" s="61">
        <v>125</v>
      </c>
      <c r="G429" s="61">
        <v>1.02280523843169E-4</v>
      </c>
      <c r="H429" s="66">
        <v>419</v>
      </c>
      <c r="I429" s="66" t="str">
        <f>H429&amp;"/"&amp;428</f>
        <v>419/428</v>
      </c>
      <c r="J429" s="68">
        <f>H429/428</f>
        <v>0.9789719626168224</v>
      </c>
      <c r="K429" s="18" t="s">
        <v>44</v>
      </c>
      <c r="L429" s="18" t="s">
        <v>45</v>
      </c>
      <c r="M429" s="58" t="s">
        <v>274</v>
      </c>
      <c r="N429" s="18">
        <f>[1]!f_prt_stocktonav(C429,"2017/03/31")</f>
        <v>92.075492858886719</v>
      </c>
      <c r="O429" s="20" t="str">
        <f>[1]!f_info_fundmanager(C429)</f>
        <v>修世宇,黄安乐,刘柯</v>
      </c>
      <c r="P429" s="21">
        <v>2.441095890410959</v>
      </c>
      <c r="Q429" s="39" t="s">
        <v>1741</v>
      </c>
      <c r="R429" s="39" t="s">
        <v>1742</v>
      </c>
      <c r="S429" s="39" t="s">
        <v>523</v>
      </c>
      <c r="T429" s="39">
        <v>20141022</v>
      </c>
      <c r="U429" s="48">
        <v>18.306056228199999</v>
      </c>
      <c r="V429" s="46">
        <v>19.212990445799999</v>
      </c>
      <c r="W429" s="39" t="s">
        <v>3776</v>
      </c>
      <c r="X429" s="39" t="s">
        <v>44</v>
      </c>
      <c r="Y429" s="39" t="s">
        <v>86</v>
      </c>
      <c r="Z429" s="55" t="s">
        <v>274</v>
      </c>
      <c r="AA429" s="34" t="s">
        <v>3821</v>
      </c>
      <c r="AB429" s="34"/>
      <c r="AC429" s="22">
        <v>0.92267219543457035</v>
      </c>
      <c r="AD429" s="23" t="s">
        <v>1744</v>
      </c>
      <c r="AE429" s="24">
        <v>2.2109589041095892</v>
      </c>
      <c r="AF429" s="25">
        <v>1.5779714961588809E-2</v>
      </c>
      <c r="AG429" s="26">
        <v>0</v>
      </c>
      <c r="AH429" s="26">
        <v>0</v>
      </c>
      <c r="AI429" s="27">
        <v>0.23624332371232135</v>
      </c>
      <c r="AJ429" s="27">
        <v>0.23624332371232135</v>
      </c>
      <c r="AK429" s="27">
        <v>0.23624332371232135</v>
      </c>
      <c r="AL429" s="40" t="s">
        <v>1745</v>
      </c>
      <c r="AM429" s="41" t="s">
        <v>48</v>
      </c>
      <c r="AN429" s="41" t="s">
        <v>48</v>
      </c>
      <c r="AO429" s="41" t="s">
        <v>48</v>
      </c>
      <c r="AP429" s="50" t="s">
        <v>255</v>
      </c>
      <c r="AQ429" s="51">
        <v>0</v>
      </c>
      <c r="AR429" s="52">
        <v>1.4999999999999999E-2</v>
      </c>
      <c r="AS429" s="52">
        <v>0</v>
      </c>
    </row>
    <row r="430" spans="1:45" x14ac:dyDescent="0.15">
      <c r="A430" s="64">
        <v>321</v>
      </c>
      <c r="B430" s="64">
        <v>375</v>
      </c>
      <c r="C430" s="11">
        <v>1128</v>
      </c>
      <c r="D430" s="61">
        <v>926</v>
      </c>
      <c r="E430" s="61">
        <v>-7.3318910631278104E-3</v>
      </c>
      <c r="F430" s="61">
        <v>100</v>
      </c>
      <c r="G430" s="61">
        <v>1.3134349523155099E-4</v>
      </c>
      <c r="H430" s="66">
        <v>420</v>
      </c>
      <c r="I430" s="66" t="str">
        <f>H430&amp;"/"&amp;428</f>
        <v>420/428</v>
      </c>
      <c r="J430" s="68">
        <f>H430/428</f>
        <v>0.98130841121495327</v>
      </c>
      <c r="K430" s="18" t="s">
        <v>44</v>
      </c>
      <c r="L430" s="18" t="s">
        <v>87</v>
      </c>
      <c r="M430" s="58" t="s">
        <v>274</v>
      </c>
      <c r="N430" s="18">
        <f>[1]!f_prt_stocktonav(C430,"2017/03/31")</f>
        <v>87.999176025390625</v>
      </c>
      <c r="O430" s="20" t="str">
        <f>[1]!f_info_fundmanager(C430)</f>
        <v>盖俊龙</v>
      </c>
      <c r="P430" s="21">
        <v>1.9671232876712328</v>
      </c>
      <c r="Q430" s="34" t="s">
        <v>1444</v>
      </c>
      <c r="R430" s="34" t="s">
        <v>1445</v>
      </c>
      <c r="S430" s="34" t="s">
        <v>402</v>
      </c>
      <c r="T430" s="34">
        <v>20150413</v>
      </c>
      <c r="U430" s="45">
        <v>23.619911427800002</v>
      </c>
      <c r="V430" s="46">
        <v>25.150960557699999</v>
      </c>
      <c r="W430" s="34" t="s">
        <v>3776</v>
      </c>
      <c r="X430" s="34" t="s">
        <v>44</v>
      </c>
      <c r="Y430" s="34" t="s">
        <v>45</v>
      </c>
      <c r="Z430" s="34" t="s">
        <v>274</v>
      </c>
      <c r="AA430" s="34"/>
      <c r="AB430" s="34"/>
      <c r="AC430" s="22">
        <v>0.80366447448730471</v>
      </c>
      <c r="AD430" s="23" t="s">
        <v>873</v>
      </c>
      <c r="AE430" s="24">
        <v>1.736986301369863</v>
      </c>
      <c r="AF430" s="25">
        <v>-0.23166198598355658</v>
      </c>
      <c r="AG430" s="26">
        <v>0</v>
      </c>
      <c r="AH430" s="26">
        <v>0</v>
      </c>
      <c r="AI430" s="27">
        <v>-0.48276689898431341</v>
      </c>
      <c r="AJ430" s="27">
        <v>-0.48276689898431341</v>
      </c>
      <c r="AK430" s="27">
        <v>-0.48276689898431341</v>
      </c>
      <c r="AL430" s="28" t="s">
        <v>1446</v>
      </c>
      <c r="AM430" s="29" t="s">
        <v>48</v>
      </c>
      <c r="AN430" s="29" t="s">
        <v>48</v>
      </c>
      <c r="AO430" s="29" t="s">
        <v>48</v>
      </c>
      <c r="AP430" s="47" t="s">
        <v>715</v>
      </c>
      <c r="AQ430" s="28">
        <v>0</v>
      </c>
      <c r="AR430" s="26">
        <v>1.4999999999999999E-2</v>
      </c>
      <c r="AS430" s="26">
        <v>0</v>
      </c>
    </row>
    <row r="431" spans="1:45" x14ac:dyDescent="0.15">
      <c r="A431" s="64">
        <v>730</v>
      </c>
      <c r="B431" s="64">
        <v>4</v>
      </c>
      <c r="C431" s="11">
        <v>290006</v>
      </c>
      <c r="D431" s="61">
        <v>928</v>
      </c>
      <c r="E431" s="61">
        <v>-7.4545555884712204E-3</v>
      </c>
      <c r="F431" s="61">
        <v>112</v>
      </c>
      <c r="G431" s="61">
        <v>7.2306690731271104E-7</v>
      </c>
      <c r="H431" s="66">
        <v>421</v>
      </c>
      <c r="I431" s="66" t="str">
        <f>H431&amp;"/"&amp;428</f>
        <v>421/428</v>
      </c>
      <c r="J431" s="68">
        <f>H431/428</f>
        <v>0.98364485981308414</v>
      </c>
      <c r="K431" s="18" t="s">
        <v>44</v>
      </c>
      <c r="L431" s="18" t="s">
        <v>45</v>
      </c>
      <c r="M431" s="58" t="s">
        <v>274</v>
      </c>
      <c r="N431" s="18">
        <f>[1]!f_prt_stocktonav(C431,"2017/03/31")</f>
        <v>94.97393798828125</v>
      </c>
      <c r="O431" s="20" t="str">
        <f>[1]!f_info_fundmanager(C431)</f>
        <v>车广路</v>
      </c>
      <c r="P431" s="21">
        <v>2.1506849315068495</v>
      </c>
      <c r="Q431" s="34" t="s">
        <v>2883</v>
      </c>
      <c r="R431" s="34" t="s">
        <v>2884</v>
      </c>
      <c r="S431" s="34" t="s">
        <v>889</v>
      </c>
      <c r="T431" s="34">
        <v>20090422</v>
      </c>
      <c r="U431" s="45">
        <v>2.6088196050999999</v>
      </c>
      <c r="V431" s="46">
        <v>2.8883977780999999</v>
      </c>
      <c r="W431" s="34" t="s">
        <v>3776</v>
      </c>
      <c r="X431" s="34" t="s">
        <v>44</v>
      </c>
      <c r="Y431" s="34" t="s">
        <v>45</v>
      </c>
      <c r="Z431" s="34" t="s">
        <v>274</v>
      </c>
      <c r="AA431" s="34"/>
      <c r="AB431" s="34"/>
      <c r="AC431" s="22">
        <v>0.90190231323242187</v>
      </c>
      <c r="AD431" s="23" t="s">
        <v>890</v>
      </c>
      <c r="AE431" s="24">
        <v>1.9205479452054794</v>
      </c>
      <c r="AF431" s="25">
        <v>8.1770503583831644E-2</v>
      </c>
      <c r="AG431" s="26">
        <v>0.13868810760966221</v>
      </c>
      <c r="AH431" s="26">
        <v>0.13343201570291208</v>
      </c>
      <c r="AI431" s="27">
        <v>0.37026269252110661</v>
      </c>
      <c r="AJ431" s="27">
        <v>0.51306654354741943</v>
      </c>
      <c r="AK431" s="27">
        <v>0.51858185935833701</v>
      </c>
      <c r="AL431" s="28" t="s">
        <v>2463</v>
      </c>
      <c r="AM431" s="29">
        <v>3</v>
      </c>
      <c r="AN431" s="29">
        <v>2</v>
      </c>
      <c r="AO431" s="29" t="s">
        <v>48</v>
      </c>
      <c r="AP431" s="47" t="s">
        <v>2457</v>
      </c>
      <c r="AQ431" s="28">
        <v>0</v>
      </c>
      <c r="AR431" s="26">
        <v>1.4999999999999999E-2</v>
      </c>
      <c r="AS431" s="26">
        <v>0</v>
      </c>
    </row>
    <row r="432" spans="1:45" x14ac:dyDescent="0.15">
      <c r="A432" s="64">
        <v>392</v>
      </c>
      <c r="B432" s="64">
        <v>105</v>
      </c>
      <c r="C432" s="11">
        <v>893</v>
      </c>
      <c r="D432" s="61">
        <v>930</v>
      </c>
      <c r="E432" s="61">
        <v>-7.5311525456489099E-3</v>
      </c>
      <c r="F432" s="61">
        <v>118</v>
      </c>
      <c r="G432" s="61">
        <v>1.4732659302685199E-5</v>
      </c>
      <c r="H432" s="66">
        <v>422</v>
      </c>
      <c r="I432" s="66" t="str">
        <f>H432&amp;"/"&amp;428</f>
        <v>422/428</v>
      </c>
      <c r="J432" s="68">
        <f>H432/428</f>
        <v>0.98598130841121501</v>
      </c>
      <c r="K432" s="18" t="s">
        <v>44</v>
      </c>
      <c r="L432" s="18" t="s">
        <v>45</v>
      </c>
      <c r="M432" s="58" t="s">
        <v>274</v>
      </c>
      <c r="N432" s="18">
        <f>[1]!f_prt_stocktonav(C432,"2017/03/31")</f>
        <v>93.56524658203125</v>
      </c>
      <c r="O432" s="20" t="str">
        <f>[1]!f_info_fundmanager(C432)</f>
        <v>刘天任,李劭钊</v>
      </c>
      <c r="P432" s="21">
        <v>2.3041095890410959</v>
      </c>
      <c r="Q432" s="34" t="s">
        <v>1697</v>
      </c>
      <c r="R432" s="34" t="s">
        <v>1698</v>
      </c>
      <c r="S432" s="34" t="s">
        <v>523</v>
      </c>
      <c r="T432" s="34">
        <v>20141211</v>
      </c>
      <c r="U432" s="45">
        <v>16.3438931556</v>
      </c>
      <c r="V432" s="46">
        <v>17.0366844216</v>
      </c>
      <c r="W432" s="34" t="s">
        <v>3776</v>
      </c>
      <c r="X432" s="34" t="s">
        <v>44</v>
      </c>
      <c r="Y432" s="34" t="s">
        <v>45</v>
      </c>
      <c r="Z432" s="34" t="s">
        <v>274</v>
      </c>
      <c r="AA432" s="34"/>
      <c r="AB432" s="34"/>
      <c r="AC432" s="22">
        <v>0.94598091125488282</v>
      </c>
      <c r="AD432" s="23" t="s">
        <v>1699</v>
      </c>
      <c r="AE432" s="24">
        <v>2.0739726027397261</v>
      </c>
      <c r="AF432" s="25">
        <v>-9.3981958874098451E-2</v>
      </c>
      <c r="AG432" s="26">
        <v>0</v>
      </c>
      <c r="AH432" s="26">
        <v>0</v>
      </c>
      <c r="AI432" s="27">
        <v>1.4483507682457868E-2</v>
      </c>
      <c r="AJ432" s="27">
        <v>1.4483507682457868E-2</v>
      </c>
      <c r="AK432" s="27">
        <v>1.4483507682457868E-2</v>
      </c>
      <c r="AL432" s="28" t="s">
        <v>489</v>
      </c>
      <c r="AM432" s="29" t="s">
        <v>48</v>
      </c>
      <c r="AN432" s="29" t="s">
        <v>48</v>
      </c>
      <c r="AO432" s="29" t="s">
        <v>48</v>
      </c>
      <c r="AP432" s="47" t="s">
        <v>255</v>
      </c>
      <c r="AQ432" s="28">
        <v>0</v>
      </c>
      <c r="AR432" s="26">
        <v>1.4999999999999999E-2</v>
      </c>
      <c r="AS432" s="26">
        <v>0</v>
      </c>
    </row>
    <row r="433" spans="1:45" x14ac:dyDescent="0.15">
      <c r="A433" s="64">
        <v>351</v>
      </c>
      <c r="B433" s="64">
        <v>561</v>
      </c>
      <c r="C433" s="11">
        <v>996</v>
      </c>
      <c r="D433" s="61">
        <v>931</v>
      </c>
      <c r="E433" s="61">
        <v>-7.5656350700090197E-3</v>
      </c>
      <c r="F433" s="61">
        <v>109</v>
      </c>
      <c r="G433" s="61">
        <v>3.9196096244283702E-4</v>
      </c>
      <c r="H433" s="66">
        <v>423</v>
      </c>
      <c r="I433" s="66" t="str">
        <f>H433&amp;"/"&amp;428</f>
        <v>423/428</v>
      </c>
      <c r="J433" s="68">
        <f>H433/428</f>
        <v>0.98831775700934577</v>
      </c>
      <c r="K433" s="18" t="s">
        <v>44</v>
      </c>
      <c r="L433" s="18" t="s">
        <v>45</v>
      </c>
      <c r="M433" s="58" t="s">
        <v>274</v>
      </c>
      <c r="N433" s="18">
        <f>[1]!f_prt_stocktonav(C433,"2017/03/31")</f>
        <v>83.827690124511719</v>
      </c>
      <c r="O433" s="20" t="str">
        <f>[1]!f_info_fundmanager(C433)</f>
        <v>史彬</v>
      </c>
      <c r="P433" s="21">
        <v>2.128767123287671</v>
      </c>
      <c r="Q433" s="34" t="s">
        <v>1548</v>
      </c>
      <c r="R433" s="34" t="s">
        <v>1549</v>
      </c>
      <c r="S433" s="34" t="s">
        <v>71</v>
      </c>
      <c r="T433" s="34">
        <v>20150213</v>
      </c>
      <c r="U433" s="45">
        <v>22.894299114500001</v>
      </c>
      <c r="V433" s="46">
        <v>25.449526374200001</v>
      </c>
      <c r="W433" s="34" t="s">
        <v>3789</v>
      </c>
      <c r="X433" s="34" t="s">
        <v>44</v>
      </c>
      <c r="Y433" s="34" t="s">
        <v>45</v>
      </c>
      <c r="Z433" s="34" t="s">
        <v>274</v>
      </c>
      <c r="AA433" s="34"/>
      <c r="AB433" s="34"/>
      <c r="AC433" s="22">
        <v>0.89201591491699217</v>
      </c>
      <c r="AD433" s="23" t="s">
        <v>1550</v>
      </c>
      <c r="AE433" s="24">
        <v>1.8986301369863015</v>
      </c>
      <c r="AF433" s="25">
        <v>-0.10987831607452414</v>
      </c>
      <c r="AG433" s="26">
        <v>0</v>
      </c>
      <c r="AH433" s="26">
        <v>0</v>
      </c>
      <c r="AI433" s="27">
        <v>-3.2166469964125463E-2</v>
      </c>
      <c r="AJ433" s="27">
        <v>-3.2166469964125463E-2</v>
      </c>
      <c r="AK433" s="27">
        <v>-3.2166469964125463E-2</v>
      </c>
      <c r="AL433" s="28" t="s">
        <v>167</v>
      </c>
      <c r="AM433" s="29" t="s">
        <v>48</v>
      </c>
      <c r="AN433" s="29" t="s">
        <v>48</v>
      </c>
      <c r="AO433" s="29" t="s">
        <v>48</v>
      </c>
      <c r="AP433" s="47" t="s">
        <v>845</v>
      </c>
      <c r="AQ433" s="28">
        <v>0</v>
      </c>
      <c r="AR433" s="26">
        <v>1.4999999999999999E-2</v>
      </c>
      <c r="AS433" s="26">
        <v>0</v>
      </c>
    </row>
    <row r="434" spans="1:45" x14ac:dyDescent="0.15">
      <c r="A434" s="64">
        <v>345</v>
      </c>
      <c r="B434" s="64">
        <v>8</v>
      </c>
      <c r="C434" s="11">
        <v>519170</v>
      </c>
      <c r="D434" s="61">
        <v>933</v>
      </c>
      <c r="E434" s="61">
        <v>-8.2580599692471304E-3</v>
      </c>
      <c r="F434" s="61">
        <v>105</v>
      </c>
      <c r="G434" s="61">
        <v>1.5573610157513298E-5</v>
      </c>
      <c r="H434" s="66">
        <v>424</v>
      </c>
      <c r="I434" s="66" t="str">
        <f>H434&amp;"/"&amp;428</f>
        <v>424/428</v>
      </c>
      <c r="J434" s="68">
        <f>H434/428</f>
        <v>0.99065420560747663</v>
      </c>
      <c r="K434" s="18" t="s">
        <v>44</v>
      </c>
      <c r="L434" s="18" t="s">
        <v>45</v>
      </c>
      <c r="M434" s="58" t="s">
        <v>274</v>
      </c>
      <c r="N434" s="18">
        <f>[1]!f_prt_stocktonav(C434,"2017/03/31")</f>
        <v>94.851860046386719</v>
      </c>
      <c r="O434" s="20" t="str">
        <f>[1]!f_info_fundmanager(C434)</f>
        <v>蒋建伟</v>
      </c>
      <c r="P434" s="21">
        <v>2.0547945205479454</v>
      </c>
      <c r="Q434" s="34" t="s">
        <v>1526</v>
      </c>
      <c r="R434" s="34" t="s">
        <v>1527</v>
      </c>
      <c r="S434" s="34" t="s">
        <v>649</v>
      </c>
      <c r="T434" s="34">
        <v>20150312</v>
      </c>
      <c r="U434" s="45">
        <v>22.583344102000002</v>
      </c>
      <c r="V434" s="46">
        <v>23.973096895800001</v>
      </c>
      <c r="W434" s="34" t="s">
        <v>201</v>
      </c>
      <c r="X434" s="34" t="s">
        <v>44</v>
      </c>
      <c r="Y434" s="34" t="s">
        <v>45</v>
      </c>
      <c r="Z434" s="34" t="s">
        <v>274</v>
      </c>
      <c r="AA434" s="34"/>
      <c r="AB434" s="34"/>
      <c r="AC434" s="22">
        <v>0.94355072021484376</v>
      </c>
      <c r="AD434" s="23" t="s">
        <v>1528</v>
      </c>
      <c r="AE434" s="24">
        <v>1.8246575342465754</v>
      </c>
      <c r="AF434" s="25">
        <v>-0.15507844643364321</v>
      </c>
      <c r="AG434" s="26">
        <v>0</v>
      </c>
      <c r="AH434" s="26">
        <v>0</v>
      </c>
      <c r="AI434" s="27">
        <v>-0.18817864656689284</v>
      </c>
      <c r="AJ434" s="27">
        <v>-0.18817864656689284</v>
      </c>
      <c r="AK434" s="27">
        <v>-0.18817864656689284</v>
      </c>
      <c r="AL434" s="28" t="s">
        <v>1529</v>
      </c>
      <c r="AM434" s="29" t="s">
        <v>48</v>
      </c>
      <c r="AN434" s="29" t="s">
        <v>48</v>
      </c>
      <c r="AO434" s="29" t="s">
        <v>48</v>
      </c>
      <c r="AP434" s="47" t="s">
        <v>652</v>
      </c>
      <c r="AQ434" s="28">
        <v>0</v>
      </c>
      <c r="AR434" s="26">
        <v>1.4999999999999999E-2</v>
      </c>
      <c r="AS434" s="26">
        <v>0</v>
      </c>
    </row>
    <row r="435" spans="1:45" x14ac:dyDescent="0.15">
      <c r="A435" s="64">
        <v>562</v>
      </c>
      <c r="B435" s="64">
        <v>14</v>
      </c>
      <c r="C435" s="11">
        <v>210009</v>
      </c>
      <c r="D435" s="61">
        <v>935</v>
      </c>
      <c r="E435" s="61">
        <v>-8.2985827592795807E-3</v>
      </c>
      <c r="F435" s="61">
        <v>131</v>
      </c>
      <c r="G435" s="61">
        <v>1.7422477964505699E-4</v>
      </c>
      <c r="H435" s="66">
        <v>425</v>
      </c>
      <c r="I435" s="66" t="str">
        <f>H435&amp;"/"&amp;428</f>
        <v>425/428</v>
      </c>
      <c r="J435" s="68">
        <f>H435/428</f>
        <v>0.9929906542056075</v>
      </c>
      <c r="K435" s="18" t="s">
        <v>44</v>
      </c>
      <c r="L435" s="18" t="s">
        <v>45</v>
      </c>
      <c r="M435" s="58" t="s">
        <v>274</v>
      </c>
      <c r="N435" s="18">
        <f>[1]!f_prt_stocktonav(C435,"2017/03/31")</f>
        <v>94.798957824707031</v>
      </c>
      <c r="O435" s="20" t="str">
        <f>[1]!f_info_fundmanager(C435)</f>
        <v>冼鸿鹏</v>
      </c>
      <c r="P435" s="21">
        <v>2.5013698630136987</v>
      </c>
      <c r="Q435" s="34" t="s">
        <v>2319</v>
      </c>
      <c r="R435" s="34" t="s">
        <v>2320</v>
      </c>
      <c r="S435" s="34" t="s">
        <v>273</v>
      </c>
      <c r="T435" s="34">
        <v>20120523</v>
      </c>
      <c r="U435" s="45">
        <v>22.767926730700001</v>
      </c>
      <c r="V435" s="46">
        <v>20.1331473358</v>
      </c>
      <c r="W435" s="34" t="s">
        <v>3789</v>
      </c>
      <c r="X435" s="34" t="s">
        <v>44</v>
      </c>
      <c r="Y435" s="34" t="s">
        <v>45</v>
      </c>
      <c r="Z435" s="34" t="s">
        <v>274</v>
      </c>
      <c r="AA435" s="34"/>
      <c r="AB435" s="34"/>
      <c r="AC435" s="22">
        <v>0.93081809997558596</v>
      </c>
      <c r="AD435" s="23" t="s">
        <v>2321</v>
      </c>
      <c r="AE435" s="24">
        <v>2.2712328767123289</v>
      </c>
      <c r="AF435" s="25">
        <v>8.876546477689494E-2</v>
      </c>
      <c r="AG435" s="26">
        <v>0.10064241629820891</v>
      </c>
      <c r="AH435" s="26">
        <v>0</v>
      </c>
      <c r="AI435" s="27">
        <v>0.37996055461800471</v>
      </c>
      <c r="AJ435" s="27">
        <v>0.40431828993825464</v>
      </c>
      <c r="AK435" s="27">
        <v>0.37996055461800471</v>
      </c>
      <c r="AL435" s="28" t="s">
        <v>1868</v>
      </c>
      <c r="AM435" s="29">
        <v>1</v>
      </c>
      <c r="AN435" s="29">
        <v>2</v>
      </c>
      <c r="AO435" s="29" t="s">
        <v>48</v>
      </c>
      <c r="AP435" s="47" t="s">
        <v>227</v>
      </c>
      <c r="AQ435" s="28">
        <v>0</v>
      </c>
      <c r="AR435" s="26">
        <v>1.4999999999999999E-2</v>
      </c>
      <c r="AS435" s="26">
        <v>0</v>
      </c>
    </row>
    <row r="436" spans="1:45" x14ac:dyDescent="0.15">
      <c r="A436" s="64">
        <v>333</v>
      </c>
      <c r="B436" s="64">
        <v>348</v>
      </c>
      <c r="C436" s="11">
        <v>1097</v>
      </c>
      <c r="D436" s="61">
        <v>936</v>
      </c>
      <c r="E436" s="61">
        <v>-8.4631222058584796E-3</v>
      </c>
      <c r="F436" s="61">
        <v>103</v>
      </c>
      <c r="G436" s="61">
        <v>2.40057728252755E-5</v>
      </c>
      <c r="H436" s="66">
        <v>426</v>
      </c>
      <c r="I436" s="66" t="str">
        <f>H436&amp;"/"&amp;428</f>
        <v>426/428</v>
      </c>
      <c r="J436" s="68">
        <f>H436/428</f>
        <v>0.99532710280373837</v>
      </c>
      <c r="K436" s="18" t="s">
        <v>44</v>
      </c>
      <c r="L436" s="18" t="s">
        <v>45</v>
      </c>
      <c r="M436" s="58" t="s">
        <v>274</v>
      </c>
      <c r="N436" s="18">
        <f>[1]!f_prt_stocktonav(C436,"2017/03/31")</f>
        <v>88.566429138183594</v>
      </c>
      <c r="O436" s="20" t="str">
        <f>[1]!f_info_fundmanager(C436)</f>
        <v>方伦煜</v>
      </c>
      <c r="P436" s="21">
        <v>2.0164383561643837</v>
      </c>
      <c r="Q436" s="34" t="s">
        <v>1481</v>
      </c>
      <c r="R436" s="34" t="s">
        <v>1482</v>
      </c>
      <c r="S436" s="34" t="s">
        <v>880</v>
      </c>
      <c r="T436" s="34">
        <v>20150326</v>
      </c>
      <c r="U436" s="45">
        <v>4.4760925035000003</v>
      </c>
      <c r="V436" s="46">
        <v>4.8532234824999998</v>
      </c>
      <c r="W436" s="34" t="s">
        <v>201</v>
      </c>
      <c r="X436" s="34" t="s">
        <v>44</v>
      </c>
      <c r="Y436" s="34" t="s">
        <v>45</v>
      </c>
      <c r="Z436" s="34" t="s">
        <v>274</v>
      </c>
      <c r="AA436" s="34"/>
      <c r="AB436" s="34"/>
      <c r="AC436" s="22">
        <v>0.82454376220703129</v>
      </c>
      <c r="AD436" s="23" t="s">
        <v>1483</v>
      </c>
      <c r="AE436" s="24">
        <v>1.7863013698630137</v>
      </c>
      <c r="AF436" s="25">
        <v>-0.25744615553579342</v>
      </c>
      <c r="AG436" s="26">
        <v>0</v>
      </c>
      <c r="AH436" s="26">
        <v>0</v>
      </c>
      <c r="AI436" s="27">
        <v>-0.71273704189685805</v>
      </c>
      <c r="AJ436" s="27">
        <v>-0.71273704189685805</v>
      </c>
      <c r="AK436" s="27">
        <v>-0.71273704189685805</v>
      </c>
      <c r="AL436" s="28" t="s">
        <v>1484</v>
      </c>
      <c r="AM436" s="29" t="s">
        <v>48</v>
      </c>
      <c r="AN436" s="29" t="s">
        <v>48</v>
      </c>
      <c r="AO436" s="29" t="s">
        <v>48</v>
      </c>
      <c r="AP436" s="47" t="s">
        <v>255</v>
      </c>
      <c r="AQ436" s="28">
        <v>0</v>
      </c>
      <c r="AR436" s="26">
        <v>1.4999999999999999E-2</v>
      </c>
      <c r="AS436" s="26">
        <v>0</v>
      </c>
    </row>
    <row r="437" spans="1:45" x14ac:dyDescent="0.15">
      <c r="A437" s="64">
        <v>542</v>
      </c>
      <c r="B437" s="64">
        <v>175</v>
      </c>
      <c r="C437" s="11">
        <v>90020</v>
      </c>
      <c r="D437" s="61">
        <v>937</v>
      </c>
      <c r="E437" s="61">
        <v>-8.5098159823074407E-3</v>
      </c>
      <c r="F437" s="61">
        <v>144</v>
      </c>
      <c r="G437" s="61">
        <v>1.10115234850425E-7</v>
      </c>
      <c r="H437" s="66">
        <v>427</v>
      </c>
      <c r="I437" s="66" t="str">
        <f>H437&amp;"/"&amp;428</f>
        <v>427/428</v>
      </c>
      <c r="J437" s="68">
        <f>H437/428</f>
        <v>0.99766355140186913</v>
      </c>
      <c r="K437" s="18" t="s">
        <v>44</v>
      </c>
      <c r="L437" s="18" t="s">
        <v>45</v>
      </c>
      <c r="M437" s="58" t="s">
        <v>274</v>
      </c>
      <c r="N437" s="18">
        <f>[1]!f_prt_stocktonav(C437,"2017/03/31")</f>
        <v>92.251174926757813</v>
      </c>
      <c r="O437" s="20" t="str">
        <f>[1]!f_info_fundmanager(C437)</f>
        <v>杨挺</v>
      </c>
      <c r="P437" s="21">
        <v>2.7643835616438355</v>
      </c>
      <c r="Q437" s="34" t="s">
        <v>2250</v>
      </c>
      <c r="R437" s="34" t="s">
        <v>2251</v>
      </c>
      <c r="S437" s="34" t="s">
        <v>486</v>
      </c>
      <c r="T437" s="34">
        <v>20120828</v>
      </c>
      <c r="U437" s="45">
        <v>0.31793957239999998</v>
      </c>
      <c r="V437" s="46">
        <v>0.37943722019999998</v>
      </c>
      <c r="W437" s="34" t="s">
        <v>3776</v>
      </c>
      <c r="X437" s="34" t="s">
        <v>44</v>
      </c>
      <c r="Y437" s="34" t="s">
        <v>45</v>
      </c>
      <c r="Z437" s="34" t="s">
        <v>274</v>
      </c>
      <c r="AA437" s="34"/>
      <c r="AB437" s="34"/>
      <c r="AC437" s="22">
        <v>0.81941184997558592</v>
      </c>
      <c r="AD437" s="23" t="s">
        <v>1043</v>
      </c>
      <c r="AE437" s="24">
        <v>2.5342465753424657</v>
      </c>
      <c r="AF437" s="25">
        <v>-4.7964562735556715E-2</v>
      </c>
      <c r="AG437" s="26">
        <v>0</v>
      </c>
      <c r="AH437" s="26">
        <v>0</v>
      </c>
      <c r="AI437" s="27">
        <v>1.5923139325406739E-2</v>
      </c>
      <c r="AJ437" s="27">
        <v>1.5923139325406739E-2</v>
      </c>
      <c r="AK437" s="27">
        <v>1.5923139325406739E-2</v>
      </c>
      <c r="AL437" s="28" t="s">
        <v>2252</v>
      </c>
      <c r="AM437" s="29" t="s">
        <v>48</v>
      </c>
      <c r="AN437" s="29" t="s">
        <v>48</v>
      </c>
      <c r="AO437" s="29" t="s">
        <v>48</v>
      </c>
      <c r="AP437" s="47" t="s">
        <v>367</v>
      </c>
      <c r="AQ437" s="28">
        <v>0</v>
      </c>
      <c r="AR437" s="26">
        <v>1.4999999999999999E-2</v>
      </c>
      <c r="AS437" s="26">
        <v>0</v>
      </c>
    </row>
    <row r="438" spans="1:45" x14ac:dyDescent="0.15">
      <c r="A438" s="64">
        <v>893</v>
      </c>
      <c r="B438" s="64">
        <v>177</v>
      </c>
      <c r="C438" s="11">
        <v>398011</v>
      </c>
      <c r="D438" s="61">
        <v>938</v>
      </c>
      <c r="E438" s="61">
        <v>-8.7987996051944097E-3</v>
      </c>
      <c r="F438" s="61">
        <v>124</v>
      </c>
      <c r="G438" s="61">
        <v>7.8859331546719198E-6</v>
      </c>
      <c r="H438" s="66">
        <v>428</v>
      </c>
      <c r="I438" s="66" t="str">
        <f>H438&amp;"/"&amp;428</f>
        <v>428/428</v>
      </c>
      <c r="J438" s="68">
        <f>H438/428</f>
        <v>1</v>
      </c>
      <c r="K438" s="18" t="s">
        <v>44</v>
      </c>
      <c r="L438" s="18" t="s">
        <v>87</v>
      </c>
      <c r="M438" s="58" t="s">
        <v>274</v>
      </c>
      <c r="N438" s="18">
        <f>[1]!f_prt_stocktonav(C438,"2017/03/31")</f>
        <v>92.179351806640625</v>
      </c>
      <c r="O438" s="20" t="str">
        <f>[1]!f_info_fundmanager(C438)</f>
        <v>邱红丽</v>
      </c>
      <c r="P438" s="21">
        <v>2.3671232876712329</v>
      </c>
      <c r="Q438" s="34" t="s">
        <v>3468</v>
      </c>
      <c r="R438" s="34" t="s">
        <v>3469</v>
      </c>
      <c r="S438" s="34" t="s">
        <v>505</v>
      </c>
      <c r="T438" s="34">
        <v>20050616</v>
      </c>
      <c r="U438" s="45">
        <v>4.2664921832999996</v>
      </c>
      <c r="V438" s="46">
        <v>4.6109247688000004</v>
      </c>
      <c r="W438" s="34" t="s">
        <v>231</v>
      </c>
      <c r="X438" s="34" t="s">
        <v>44</v>
      </c>
      <c r="Y438" s="34" t="s">
        <v>45</v>
      </c>
      <c r="Z438" s="34" t="s">
        <v>274</v>
      </c>
      <c r="AA438" s="34"/>
      <c r="AB438" s="34"/>
      <c r="AC438" s="22">
        <v>0.75212844848632809</v>
      </c>
      <c r="AD438" s="23" t="s">
        <v>862</v>
      </c>
      <c r="AE438" s="24">
        <v>2.1369863013698631</v>
      </c>
      <c r="AF438" s="25">
        <v>6.8665478696856352E-2</v>
      </c>
      <c r="AG438" s="26">
        <v>-8.5037941125924443E-2</v>
      </c>
      <c r="AH438" s="26">
        <v>-2.9096164714076833E-2</v>
      </c>
      <c r="AI438" s="27">
        <v>0.32674734485779688</v>
      </c>
      <c r="AJ438" s="27">
        <v>-9.9819577049103297E-2</v>
      </c>
      <c r="AK438" s="27">
        <v>1.3064954617967844E-2</v>
      </c>
      <c r="AL438" s="28" t="s">
        <v>3470</v>
      </c>
      <c r="AM438" s="29">
        <v>1</v>
      </c>
      <c r="AN438" s="29">
        <v>1</v>
      </c>
      <c r="AO438" s="29" t="s">
        <v>48</v>
      </c>
      <c r="AP438" s="47" t="s">
        <v>3471</v>
      </c>
      <c r="AQ438" s="28" t="s">
        <v>3472</v>
      </c>
      <c r="AR438" s="26">
        <v>1.4999999999999999E-2</v>
      </c>
      <c r="AS438" s="26">
        <v>0</v>
      </c>
    </row>
    <row r="439" spans="1:45" x14ac:dyDescent="0.15">
      <c r="A439" s="64">
        <v>487</v>
      </c>
      <c r="B439" s="64">
        <v>659</v>
      </c>
      <c r="C439" s="11">
        <v>294</v>
      </c>
      <c r="D439" s="61" t="s">
        <v>3847</v>
      </c>
      <c r="E439" s="61">
        <v>7.6787032335552894E-6</v>
      </c>
      <c r="F439" s="61">
        <v>79</v>
      </c>
      <c r="G439" s="61">
        <v>0.99637419397404203</v>
      </c>
      <c r="H439" s="66">
        <v>65</v>
      </c>
      <c r="I439" s="66" t="str">
        <f>H439&amp;"/"&amp;428</f>
        <v>65/428</v>
      </c>
      <c r="J439" s="68">
        <f>H439/428</f>
        <v>0.15186915887850466</v>
      </c>
      <c r="K439" s="18" t="s">
        <v>44</v>
      </c>
      <c r="L439" s="18" t="s">
        <v>45</v>
      </c>
      <c r="M439" s="58" t="s">
        <v>274</v>
      </c>
      <c r="N439" s="18">
        <f>[1]!f_prt_stocktonav(C439,"2017/03/31")</f>
        <v>81.165473937988281</v>
      </c>
      <c r="O439" s="20" t="str">
        <f>[1]!f_info_fundmanager(C439)</f>
        <v>刘伟亭</v>
      </c>
      <c r="P439" s="21">
        <v>1.515068493150685</v>
      </c>
      <c r="Q439" s="34" t="s">
        <v>2056</v>
      </c>
      <c r="R439" s="34" t="s">
        <v>2057</v>
      </c>
      <c r="S439" s="34" t="s">
        <v>63</v>
      </c>
      <c r="T439" s="34">
        <v>20131128</v>
      </c>
      <c r="U439" s="45">
        <v>1.1379874822</v>
      </c>
      <c r="V439" s="46">
        <v>1.2893392093</v>
      </c>
      <c r="W439" s="34" t="s">
        <v>3776</v>
      </c>
      <c r="X439" s="34" t="s">
        <v>44</v>
      </c>
      <c r="Y439" s="34" t="s">
        <v>45</v>
      </c>
      <c r="Z439" s="34" t="s">
        <v>274</v>
      </c>
      <c r="AA439" s="34"/>
      <c r="AB439" s="34"/>
      <c r="AC439" s="22">
        <v>0.80900642395019529</v>
      </c>
      <c r="AD439" s="23" t="s">
        <v>243</v>
      </c>
      <c r="AE439" s="24">
        <v>1.284931506849315</v>
      </c>
      <c r="AF439" s="25">
        <v>0.16909090892069734</v>
      </c>
      <c r="AG439" s="26">
        <v>0.17494341058381901</v>
      </c>
      <c r="AH439" s="26">
        <v>0</v>
      </c>
      <c r="AI439" s="27">
        <v>0.56434697257285882</v>
      </c>
      <c r="AJ439" s="27">
        <v>0.57369210226957823</v>
      </c>
      <c r="AK439" s="27">
        <v>0.56434697257285882</v>
      </c>
      <c r="AL439" s="28" t="s">
        <v>1393</v>
      </c>
      <c r="AM439" s="29" t="s">
        <v>48</v>
      </c>
      <c r="AN439" s="29" t="s">
        <v>48</v>
      </c>
      <c r="AO439" s="29" t="s">
        <v>48</v>
      </c>
      <c r="AP439" s="47" t="s">
        <v>2058</v>
      </c>
      <c r="AQ439" s="28">
        <v>0</v>
      </c>
      <c r="AR439" s="26">
        <v>1.4999999999999999E-2</v>
      </c>
      <c r="AS439" s="26">
        <v>0</v>
      </c>
    </row>
    <row r="440" spans="1:45" x14ac:dyDescent="0.15">
      <c r="A440" s="64">
        <v>165</v>
      </c>
      <c r="B440" s="64">
        <v>40</v>
      </c>
      <c r="C440" s="11">
        <v>1837</v>
      </c>
      <c r="D440" s="61">
        <v>21</v>
      </c>
      <c r="E440" s="61">
        <v>3.7501489055945698E-3</v>
      </c>
      <c r="F440" s="61">
        <v>66</v>
      </c>
      <c r="G440" s="61">
        <v>0.10821138838920399</v>
      </c>
      <c r="H440" s="66">
        <v>1</v>
      </c>
      <c r="I440" s="66" t="str">
        <f>H440&amp;"/"&amp;22</f>
        <v>1/22</v>
      </c>
      <c r="J440" s="68">
        <f>H440/22</f>
        <v>4.5454545454545456E-2</v>
      </c>
      <c r="K440" s="18" t="s">
        <v>44</v>
      </c>
      <c r="L440" s="18" t="s">
        <v>45</v>
      </c>
      <c r="M440" s="58" t="s">
        <v>354</v>
      </c>
      <c r="N440" s="18">
        <f>[1]!f_prt_stocktonav(C440,"2017/03/31")</f>
        <v>94.415946960449219</v>
      </c>
      <c r="O440" s="20" t="str">
        <f>[1]!f_info_fundmanager(C440)</f>
        <v>曲扬</v>
      </c>
      <c r="P440" s="21">
        <v>1.3123287671232877</v>
      </c>
      <c r="Q440" s="34" t="s">
        <v>824</v>
      </c>
      <c r="R440" s="34" t="s">
        <v>825</v>
      </c>
      <c r="S440" s="34" t="s">
        <v>78</v>
      </c>
      <c r="T440" s="34">
        <v>20151208</v>
      </c>
      <c r="U440" s="45">
        <v>34.599200574800001</v>
      </c>
      <c r="V440" s="46">
        <v>27.450354367900001</v>
      </c>
      <c r="W440" s="34" t="s">
        <v>3776</v>
      </c>
      <c r="X440" s="34" t="s">
        <v>44</v>
      </c>
      <c r="Y440" s="17" t="s">
        <v>45</v>
      </c>
      <c r="Z440" s="17" t="s">
        <v>65</v>
      </c>
      <c r="AA440" s="34"/>
      <c r="AB440" s="34"/>
      <c r="AC440" s="22">
        <v>0.92094535827636714</v>
      </c>
      <c r="AD440" s="23" t="s">
        <v>119</v>
      </c>
      <c r="AE440" s="24">
        <v>1.0821917808219179</v>
      </c>
      <c r="AF440" s="25">
        <v>0.10724678302509139</v>
      </c>
      <c r="AG440" s="26">
        <v>0</v>
      </c>
      <c r="AH440" s="26">
        <v>0</v>
      </c>
      <c r="AI440" s="27">
        <v>0.64360882542429787</v>
      </c>
      <c r="AJ440" s="27">
        <v>0.64360882542429787</v>
      </c>
      <c r="AK440" s="27">
        <v>0.64360882542429787</v>
      </c>
      <c r="AL440" s="28" t="s">
        <v>120</v>
      </c>
      <c r="AM440" s="29" t="s">
        <v>48</v>
      </c>
      <c r="AN440" s="29" t="s">
        <v>48</v>
      </c>
      <c r="AO440" s="29" t="s">
        <v>48</v>
      </c>
      <c r="AP440" s="47" t="s">
        <v>270</v>
      </c>
      <c r="AQ440" s="28">
        <v>0</v>
      </c>
      <c r="AR440" s="26">
        <v>1.4999999999999999E-2</v>
      </c>
      <c r="AS440" s="26">
        <v>0</v>
      </c>
    </row>
    <row r="441" spans="1:45" x14ac:dyDescent="0.15">
      <c r="A441" s="64">
        <v>718</v>
      </c>
      <c r="B441" s="64">
        <v>232</v>
      </c>
      <c r="C441" s="11">
        <v>540006</v>
      </c>
      <c r="D441" s="61">
        <v>27</v>
      </c>
      <c r="E441" s="61">
        <v>3.60340634692193E-3</v>
      </c>
      <c r="F441" s="61">
        <v>133</v>
      </c>
      <c r="G441" s="61">
        <v>7.1015821601319205E-4</v>
      </c>
      <c r="H441" s="66">
        <v>2</v>
      </c>
      <c r="I441" s="66" t="str">
        <f>H441&amp;"/"&amp;22</f>
        <v>2/22</v>
      </c>
      <c r="J441" s="68">
        <f>H441/22</f>
        <v>9.0909090909090912E-2</v>
      </c>
      <c r="K441" s="18" t="s">
        <v>44</v>
      </c>
      <c r="L441" s="18" t="s">
        <v>45</v>
      </c>
      <c r="M441" s="58" t="s">
        <v>354</v>
      </c>
      <c r="N441" s="18">
        <f>[1]!f_prt_stocktonav(C441,"2017/03/31")</f>
        <v>91.067138671875</v>
      </c>
      <c r="O441" s="20" t="str">
        <f>[1]!f_info_fundmanager(C441)</f>
        <v>丘栋荣</v>
      </c>
      <c r="P441" s="21">
        <v>2.5397260273972604</v>
      </c>
      <c r="Q441" s="34" t="s">
        <v>2840</v>
      </c>
      <c r="R441" s="34" t="s">
        <v>2841</v>
      </c>
      <c r="S441" s="34" t="s">
        <v>149</v>
      </c>
      <c r="T441" s="34">
        <v>20090624</v>
      </c>
      <c r="U441" s="45">
        <v>25.737236385500001</v>
      </c>
      <c r="V441" s="46">
        <v>23.253908944399999</v>
      </c>
      <c r="W441" s="34" t="s">
        <v>1235</v>
      </c>
      <c r="X441" s="34" t="s">
        <v>44</v>
      </c>
      <c r="Y441" s="34" t="s">
        <v>45</v>
      </c>
      <c r="Z441" s="34" t="s">
        <v>354</v>
      </c>
      <c r="AA441" s="34"/>
      <c r="AB441" s="34"/>
      <c r="AC441" s="22">
        <v>0.93935401916503902</v>
      </c>
      <c r="AD441" s="23" t="s">
        <v>1714</v>
      </c>
      <c r="AE441" s="24">
        <v>2.3095890410958906</v>
      </c>
      <c r="AF441" s="25">
        <v>0.14289717051162798</v>
      </c>
      <c r="AG441" s="26">
        <v>0.3211871440130778</v>
      </c>
      <c r="AH441" s="26">
        <v>0.21723885066548321</v>
      </c>
      <c r="AI441" s="27">
        <v>0.65234638390623889</v>
      </c>
      <c r="AJ441" s="27">
        <v>1.145709775315648</v>
      </c>
      <c r="AK441" s="27">
        <v>0.90382505828316939</v>
      </c>
      <c r="AL441" s="28" t="s">
        <v>2842</v>
      </c>
      <c r="AM441" s="29">
        <v>5</v>
      </c>
      <c r="AN441" s="29">
        <v>5</v>
      </c>
      <c r="AO441" s="29" t="s">
        <v>48</v>
      </c>
      <c r="AP441" s="47" t="s">
        <v>410</v>
      </c>
      <c r="AQ441" s="28">
        <v>0</v>
      </c>
      <c r="AR441" s="26">
        <v>1.4999999999999999E-2</v>
      </c>
      <c r="AS441" s="26">
        <v>0</v>
      </c>
    </row>
    <row r="442" spans="1:45" x14ac:dyDescent="0.15">
      <c r="A442" s="64">
        <v>340</v>
      </c>
      <c r="B442" s="64">
        <v>297</v>
      </c>
      <c r="C442" s="11">
        <v>974</v>
      </c>
      <c r="D442" s="61">
        <v>29</v>
      </c>
      <c r="E442" s="61">
        <v>3.5527973354075701E-3</v>
      </c>
      <c r="F442" s="61">
        <v>55</v>
      </c>
      <c r="G442" s="61">
        <v>8.8967869767718304E-3</v>
      </c>
      <c r="H442" s="66">
        <v>3</v>
      </c>
      <c r="I442" s="66" t="str">
        <f>H442&amp;"/"&amp;22</f>
        <v>3/22</v>
      </c>
      <c r="J442" s="68">
        <f>H442/22</f>
        <v>0.13636363636363635</v>
      </c>
      <c r="K442" s="18" t="s">
        <v>44</v>
      </c>
      <c r="L442" s="18" t="s">
        <v>87</v>
      </c>
      <c r="M442" s="58" t="s">
        <v>354</v>
      </c>
      <c r="N442" s="18">
        <f>[1]!f_prt_stocktonav(C442,"2017/03/31")</f>
        <v>89.504524230957031</v>
      </c>
      <c r="O442" s="20" t="str">
        <f>[1]!f_info_fundmanager(C442)</f>
        <v>陈一峰</v>
      </c>
      <c r="P442" s="21">
        <v>1.0465753424657533</v>
      </c>
      <c r="Q442" s="34" t="s">
        <v>1506</v>
      </c>
      <c r="R442" s="34" t="s">
        <v>1507</v>
      </c>
      <c r="S442" s="34" t="s">
        <v>975</v>
      </c>
      <c r="T442" s="34">
        <v>20150319</v>
      </c>
      <c r="U442" s="45">
        <v>3.4424258890999999</v>
      </c>
      <c r="V442" s="46">
        <v>2.6948807328000002</v>
      </c>
      <c r="W442" s="34" t="s">
        <v>3789</v>
      </c>
      <c r="X442" s="34" t="s">
        <v>44</v>
      </c>
      <c r="Y442" s="34" t="s">
        <v>87</v>
      </c>
      <c r="Z442" s="34" t="s">
        <v>65</v>
      </c>
      <c r="AA442" s="34" t="s">
        <v>3813</v>
      </c>
      <c r="AB442" s="34"/>
      <c r="AC442" s="22">
        <v>0.90822410583496094</v>
      </c>
      <c r="AD442" s="23" t="s">
        <v>1509</v>
      </c>
      <c r="AE442" s="24">
        <v>0.81643835616438354</v>
      </c>
      <c r="AF442" s="25">
        <v>6.5292266138628818E-2</v>
      </c>
      <c r="AG442" s="26">
        <v>0</v>
      </c>
      <c r="AH442" s="26">
        <v>0</v>
      </c>
      <c r="AI442" s="27">
        <v>0.32171353000084502</v>
      </c>
      <c r="AJ442" s="27">
        <v>0.32171353000084502</v>
      </c>
      <c r="AK442" s="27">
        <v>0.32171353000084502</v>
      </c>
      <c r="AL442" s="33" t="s">
        <v>259</v>
      </c>
      <c r="AM442" s="29" t="s">
        <v>48</v>
      </c>
      <c r="AN442" s="29" t="s">
        <v>48</v>
      </c>
      <c r="AO442" s="29" t="s">
        <v>48</v>
      </c>
      <c r="AP442" s="47" t="s">
        <v>209</v>
      </c>
      <c r="AQ442" s="28">
        <v>0</v>
      </c>
      <c r="AR442" s="26">
        <v>1.4999999999999999E-2</v>
      </c>
      <c r="AS442" s="26">
        <v>0</v>
      </c>
    </row>
    <row r="443" spans="1:45" x14ac:dyDescent="0.15">
      <c r="A443" s="64">
        <v>380</v>
      </c>
      <c r="B443" s="64">
        <v>261</v>
      </c>
      <c r="C443" s="11">
        <v>916</v>
      </c>
      <c r="D443" s="61">
        <v>41</v>
      </c>
      <c r="E443" s="61">
        <v>3.0538577315463301E-3</v>
      </c>
      <c r="F443" s="61">
        <v>113</v>
      </c>
      <c r="G443" s="61">
        <v>1.33247752193962E-2</v>
      </c>
      <c r="H443" s="66">
        <v>4</v>
      </c>
      <c r="I443" s="66" t="str">
        <f>H443&amp;"/"&amp;22</f>
        <v>4/22</v>
      </c>
      <c r="J443" s="68">
        <f>H443/22</f>
        <v>0.18181818181818182</v>
      </c>
      <c r="K443" s="18" t="s">
        <v>44</v>
      </c>
      <c r="L443" s="18" t="s">
        <v>45</v>
      </c>
      <c r="M443" s="58" t="s">
        <v>354</v>
      </c>
      <c r="N443" s="18">
        <f>[1]!f_prt_stocktonav(C443,"2017/03/31")</f>
        <v>90.206214904785156</v>
      </c>
      <c r="O443" s="20" t="str">
        <f>[1]!f_info_fundmanager(C443)</f>
        <v>邱杰</v>
      </c>
      <c r="P443" s="21">
        <v>2.2136986301369861</v>
      </c>
      <c r="Q443" s="34" t="s">
        <v>1655</v>
      </c>
      <c r="R443" s="34" t="s">
        <v>1656</v>
      </c>
      <c r="S443" s="34" t="s">
        <v>78</v>
      </c>
      <c r="T443" s="34">
        <v>20150113</v>
      </c>
      <c r="U443" s="45">
        <v>19.994603114099998</v>
      </c>
      <c r="V443" s="46">
        <v>19.952763818299999</v>
      </c>
      <c r="W443" s="34" t="s">
        <v>1235</v>
      </c>
      <c r="X443" s="34" t="s">
        <v>44</v>
      </c>
      <c r="Y443" s="34" t="s">
        <v>45</v>
      </c>
      <c r="Z443" s="34" t="s">
        <v>354</v>
      </c>
      <c r="AA443" s="34"/>
      <c r="AB443" s="34"/>
      <c r="AC443" s="22">
        <v>0.93199760437011714</v>
      </c>
      <c r="AD443" s="23" t="s">
        <v>1155</v>
      </c>
      <c r="AE443" s="24">
        <v>1.9835616438356165</v>
      </c>
      <c r="AF443" s="25">
        <v>0.14053409488639845</v>
      </c>
      <c r="AG443" s="26">
        <v>0</v>
      </c>
      <c r="AH443" s="26">
        <v>0</v>
      </c>
      <c r="AI443" s="27">
        <v>0.61941242626101234</v>
      </c>
      <c r="AJ443" s="27">
        <v>0.61941242626101234</v>
      </c>
      <c r="AK443" s="27">
        <v>0.61941242626101234</v>
      </c>
      <c r="AL443" s="28" t="s">
        <v>823</v>
      </c>
      <c r="AM443" s="29" t="s">
        <v>48</v>
      </c>
      <c r="AN443" s="29" t="s">
        <v>48</v>
      </c>
      <c r="AO443" s="29" t="s">
        <v>48</v>
      </c>
      <c r="AP443" s="47" t="s">
        <v>270</v>
      </c>
      <c r="AQ443" s="28">
        <v>0</v>
      </c>
      <c r="AR443" s="26">
        <v>1.4999999999999999E-2</v>
      </c>
      <c r="AS443" s="26">
        <v>0</v>
      </c>
    </row>
    <row r="444" spans="1:45" x14ac:dyDescent="0.15">
      <c r="A444" s="64">
        <v>146</v>
      </c>
      <c r="B444" s="64">
        <v>684</v>
      </c>
      <c r="C444" s="11">
        <v>169103</v>
      </c>
      <c r="D444" s="61">
        <v>50</v>
      </c>
      <c r="E444" s="61">
        <v>2.8018927006360698E-3</v>
      </c>
      <c r="F444" s="61">
        <v>60</v>
      </c>
      <c r="G444" s="61">
        <v>1.9728915425816399E-2</v>
      </c>
      <c r="H444" s="66">
        <v>5</v>
      </c>
      <c r="I444" s="66" t="str">
        <f>H444&amp;"/"&amp;22</f>
        <v>5/22</v>
      </c>
      <c r="J444" s="68">
        <f>H444/22</f>
        <v>0.22727272727272727</v>
      </c>
      <c r="K444" s="18" t="s">
        <v>44</v>
      </c>
      <c r="L444" s="18" t="s">
        <v>45</v>
      </c>
      <c r="M444" s="58" t="s">
        <v>354</v>
      </c>
      <c r="N444" s="18">
        <f>[1]!f_prt_stocktonav(C444,"2017/03/31")</f>
        <v>80.467529296875</v>
      </c>
      <c r="O444" s="20" t="str">
        <f>[1]!f_info_fundmanager(C444)</f>
        <v>刚登峰</v>
      </c>
      <c r="P444" s="21">
        <v>1.1945205479452055</v>
      </c>
      <c r="Q444" s="34" t="s">
        <v>746</v>
      </c>
      <c r="R444" s="34" t="s">
        <v>747</v>
      </c>
      <c r="S444" s="34" t="s">
        <v>313</v>
      </c>
      <c r="T444" s="34">
        <v>20160120</v>
      </c>
      <c r="U444" s="45">
        <v>11.1542919778</v>
      </c>
      <c r="V444" s="46">
        <v>11.2267758593</v>
      </c>
      <c r="W444" s="34" t="s">
        <v>3776</v>
      </c>
      <c r="X444" s="34" t="s">
        <v>41</v>
      </c>
      <c r="Y444" s="34" t="s">
        <v>42</v>
      </c>
      <c r="Z444" s="34" t="s">
        <v>181</v>
      </c>
      <c r="AA444" s="34"/>
      <c r="AB444" s="34"/>
      <c r="AC444" s="22">
        <v>0.68701110839843749</v>
      </c>
      <c r="AD444" s="23" t="s">
        <v>748</v>
      </c>
      <c r="AE444" s="24">
        <v>0.96438356164383565</v>
      </c>
      <c r="AF444" s="25">
        <v>7.7984639754891782E-2</v>
      </c>
      <c r="AG444" s="26">
        <v>0</v>
      </c>
      <c r="AH444" s="26">
        <v>0</v>
      </c>
      <c r="AI444" s="27">
        <v>1.0601405038408438</v>
      </c>
      <c r="AJ444" s="27">
        <v>1.0601405038408438</v>
      </c>
      <c r="AK444" s="27">
        <v>1.0601405038408438</v>
      </c>
      <c r="AL444" s="28" t="s">
        <v>749</v>
      </c>
      <c r="AM444" s="29" t="s">
        <v>48</v>
      </c>
      <c r="AN444" s="29" t="s">
        <v>48</v>
      </c>
      <c r="AO444" s="29" t="s">
        <v>48</v>
      </c>
      <c r="AP444" s="47">
        <v>0</v>
      </c>
      <c r="AQ444" s="28">
        <v>0</v>
      </c>
      <c r="AR444" s="26">
        <v>1.4999999999999999E-2</v>
      </c>
      <c r="AS444" s="26">
        <v>0</v>
      </c>
    </row>
    <row r="445" spans="1:45" x14ac:dyDescent="0.15">
      <c r="A445" s="64">
        <v>558</v>
      </c>
      <c r="B445" s="64">
        <v>848</v>
      </c>
      <c r="C445" s="11">
        <v>270041</v>
      </c>
      <c r="D445" s="61">
        <v>51</v>
      </c>
      <c r="E445" s="61">
        <v>2.7940915919566398E-3</v>
      </c>
      <c r="F445" s="61">
        <v>58</v>
      </c>
      <c r="G445" s="61">
        <v>7.0241044504674596E-2</v>
      </c>
      <c r="H445" s="66">
        <v>6</v>
      </c>
      <c r="I445" s="66" t="str">
        <f>H445&amp;"/"&amp;22</f>
        <v>6/22</v>
      </c>
      <c r="J445" s="68">
        <f>H445/22</f>
        <v>0.27272727272727271</v>
      </c>
      <c r="K445" s="18" t="s">
        <v>44</v>
      </c>
      <c r="L445" s="18" t="s">
        <v>87</v>
      </c>
      <c r="M445" s="58" t="s">
        <v>354</v>
      </c>
      <c r="N445" s="18">
        <f>[1]!f_prt_stocktonav(C445,"2017/03/31")</f>
        <v>74.527992248535156</v>
      </c>
      <c r="O445" s="20" t="str">
        <f>[1]!f_info_fundmanager(C445)</f>
        <v>李琛</v>
      </c>
      <c r="P445" s="21">
        <v>1.1013698630136985</v>
      </c>
      <c r="Q445" s="34" t="s">
        <v>2308</v>
      </c>
      <c r="R445" s="34" t="s">
        <v>2309</v>
      </c>
      <c r="S445" s="34" t="s">
        <v>132</v>
      </c>
      <c r="T445" s="34">
        <v>20120612</v>
      </c>
      <c r="U445" s="45">
        <v>1.5111285489999999</v>
      </c>
      <c r="V445" s="46">
        <v>1.6645482887</v>
      </c>
      <c r="W445" s="34" t="s">
        <v>1235</v>
      </c>
      <c r="X445" s="34" t="s">
        <v>41</v>
      </c>
      <c r="Y445" s="34" t="s">
        <v>42</v>
      </c>
      <c r="Z445" s="34" t="s">
        <v>181</v>
      </c>
      <c r="AA445" s="34"/>
      <c r="AB445" s="34"/>
      <c r="AC445" s="22">
        <v>0.66389877319335933</v>
      </c>
      <c r="AD445" s="23" t="s">
        <v>2310</v>
      </c>
      <c r="AE445" s="24">
        <v>0.87123287671232874</v>
      </c>
      <c r="AF445" s="25">
        <v>0.16637319877977608</v>
      </c>
      <c r="AG445" s="26">
        <v>0.17923473275829813</v>
      </c>
      <c r="AH445" s="26">
        <v>0</v>
      </c>
      <c r="AI445" s="27">
        <v>0.79439273200462002</v>
      </c>
      <c r="AJ445" s="27">
        <v>0.77268332574013732</v>
      </c>
      <c r="AK445" s="27">
        <v>0.79439273200462002</v>
      </c>
      <c r="AL445" s="28" t="s">
        <v>1281</v>
      </c>
      <c r="AM445" s="29">
        <v>5</v>
      </c>
      <c r="AN445" s="29">
        <v>3</v>
      </c>
      <c r="AO445" s="29" t="s">
        <v>48</v>
      </c>
      <c r="AP445" s="47" t="s">
        <v>287</v>
      </c>
      <c r="AQ445" s="28">
        <v>0</v>
      </c>
      <c r="AR445" s="26">
        <v>1.4999999999999999E-2</v>
      </c>
      <c r="AS445" s="26">
        <v>0</v>
      </c>
    </row>
    <row r="446" spans="1:45" x14ac:dyDescent="0.15">
      <c r="A446" s="64">
        <v>185</v>
      </c>
      <c r="B446" s="64">
        <v>893</v>
      </c>
      <c r="C446" s="11">
        <v>1810</v>
      </c>
      <c r="D446" s="61">
        <v>72</v>
      </c>
      <c r="E446" s="61">
        <v>2.3601290808451499E-3</v>
      </c>
      <c r="F446" s="61">
        <v>71</v>
      </c>
      <c r="G446" s="61">
        <v>3.3125258875737203E-2</v>
      </c>
      <c r="H446" s="66">
        <v>7</v>
      </c>
      <c r="I446" s="66" t="str">
        <f>H446&amp;"/"&amp;22</f>
        <v>7/22</v>
      </c>
      <c r="J446" s="68">
        <f>H446/22</f>
        <v>0.31818181818181818</v>
      </c>
      <c r="K446" s="18" t="s">
        <v>44</v>
      </c>
      <c r="L446" s="18" t="s">
        <v>45</v>
      </c>
      <c r="M446" s="58" t="s">
        <v>354</v>
      </c>
      <c r="N446" s="18">
        <f>[1]!f_prt_stocktonav(C446,"2017/03/31")</f>
        <v>72.932144165039063</v>
      </c>
      <c r="O446" s="20" t="str">
        <f>[1]!f_info_fundmanager(C446)</f>
        <v>曹名长,袁维德</v>
      </c>
      <c r="P446" s="21">
        <v>1.3616438356164384</v>
      </c>
      <c r="Q446" s="34" t="s">
        <v>904</v>
      </c>
      <c r="R446" s="34" t="s">
        <v>905</v>
      </c>
      <c r="S446" s="34" t="s">
        <v>200</v>
      </c>
      <c r="T446" s="34">
        <v>20150930</v>
      </c>
      <c r="U446" s="45">
        <v>6.3086468483000004</v>
      </c>
      <c r="V446" s="46">
        <v>4.2131104893</v>
      </c>
      <c r="W446" s="34" t="s">
        <v>201</v>
      </c>
      <c r="X446" s="34" t="s">
        <v>44</v>
      </c>
      <c r="Y446" s="34" t="s">
        <v>45</v>
      </c>
      <c r="Z446" s="34" t="s">
        <v>354</v>
      </c>
      <c r="AA446" s="34"/>
      <c r="AB446" s="34"/>
      <c r="AC446" s="22">
        <v>0.90387420654296879</v>
      </c>
      <c r="AD446" s="23" t="s">
        <v>906</v>
      </c>
      <c r="AE446" s="24">
        <v>1.1315068493150684</v>
      </c>
      <c r="AF446" s="25">
        <v>0.14912047234773285</v>
      </c>
      <c r="AG446" s="26">
        <v>0</v>
      </c>
      <c r="AH446" s="26">
        <v>0</v>
      </c>
      <c r="AI446" s="27">
        <v>0.74593834504673284</v>
      </c>
      <c r="AJ446" s="27">
        <v>0.74593834504673284</v>
      </c>
      <c r="AK446" s="27">
        <v>0.74593834504673284</v>
      </c>
      <c r="AL446" s="28" t="s">
        <v>907</v>
      </c>
      <c r="AM446" s="29" t="s">
        <v>48</v>
      </c>
      <c r="AN446" s="29" t="s">
        <v>48</v>
      </c>
      <c r="AO446" s="29" t="s">
        <v>48</v>
      </c>
      <c r="AP446" s="47" t="s">
        <v>908</v>
      </c>
      <c r="AQ446" s="28">
        <v>0</v>
      </c>
      <c r="AR446" s="26">
        <v>1.4999999999999999E-2</v>
      </c>
      <c r="AS446" s="26">
        <v>0</v>
      </c>
    </row>
    <row r="447" spans="1:45" x14ac:dyDescent="0.15">
      <c r="A447" s="64">
        <v>59</v>
      </c>
      <c r="B447" s="64">
        <v>44</v>
      </c>
      <c r="C447" s="11">
        <v>1974</v>
      </c>
      <c r="D447" s="61">
        <v>84</v>
      </c>
      <c r="E447" s="61">
        <v>2.1026038938000802E-3</v>
      </c>
      <c r="F447" s="61">
        <v>36</v>
      </c>
      <c r="G447" s="61">
        <v>1.21500098917217E-2</v>
      </c>
      <c r="H447" s="66">
        <v>8</v>
      </c>
      <c r="I447" s="66" t="str">
        <f>H447&amp;"/"&amp;22</f>
        <v>8/22</v>
      </c>
      <c r="J447" s="68">
        <f>H447/22</f>
        <v>0.36363636363636365</v>
      </c>
      <c r="K447" s="18" t="s">
        <v>44</v>
      </c>
      <c r="L447" s="18" t="s">
        <v>64</v>
      </c>
      <c r="M447" s="58" t="s">
        <v>354</v>
      </c>
      <c r="N447" s="18">
        <f>[1]!f_prt_stocktonav(C447,"2017/03/31")</f>
        <v>94.373825073242188</v>
      </c>
      <c r="O447" s="20" t="str">
        <f>[1]!f_info_fundmanager(C447)</f>
        <v>黎海威</v>
      </c>
      <c r="P447" s="21">
        <v>0.71506849315068488</v>
      </c>
      <c r="Q447" s="34" t="s">
        <v>351</v>
      </c>
      <c r="R447" s="34" t="s">
        <v>352</v>
      </c>
      <c r="S447" s="34" t="s">
        <v>353</v>
      </c>
      <c r="T447" s="34">
        <v>20160713</v>
      </c>
      <c r="U447" s="45">
        <v>0.95008808339999995</v>
      </c>
      <c r="V447" s="46">
        <v>1.7201765077</v>
      </c>
      <c r="W447" s="34" t="s">
        <v>201</v>
      </c>
      <c r="X447" s="34" t="s">
        <v>44</v>
      </c>
      <c r="Y447" s="34" t="s">
        <v>64</v>
      </c>
      <c r="Z447" s="34" t="s">
        <v>354</v>
      </c>
      <c r="AA447" s="34"/>
      <c r="AB447" s="34"/>
      <c r="AC447" s="22">
        <v>0.93631858825683589</v>
      </c>
      <c r="AD447" s="23" t="s">
        <v>355</v>
      </c>
      <c r="AE447" s="24">
        <v>0.48493150684931507</v>
      </c>
      <c r="AF447" s="25">
        <v>0.1521085140304963</v>
      </c>
      <c r="AG447" s="26">
        <v>0</v>
      </c>
      <c r="AH447" s="26">
        <v>0</v>
      </c>
      <c r="AI447" s="27">
        <v>1.2721262590697784</v>
      </c>
      <c r="AJ447" s="27">
        <v>1.2721262590697784</v>
      </c>
      <c r="AK447" s="27">
        <v>1.2721262590697784</v>
      </c>
      <c r="AL447" s="28" t="s">
        <v>356</v>
      </c>
      <c r="AM447" s="29" t="s">
        <v>48</v>
      </c>
      <c r="AN447" s="29" t="s">
        <v>48</v>
      </c>
      <c r="AO447" s="29" t="s">
        <v>48</v>
      </c>
      <c r="AP447" s="47" t="s">
        <v>357</v>
      </c>
      <c r="AQ447" s="28">
        <v>0</v>
      </c>
      <c r="AR447" s="26">
        <v>1.4999999999999999E-2</v>
      </c>
      <c r="AS447" s="26">
        <v>0</v>
      </c>
    </row>
    <row r="448" spans="1:45" x14ac:dyDescent="0.15">
      <c r="A448" s="64">
        <v>396</v>
      </c>
      <c r="B448" s="64">
        <v>717</v>
      </c>
      <c r="C448" s="11">
        <v>849</v>
      </c>
      <c r="D448" s="61">
        <v>85</v>
      </c>
      <c r="E448" s="61">
        <v>2.0748539072261499E-3</v>
      </c>
      <c r="F448" s="61">
        <v>120</v>
      </c>
      <c r="G448" s="61">
        <v>6.5528283681834207E-2</v>
      </c>
      <c r="H448" s="66">
        <v>9</v>
      </c>
      <c r="I448" s="66" t="str">
        <f>H448&amp;"/"&amp;22</f>
        <v>9/22</v>
      </c>
      <c r="J448" s="68">
        <f>H448/22</f>
        <v>0.40909090909090912</v>
      </c>
      <c r="K448" s="18" t="s">
        <v>44</v>
      </c>
      <c r="L448" s="18" t="s">
        <v>45</v>
      </c>
      <c r="M448" s="58" t="s">
        <v>354</v>
      </c>
      <c r="N448" s="18">
        <f>[1]!f_prt_stocktonav(C448,"2017/03/31")</f>
        <v>79.566246032714844</v>
      </c>
      <c r="O448" s="20" t="str">
        <f>[1]!f_info_fundmanager(C448)</f>
        <v>丘栋荣</v>
      </c>
      <c r="P448" s="21">
        <v>2.3452054794520549</v>
      </c>
      <c r="Q448" s="34" t="s">
        <v>1712</v>
      </c>
      <c r="R448" s="34" t="s">
        <v>1713</v>
      </c>
      <c r="S448" s="34" t="s">
        <v>149</v>
      </c>
      <c r="T448" s="34">
        <v>20141126</v>
      </c>
      <c r="U448" s="45">
        <v>51.954127360999998</v>
      </c>
      <c r="V448" s="46">
        <v>41.0577215737</v>
      </c>
      <c r="W448" s="34" t="s">
        <v>3789</v>
      </c>
      <c r="X448" s="34" t="s">
        <v>44</v>
      </c>
      <c r="Y448" s="34" t="s">
        <v>45</v>
      </c>
      <c r="Z448" s="34" t="s">
        <v>354</v>
      </c>
      <c r="AA448" s="34"/>
      <c r="AB448" s="34"/>
      <c r="AC448" s="22">
        <v>0.80992019653320313</v>
      </c>
      <c r="AD448" s="23" t="s">
        <v>1714</v>
      </c>
      <c r="AE448" s="24">
        <v>2.1150684931506851</v>
      </c>
      <c r="AF448" s="25">
        <v>0.30947739007448605</v>
      </c>
      <c r="AG448" s="26">
        <v>0</v>
      </c>
      <c r="AH448" s="26">
        <v>0</v>
      </c>
      <c r="AI448" s="27">
        <v>1.2253547699205674</v>
      </c>
      <c r="AJ448" s="27">
        <v>1.2253547699205674</v>
      </c>
      <c r="AK448" s="27">
        <v>1.2253547699205674</v>
      </c>
      <c r="AL448" s="28" t="s">
        <v>1715</v>
      </c>
      <c r="AM448" s="29" t="s">
        <v>48</v>
      </c>
      <c r="AN448" s="29" t="s">
        <v>48</v>
      </c>
      <c r="AO448" s="29" t="s">
        <v>48</v>
      </c>
      <c r="AP448" s="47" t="s">
        <v>410</v>
      </c>
      <c r="AQ448" s="28">
        <v>0</v>
      </c>
      <c r="AR448" s="26">
        <v>1.4999999999999999E-2</v>
      </c>
      <c r="AS448" s="26">
        <v>0</v>
      </c>
    </row>
    <row r="449" spans="1:45" x14ac:dyDescent="0.15">
      <c r="A449" s="64">
        <v>130</v>
      </c>
      <c r="B449" s="64">
        <v>550</v>
      </c>
      <c r="C449" s="11">
        <v>1927</v>
      </c>
      <c r="D449" s="61">
        <v>96</v>
      </c>
      <c r="E449" s="61">
        <v>1.8902569605458201E-3</v>
      </c>
      <c r="F449" s="61">
        <v>58</v>
      </c>
      <c r="G449" s="61">
        <v>0.27126535770805499</v>
      </c>
      <c r="H449" s="66">
        <v>10</v>
      </c>
      <c r="I449" s="66" t="str">
        <f>H449&amp;"/"&amp;22</f>
        <v>10/22</v>
      </c>
      <c r="J449" s="68">
        <f>H449/22</f>
        <v>0.45454545454545453</v>
      </c>
      <c r="K449" s="18" t="s">
        <v>44</v>
      </c>
      <c r="L449" s="18" t="s">
        <v>87</v>
      </c>
      <c r="M449" s="58" t="s">
        <v>354</v>
      </c>
      <c r="N449" s="18">
        <f>[1]!f_prt_stocktonav(C449,"2017/03/31")</f>
        <v>84.020530700683594</v>
      </c>
      <c r="O449" s="20" t="str">
        <f>[1]!f_info_fundmanager(C449)</f>
        <v>黄文倩</v>
      </c>
      <c r="P449" s="21">
        <v>1.1561643835616437</v>
      </c>
      <c r="Q449" s="34" t="s">
        <v>667</v>
      </c>
      <c r="R449" s="34" t="s">
        <v>668</v>
      </c>
      <c r="S449" s="34" t="s">
        <v>143</v>
      </c>
      <c r="T449" s="34">
        <v>20160203</v>
      </c>
      <c r="U449" s="45">
        <v>1.4166292458</v>
      </c>
      <c r="V449" s="46">
        <v>1.3566352536999999</v>
      </c>
      <c r="W449" s="34" t="s">
        <v>3776</v>
      </c>
      <c r="X449" s="34" t="s">
        <v>44</v>
      </c>
      <c r="Y449" s="17" t="s">
        <v>45</v>
      </c>
      <c r="Z449" s="17" t="s">
        <v>65</v>
      </c>
      <c r="AA449" s="34"/>
      <c r="AB449" s="34"/>
      <c r="AC449" s="22">
        <v>0.77383613586425781</v>
      </c>
      <c r="AD449" s="23" t="s">
        <v>669</v>
      </c>
      <c r="AE449" s="24">
        <v>0.92602739726027394</v>
      </c>
      <c r="AF449" s="25">
        <v>0.16554934822907996</v>
      </c>
      <c r="AG449" s="26">
        <v>0</v>
      </c>
      <c r="AH449" s="26">
        <v>0</v>
      </c>
      <c r="AI449" s="27">
        <v>1.3653391107081236</v>
      </c>
      <c r="AJ449" s="27">
        <v>1.3653391107081236</v>
      </c>
      <c r="AK449" s="27">
        <v>1.3653391107081236</v>
      </c>
      <c r="AL449" s="28" t="s">
        <v>670</v>
      </c>
      <c r="AM449" s="29" t="s">
        <v>48</v>
      </c>
      <c r="AN449" s="29" t="s">
        <v>48</v>
      </c>
      <c r="AO449" s="29" t="s">
        <v>48</v>
      </c>
      <c r="AP449" s="47" t="s">
        <v>101</v>
      </c>
      <c r="AQ449" s="28">
        <v>0</v>
      </c>
      <c r="AR449" s="26">
        <v>1.4999999999999999E-2</v>
      </c>
      <c r="AS449" s="26">
        <v>0</v>
      </c>
    </row>
    <row r="450" spans="1:45" x14ac:dyDescent="0.15">
      <c r="A450" s="64">
        <v>240</v>
      </c>
      <c r="B450" s="64">
        <v>558</v>
      </c>
      <c r="C450" s="11">
        <v>1371</v>
      </c>
      <c r="D450" s="61">
        <v>120</v>
      </c>
      <c r="E450" s="61">
        <v>1.66455720907536E-3</v>
      </c>
      <c r="F450" s="61">
        <v>90</v>
      </c>
      <c r="G450" s="61">
        <v>0.32831743501918398</v>
      </c>
      <c r="H450" s="66">
        <v>11</v>
      </c>
      <c r="I450" s="66" t="str">
        <f>H450&amp;"/"&amp;22</f>
        <v>11/22</v>
      </c>
      <c r="J450" s="68">
        <f>H450/22</f>
        <v>0.5</v>
      </c>
      <c r="K450" s="18" t="s">
        <v>44</v>
      </c>
      <c r="L450" s="18" t="s">
        <v>45</v>
      </c>
      <c r="M450" s="58" t="s">
        <v>354</v>
      </c>
      <c r="N450" s="18">
        <f>[1]!f_prt_stocktonav(C450,"2017/03/31")</f>
        <v>83.889183044433594</v>
      </c>
      <c r="O450" s="20" t="str">
        <f>[1]!f_info_fundmanager(C450)</f>
        <v>汪孟海,张峰</v>
      </c>
      <c r="P450" s="21">
        <v>1.7698630136986302</v>
      </c>
      <c r="Q450" s="34" t="s">
        <v>1114</v>
      </c>
      <c r="R450" s="34" t="s">
        <v>1115</v>
      </c>
      <c r="S450" s="34" t="s">
        <v>396</v>
      </c>
      <c r="T450" s="34">
        <v>20150624</v>
      </c>
      <c r="U450" s="45">
        <v>25.8578489322</v>
      </c>
      <c r="V450" s="46">
        <v>23.9312151757</v>
      </c>
      <c r="W450" s="34" t="s">
        <v>3789</v>
      </c>
      <c r="X450" s="34" t="s">
        <v>44</v>
      </c>
      <c r="Y450" s="17" t="s">
        <v>45</v>
      </c>
      <c r="Z450" s="17" t="s">
        <v>65</v>
      </c>
      <c r="AA450" s="34"/>
      <c r="AB450" s="34"/>
      <c r="AC450" s="22">
        <v>0.86041496276855467</v>
      </c>
      <c r="AD450" s="23" t="s">
        <v>1116</v>
      </c>
      <c r="AE450" s="24">
        <v>1.5397260273972602</v>
      </c>
      <c r="AF450" s="25">
        <v>1.0456032075436994E-2</v>
      </c>
      <c r="AG450" s="26">
        <v>0</v>
      </c>
      <c r="AH450" s="26">
        <v>0</v>
      </c>
      <c r="AI450" s="27">
        <v>3.9326228456581666E-2</v>
      </c>
      <c r="AJ450" s="27">
        <v>3.9326228456581666E-2</v>
      </c>
      <c r="AK450" s="27">
        <v>3.9326228456581666E-2</v>
      </c>
      <c r="AL450" s="28" t="s">
        <v>440</v>
      </c>
      <c r="AM450" s="29" t="s">
        <v>48</v>
      </c>
      <c r="AN450" s="29" t="s">
        <v>48</v>
      </c>
      <c r="AO450" s="29" t="s">
        <v>48</v>
      </c>
      <c r="AP450" s="47" t="s">
        <v>1117</v>
      </c>
      <c r="AQ450" s="28" t="s">
        <v>608</v>
      </c>
      <c r="AR450" s="26">
        <v>1.4999999999999999E-2</v>
      </c>
      <c r="AS450" s="26">
        <v>0</v>
      </c>
    </row>
    <row r="451" spans="1:45" x14ac:dyDescent="0.15">
      <c r="A451" s="64">
        <v>712</v>
      </c>
      <c r="B451" s="64">
        <v>672</v>
      </c>
      <c r="C451" s="11">
        <v>166005</v>
      </c>
      <c r="D451" s="61">
        <v>121</v>
      </c>
      <c r="E451" s="61">
        <v>1.6592116994346099E-3</v>
      </c>
      <c r="F451" s="61">
        <v>71</v>
      </c>
      <c r="G451" s="61">
        <v>0.100536256805761</v>
      </c>
      <c r="H451" s="66">
        <v>12</v>
      </c>
      <c r="I451" s="66" t="str">
        <f>H451&amp;"/"&amp;22</f>
        <v>12/22</v>
      </c>
      <c r="J451" s="68">
        <f>H451/22</f>
        <v>0.54545454545454541</v>
      </c>
      <c r="K451" s="18" t="s">
        <v>44</v>
      </c>
      <c r="L451" s="18" t="s">
        <v>45</v>
      </c>
      <c r="M451" s="58" t="s">
        <v>354</v>
      </c>
      <c r="N451" s="18">
        <f>[1]!f_prt_stocktonav(C451,"2017/03/31")</f>
        <v>80.779190063476562</v>
      </c>
      <c r="O451" s="20" t="str">
        <f>[1]!f_info_fundmanager(C451)</f>
        <v>曹名长,蓝小康</v>
      </c>
      <c r="P451" s="21">
        <v>1.3616438356164384</v>
      </c>
      <c r="Q451" s="34" t="s">
        <v>2821</v>
      </c>
      <c r="R451" s="34" t="s">
        <v>2822</v>
      </c>
      <c r="S451" s="34" t="s">
        <v>200</v>
      </c>
      <c r="T451" s="34">
        <v>20090724</v>
      </c>
      <c r="U451" s="45">
        <v>22.046701732300001</v>
      </c>
      <c r="V451" s="46">
        <v>29.873995915199998</v>
      </c>
      <c r="W451" s="34" t="s">
        <v>201</v>
      </c>
      <c r="X451" s="34" t="s">
        <v>44</v>
      </c>
      <c r="Y451" s="34" t="s">
        <v>45</v>
      </c>
      <c r="Z451" s="34" t="s">
        <v>354</v>
      </c>
      <c r="AA451" s="34"/>
      <c r="AB451" s="34"/>
      <c r="AC451" s="22">
        <v>0.94001724243164064</v>
      </c>
      <c r="AD451" s="23" t="s">
        <v>2823</v>
      </c>
      <c r="AE451" s="24">
        <v>1.1315068493150684</v>
      </c>
      <c r="AF451" s="25">
        <v>0.11317701661956558</v>
      </c>
      <c r="AG451" s="26">
        <v>0.25916592771824609</v>
      </c>
      <c r="AH451" s="26">
        <v>0.20934490194181721</v>
      </c>
      <c r="AI451" s="27">
        <v>0.53954727284381954</v>
      </c>
      <c r="AJ451" s="27">
        <v>1.0312675420390853</v>
      </c>
      <c r="AK451" s="27">
        <v>0.93362570429172587</v>
      </c>
      <c r="AL451" s="28" t="s">
        <v>726</v>
      </c>
      <c r="AM451" s="29">
        <v>5</v>
      </c>
      <c r="AN451" s="29">
        <v>2</v>
      </c>
      <c r="AO451" s="29" t="s">
        <v>48</v>
      </c>
      <c r="AP451" s="47" t="s">
        <v>2746</v>
      </c>
      <c r="AQ451" s="28">
        <v>0</v>
      </c>
      <c r="AR451" s="26">
        <v>1.4999999999999999E-2</v>
      </c>
      <c r="AS451" s="26">
        <v>0</v>
      </c>
    </row>
    <row r="452" spans="1:45" x14ac:dyDescent="0.15">
      <c r="A452" s="64">
        <v>496</v>
      </c>
      <c r="B452" s="64">
        <v>425</v>
      </c>
      <c r="C452" s="11">
        <v>251</v>
      </c>
      <c r="D452" s="61">
        <v>130</v>
      </c>
      <c r="E452" s="61">
        <v>1.52210770571411E-3</v>
      </c>
      <c r="F452" s="61">
        <v>185</v>
      </c>
      <c r="G452" s="61">
        <v>0.13889162405133801</v>
      </c>
      <c r="H452" s="66">
        <v>13</v>
      </c>
      <c r="I452" s="66" t="str">
        <f>H452&amp;"/"&amp;22</f>
        <v>13/22</v>
      </c>
      <c r="J452" s="68">
        <f>H452/22</f>
        <v>0.59090909090909094</v>
      </c>
      <c r="K452" s="18" t="s">
        <v>44</v>
      </c>
      <c r="L452" s="18" t="s">
        <v>45</v>
      </c>
      <c r="M452" s="58" t="s">
        <v>354</v>
      </c>
      <c r="N452" s="18">
        <f>[1]!f_prt_stocktonav(C452,"2017/03/31")</f>
        <v>86.800994873046875</v>
      </c>
      <c r="O452" s="20" t="str">
        <f>[1]!f_info_fundmanager(C452)</f>
        <v>鄢耀,王君正,甘宗卫</v>
      </c>
      <c r="P452" s="21">
        <v>3.5972602739726027</v>
      </c>
      <c r="Q452" s="34" t="s">
        <v>2085</v>
      </c>
      <c r="R452" s="34" t="s">
        <v>2086</v>
      </c>
      <c r="S452" s="34" t="s">
        <v>523</v>
      </c>
      <c r="T452" s="34">
        <v>20130826</v>
      </c>
      <c r="U452" s="45">
        <v>14.879501258499999</v>
      </c>
      <c r="V452" s="46">
        <v>16.875640888</v>
      </c>
      <c r="W452" s="34" t="s">
        <v>3776</v>
      </c>
      <c r="X452" s="34" t="s">
        <v>44</v>
      </c>
      <c r="Y452" s="34" t="s">
        <v>86</v>
      </c>
      <c r="Z452" s="34" t="s">
        <v>65</v>
      </c>
      <c r="AA452" s="34" t="s">
        <v>3826</v>
      </c>
      <c r="AB452" s="34"/>
      <c r="AC452" s="22">
        <v>0.93361587524414058</v>
      </c>
      <c r="AD452" s="23" t="s">
        <v>2088</v>
      </c>
      <c r="AE452" s="24">
        <v>3.3671232876712329</v>
      </c>
      <c r="AF452" s="25">
        <v>0.30896132872664861</v>
      </c>
      <c r="AG452" s="26">
        <v>0.31449361548457166</v>
      </c>
      <c r="AH452" s="26">
        <v>0</v>
      </c>
      <c r="AI452" s="27">
        <v>1.1106187863303862</v>
      </c>
      <c r="AJ452" s="27">
        <v>1.1027973449769224</v>
      </c>
      <c r="AK452" s="27">
        <v>1.1106187863303862</v>
      </c>
      <c r="AL452" s="33" t="s">
        <v>2089</v>
      </c>
      <c r="AM452" s="29" t="s">
        <v>48</v>
      </c>
      <c r="AN452" s="29" t="s">
        <v>48</v>
      </c>
      <c r="AO452" s="29" t="s">
        <v>48</v>
      </c>
      <c r="AP452" s="47" t="s">
        <v>255</v>
      </c>
      <c r="AQ452" s="28">
        <v>0</v>
      </c>
      <c r="AR452" s="26">
        <v>1.4999999999999999E-2</v>
      </c>
      <c r="AS452" s="26">
        <v>0</v>
      </c>
    </row>
    <row r="453" spans="1:45" x14ac:dyDescent="0.15">
      <c r="A453" s="64">
        <v>112</v>
      </c>
      <c r="B453" s="64">
        <v>88</v>
      </c>
      <c r="C453" s="11">
        <v>2334</v>
      </c>
      <c r="D453" s="61">
        <v>186</v>
      </c>
      <c r="E453" s="61">
        <v>9.2622625020888296E-4</v>
      </c>
      <c r="F453" s="61">
        <v>54</v>
      </c>
      <c r="G453" s="61">
        <v>0.32216393914385799</v>
      </c>
      <c r="H453" s="66">
        <v>14</v>
      </c>
      <c r="I453" s="66" t="str">
        <f>H453&amp;"/"&amp;22</f>
        <v>14/22</v>
      </c>
      <c r="J453" s="68">
        <f>H453/22</f>
        <v>0.63636363636363635</v>
      </c>
      <c r="K453" s="18" t="s">
        <v>44</v>
      </c>
      <c r="L453" s="18" t="s">
        <v>45</v>
      </c>
      <c r="M453" s="58" t="s">
        <v>354</v>
      </c>
      <c r="N453" s="18">
        <f>[1]!f_prt_stocktonav(C453,"2017/03/31")</f>
        <v>93.818504333496094</v>
      </c>
      <c r="O453" s="20" t="str">
        <f>[1]!f_info_fundmanager(C453)</f>
        <v>方磊</v>
      </c>
      <c r="P453" s="21">
        <v>1.0547945205479452</v>
      </c>
      <c r="Q453" s="34" t="s">
        <v>588</v>
      </c>
      <c r="R453" s="34" t="s">
        <v>589</v>
      </c>
      <c r="S453" s="34" t="s">
        <v>149</v>
      </c>
      <c r="T453" s="34">
        <v>20160311</v>
      </c>
      <c r="U453" s="45">
        <v>0.63702182220000003</v>
      </c>
      <c r="V453" s="46">
        <v>0.90314383600000003</v>
      </c>
      <c r="W453" s="34" t="s">
        <v>3776</v>
      </c>
      <c r="X453" s="34" t="s">
        <v>44</v>
      </c>
      <c r="Y453" s="34" t="s">
        <v>45</v>
      </c>
      <c r="Z453" s="34" t="s">
        <v>354</v>
      </c>
      <c r="AA453" s="34"/>
      <c r="AB453" s="34"/>
      <c r="AC453" s="22">
        <v>0.93904281616210938</v>
      </c>
      <c r="AD453" s="23" t="s">
        <v>590</v>
      </c>
      <c r="AE453" s="24">
        <v>0.8246575342465754</v>
      </c>
      <c r="AF453" s="25">
        <v>0.15959618183136071</v>
      </c>
      <c r="AG453" s="26">
        <v>0</v>
      </c>
      <c r="AH453" s="26">
        <v>0</v>
      </c>
      <c r="AI453" s="27">
        <v>1.5664440927687102</v>
      </c>
      <c r="AJ453" s="27">
        <v>1.5664440927687102</v>
      </c>
      <c r="AK453" s="27">
        <v>1.5664440927687102</v>
      </c>
      <c r="AL453" s="28" t="s">
        <v>591</v>
      </c>
      <c r="AM453" s="29" t="s">
        <v>48</v>
      </c>
      <c r="AN453" s="29" t="s">
        <v>48</v>
      </c>
      <c r="AO453" s="29" t="s">
        <v>48</v>
      </c>
      <c r="AP453" s="47" t="s">
        <v>592</v>
      </c>
      <c r="AQ453" s="28">
        <v>0</v>
      </c>
      <c r="AR453" s="26">
        <v>1.4999999999999999E-2</v>
      </c>
      <c r="AS453" s="26">
        <v>0</v>
      </c>
    </row>
    <row r="454" spans="1:45" x14ac:dyDescent="0.15">
      <c r="A454" s="64">
        <v>802</v>
      </c>
      <c r="B454" s="64">
        <v>856</v>
      </c>
      <c r="C454" s="11">
        <v>202005</v>
      </c>
      <c r="D454" s="61">
        <v>191</v>
      </c>
      <c r="E454" s="61">
        <v>8.8823042057075503E-4</v>
      </c>
      <c r="F454" s="61">
        <v>66</v>
      </c>
      <c r="G454" s="61">
        <v>0.50538206312525502</v>
      </c>
      <c r="H454" s="66">
        <v>15</v>
      </c>
      <c r="I454" s="66" t="str">
        <f>H454&amp;"/"&amp;22</f>
        <v>15/22</v>
      </c>
      <c r="J454" s="68">
        <f>H454/22</f>
        <v>0.68181818181818177</v>
      </c>
      <c r="K454" s="18" t="s">
        <v>44</v>
      </c>
      <c r="L454" s="18" t="s">
        <v>45</v>
      </c>
      <c r="M454" s="58" t="s">
        <v>354</v>
      </c>
      <c r="N454" s="18">
        <f>[1]!f_prt_stocktonav(C454,"2017/03/31")</f>
        <v>74.237564086914062</v>
      </c>
      <c r="O454" s="20" t="str">
        <f>[1]!f_info_fundmanager(C454)</f>
        <v>黄春逢,张原</v>
      </c>
      <c r="P454" s="21">
        <v>1.252054794520548</v>
      </c>
      <c r="Q454" s="34" t="s">
        <v>3126</v>
      </c>
      <c r="R454" s="34" t="s">
        <v>3127</v>
      </c>
      <c r="S454" s="34" t="s">
        <v>284</v>
      </c>
      <c r="T454" s="34">
        <v>20070514</v>
      </c>
      <c r="U454" s="45">
        <v>36.1041605148</v>
      </c>
      <c r="V454" s="46">
        <v>41.423291943599999</v>
      </c>
      <c r="W454" s="34" t="s">
        <v>201</v>
      </c>
      <c r="X454" s="34" t="s">
        <v>44</v>
      </c>
      <c r="Y454" s="34" t="s">
        <v>45</v>
      </c>
      <c r="Z454" s="34" t="s">
        <v>354</v>
      </c>
      <c r="AA454" s="34"/>
      <c r="AB454" s="34"/>
      <c r="AC454" s="22">
        <v>0.71571495056152346</v>
      </c>
      <c r="AD454" s="23" t="s">
        <v>3128</v>
      </c>
      <c r="AE454" s="24">
        <v>1.021917808219178</v>
      </c>
      <c r="AF454" s="25">
        <v>5.8993969258619661E-2</v>
      </c>
      <c r="AG454" s="26">
        <v>0.26206535045142298</v>
      </c>
      <c r="AH454" s="26">
        <v>0.16423704833302685</v>
      </c>
      <c r="AI454" s="27">
        <v>0.29244973861946694</v>
      </c>
      <c r="AJ454" s="27">
        <v>1.1176753925319212</v>
      </c>
      <c r="AK454" s="27">
        <v>0.7708748537750838</v>
      </c>
      <c r="AL454" s="28" t="s">
        <v>726</v>
      </c>
      <c r="AM454" s="29">
        <v>4</v>
      </c>
      <c r="AN454" s="29">
        <v>4</v>
      </c>
      <c r="AO454" s="29" t="s">
        <v>48</v>
      </c>
      <c r="AP454" s="47" t="s">
        <v>287</v>
      </c>
      <c r="AQ454" s="28" t="s">
        <v>1843</v>
      </c>
      <c r="AR454" s="26">
        <v>1.4999999999999999E-2</v>
      </c>
      <c r="AS454" s="26">
        <v>0</v>
      </c>
    </row>
    <row r="455" spans="1:45" x14ac:dyDescent="0.15">
      <c r="A455" s="64">
        <v>387</v>
      </c>
      <c r="B455" s="64">
        <v>169</v>
      </c>
      <c r="C455" s="11">
        <v>877</v>
      </c>
      <c r="D455" s="61">
        <v>206</v>
      </c>
      <c r="E455" s="61">
        <v>7.5498960250993199E-4</v>
      </c>
      <c r="F455" s="61">
        <v>117</v>
      </c>
      <c r="G455" s="61">
        <v>0.40563126907807801</v>
      </c>
      <c r="H455" s="66">
        <v>16</v>
      </c>
      <c r="I455" s="66" t="str">
        <f>H455&amp;"/"&amp;22</f>
        <v>16/22</v>
      </c>
      <c r="J455" s="68">
        <f>H455/22</f>
        <v>0.72727272727272729</v>
      </c>
      <c r="K455" s="18" t="s">
        <v>44</v>
      </c>
      <c r="L455" s="18" t="s">
        <v>64</v>
      </c>
      <c r="M455" s="58" t="s">
        <v>354</v>
      </c>
      <c r="N455" s="18">
        <f>[1]!f_prt_stocktonav(C455,"2017/03/31")</f>
        <v>92.383491516113281</v>
      </c>
      <c r="O455" s="20" t="str">
        <f>[1]!f_info_fundmanager(C455)</f>
        <v>盛豪,田汉卿</v>
      </c>
      <c r="P455" s="21">
        <v>2.2876712328767121</v>
      </c>
      <c r="Q455" s="34" t="s">
        <v>1678</v>
      </c>
      <c r="R455" s="34" t="s">
        <v>1679</v>
      </c>
      <c r="S455" s="34" t="s">
        <v>880</v>
      </c>
      <c r="T455" s="34">
        <v>20141217</v>
      </c>
      <c r="U455" s="45">
        <v>3.0902059144999998</v>
      </c>
      <c r="V455" s="46">
        <v>2.3173415519999998</v>
      </c>
      <c r="W455" s="34" t="s">
        <v>3776</v>
      </c>
      <c r="X455" s="34" t="s">
        <v>44</v>
      </c>
      <c r="Y455" s="34" t="s">
        <v>45</v>
      </c>
      <c r="Z455" s="34" t="s">
        <v>354</v>
      </c>
      <c r="AA455" s="34"/>
      <c r="AB455" s="34"/>
      <c r="AC455" s="22">
        <v>0.89190071105957036</v>
      </c>
      <c r="AD455" s="23" t="s">
        <v>1680</v>
      </c>
      <c r="AE455" s="24">
        <v>2.0575342465753423</v>
      </c>
      <c r="AF455" s="25">
        <v>0.17267404344903325</v>
      </c>
      <c r="AG455" s="26">
        <v>0</v>
      </c>
      <c r="AH455" s="26">
        <v>0</v>
      </c>
      <c r="AI455" s="27">
        <v>0.66079185482688774</v>
      </c>
      <c r="AJ455" s="27">
        <v>0.66079185482688774</v>
      </c>
      <c r="AK455" s="27">
        <v>0.66079185482688774</v>
      </c>
      <c r="AL455" s="28" t="s">
        <v>823</v>
      </c>
      <c r="AM455" s="29" t="s">
        <v>48</v>
      </c>
      <c r="AN455" s="29" t="s">
        <v>48</v>
      </c>
      <c r="AO455" s="29" t="s">
        <v>48</v>
      </c>
      <c r="AP455" s="47" t="s">
        <v>255</v>
      </c>
      <c r="AQ455" s="28">
        <v>0</v>
      </c>
      <c r="AR455" s="26">
        <v>1.4999999999999999E-2</v>
      </c>
      <c r="AS455" s="26">
        <v>0</v>
      </c>
    </row>
    <row r="456" spans="1:45" x14ac:dyDescent="0.15">
      <c r="A456" s="64">
        <v>219</v>
      </c>
      <c r="B456" s="64">
        <v>892</v>
      </c>
      <c r="C456" s="11">
        <v>1683</v>
      </c>
      <c r="D456" s="61">
        <v>218</v>
      </c>
      <c r="E456" s="61">
        <v>6.8013347567140805E-4</v>
      </c>
      <c r="F456" s="61">
        <v>87</v>
      </c>
      <c r="G456" s="61">
        <v>0.54129332983633605</v>
      </c>
      <c r="H456" s="66">
        <v>17</v>
      </c>
      <c r="I456" s="66" t="str">
        <f>H456&amp;"/"&amp;22</f>
        <v>17/22</v>
      </c>
      <c r="J456" s="68">
        <f>H456/22</f>
        <v>0.77272727272727271</v>
      </c>
      <c r="K456" s="18" t="s">
        <v>44</v>
      </c>
      <c r="L456" s="18" t="s">
        <v>45</v>
      </c>
      <c r="M456" s="58" t="s">
        <v>354</v>
      </c>
      <c r="N456" s="18">
        <f>[1]!f_prt_stocktonav(C456,"2017/03/31")</f>
        <v>72.979034423828125</v>
      </c>
      <c r="O456" s="20" t="str">
        <f>[1]!f_info_fundmanager(C456)</f>
        <v>彭海伟</v>
      </c>
      <c r="P456" s="21">
        <v>1.7178082191780821</v>
      </c>
      <c r="Q456" s="34" t="s">
        <v>1028</v>
      </c>
      <c r="R456" s="34" t="s">
        <v>1029</v>
      </c>
      <c r="S456" s="34" t="s">
        <v>143</v>
      </c>
      <c r="T456" s="34">
        <v>20150713</v>
      </c>
      <c r="U456" s="45">
        <v>387.41256708499998</v>
      </c>
      <c r="V456" s="46">
        <v>386.57627082929997</v>
      </c>
      <c r="W456" s="34" t="s">
        <v>1235</v>
      </c>
      <c r="X456" s="34" t="s">
        <v>44</v>
      </c>
      <c r="Y456" s="17" t="s">
        <v>45</v>
      </c>
      <c r="Z456" s="17" t="s">
        <v>354</v>
      </c>
      <c r="AA456" s="34"/>
      <c r="AB456" s="34"/>
      <c r="AC456" s="22">
        <v>0.72673332214355468</v>
      </c>
      <c r="AD456" s="23" t="s">
        <v>586</v>
      </c>
      <c r="AE456" s="24">
        <v>1.4876712328767123</v>
      </c>
      <c r="AF456" s="25">
        <v>-2.1823339356773164E-2</v>
      </c>
      <c r="AG456" s="26">
        <v>0</v>
      </c>
      <c r="AH456" s="26">
        <v>0</v>
      </c>
      <c r="AI456" s="27">
        <v>-0.10065198009692221</v>
      </c>
      <c r="AJ456" s="27">
        <v>-0.10065198009692221</v>
      </c>
      <c r="AK456" s="27">
        <v>-0.10065198009692221</v>
      </c>
      <c r="AL456" s="28" t="s">
        <v>191</v>
      </c>
      <c r="AM456" s="29" t="s">
        <v>48</v>
      </c>
      <c r="AN456" s="29" t="s">
        <v>48</v>
      </c>
      <c r="AO456" s="29" t="s">
        <v>48</v>
      </c>
      <c r="AP456" s="47" t="s">
        <v>1030</v>
      </c>
      <c r="AQ456" s="28">
        <v>0</v>
      </c>
      <c r="AR456" s="26">
        <v>0</v>
      </c>
      <c r="AS456" s="26">
        <v>0</v>
      </c>
    </row>
    <row r="457" spans="1:45" x14ac:dyDescent="0.15">
      <c r="A457" s="64">
        <v>499</v>
      </c>
      <c r="B457" s="64">
        <v>61</v>
      </c>
      <c r="C457" s="11">
        <v>172</v>
      </c>
      <c r="D457" s="61">
        <v>263</v>
      </c>
      <c r="E457" s="61">
        <v>2.5475946732474901E-4</v>
      </c>
      <c r="F457" s="61">
        <v>189</v>
      </c>
      <c r="G457" s="61">
        <v>0.62888304105557002</v>
      </c>
      <c r="H457" s="66">
        <v>18</v>
      </c>
      <c r="I457" s="66" t="str">
        <f>H457&amp;"/"&amp;22</f>
        <v>18/22</v>
      </c>
      <c r="J457" s="68">
        <f>H457/22</f>
        <v>0.81818181818181823</v>
      </c>
      <c r="K457" s="18" t="s">
        <v>44</v>
      </c>
      <c r="L457" s="19" t="s">
        <v>64</v>
      </c>
      <c r="M457" s="59" t="s">
        <v>354</v>
      </c>
      <c r="N457" s="18">
        <f>[1]!f_prt_stocktonav(C457,"2017/03/31")</f>
        <v>94.185295104980469</v>
      </c>
      <c r="O457" s="20" t="str">
        <f>[1]!f_info_fundmanager(C457)</f>
        <v>田汉卿</v>
      </c>
      <c r="P457" s="21">
        <v>3.6630136986301371</v>
      </c>
      <c r="Q457" s="32" t="s">
        <v>2096</v>
      </c>
      <c r="R457" s="13" t="s">
        <v>2097</v>
      </c>
      <c r="S457" s="13" t="s">
        <v>880</v>
      </c>
      <c r="T457" s="13">
        <v>20130802</v>
      </c>
      <c r="U457" s="14">
        <v>32.314425321800002</v>
      </c>
      <c r="V457" s="15" t="s">
        <v>3782</v>
      </c>
      <c r="W457" s="16" t="s">
        <v>40</v>
      </c>
      <c r="X457" s="17" t="s">
        <v>44</v>
      </c>
      <c r="Y457" s="17" t="s">
        <v>64</v>
      </c>
      <c r="Z457" s="17" t="s">
        <v>354</v>
      </c>
      <c r="AA457" s="13"/>
      <c r="AB457" s="13"/>
      <c r="AC457" s="22">
        <v>0.9027580261230469</v>
      </c>
      <c r="AD457" s="23" t="s">
        <v>1188</v>
      </c>
      <c r="AE457" s="24">
        <v>3.4328767123287673</v>
      </c>
      <c r="AF457" s="25">
        <v>0.25304531955445686</v>
      </c>
      <c r="AG457" s="26">
        <v>0.28007593285961518</v>
      </c>
      <c r="AH457" s="26">
        <v>0</v>
      </c>
      <c r="AI457" s="27">
        <v>0.99026281919122128</v>
      </c>
      <c r="AJ457" s="27">
        <v>1.0675176771728667</v>
      </c>
      <c r="AK457" s="27">
        <v>0.99026281919122128</v>
      </c>
      <c r="AL457" s="28" t="s">
        <v>2098</v>
      </c>
      <c r="AM457" s="29" t="s">
        <v>48</v>
      </c>
      <c r="AN457" s="29" t="s">
        <v>48</v>
      </c>
      <c r="AO457" s="29" t="s">
        <v>48</v>
      </c>
      <c r="AP457" s="23" t="s">
        <v>2099</v>
      </c>
      <c r="AQ457" s="30">
        <v>0</v>
      </c>
      <c r="AR457" s="31">
        <v>0.01</v>
      </c>
      <c r="AS457" s="31">
        <v>0</v>
      </c>
    </row>
    <row r="458" spans="1:45" x14ac:dyDescent="0.15">
      <c r="A458" s="64">
        <v>770</v>
      </c>
      <c r="B458" s="64">
        <v>371</v>
      </c>
      <c r="C458" s="11">
        <v>50010</v>
      </c>
      <c r="D458" s="61">
        <v>313</v>
      </c>
      <c r="E458" s="61">
        <v>-1.26604846406779E-4</v>
      </c>
      <c r="F458" s="61">
        <v>112</v>
      </c>
      <c r="G458" s="61">
        <v>0.86102446240318598</v>
      </c>
      <c r="H458" s="66">
        <v>19</v>
      </c>
      <c r="I458" s="66" t="str">
        <f>H458&amp;"/"&amp;22</f>
        <v>19/22</v>
      </c>
      <c r="J458" s="68">
        <f>H458/22</f>
        <v>0.86363636363636365</v>
      </c>
      <c r="K458" s="18" t="s">
        <v>44</v>
      </c>
      <c r="L458" s="18" t="s">
        <v>45</v>
      </c>
      <c r="M458" s="58" t="s">
        <v>354</v>
      </c>
      <c r="N458" s="18">
        <f>[1]!f_prt_stocktonav(C458,"2017/03/31")</f>
        <v>88.073204040527344</v>
      </c>
      <c r="O458" s="20" t="str">
        <f>[1]!f_info_fundmanager(C458)</f>
        <v>黄瑞庆</v>
      </c>
      <c r="P458" s="21">
        <v>2.1397260273972605</v>
      </c>
      <c r="Q458" s="34" t="s">
        <v>3016</v>
      </c>
      <c r="R458" s="34" t="s">
        <v>3017</v>
      </c>
      <c r="S458" s="34" t="s">
        <v>413</v>
      </c>
      <c r="T458" s="34">
        <v>20080528</v>
      </c>
      <c r="U458" s="45">
        <v>2.9523139878000002</v>
      </c>
      <c r="V458" s="46">
        <v>2.9249383624999998</v>
      </c>
      <c r="W458" s="34" t="s">
        <v>231</v>
      </c>
      <c r="X458" s="34" t="s">
        <v>44</v>
      </c>
      <c r="Y458" s="34" t="s">
        <v>45</v>
      </c>
      <c r="Z458" s="34" t="s">
        <v>354</v>
      </c>
      <c r="AA458" s="34"/>
      <c r="AB458" s="34"/>
      <c r="AC458" s="22">
        <v>0.88177223205566402</v>
      </c>
      <c r="AD458" s="23" t="s">
        <v>3018</v>
      </c>
      <c r="AE458" s="24">
        <v>1.9095890410958904</v>
      </c>
      <c r="AF458" s="25">
        <v>8.715995274271604E-2</v>
      </c>
      <c r="AG458" s="26">
        <v>0.18596273171753475</v>
      </c>
      <c r="AH458" s="26">
        <v>9.7735956853794104E-2</v>
      </c>
      <c r="AI458" s="27">
        <v>0.41882809012923783</v>
      </c>
      <c r="AJ458" s="27">
        <v>0.7712393866405437</v>
      </c>
      <c r="AK458" s="27">
        <v>0.45787090710732786</v>
      </c>
      <c r="AL458" s="28" t="s">
        <v>110</v>
      </c>
      <c r="AM458" s="29">
        <v>2</v>
      </c>
      <c r="AN458" s="29">
        <v>4</v>
      </c>
      <c r="AO458" s="29" t="s">
        <v>48</v>
      </c>
      <c r="AP458" s="47" t="s">
        <v>417</v>
      </c>
      <c r="AQ458" s="28" t="s">
        <v>3019</v>
      </c>
      <c r="AR458" s="26">
        <v>1.4999999999999999E-2</v>
      </c>
      <c r="AS458" s="26">
        <v>0</v>
      </c>
    </row>
    <row r="459" spans="1:45" x14ac:dyDescent="0.15">
      <c r="A459" s="64">
        <v>534</v>
      </c>
      <c r="B459" s="64">
        <v>552</v>
      </c>
      <c r="C459" s="11">
        <v>233015</v>
      </c>
      <c r="D459" s="61">
        <v>348</v>
      </c>
      <c r="E459" s="61">
        <v>-4.0809262824021997E-4</v>
      </c>
      <c r="F459" s="61">
        <v>92</v>
      </c>
      <c r="G459" s="61">
        <v>0.45136914116191101</v>
      </c>
      <c r="H459" s="66">
        <v>20</v>
      </c>
      <c r="I459" s="66" t="str">
        <f>H459&amp;"/"&amp;22</f>
        <v>20/22</v>
      </c>
      <c r="J459" s="68">
        <f>H459/22</f>
        <v>0.90909090909090906</v>
      </c>
      <c r="K459" s="18" t="s">
        <v>44</v>
      </c>
      <c r="L459" s="18" t="s">
        <v>64</v>
      </c>
      <c r="M459" s="58" t="s">
        <v>354</v>
      </c>
      <c r="N459" s="18">
        <f>[1]!f_prt_stocktonav(C459,"2017/03/31")</f>
        <v>83.98333740234375</v>
      </c>
      <c r="O459" s="20" t="str">
        <f>[1]!f_info_fundmanager(C459)</f>
        <v>杨雨龙,吴国雄</v>
      </c>
      <c r="P459" s="21">
        <v>1.7643835616438357</v>
      </c>
      <c r="Q459" s="34" t="s">
        <v>2222</v>
      </c>
      <c r="R459" s="34" t="s">
        <v>2223</v>
      </c>
      <c r="S459" s="34" t="s">
        <v>378</v>
      </c>
      <c r="T459" s="34">
        <v>20121211</v>
      </c>
      <c r="U459" s="45">
        <v>18.798379589100001</v>
      </c>
      <c r="V459" s="46">
        <v>21.5334354258</v>
      </c>
      <c r="W459" s="34" t="s">
        <v>3789</v>
      </c>
      <c r="X459" s="34" t="s">
        <v>44</v>
      </c>
      <c r="Y459" s="34" t="s">
        <v>45</v>
      </c>
      <c r="Z459" s="34" t="s">
        <v>354</v>
      </c>
      <c r="AA459" s="34"/>
      <c r="AB459" s="34"/>
      <c r="AC459" s="22">
        <v>0.90840614318847657</v>
      </c>
      <c r="AD459" s="23" t="s">
        <v>2224</v>
      </c>
      <c r="AE459" s="24">
        <v>1.5342465753424657</v>
      </c>
      <c r="AF459" s="25">
        <v>0.18862716021352521</v>
      </c>
      <c r="AG459" s="26">
        <v>0.24507793271825265</v>
      </c>
      <c r="AH459" s="26">
        <v>0</v>
      </c>
      <c r="AI459" s="27">
        <v>0.84690524962508174</v>
      </c>
      <c r="AJ459" s="27">
        <v>1.0026686917220671</v>
      </c>
      <c r="AK459" s="27">
        <v>0.84690524962508174</v>
      </c>
      <c r="AL459" s="28" t="s">
        <v>2225</v>
      </c>
      <c r="AM459" s="29" t="s">
        <v>48</v>
      </c>
      <c r="AN459" s="29">
        <v>5</v>
      </c>
      <c r="AO459" s="29" t="s">
        <v>48</v>
      </c>
      <c r="AP459" s="47" t="s">
        <v>2226</v>
      </c>
      <c r="AQ459" s="28">
        <v>0</v>
      </c>
      <c r="AR459" s="26">
        <v>1.4999999999999999E-2</v>
      </c>
      <c r="AS459" s="26">
        <v>0</v>
      </c>
    </row>
    <row r="460" spans="1:45" x14ac:dyDescent="0.15">
      <c r="A460" s="64">
        <v>336</v>
      </c>
      <c r="B460" s="64">
        <v>41</v>
      </c>
      <c r="C460" s="11">
        <v>1074</v>
      </c>
      <c r="D460" s="61">
        <v>469</v>
      </c>
      <c r="E460" s="61">
        <v>-1.2054281011743199E-3</v>
      </c>
      <c r="F460" s="61">
        <v>103</v>
      </c>
      <c r="G460" s="61">
        <v>0.31997608799869098</v>
      </c>
      <c r="H460" s="66">
        <v>21</v>
      </c>
      <c r="I460" s="66" t="str">
        <f>H460&amp;"/"&amp;22</f>
        <v>21/22</v>
      </c>
      <c r="J460" s="68">
        <f>H460/22</f>
        <v>0.95454545454545459</v>
      </c>
      <c r="K460" s="18" t="s">
        <v>44</v>
      </c>
      <c r="L460" s="18" t="s">
        <v>64</v>
      </c>
      <c r="M460" s="58" t="s">
        <v>354</v>
      </c>
      <c r="N460" s="18">
        <f>[1]!f_prt_stocktonav(C460,"2017/03/31")</f>
        <v>94.395301818847656</v>
      </c>
      <c r="O460" s="20" t="str">
        <f>[1]!f_info_fundmanager(C460)</f>
        <v>盛豪,田汉卿</v>
      </c>
      <c r="P460" s="21">
        <v>2.021917808219178</v>
      </c>
      <c r="Q460" s="34" t="s">
        <v>1494</v>
      </c>
      <c r="R460" s="34" t="s">
        <v>1495</v>
      </c>
      <c r="S460" s="34" t="s">
        <v>880</v>
      </c>
      <c r="T460" s="34">
        <v>20150324</v>
      </c>
      <c r="U460" s="45">
        <v>14.3355236352</v>
      </c>
      <c r="V460" s="46">
        <v>14.5094773639</v>
      </c>
      <c r="W460" s="34" t="s">
        <v>3776</v>
      </c>
      <c r="X460" s="34" t="s">
        <v>44</v>
      </c>
      <c r="Y460" s="34" t="s">
        <v>45</v>
      </c>
      <c r="Z460" s="34" t="s">
        <v>354</v>
      </c>
      <c r="AA460" s="34"/>
      <c r="AB460" s="34"/>
      <c r="AC460" s="22">
        <v>0.94355598449707034</v>
      </c>
      <c r="AD460" s="23" t="s">
        <v>1496</v>
      </c>
      <c r="AE460" s="24">
        <v>1.7917808219178082</v>
      </c>
      <c r="AF460" s="25">
        <v>-5.5297814901183795E-2</v>
      </c>
      <c r="AG460" s="26">
        <v>0</v>
      </c>
      <c r="AH460" s="26">
        <v>0</v>
      </c>
      <c r="AI460" s="27">
        <v>-0.12983481847212699</v>
      </c>
      <c r="AJ460" s="27">
        <v>-0.12983481847212699</v>
      </c>
      <c r="AK460" s="27">
        <v>-0.12983481847212699</v>
      </c>
      <c r="AL460" s="28" t="s">
        <v>823</v>
      </c>
      <c r="AM460" s="29" t="s">
        <v>48</v>
      </c>
      <c r="AN460" s="29" t="s">
        <v>48</v>
      </c>
      <c r="AO460" s="29" t="s">
        <v>48</v>
      </c>
      <c r="AP460" s="47" t="s">
        <v>405</v>
      </c>
      <c r="AQ460" s="28">
        <v>0</v>
      </c>
      <c r="AR460" s="26">
        <v>1.4999999999999999E-2</v>
      </c>
      <c r="AS460" s="26">
        <v>0</v>
      </c>
    </row>
    <row r="461" spans="1:45" x14ac:dyDescent="0.15">
      <c r="A461" s="64">
        <v>140</v>
      </c>
      <c r="B461" s="64">
        <v>47</v>
      </c>
      <c r="C461" s="11">
        <v>519196</v>
      </c>
      <c r="D461" s="61">
        <v>748</v>
      </c>
      <c r="E461" s="61">
        <v>-3.3997207460112798E-3</v>
      </c>
      <c r="F461" s="61">
        <v>59</v>
      </c>
      <c r="G461" s="61">
        <v>6.5891415038330597E-2</v>
      </c>
      <c r="H461" s="66">
        <v>22</v>
      </c>
      <c r="I461" s="66" t="str">
        <f>H461&amp;"/"&amp;22</f>
        <v>22/22</v>
      </c>
      <c r="J461" s="68">
        <f>H461/22</f>
        <v>1</v>
      </c>
      <c r="K461" s="18" t="s">
        <v>44</v>
      </c>
      <c r="L461" s="18" t="s">
        <v>45</v>
      </c>
      <c r="M461" s="58" t="s">
        <v>354</v>
      </c>
      <c r="N461" s="18">
        <f>[1]!f_prt_stocktonav(C461,"2017/03/31")</f>
        <v>94.338020324707031</v>
      </c>
      <c r="O461" s="20" t="str">
        <f>[1]!f_info_fundmanager(C461)</f>
        <v>莫海波</v>
      </c>
      <c r="P461" s="21">
        <v>1.178082191780822</v>
      </c>
      <c r="Q461" s="34" t="s">
        <v>716</v>
      </c>
      <c r="R461" s="34" t="s">
        <v>717</v>
      </c>
      <c r="S461" s="34" t="s">
        <v>718</v>
      </c>
      <c r="T461" s="34">
        <v>20160126</v>
      </c>
      <c r="U461" s="45">
        <v>0.55172388189999999</v>
      </c>
      <c r="V461" s="46">
        <v>0.46248188849999999</v>
      </c>
      <c r="W461" s="34" t="s">
        <v>3776</v>
      </c>
      <c r="X461" s="34" t="s">
        <v>44</v>
      </c>
      <c r="Y461" s="34" t="s">
        <v>45</v>
      </c>
      <c r="Z461" s="34" t="s">
        <v>65</v>
      </c>
      <c r="AA461" s="34"/>
      <c r="AB461" s="34"/>
      <c r="AC461" s="22">
        <v>0.91349113464355469</v>
      </c>
      <c r="AD461" s="23" t="s">
        <v>719</v>
      </c>
      <c r="AE461" s="24">
        <v>0.94794520547945205</v>
      </c>
      <c r="AF461" s="25">
        <v>0.13609164360938397</v>
      </c>
      <c r="AG461" s="26">
        <v>0</v>
      </c>
      <c r="AH461" s="26">
        <v>0</v>
      </c>
      <c r="AI461" s="27">
        <v>0.67188529091627758</v>
      </c>
      <c r="AJ461" s="27">
        <v>0.67188529091627758</v>
      </c>
      <c r="AK461" s="27">
        <v>0.67188529091627758</v>
      </c>
      <c r="AL461" s="28" t="s">
        <v>720</v>
      </c>
      <c r="AM461" s="29" t="s">
        <v>48</v>
      </c>
      <c r="AN461" s="29" t="s">
        <v>48</v>
      </c>
      <c r="AO461" s="29" t="s">
        <v>48</v>
      </c>
      <c r="AP461" s="47" t="s">
        <v>721</v>
      </c>
      <c r="AQ461" s="28">
        <v>0</v>
      </c>
      <c r="AR461" s="26">
        <v>1.4999999999999999E-2</v>
      </c>
      <c r="AS461" s="26">
        <v>0</v>
      </c>
    </row>
    <row r="462" spans="1:45" x14ac:dyDescent="0.15">
      <c r="A462" s="64">
        <v>129</v>
      </c>
      <c r="B462" s="64">
        <v>523</v>
      </c>
      <c r="C462" s="11">
        <v>1645</v>
      </c>
      <c r="D462" s="61">
        <v>10</v>
      </c>
      <c r="E462" s="61">
        <v>4.7372160232005004E-3</v>
      </c>
      <c r="F462" s="61">
        <v>58</v>
      </c>
      <c r="G462" s="61">
        <v>2.86369998805645E-2</v>
      </c>
      <c r="H462" s="66">
        <v>1</v>
      </c>
      <c r="I462" s="66" t="str">
        <f>H462&amp;"/"&amp;25</f>
        <v>1/25</v>
      </c>
      <c r="J462" s="68">
        <f>H462/25</f>
        <v>0.04</v>
      </c>
      <c r="K462" s="18" t="s">
        <v>44</v>
      </c>
      <c r="L462" s="18" t="s">
        <v>87</v>
      </c>
      <c r="M462" s="58" t="s">
        <v>817</v>
      </c>
      <c r="N462" s="18">
        <f>[1]!f_prt_stocktonav(C462,"2017/03/31")</f>
        <v>84.724479675292969</v>
      </c>
      <c r="O462" s="20" t="str">
        <f>[1]!f_info_fundmanager(C462)</f>
        <v>杨飞</v>
      </c>
      <c r="P462" s="21">
        <v>1.1561643835616437</v>
      </c>
      <c r="Q462" s="34" t="s">
        <v>661</v>
      </c>
      <c r="R462" s="34" t="s">
        <v>662</v>
      </c>
      <c r="S462" s="34" t="s">
        <v>663</v>
      </c>
      <c r="T462" s="34">
        <v>20160203</v>
      </c>
      <c r="U462" s="45">
        <v>2.1169532817999999</v>
      </c>
      <c r="V462" s="46">
        <v>2.2964289214</v>
      </c>
      <c r="W462" s="34" t="s">
        <v>3776</v>
      </c>
      <c r="X462" s="34" t="s">
        <v>44</v>
      </c>
      <c r="Y462" s="34" t="s">
        <v>45</v>
      </c>
      <c r="Z462" s="34" t="s">
        <v>65</v>
      </c>
      <c r="AA462" s="34"/>
      <c r="AB462" s="34"/>
      <c r="AC462" s="22">
        <v>0.81507255554199221</v>
      </c>
      <c r="AD462" s="23" t="s">
        <v>664</v>
      </c>
      <c r="AE462" s="24">
        <v>0.92602739726027394</v>
      </c>
      <c r="AF462" s="25">
        <v>0.28045342614591062</v>
      </c>
      <c r="AG462" s="26">
        <v>0</v>
      </c>
      <c r="AH462" s="26">
        <v>0</v>
      </c>
      <c r="AI462" s="27">
        <v>1.9232340853880638</v>
      </c>
      <c r="AJ462" s="27">
        <v>1.9232340853880638</v>
      </c>
      <c r="AK462" s="27">
        <v>1.9232340853880638</v>
      </c>
      <c r="AL462" s="28" t="s">
        <v>665</v>
      </c>
      <c r="AM462" s="29" t="s">
        <v>48</v>
      </c>
      <c r="AN462" s="29" t="s">
        <v>48</v>
      </c>
      <c r="AO462" s="29" t="s">
        <v>48</v>
      </c>
      <c r="AP462" s="47" t="s">
        <v>666</v>
      </c>
      <c r="AQ462" s="28">
        <v>0</v>
      </c>
      <c r="AR462" s="26">
        <v>1.4999999999999999E-2</v>
      </c>
      <c r="AS462" s="26">
        <v>0</v>
      </c>
    </row>
    <row r="463" spans="1:45" x14ac:dyDescent="0.15">
      <c r="A463" s="64">
        <v>151</v>
      </c>
      <c r="B463" s="64">
        <v>572</v>
      </c>
      <c r="C463" s="11">
        <v>1714</v>
      </c>
      <c r="D463" s="61">
        <v>12</v>
      </c>
      <c r="E463" s="61">
        <v>4.4590172119292702E-3</v>
      </c>
      <c r="F463" s="61">
        <v>63</v>
      </c>
      <c r="G463" s="61">
        <v>1.1610535234598001E-2</v>
      </c>
      <c r="H463" s="66">
        <v>2</v>
      </c>
      <c r="I463" s="66" t="str">
        <f>H463&amp;"/"&amp;25</f>
        <v>2/25</v>
      </c>
      <c r="J463" s="68">
        <f>H463/25</f>
        <v>0.08</v>
      </c>
      <c r="K463" s="18" t="s">
        <v>44</v>
      </c>
      <c r="L463" s="18" t="s">
        <v>87</v>
      </c>
      <c r="M463" s="58" t="s">
        <v>817</v>
      </c>
      <c r="N463" s="18">
        <f>[1]!f_prt_stocktonav(C463,"2017/03/31")</f>
        <v>83.510284423828125</v>
      </c>
      <c r="O463" s="20" t="str">
        <f>[1]!f_info_fundmanager(C463)</f>
        <v>胡文彪,袁芳</v>
      </c>
      <c r="P463" s="21">
        <v>1.252054794520548</v>
      </c>
      <c r="Q463" s="34" t="s">
        <v>765</v>
      </c>
      <c r="R463" s="34" t="s">
        <v>766</v>
      </c>
      <c r="S463" s="34" t="s">
        <v>523</v>
      </c>
      <c r="T463" s="34">
        <v>20151230</v>
      </c>
      <c r="U463" s="45">
        <v>2.3994603158999999</v>
      </c>
      <c r="V463" s="46">
        <v>1.8096669623999999</v>
      </c>
      <c r="W463" s="34" t="s">
        <v>3776</v>
      </c>
      <c r="X463" s="34" t="s">
        <v>44</v>
      </c>
      <c r="Y463" s="34" t="s">
        <v>45</v>
      </c>
      <c r="Z463" s="34" t="s">
        <v>65</v>
      </c>
      <c r="AA463" s="34"/>
      <c r="AB463" s="34"/>
      <c r="AC463" s="22">
        <v>0.82232978820800784</v>
      </c>
      <c r="AD463" s="23" t="s">
        <v>767</v>
      </c>
      <c r="AE463" s="24">
        <v>1.021917808219178</v>
      </c>
      <c r="AF463" s="25">
        <v>0.15463466211450161</v>
      </c>
      <c r="AG463" s="26">
        <v>0</v>
      </c>
      <c r="AH463" s="26">
        <v>0</v>
      </c>
      <c r="AI463" s="27">
        <v>1.1568386120044791</v>
      </c>
      <c r="AJ463" s="27">
        <v>1.1568386120044791</v>
      </c>
      <c r="AK463" s="27">
        <v>1.1568386120044791</v>
      </c>
      <c r="AL463" s="28" t="s">
        <v>768</v>
      </c>
      <c r="AM463" s="29" t="s">
        <v>48</v>
      </c>
      <c r="AN463" s="29" t="s">
        <v>48</v>
      </c>
      <c r="AO463" s="29" t="s">
        <v>48</v>
      </c>
      <c r="AP463" s="47" t="s">
        <v>255</v>
      </c>
      <c r="AQ463" s="28">
        <v>0</v>
      </c>
      <c r="AR463" s="26">
        <v>1.4999999999999999E-2</v>
      </c>
      <c r="AS463" s="26">
        <v>0</v>
      </c>
    </row>
    <row r="464" spans="1:45" x14ac:dyDescent="0.15">
      <c r="A464" s="64">
        <v>236</v>
      </c>
      <c r="B464" s="64">
        <v>314</v>
      </c>
      <c r="C464" s="11">
        <v>1437</v>
      </c>
      <c r="D464" s="61">
        <v>16</v>
      </c>
      <c r="E464" s="61">
        <v>4.0026478348576802E-3</v>
      </c>
      <c r="F464" s="61">
        <v>62</v>
      </c>
      <c r="G464" s="61">
        <v>9.4604885982145406E-2</v>
      </c>
      <c r="H464" s="66">
        <v>3</v>
      </c>
      <c r="I464" s="66" t="str">
        <f>H464&amp;"/"&amp;25</f>
        <v>3/25</v>
      </c>
      <c r="J464" s="68">
        <f>H464/25</f>
        <v>0.12</v>
      </c>
      <c r="K464" s="18" t="s">
        <v>44</v>
      </c>
      <c r="L464" s="18" t="s">
        <v>45</v>
      </c>
      <c r="M464" s="58" t="s">
        <v>817</v>
      </c>
      <c r="N464" s="18">
        <f>[1]!f_prt_stocktonav(C464,"2017/03/31")</f>
        <v>89.196624755859375</v>
      </c>
      <c r="O464" s="20" t="str">
        <f>[1]!f_info_fundmanager(C464)</f>
        <v>梁裕宁</v>
      </c>
      <c r="P464" s="21">
        <v>1.1863013698630136</v>
      </c>
      <c r="Q464" s="34" t="s">
        <v>1095</v>
      </c>
      <c r="R464" s="34" t="s">
        <v>1096</v>
      </c>
      <c r="S464" s="34" t="s">
        <v>218</v>
      </c>
      <c r="T464" s="34">
        <v>20150626</v>
      </c>
      <c r="U464" s="45">
        <v>1.9129938984999999</v>
      </c>
      <c r="V464" s="46">
        <v>1.7978175357999999</v>
      </c>
      <c r="W464" s="34" t="s">
        <v>3789</v>
      </c>
      <c r="X464" s="34" t="s">
        <v>44</v>
      </c>
      <c r="Y464" s="34" t="s">
        <v>45</v>
      </c>
      <c r="Z464" s="34" t="s">
        <v>65</v>
      </c>
      <c r="AA464" s="34"/>
      <c r="AB464" s="34"/>
      <c r="AC464" s="22">
        <v>0.92097930908203129</v>
      </c>
      <c r="AD464" s="23" t="s">
        <v>1097</v>
      </c>
      <c r="AE464" s="24">
        <v>0.95616438356164379</v>
      </c>
      <c r="AF464" s="25">
        <v>0.18712368221807865</v>
      </c>
      <c r="AG464" s="26">
        <v>0</v>
      </c>
      <c r="AH464" s="26">
        <v>0</v>
      </c>
      <c r="AI464" s="27">
        <v>0.76832208511338362</v>
      </c>
      <c r="AJ464" s="27">
        <v>0.76832208511338362</v>
      </c>
      <c r="AK464" s="27">
        <v>0.76832208511338362</v>
      </c>
      <c r="AL464" s="28" t="s">
        <v>1098</v>
      </c>
      <c r="AM464" s="29" t="s">
        <v>48</v>
      </c>
      <c r="AN464" s="29" t="s">
        <v>48</v>
      </c>
      <c r="AO464" s="29" t="s">
        <v>48</v>
      </c>
      <c r="AP464" s="47" t="s">
        <v>1099</v>
      </c>
      <c r="AQ464" s="28">
        <v>0</v>
      </c>
      <c r="AR464" s="26">
        <v>8.0000001192092902E-3</v>
      </c>
      <c r="AS464" s="26">
        <v>0</v>
      </c>
    </row>
    <row r="465" spans="1:45" x14ac:dyDescent="0.15">
      <c r="A465" s="64">
        <v>737</v>
      </c>
      <c r="B465" s="64">
        <v>793</v>
      </c>
      <c r="C465" s="11">
        <v>340008</v>
      </c>
      <c r="D465" s="61">
        <v>23</v>
      </c>
      <c r="E465" s="61">
        <v>3.7007505010098799E-3</v>
      </c>
      <c r="F465" s="61">
        <v>65</v>
      </c>
      <c r="G465" s="61">
        <v>4.8085499507317199E-2</v>
      </c>
      <c r="H465" s="66">
        <v>4</v>
      </c>
      <c r="I465" s="66" t="str">
        <f>H465&amp;"/"&amp;25</f>
        <v>4/25</v>
      </c>
      <c r="J465" s="68">
        <f>H465/25</f>
        <v>0.16</v>
      </c>
      <c r="K465" s="18" t="s">
        <v>44</v>
      </c>
      <c r="L465" s="18" t="s">
        <v>45</v>
      </c>
      <c r="M465" s="58" t="s">
        <v>817</v>
      </c>
      <c r="N465" s="18">
        <f>[1]!f_prt_stocktonav(C465,"2017/03/31")</f>
        <v>76.956283569335937</v>
      </c>
      <c r="O465" s="20" t="str">
        <f>[1]!f_info_fundmanager(C465)</f>
        <v>季侃乐</v>
      </c>
      <c r="P465" s="21">
        <v>1.2493150684931507</v>
      </c>
      <c r="Q465" s="34" t="s">
        <v>2906</v>
      </c>
      <c r="R465" s="34" t="s">
        <v>2907</v>
      </c>
      <c r="S465" s="34" t="s">
        <v>2217</v>
      </c>
      <c r="T465" s="34">
        <v>20090325</v>
      </c>
      <c r="U465" s="45">
        <v>24.848248398100001</v>
      </c>
      <c r="V465" s="46">
        <v>26.055338586600001</v>
      </c>
      <c r="W465" s="34" t="s">
        <v>40</v>
      </c>
      <c r="X465" s="34" t="s">
        <v>44</v>
      </c>
      <c r="Y465" s="34" t="s">
        <v>45</v>
      </c>
      <c r="Z465" s="34" t="s">
        <v>817</v>
      </c>
      <c r="AA465" s="34"/>
      <c r="AB465" s="34"/>
      <c r="AC465" s="22">
        <v>0.79953308105468746</v>
      </c>
      <c r="AD465" s="23" t="s">
        <v>2908</v>
      </c>
      <c r="AE465" s="24">
        <v>1.0191780821917809</v>
      </c>
      <c r="AF465" s="25">
        <v>0.13990495325180308</v>
      </c>
      <c r="AG465" s="26">
        <v>0.28645639707826431</v>
      </c>
      <c r="AH465" s="26">
        <v>0.20934011238235062</v>
      </c>
      <c r="AI465" s="27">
        <v>0.65143740326078592</v>
      </c>
      <c r="AJ465" s="27">
        <v>1.0638692738008444</v>
      </c>
      <c r="AK465" s="27">
        <v>0.8662403198752997</v>
      </c>
      <c r="AL465" s="28" t="s">
        <v>2909</v>
      </c>
      <c r="AM465" s="29">
        <v>5</v>
      </c>
      <c r="AN465" s="29">
        <v>2</v>
      </c>
      <c r="AO465" s="29" t="s">
        <v>48</v>
      </c>
      <c r="AP465" s="47" t="s">
        <v>1002</v>
      </c>
      <c r="AQ465" s="28">
        <v>0</v>
      </c>
      <c r="AR465" s="26">
        <v>1.4999999999999999E-2</v>
      </c>
      <c r="AS465" s="26">
        <v>0</v>
      </c>
    </row>
    <row r="466" spans="1:45" x14ac:dyDescent="0.15">
      <c r="A466" s="64">
        <v>153</v>
      </c>
      <c r="B466" s="64">
        <v>1</v>
      </c>
      <c r="C466" s="11">
        <v>2223</v>
      </c>
      <c r="D466" s="61">
        <v>43</v>
      </c>
      <c r="E466" s="61">
        <v>3.0040924369522598E-3</v>
      </c>
      <c r="F466" s="61">
        <v>64</v>
      </c>
      <c r="G466" s="61">
        <v>0.321103053001636</v>
      </c>
      <c r="H466" s="66">
        <v>5</v>
      </c>
      <c r="I466" s="66" t="str">
        <f>H466&amp;"/"&amp;25</f>
        <v>5/25</v>
      </c>
      <c r="J466" s="68">
        <f>H466/25</f>
        <v>0.2</v>
      </c>
      <c r="K466" s="18" t="s">
        <v>44</v>
      </c>
      <c r="L466" s="18" t="s">
        <v>45</v>
      </c>
      <c r="M466" s="58" t="s">
        <v>817</v>
      </c>
      <c r="N466" s="18">
        <f>[1]!f_prt_stocktonav(C466,"2017/03/31")</f>
        <v>98.196609497070312</v>
      </c>
      <c r="O466" s="20" t="str">
        <f>[1]!f_info_fundmanager(C466)</f>
        <v>任泽松</v>
      </c>
      <c r="P466" s="21">
        <v>1.2657534246575342</v>
      </c>
      <c r="Q466" s="34" t="s">
        <v>773</v>
      </c>
      <c r="R466" s="34" t="s">
        <v>774</v>
      </c>
      <c r="S466" s="34" t="s">
        <v>85</v>
      </c>
      <c r="T466" s="34">
        <v>20151225</v>
      </c>
      <c r="U466" s="45">
        <v>4.4576421336000003</v>
      </c>
      <c r="V466" s="46">
        <v>8.4604759187000003</v>
      </c>
      <c r="W466" s="34" t="s">
        <v>1235</v>
      </c>
      <c r="X466" s="34" t="s">
        <v>44</v>
      </c>
      <c r="Y466" s="17" t="s">
        <v>45</v>
      </c>
      <c r="Z466" s="17" t="s">
        <v>65</v>
      </c>
      <c r="AA466" s="34"/>
      <c r="AB466" s="34"/>
      <c r="AC466" s="22">
        <v>0.83878219604492188</v>
      </c>
      <c r="AD466" s="23" t="s">
        <v>775</v>
      </c>
      <c r="AE466" s="24">
        <v>1.0356164383561643</v>
      </c>
      <c r="AF466" s="25">
        <v>-0.11267806698853333</v>
      </c>
      <c r="AG466" s="26">
        <v>0</v>
      </c>
      <c r="AH466" s="26">
        <v>0</v>
      </c>
      <c r="AI466" s="27">
        <v>-0.38249825316481428</v>
      </c>
      <c r="AJ466" s="27">
        <v>-0.38249825316481428</v>
      </c>
      <c r="AK466" s="27">
        <v>-0.38249825316481428</v>
      </c>
      <c r="AL466" s="28" t="s">
        <v>776</v>
      </c>
      <c r="AM466" s="29" t="s">
        <v>48</v>
      </c>
      <c r="AN466" s="29" t="s">
        <v>48</v>
      </c>
      <c r="AO466" s="29" t="s">
        <v>48</v>
      </c>
      <c r="AP466" s="47" t="s">
        <v>367</v>
      </c>
      <c r="AQ466" s="28">
        <v>0</v>
      </c>
      <c r="AR466" s="26">
        <v>0.01</v>
      </c>
      <c r="AS466" s="26">
        <v>0</v>
      </c>
    </row>
    <row r="467" spans="1:45" x14ac:dyDescent="0.15">
      <c r="A467" s="64">
        <v>274</v>
      </c>
      <c r="B467" s="64">
        <v>615</v>
      </c>
      <c r="C467" s="11">
        <v>1256</v>
      </c>
      <c r="D467" s="61">
        <v>63</v>
      </c>
      <c r="E467" s="61">
        <v>2.5215192371394E-3</v>
      </c>
      <c r="F467" s="61">
        <v>77</v>
      </c>
      <c r="G467" s="61">
        <v>2.45182976441142E-3</v>
      </c>
      <c r="H467" s="66">
        <v>6</v>
      </c>
      <c r="I467" s="66" t="str">
        <f>H467&amp;"/"&amp;25</f>
        <v>6/25</v>
      </c>
      <c r="J467" s="68">
        <f>H467/25</f>
        <v>0.24</v>
      </c>
      <c r="K467" s="18" t="s">
        <v>44</v>
      </c>
      <c r="L467" s="18" t="s">
        <v>45</v>
      </c>
      <c r="M467" s="58" t="s">
        <v>817</v>
      </c>
      <c r="N467" s="18">
        <f>[1]!f_prt_stocktonav(C467,"2017/03/31")</f>
        <v>82.449447631835938</v>
      </c>
      <c r="O467" s="20" t="str">
        <f>[1]!f_info_fundmanager(C467)</f>
        <v>王克玉</v>
      </c>
      <c r="P467" s="21">
        <v>1.4767123287671233</v>
      </c>
      <c r="Q467" s="34" t="s">
        <v>1259</v>
      </c>
      <c r="R467" s="34" t="s">
        <v>1260</v>
      </c>
      <c r="S467" s="34" t="s">
        <v>517</v>
      </c>
      <c r="T467" s="34">
        <v>20150521</v>
      </c>
      <c r="U467" s="45">
        <v>46.3798749718</v>
      </c>
      <c r="V467" s="46">
        <v>42.584926025999998</v>
      </c>
      <c r="W467" s="34" t="s">
        <v>1235</v>
      </c>
      <c r="X467" s="34" t="s">
        <v>44</v>
      </c>
      <c r="Y467" s="34" t="s">
        <v>45</v>
      </c>
      <c r="Z467" s="34" t="s">
        <v>817</v>
      </c>
      <c r="AA467" s="34"/>
      <c r="AB467" s="34"/>
      <c r="AC467" s="22">
        <v>0.82171035766601563</v>
      </c>
      <c r="AD467" s="23" t="s">
        <v>1261</v>
      </c>
      <c r="AE467" s="24">
        <v>1.2465753424657535</v>
      </c>
      <c r="AF467" s="25">
        <v>6.6164078425700934E-2</v>
      </c>
      <c r="AG467" s="26">
        <v>0</v>
      </c>
      <c r="AH467" s="26">
        <v>0</v>
      </c>
      <c r="AI467" s="27">
        <v>0.33132119646807606</v>
      </c>
      <c r="AJ467" s="27">
        <v>0.33132119646807606</v>
      </c>
      <c r="AK467" s="27">
        <v>0.33132119646807606</v>
      </c>
      <c r="AL467" s="28" t="s">
        <v>1262</v>
      </c>
      <c r="AM467" s="29" t="s">
        <v>48</v>
      </c>
      <c r="AN467" s="29" t="s">
        <v>48</v>
      </c>
      <c r="AO467" s="29" t="s">
        <v>48</v>
      </c>
      <c r="AP467" s="47" t="s">
        <v>520</v>
      </c>
      <c r="AQ467" s="28">
        <v>0</v>
      </c>
      <c r="AR467" s="26">
        <v>1.4999999999999999E-2</v>
      </c>
      <c r="AS467" s="26">
        <v>0</v>
      </c>
    </row>
    <row r="468" spans="1:45" x14ac:dyDescent="0.15">
      <c r="A468" s="64">
        <v>284</v>
      </c>
      <c r="B468" s="64">
        <v>797</v>
      </c>
      <c r="C468" s="11">
        <v>1222</v>
      </c>
      <c r="D468" s="61">
        <v>82</v>
      </c>
      <c r="E468" s="61">
        <v>2.1755548637604301E-3</v>
      </c>
      <c r="F468" s="61">
        <v>53</v>
      </c>
      <c r="G468" s="61">
        <v>5.5131630627831302E-2</v>
      </c>
      <c r="H468" s="66">
        <v>7</v>
      </c>
      <c r="I468" s="66" t="str">
        <f>H468&amp;"/"&amp;25</f>
        <v>7/25</v>
      </c>
      <c r="J468" s="68">
        <f>H468/25</f>
        <v>0.28000000000000003</v>
      </c>
      <c r="K468" s="18" t="s">
        <v>44</v>
      </c>
      <c r="L468" s="18" t="s">
        <v>45</v>
      </c>
      <c r="M468" s="58" t="s">
        <v>817</v>
      </c>
      <c r="N468" s="18">
        <f>[1]!f_prt_stocktonav(C468,"2017/03/31")</f>
        <v>76.727279663085938</v>
      </c>
      <c r="O468" s="20" t="str">
        <f>[1]!f_info_fundmanager(C468)</f>
        <v>陈璇淼</v>
      </c>
      <c r="P468" s="21">
        <v>1.0054794520547945</v>
      </c>
      <c r="Q468" s="34" t="s">
        <v>1299</v>
      </c>
      <c r="R468" s="34" t="s">
        <v>1300</v>
      </c>
      <c r="S468" s="34" t="s">
        <v>705</v>
      </c>
      <c r="T468" s="34">
        <v>20150519</v>
      </c>
      <c r="U468" s="45">
        <v>4.3739616186000001</v>
      </c>
      <c r="V468" s="46">
        <v>4.7188241195999998</v>
      </c>
      <c r="W468" s="34" t="s">
        <v>3789</v>
      </c>
      <c r="X468" s="34" t="s">
        <v>44</v>
      </c>
      <c r="Y468" s="17" t="s">
        <v>45</v>
      </c>
      <c r="Z468" s="17" t="s">
        <v>274</v>
      </c>
      <c r="AA468" s="34"/>
      <c r="AB468" s="34"/>
      <c r="AC468" s="22">
        <v>0.71713066101074219</v>
      </c>
      <c r="AD468" s="23" t="s">
        <v>1301</v>
      </c>
      <c r="AE468" s="24">
        <v>1.6383561643835616</v>
      </c>
      <c r="AF468" s="25">
        <v>-0.14860045389130416</v>
      </c>
      <c r="AG468" s="26">
        <v>0</v>
      </c>
      <c r="AH468" s="26">
        <v>0</v>
      </c>
      <c r="AI468" s="27">
        <v>-0.65438810326838515</v>
      </c>
      <c r="AJ468" s="27">
        <v>-0.65438810326838515</v>
      </c>
      <c r="AK468" s="27">
        <v>-0.65438810326838515</v>
      </c>
      <c r="AL468" s="28" t="s">
        <v>1302</v>
      </c>
      <c r="AM468" s="29" t="s">
        <v>48</v>
      </c>
      <c r="AN468" s="29" t="s">
        <v>48</v>
      </c>
      <c r="AO468" s="29" t="s">
        <v>48</v>
      </c>
      <c r="AP468" s="47" t="s">
        <v>1303</v>
      </c>
      <c r="AQ468" s="28">
        <v>0</v>
      </c>
      <c r="AR468" s="26">
        <v>1.4999999999999999E-2</v>
      </c>
      <c r="AS468" s="26">
        <v>0</v>
      </c>
    </row>
    <row r="469" spans="1:45" x14ac:dyDescent="0.15">
      <c r="A469" s="64">
        <v>411</v>
      </c>
      <c r="B469" s="64">
        <v>810</v>
      </c>
      <c r="C469" s="11">
        <v>751</v>
      </c>
      <c r="D469" s="61">
        <v>136</v>
      </c>
      <c r="E469" s="61">
        <v>1.4345890063772999E-3</v>
      </c>
      <c r="F469" s="61">
        <v>55</v>
      </c>
      <c r="G469" s="61">
        <v>0.40728793420780401</v>
      </c>
      <c r="H469" s="66">
        <v>8</v>
      </c>
      <c r="I469" s="66" t="str">
        <f>H469&amp;"/"&amp;25</f>
        <v>8/25</v>
      </c>
      <c r="J469" s="68">
        <f>H469/25</f>
        <v>0.32</v>
      </c>
      <c r="K469" s="18" t="s">
        <v>44</v>
      </c>
      <c r="L469" s="18" t="s">
        <v>87</v>
      </c>
      <c r="M469" s="58" t="s">
        <v>817</v>
      </c>
      <c r="N469" s="18">
        <f>[1]!f_prt_stocktonav(C469,"2017/03/31")</f>
        <v>76.317909240722656</v>
      </c>
      <c r="O469" s="20" t="str">
        <f>[1]!f_info_fundmanager(C469)</f>
        <v>季文华</v>
      </c>
      <c r="P469" s="21">
        <v>1.0438356164383562</v>
      </c>
      <c r="Q469" s="34" t="s">
        <v>1772</v>
      </c>
      <c r="R469" s="34" t="s">
        <v>1773</v>
      </c>
      <c r="S469" s="34" t="s">
        <v>92</v>
      </c>
      <c r="T469" s="34">
        <v>20140917</v>
      </c>
      <c r="U469" s="45">
        <v>1.8625958191</v>
      </c>
      <c r="V469" s="46">
        <v>2.1930611562000002</v>
      </c>
      <c r="W469" s="34" t="s">
        <v>3776</v>
      </c>
      <c r="X469" s="34" t="s">
        <v>44</v>
      </c>
      <c r="Y469" s="34" t="s">
        <v>45</v>
      </c>
      <c r="Z469" s="34" t="s">
        <v>65</v>
      </c>
      <c r="AA469" s="34"/>
      <c r="AB469" s="34"/>
      <c r="AC469" s="22">
        <v>0.80993446350097653</v>
      </c>
      <c r="AD469" s="23" t="s">
        <v>1774</v>
      </c>
      <c r="AE469" s="24">
        <v>0.81369863013698629</v>
      </c>
      <c r="AF469" s="25">
        <v>0.18399553017763748</v>
      </c>
      <c r="AG469" s="26">
        <v>0</v>
      </c>
      <c r="AH469" s="26">
        <v>0</v>
      </c>
      <c r="AI469" s="27">
        <v>0.75441785484760437</v>
      </c>
      <c r="AJ469" s="27">
        <v>0.75441785484760437</v>
      </c>
      <c r="AK469" s="27">
        <v>0.75441785484760437</v>
      </c>
      <c r="AL469" s="28" t="s">
        <v>1775</v>
      </c>
      <c r="AM469" s="29" t="s">
        <v>48</v>
      </c>
      <c r="AN469" s="29" t="s">
        <v>48</v>
      </c>
      <c r="AO469" s="29" t="s">
        <v>48</v>
      </c>
      <c r="AP469" s="47" t="s">
        <v>249</v>
      </c>
      <c r="AQ469" s="28">
        <v>0</v>
      </c>
      <c r="AR469" s="26">
        <v>1.4999999999999999E-2</v>
      </c>
      <c r="AS469" s="26">
        <v>0</v>
      </c>
    </row>
    <row r="470" spans="1:45" x14ac:dyDescent="0.15">
      <c r="A470" s="64">
        <v>168</v>
      </c>
      <c r="B470" s="64">
        <v>108</v>
      </c>
      <c r="C470" s="11">
        <v>1838</v>
      </c>
      <c r="D470" s="61">
        <v>163</v>
      </c>
      <c r="E470" s="61">
        <v>1.14507991263402E-3</v>
      </c>
      <c r="F470" s="61">
        <v>67</v>
      </c>
      <c r="G470" s="61">
        <v>0.64443522146716403</v>
      </c>
      <c r="H470" s="66">
        <v>9</v>
      </c>
      <c r="I470" s="66" t="str">
        <f>H470&amp;"/"&amp;25</f>
        <v>9/25</v>
      </c>
      <c r="J470" s="68">
        <f>H470/25</f>
        <v>0.36</v>
      </c>
      <c r="K470" s="18" t="s">
        <v>44</v>
      </c>
      <c r="L470" s="18" t="s">
        <v>45</v>
      </c>
      <c r="M470" s="58" t="s">
        <v>817</v>
      </c>
      <c r="N470" s="18">
        <f>[1]!f_prt_stocktonav(C470,"2017/03/31")</f>
        <v>93.50732421875</v>
      </c>
      <c r="O470" s="20" t="str">
        <f>[1]!f_info_fundmanager(C470)</f>
        <v>李轩</v>
      </c>
      <c r="P470" s="21">
        <v>1.3287671232876712</v>
      </c>
      <c r="Q470" s="34" t="s">
        <v>834</v>
      </c>
      <c r="R470" s="34" t="s">
        <v>835</v>
      </c>
      <c r="S470" s="34" t="s">
        <v>452</v>
      </c>
      <c r="T470" s="34">
        <v>20151202</v>
      </c>
      <c r="U470" s="45">
        <v>5.9039023488</v>
      </c>
      <c r="V470" s="46">
        <v>6.0783171172000001</v>
      </c>
      <c r="W470" s="34" t="s">
        <v>1235</v>
      </c>
      <c r="X470" s="34" t="s">
        <v>44</v>
      </c>
      <c r="Y470" s="17" t="s">
        <v>45</v>
      </c>
      <c r="Z470" s="17" t="s">
        <v>817</v>
      </c>
      <c r="AA470" s="34"/>
      <c r="AB470" s="34"/>
      <c r="AC470" s="22">
        <v>0.94476730346679683</v>
      </c>
      <c r="AD470" s="23" t="s">
        <v>836</v>
      </c>
      <c r="AE470" s="24">
        <v>1.0986301369863014</v>
      </c>
      <c r="AF470" s="25">
        <v>-7.9543141702073883E-2</v>
      </c>
      <c r="AG470" s="26">
        <v>0</v>
      </c>
      <c r="AH470" s="26">
        <v>0</v>
      </c>
      <c r="AI470" s="27">
        <v>-0.28735038695258663</v>
      </c>
      <c r="AJ470" s="27">
        <v>-0.28735038695258663</v>
      </c>
      <c r="AK470" s="27">
        <v>-0.28735038695258663</v>
      </c>
      <c r="AL470" s="28" t="s">
        <v>409</v>
      </c>
      <c r="AM470" s="29" t="s">
        <v>48</v>
      </c>
      <c r="AN470" s="29" t="s">
        <v>48</v>
      </c>
      <c r="AO470" s="29" t="s">
        <v>48</v>
      </c>
      <c r="AP470" s="47" t="s">
        <v>209</v>
      </c>
      <c r="AQ470" s="28">
        <v>0</v>
      </c>
      <c r="AR470" s="26">
        <v>1.4999999999999999E-2</v>
      </c>
      <c r="AS470" s="26">
        <v>0</v>
      </c>
    </row>
    <row r="471" spans="1:45" x14ac:dyDescent="0.15">
      <c r="A471" s="64">
        <v>329</v>
      </c>
      <c r="B471" s="64">
        <v>147</v>
      </c>
      <c r="C471" s="11">
        <v>1060</v>
      </c>
      <c r="D471" s="61">
        <v>175</v>
      </c>
      <c r="E471" s="61">
        <v>1.0391079393518199E-3</v>
      </c>
      <c r="F471" s="61">
        <v>103</v>
      </c>
      <c r="G471" s="61">
        <v>0.53044308027949605</v>
      </c>
      <c r="H471" s="66">
        <v>10</v>
      </c>
      <c r="I471" s="66" t="str">
        <f>H471&amp;"/"&amp;25</f>
        <v>10/25</v>
      </c>
      <c r="J471" s="68">
        <f>H471/25</f>
        <v>0.4</v>
      </c>
      <c r="K471" s="18" t="s">
        <v>44</v>
      </c>
      <c r="L471" s="18" t="s">
        <v>45</v>
      </c>
      <c r="M471" s="58" t="s">
        <v>817</v>
      </c>
      <c r="N471" s="18">
        <f>[1]!f_prt_stocktonav(C471,"2017/03/31")</f>
        <v>92.85089111328125</v>
      </c>
      <c r="O471" s="20" t="str">
        <f>[1]!f_info_fundmanager(C471)</f>
        <v>薛小波</v>
      </c>
      <c r="P471" s="21">
        <v>2.0136986301369864</v>
      </c>
      <c r="Q471" s="34" t="s">
        <v>1469</v>
      </c>
      <c r="R471" s="34" t="s">
        <v>1470</v>
      </c>
      <c r="S471" s="34" t="s">
        <v>78</v>
      </c>
      <c r="T471" s="34">
        <v>20150327</v>
      </c>
      <c r="U471" s="45">
        <v>5.8132132138000001</v>
      </c>
      <c r="V471" s="46">
        <v>8.2340427511000005</v>
      </c>
      <c r="W471" s="34" t="s">
        <v>201</v>
      </c>
      <c r="X471" s="34" t="s">
        <v>44</v>
      </c>
      <c r="Y471" s="17" t="s">
        <v>45</v>
      </c>
      <c r="Z471" s="17" t="s">
        <v>817</v>
      </c>
      <c r="AA471" s="34"/>
      <c r="AB471" s="34"/>
      <c r="AC471" s="22">
        <v>0.89440139770507809</v>
      </c>
      <c r="AD471" s="23" t="s">
        <v>1471</v>
      </c>
      <c r="AE471" s="24">
        <v>1.7835616438356163</v>
      </c>
      <c r="AF471" s="25">
        <v>4.512289053047347E-3</v>
      </c>
      <c r="AG471" s="26">
        <v>0</v>
      </c>
      <c r="AH471" s="26">
        <v>0</v>
      </c>
      <c r="AI471" s="27">
        <v>1.4339484720522627E-2</v>
      </c>
      <c r="AJ471" s="27">
        <v>1.4339484720522627E-2</v>
      </c>
      <c r="AK471" s="27">
        <v>1.4339484720522627E-2</v>
      </c>
      <c r="AL471" s="28" t="s">
        <v>196</v>
      </c>
      <c r="AM471" s="29" t="s">
        <v>48</v>
      </c>
      <c r="AN471" s="29" t="s">
        <v>48</v>
      </c>
      <c r="AO471" s="29" t="s">
        <v>48</v>
      </c>
      <c r="AP471" s="47" t="s">
        <v>270</v>
      </c>
      <c r="AQ471" s="28">
        <v>0</v>
      </c>
      <c r="AR471" s="26">
        <v>1.4999999999999999E-2</v>
      </c>
      <c r="AS471" s="26">
        <v>0</v>
      </c>
    </row>
    <row r="472" spans="1:45" x14ac:dyDescent="0.15">
      <c r="A472" s="64">
        <v>116</v>
      </c>
      <c r="B472" s="64">
        <v>184</v>
      </c>
      <c r="C472" s="11">
        <v>1827</v>
      </c>
      <c r="D472" s="61">
        <v>184</v>
      </c>
      <c r="E472" s="61">
        <v>9.5406058970458005E-4</v>
      </c>
      <c r="F472" s="61">
        <v>54</v>
      </c>
      <c r="G472" s="61">
        <v>0.57380568118265396</v>
      </c>
      <c r="H472" s="66">
        <v>11</v>
      </c>
      <c r="I472" s="66" t="str">
        <f>H472&amp;"/"&amp;25</f>
        <v>11/25</v>
      </c>
      <c r="J472" s="68">
        <f>H472/25</f>
        <v>0.44</v>
      </c>
      <c r="K472" s="18" t="s">
        <v>44</v>
      </c>
      <c r="L472" s="18" t="s">
        <v>45</v>
      </c>
      <c r="M472" s="58" t="s">
        <v>817</v>
      </c>
      <c r="N472" s="18">
        <f>[1]!f_prt_stocktonav(C472,"2017/03/31")</f>
        <v>92.029945373535156</v>
      </c>
      <c r="O472" s="20" t="str">
        <f>[1]!f_info_fundmanager(C472)</f>
        <v>李晓铭</v>
      </c>
      <c r="P472" s="21">
        <v>1.0630136986301371</v>
      </c>
      <c r="Q472" s="34" t="s">
        <v>604</v>
      </c>
      <c r="R472" s="34" t="s">
        <v>605</v>
      </c>
      <c r="S472" s="34" t="s">
        <v>396</v>
      </c>
      <c r="T472" s="34">
        <v>20160308</v>
      </c>
      <c r="U472" s="45">
        <v>0.65566483470000003</v>
      </c>
      <c r="V472" s="46">
        <v>0.87843371510000001</v>
      </c>
      <c r="W472" s="34" t="s">
        <v>3776</v>
      </c>
      <c r="X472" s="34" t="s">
        <v>44</v>
      </c>
      <c r="Y472" s="34" t="s">
        <v>45</v>
      </c>
      <c r="Z472" s="34" t="s">
        <v>65</v>
      </c>
      <c r="AA472" s="34"/>
      <c r="AB472" s="34"/>
      <c r="AC472" s="22">
        <v>0.93592155456542969</v>
      </c>
      <c r="AD472" s="23" t="s">
        <v>606</v>
      </c>
      <c r="AE472" s="24">
        <v>0.83287671232876714</v>
      </c>
      <c r="AF472" s="25">
        <v>0.10098763643021513</v>
      </c>
      <c r="AG472" s="26">
        <v>0</v>
      </c>
      <c r="AH472" s="26">
        <v>0</v>
      </c>
      <c r="AI472" s="27">
        <v>0.87642122400606626</v>
      </c>
      <c r="AJ472" s="27">
        <v>0.87642122400606626</v>
      </c>
      <c r="AK472" s="27">
        <v>0.87642122400606626</v>
      </c>
      <c r="AL472" s="28" t="s">
        <v>607</v>
      </c>
      <c r="AM472" s="29" t="s">
        <v>48</v>
      </c>
      <c r="AN472" s="29" t="s">
        <v>48</v>
      </c>
      <c r="AO472" s="29" t="s">
        <v>48</v>
      </c>
      <c r="AP472" s="47" t="s">
        <v>399</v>
      </c>
      <c r="AQ472" s="28" t="s">
        <v>608</v>
      </c>
      <c r="AR472" s="26">
        <v>1.4999999999999999E-2</v>
      </c>
      <c r="AS472" s="26">
        <v>0</v>
      </c>
    </row>
    <row r="473" spans="1:45" x14ac:dyDescent="0.15">
      <c r="A473" s="64">
        <v>458</v>
      </c>
      <c r="B473" s="64">
        <v>55</v>
      </c>
      <c r="C473" s="11">
        <v>595</v>
      </c>
      <c r="D473" s="61">
        <v>217</v>
      </c>
      <c r="E473" s="61">
        <v>6.8730128245002504E-4</v>
      </c>
      <c r="F473" s="61">
        <v>55</v>
      </c>
      <c r="G473" s="61">
        <v>0.69842625804275404</v>
      </c>
      <c r="H473" s="66">
        <v>12</v>
      </c>
      <c r="I473" s="66" t="str">
        <f>H473&amp;"/"&amp;25</f>
        <v>12/25</v>
      </c>
      <c r="J473" s="68">
        <f>H473/25</f>
        <v>0.48</v>
      </c>
      <c r="K473" s="18" t="s">
        <v>44</v>
      </c>
      <c r="L473" s="18" t="s">
        <v>45</v>
      </c>
      <c r="M473" s="58" t="s">
        <v>817</v>
      </c>
      <c r="N473" s="18">
        <f>[1]!f_prt_stocktonav(C473,"2017/03/31")</f>
        <v>94.256782531738281</v>
      </c>
      <c r="O473" s="20" t="str">
        <f>[1]!f_info_fundmanager(C473)</f>
        <v>归凯</v>
      </c>
      <c r="P473" s="21">
        <v>1.0575342465753426</v>
      </c>
      <c r="Q473" s="34" t="s">
        <v>1945</v>
      </c>
      <c r="R473" s="34" t="s">
        <v>1946</v>
      </c>
      <c r="S473" s="34" t="s">
        <v>92</v>
      </c>
      <c r="T473" s="34">
        <v>20140404</v>
      </c>
      <c r="U473" s="45">
        <v>13.3822055521</v>
      </c>
      <c r="V473" s="46">
        <v>15.344845144900001</v>
      </c>
      <c r="W473" s="34" t="s">
        <v>3776</v>
      </c>
      <c r="X473" s="34" t="s">
        <v>44</v>
      </c>
      <c r="Y473" s="34" t="s">
        <v>45</v>
      </c>
      <c r="Z473" s="34" t="s">
        <v>65</v>
      </c>
      <c r="AA473" s="34"/>
      <c r="AB473" s="34"/>
      <c r="AC473" s="22">
        <v>0.93400863647460941</v>
      </c>
      <c r="AD473" s="23" t="s">
        <v>1947</v>
      </c>
      <c r="AE473" s="24">
        <v>0.82739726027397265</v>
      </c>
      <c r="AF473" s="25">
        <v>0.25815846780933516</v>
      </c>
      <c r="AG473" s="26">
        <v>0</v>
      </c>
      <c r="AH473" s="26">
        <v>0</v>
      </c>
      <c r="AI473" s="27">
        <v>1.2556994688357559</v>
      </c>
      <c r="AJ473" s="27">
        <v>1.2556994688357559</v>
      </c>
      <c r="AK473" s="27">
        <v>1.2556994688357559</v>
      </c>
      <c r="AL473" s="28" t="s">
        <v>1948</v>
      </c>
      <c r="AM473" s="29">
        <v>5</v>
      </c>
      <c r="AN473" s="29">
        <v>4</v>
      </c>
      <c r="AO473" s="29" t="s">
        <v>48</v>
      </c>
      <c r="AP473" s="47" t="s">
        <v>1949</v>
      </c>
      <c r="AQ473" s="28">
        <v>0</v>
      </c>
      <c r="AR473" s="26">
        <v>1.4999999999999999E-2</v>
      </c>
      <c r="AS473" s="26">
        <v>0</v>
      </c>
    </row>
    <row r="474" spans="1:45" x14ac:dyDescent="0.15">
      <c r="A474" s="64">
        <v>138</v>
      </c>
      <c r="B474" s="64">
        <v>613</v>
      </c>
      <c r="C474" s="11">
        <v>1223</v>
      </c>
      <c r="D474" s="61">
        <v>229</v>
      </c>
      <c r="E474" s="61">
        <v>6.0859827083948096E-4</v>
      </c>
      <c r="F474" s="61">
        <v>59</v>
      </c>
      <c r="G474" s="61">
        <v>0.72686907098752696</v>
      </c>
      <c r="H474" s="66">
        <v>13</v>
      </c>
      <c r="I474" s="66" t="str">
        <f>H474&amp;"/"&amp;25</f>
        <v>13/25</v>
      </c>
      <c r="J474" s="68">
        <f>H474/25</f>
        <v>0.52</v>
      </c>
      <c r="K474" s="18" t="s">
        <v>44</v>
      </c>
      <c r="L474" s="18" t="s">
        <v>87</v>
      </c>
      <c r="M474" s="58" t="s">
        <v>817</v>
      </c>
      <c r="N474" s="18">
        <f>[1]!f_prt_stocktonav(C474,"2017/03/31")</f>
        <v>82.538810729980469</v>
      </c>
      <c r="O474" s="20" t="str">
        <f>[1]!f_info_fundmanager(C474)</f>
        <v>谢书英</v>
      </c>
      <c r="P474" s="21">
        <v>1.1753424657534246</v>
      </c>
      <c r="Q474" s="34" t="s">
        <v>703</v>
      </c>
      <c r="R474" s="34" t="s">
        <v>704</v>
      </c>
      <c r="S474" s="34" t="s">
        <v>705</v>
      </c>
      <c r="T474" s="34">
        <v>20160127</v>
      </c>
      <c r="U474" s="45">
        <v>0.56142683029999996</v>
      </c>
      <c r="V474" s="46">
        <v>0.67550626209999998</v>
      </c>
      <c r="W474" s="34" t="s">
        <v>3776</v>
      </c>
      <c r="X474" s="34" t="s">
        <v>44</v>
      </c>
      <c r="Y474" s="34" t="s">
        <v>45</v>
      </c>
      <c r="Z474" s="34" t="s">
        <v>65</v>
      </c>
      <c r="AA474" s="34"/>
      <c r="AB474" s="34"/>
      <c r="AC474" s="22">
        <v>0.83403579711914066</v>
      </c>
      <c r="AD474" s="23" t="s">
        <v>706</v>
      </c>
      <c r="AE474" s="24">
        <v>0.9452054794520548</v>
      </c>
      <c r="AF474" s="25">
        <v>6.6707717315177995E-2</v>
      </c>
      <c r="AG474" s="26">
        <v>0</v>
      </c>
      <c r="AH474" s="26">
        <v>0</v>
      </c>
      <c r="AI474" s="27">
        <v>0.44897495236608559</v>
      </c>
      <c r="AJ474" s="27">
        <v>0.44897495236608559</v>
      </c>
      <c r="AK474" s="27">
        <v>0.44897495236608559</v>
      </c>
      <c r="AL474" s="28" t="s">
        <v>707</v>
      </c>
      <c r="AM474" s="29" t="s">
        <v>48</v>
      </c>
      <c r="AN474" s="29" t="s">
        <v>48</v>
      </c>
      <c r="AO474" s="29" t="s">
        <v>48</v>
      </c>
      <c r="AP474" s="47" t="s">
        <v>708</v>
      </c>
      <c r="AQ474" s="28">
        <v>0</v>
      </c>
      <c r="AR474" s="26">
        <v>1.4999999999999999E-2</v>
      </c>
      <c r="AS474" s="26">
        <v>0</v>
      </c>
    </row>
    <row r="475" spans="1:45" x14ac:dyDescent="0.15">
      <c r="A475" s="64">
        <v>283</v>
      </c>
      <c r="B475" s="64">
        <v>354</v>
      </c>
      <c r="C475" s="11">
        <v>1181</v>
      </c>
      <c r="D475" s="61">
        <v>232</v>
      </c>
      <c r="E475" s="61">
        <v>6.0356305730182701E-4</v>
      </c>
      <c r="F475" s="61">
        <v>66</v>
      </c>
      <c r="G475" s="61">
        <v>0.406922334370381</v>
      </c>
      <c r="H475" s="66">
        <v>14</v>
      </c>
      <c r="I475" s="66" t="str">
        <f>H475&amp;"/"&amp;25</f>
        <v>14/25</v>
      </c>
      <c r="J475" s="68">
        <f>H475/25</f>
        <v>0.56000000000000005</v>
      </c>
      <c r="K475" s="18" t="s">
        <v>44</v>
      </c>
      <c r="L475" s="18" t="s">
        <v>45</v>
      </c>
      <c r="M475" s="58" t="s">
        <v>817</v>
      </c>
      <c r="N475" s="18">
        <f>[1]!f_prt_stocktonav(C475,"2017/03/31")</f>
        <v>88.471694946289063</v>
      </c>
      <c r="O475" s="20" t="str">
        <f>[1]!f_info_fundmanager(C475)</f>
        <v>刘霄汉</v>
      </c>
      <c r="P475" s="21">
        <v>1.252054794520548</v>
      </c>
      <c r="Q475" s="34" t="s">
        <v>1297</v>
      </c>
      <c r="R475" s="34" t="s">
        <v>1298</v>
      </c>
      <c r="S475" s="34" t="s">
        <v>284</v>
      </c>
      <c r="T475" s="34">
        <v>20150519</v>
      </c>
      <c r="U475" s="45">
        <v>20.155798671599999</v>
      </c>
      <c r="V475" s="46">
        <v>23.711212845199999</v>
      </c>
      <c r="W475" s="34" t="s">
        <v>3776</v>
      </c>
      <c r="X475" s="34" t="s">
        <v>44</v>
      </c>
      <c r="Y475" s="17" t="s">
        <v>45</v>
      </c>
      <c r="Z475" s="17" t="s">
        <v>65</v>
      </c>
      <c r="AA475" s="34"/>
      <c r="AB475" s="34"/>
      <c r="AC475" s="22">
        <v>0.86693542480468755</v>
      </c>
      <c r="AD475" s="23" t="s">
        <v>780</v>
      </c>
      <c r="AE475" s="24">
        <v>1.021917808219178</v>
      </c>
      <c r="AF475" s="25">
        <v>-4.1787747049944812E-2</v>
      </c>
      <c r="AG475" s="26">
        <v>0</v>
      </c>
      <c r="AH475" s="26">
        <v>0</v>
      </c>
      <c r="AI475" s="27">
        <v>-0.16798596411060857</v>
      </c>
      <c r="AJ475" s="27">
        <v>-0.16798596411060857</v>
      </c>
      <c r="AK475" s="27">
        <v>-0.16798596411060857</v>
      </c>
      <c r="AL475" s="28" t="s">
        <v>323</v>
      </c>
      <c r="AM475" s="29" t="s">
        <v>48</v>
      </c>
      <c r="AN475" s="29" t="s">
        <v>48</v>
      </c>
      <c r="AO475" s="29" t="s">
        <v>48</v>
      </c>
      <c r="AP475" s="47" t="s">
        <v>82</v>
      </c>
      <c r="AQ475" s="28">
        <v>0</v>
      </c>
      <c r="AR475" s="26">
        <v>1.4999999999999999E-2</v>
      </c>
      <c r="AS475" s="26">
        <v>0</v>
      </c>
    </row>
    <row r="476" spans="1:45" x14ac:dyDescent="0.15">
      <c r="A476" s="64">
        <v>330</v>
      </c>
      <c r="B476" s="64">
        <v>165</v>
      </c>
      <c r="C476" s="11">
        <v>1103</v>
      </c>
      <c r="D476" s="61">
        <v>244</v>
      </c>
      <c r="E476" s="61">
        <v>4.6736086923885797E-4</v>
      </c>
      <c r="F476" s="61">
        <v>103</v>
      </c>
      <c r="G476" s="61">
        <v>0.78304920890600505</v>
      </c>
      <c r="H476" s="66">
        <v>15</v>
      </c>
      <c r="I476" s="66" t="str">
        <f>H476&amp;"/"&amp;25</f>
        <v>15/25</v>
      </c>
      <c r="J476" s="68">
        <f>H476/25</f>
        <v>0.6</v>
      </c>
      <c r="K476" s="18" t="s">
        <v>44</v>
      </c>
      <c r="L476" s="18" t="s">
        <v>45</v>
      </c>
      <c r="M476" s="58" t="s">
        <v>817</v>
      </c>
      <c r="N476" s="18">
        <f>[1]!f_prt_stocktonav(C476,"2017/03/31")</f>
        <v>92.4434814453125</v>
      </c>
      <c r="O476" s="20" t="str">
        <f>[1]!f_info_fundmanager(C476)</f>
        <v>薛小波</v>
      </c>
      <c r="P476" s="21">
        <v>2.0136986301369864</v>
      </c>
      <c r="Q476" s="34" t="s">
        <v>1472</v>
      </c>
      <c r="R476" s="34" t="s">
        <v>1473</v>
      </c>
      <c r="S476" s="34" t="s">
        <v>78</v>
      </c>
      <c r="T476" s="34">
        <v>20150327</v>
      </c>
      <c r="U476" s="45">
        <v>9.7051844836000001</v>
      </c>
      <c r="V476" s="46">
        <v>13.875220453200001</v>
      </c>
      <c r="W476" s="34" t="s">
        <v>3789</v>
      </c>
      <c r="X476" s="34" t="s">
        <v>44</v>
      </c>
      <c r="Y476" s="17" t="s">
        <v>45</v>
      </c>
      <c r="Z476" s="17" t="s">
        <v>817</v>
      </c>
      <c r="AA476" s="34"/>
      <c r="AB476" s="34"/>
      <c r="AC476" s="22">
        <v>0.91617446899414068</v>
      </c>
      <c r="AD476" s="23" t="s">
        <v>1471</v>
      </c>
      <c r="AE476" s="24">
        <v>1.7835616438356163</v>
      </c>
      <c r="AF476" s="25">
        <v>-6.2301183085277101E-3</v>
      </c>
      <c r="AG476" s="26">
        <v>0</v>
      </c>
      <c r="AH476" s="26">
        <v>0</v>
      </c>
      <c r="AI476" s="27">
        <v>-4.7685922458520408E-2</v>
      </c>
      <c r="AJ476" s="27">
        <v>-4.7685922458520408E-2</v>
      </c>
      <c r="AK476" s="27">
        <v>-4.7685922458520408E-2</v>
      </c>
      <c r="AL476" s="28" t="s">
        <v>196</v>
      </c>
      <c r="AM476" s="29" t="s">
        <v>48</v>
      </c>
      <c r="AN476" s="29" t="s">
        <v>48</v>
      </c>
      <c r="AO476" s="29" t="s">
        <v>48</v>
      </c>
      <c r="AP476" s="47" t="s">
        <v>270</v>
      </c>
      <c r="AQ476" s="28">
        <v>0</v>
      </c>
      <c r="AR476" s="26">
        <v>1.4999999999999999E-2</v>
      </c>
      <c r="AS476" s="26">
        <v>0</v>
      </c>
    </row>
    <row r="477" spans="1:45" x14ac:dyDescent="0.15">
      <c r="A477" s="64">
        <v>545</v>
      </c>
      <c r="B477" s="64">
        <v>730</v>
      </c>
      <c r="C477" s="11">
        <v>560006</v>
      </c>
      <c r="D477" s="61">
        <v>252</v>
      </c>
      <c r="E477" s="61">
        <v>3.6565765098086099E-4</v>
      </c>
      <c r="F477" s="61">
        <v>39</v>
      </c>
      <c r="G477" s="61">
        <v>0.80098732769176195</v>
      </c>
      <c r="H477" s="66">
        <v>16</v>
      </c>
      <c r="I477" s="66" t="str">
        <f>H477&amp;"/"&amp;25</f>
        <v>16/25</v>
      </c>
      <c r="J477" s="68">
        <f>H477/25</f>
        <v>0.64</v>
      </c>
      <c r="K477" s="18" t="s">
        <v>44</v>
      </c>
      <c r="L477" s="18" t="s">
        <v>45</v>
      </c>
      <c r="M477" s="58" t="s">
        <v>817</v>
      </c>
      <c r="N477" s="18">
        <f>[1]!f_prt_stocktonav(C477,"2017/03/31")</f>
        <v>79.005149841308594</v>
      </c>
      <c r="O477" s="20" t="str">
        <f>[1]!f_info_fundmanager(C477)</f>
        <v>吕伟</v>
      </c>
      <c r="P477" s="21">
        <v>0.73972602739726023</v>
      </c>
      <c r="Q477" s="34" t="s">
        <v>2261</v>
      </c>
      <c r="R477" s="34" t="s">
        <v>2262</v>
      </c>
      <c r="S477" s="34" t="s">
        <v>2263</v>
      </c>
      <c r="T477" s="34">
        <v>20120816</v>
      </c>
      <c r="U477" s="45">
        <v>0.41226315829999999</v>
      </c>
      <c r="V477" s="46">
        <v>0.44722831559999998</v>
      </c>
      <c r="W477" s="34" t="s">
        <v>201</v>
      </c>
      <c r="X477" s="34" t="s">
        <v>44</v>
      </c>
      <c r="Y477" s="34" t="s">
        <v>45</v>
      </c>
      <c r="Z477" s="34" t="s">
        <v>65</v>
      </c>
      <c r="AA477" s="34"/>
      <c r="AB477" s="34"/>
      <c r="AC477" s="22">
        <v>0.76227577209472652</v>
      </c>
      <c r="AD477" s="23" t="s">
        <v>2264</v>
      </c>
      <c r="AE477" s="24">
        <v>0.50958904109589043</v>
      </c>
      <c r="AF477" s="25">
        <v>6.5241307482294175E-2</v>
      </c>
      <c r="AG477" s="26">
        <v>1.6717635239593465E-2</v>
      </c>
      <c r="AH477" s="26">
        <v>0</v>
      </c>
      <c r="AI477" s="27">
        <v>0.31553774692382308</v>
      </c>
      <c r="AJ477" s="27">
        <v>0.15888980492125462</v>
      </c>
      <c r="AK477" s="27">
        <v>0.31553774692382308</v>
      </c>
      <c r="AL477" s="28" t="s">
        <v>2265</v>
      </c>
      <c r="AM477" s="29">
        <v>1</v>
      </c>
      <c r="AN477" s="29" t="s">
        <v>48</v>
      </c>
      <c r="AO477" s="29" t="s">
        <v>48</v>
      </c>
      <c r="AP477" s="47" t="s">
        <v>715</v>
      </c>
      <c r="AQ477" s="28">
        <v>0</v>
      </c>
      <c r="AR477" s="26">
        <v>1.4999999999999999E-2</v>
      </c>
      <c r="AS477" s="26">
        <v>0</v>
      </c>
    </row>
    <row r="478" spans="1:45" x14ac:dyDescent="0.15">
      <c r="A478" s="64">
        <v>786</v>
      </c>
      <c r="B478" s="64">
        <v>477</v>
      </c>
      <c r="C478" s="11">
        <v>519039</v>
      </c>
      <c r="D478" s="61">
        <v>259</v>
      </c>
      <c r="E478" s="61">
        <v>2.8953882045957202E-4</v>
      </c>
      <c r="F478" s="61">
        <v>65</v>
      </c>
      <c r="G478" s="61">
        <v>0.76092792835284795</v>
      </c>
      <c r="H478" s="66">
        <v>17</v>
      </c>
      <c r="I478" s="66" t="str">
        <f>H478&amp;"/"&amp;25</f>
        <v>17/25</v>
      </c>
      <c r="J478" s="68">
        <f>H478/25</f>
        <v>0.68</v>
      </c>
      <c r="K478" s="18" t="s">
        <v>44</v>
      </c>
      <c r="L478" s="18" t="s">
        <v>87</v>
      </c>
      <c r="M478" s="58" t="s">
        <v>817</v>
      </c>
      <c r="N478" s="18">
        <f>[1]!f_prt_stocktonav(C478,"2017/03/31")</f>
        <v>85.727798461914062</v>
      </c>
      <c r="O478" s="20" t="str">
        <f>[1]!f_info_fundmanager(C478)</f>
        <v>乔林建</v>
      </c>
      <c r="P478" s="21">
        <v>1.2328767123287672</v>
      </c>
      <c r="Q478" s="34" t="s">
        <v>3067</v>
      </c>
      <c r="R478" s="34" t="s">
        <v>3068</v>
      </c>
      <c r="S478" s="34" t="s">
        <v>364</v>
      </c>
      <c r="T478" s="34">
        <v>20071025</v>
      </c>
      <c r="U478" s="45">
        <v>16.498358717799999</v>
      </c>
      <c r="V478" s="46">
        <v>17.495172279399998</v>
      </c>
      <c r="W478" s="34" t="s">
        <v>231</v>
      </c>
      <c r="X478" s="34" t="s">
        <v>44</v>
      </c>
      <c r="Y478" s="34" t="s">
        <v>45</v>
      </c>
      <c r="Z478" s="34" t="s">
        <v>817</v>
      </c>
      <c r="AA478" s="34"/>
      <c r="AB478" s="34"/>
      <c r="AC478" s="22">
        <v>0.8766609191894531</v>
      </c>
      <c r="AD478" s="23" t="s">
        <v>3069</v>
      </c>
      <c r="AE478" s="24">
        <v>1.0027397260273974</v>
      </c>
      <c r="AF478" s="25">
        <v>3.2431923075679325E-2</v>
      </c>
      <c r="AG478" s="26">
        <v>0.18722404364131548</v>
      </c>
      <c r="AH478" s="26">
        <v>0.13210966755233033</v>
      </c>
      <c r="AI478" s="27">
        <v>0.18466333337687518</v>
      </c>
      <c r="AJ478" s="27">
        <v>0.87037408737948307</v>
      </c>
      <c r="AK478" s="27">
        <v>0.67351428631110311</v>
      </c>
      <c r="AL478" s="28" t="s">
        <v>726</v>
      </c>
      <c r="AM478" s="29">
        <v>5</v>
      </c>
      <c r="AN478" s="29">
        <v>4</v>
      </c>
      <c r="AO478" s="29" t="s">
        <v>48</v>
      </c>
      <c r="AP478" s="47" t="s">
        <v>3011</v>
      </c>
      <c r="AQ478" s="28">
        <v>0</v>
      </c>
      <c r="AR478" s="26">
        <v>1.4999999999999999E-2</v>
      </c>
      <c r="AS478" s="26">
        <v>0</v>
      </c>
    </row>
    <row r="479" spans="1:45" x14ac:dyDescent="0.15">
      <c r="A479" s="64">
        <v>395</v>
      </c>
      <c r="B479" s="64">
        <v>112</v>
      </c>
      <c r="C479" s="11">
        <v>854</v>
      </c>
      <c r="D479" s="61">
        <v>260</v>
      </c>
      <c r="E479" s="61">
        <v>2.8518571717179501E-4</v>
      </c>
      <c r="F479" s="61">
        <v>119</v>
      </c>
      <c r="G479" s="61">
        <v>0.89050324034737105</v>
      </c>
      <c r="H479" s="66">
        <v>18</v>
      </c>
      <c r="I479" s="66" t="str">
        <f>H479&amp;"/"&amp;25</f>
        <v>18/25</v>
      </c>
      <c r="J479" s="68">
        <f>H479/25</f>
        <v>0.72</v>
      </c>
      <c r="K479" s="18" t="s">
        <v>44</v>
      </c>
      <c r="L479" s="18" t="s">
        <v>45</v>
      </c>
      <c r="M479" s="58" t="s">
        <v>817</v>
      </c>
      <c r="N479" s="18">
        <f>[1]!f_prt_stocktonav(C479,"2017/03/31")</f>
        <v>93.375358581542969</v>
      </c>
      <c r="O479" s="20" t="str">
        <f>[1]!f_info_fundmanager(C479)</f>
        <v>王宗合</v>
      </c>
      <c r="P479" s="21">
        <v>2.3287671232876712</v>
      </c>
      <c r="Q479" s="34" t="s">
        <v>1708</v>
      </c>
      <c r="R479" s="34" t="s">
        <v>1709</v>
      </c>
      <c r="S479" s="34" t="s">
        <v>705</v>
      </c>
      <c r="T479" s="34">
        <v>20141202</v>
      </c>
      <c r="U479" s="45">
        <v>1.7928744555</v>
      </c>
      <c r="V479" s="46">
        <v>2.5021840564</v>
      </c>
      <c r="W479" s="34" t="s">
        <v>3789</v>
      </c>
      <c r="X479" s="34" t="s">
        <v>44</v>
      </c>
      <c r="Y479" s="34" t="s">
        <v>45</v>
      </c>
      <c r="Z479" s="34" t="s">
        <v>817</v>
      </c>
      <c r="AA479" s="34"/>
      <c r="AB479" s="34"/>
      <c r="AC479" s="22">
        <v>0.80907028198242192</v>
      </c>
      <c r="AD479" s="23" t="s">
        <v>1710</v>
      </c>
      <c r="AE479" s="24">
        <v>2.0986301369863014</v>
      </c>
      <c r="AF479" s="25">
        <v>7.3337914466028664E-2</v>
      </c>
      <c r="AG479" s="26">
        <v>0</v>
      </c>
      <c r="AH479" s="26">
        <v>0</v>
      </c>
      <c r="AI479" s="27">
        <v>0.34564940428449692</v>
      </c>
      <c r="AJ479" s="27">
        <v>0.34564940428449692</v>
      </c>
      <c r="AK479" s="27">
        <v>0.34564940428449692</v>
      </c>
      <c r="AL479" s="28" t="s">
        <v>380</v>
      </c>
      <c r="AM479" s="29" t="s">
        <v>48</v>
      </c>
      <c r="AN479" s="29" t="s">
        <v>48</v>
      </c>
      <c r="AO479" s="29" t="s">
        <v>48</v>
      </c>
      <c r="AP479" s="47" t="s">
        <v>1711</v>
      </c>
      <c r="AQ479" s="28">
        <v>0</v>
      </c>
      <c r="AR479" s="26">
        <v>1.4999999999999999E-2</v>
      </c>
      <c r="AS479" s="26">
        <v>0</v>
      </c>
    </row>
    <row r="480" spans="1:45" x14ac:dyDescent="0.15">
      <c r="A480" s="64">
        <v>445</v>
      </c>
      <c r="B480" s="64">
        <v>319</v>
      </c>
      <c r="C480" s="11">
        <v>496</v>
      </c>
      <c r="D480" s="61">
        <v>261</v>
      </c>
      <c r="E480" s="61">
        <v>2.79897056782288E-4</v>
      </c>
      <c r="F480" s="61">
        <v>97</v>
      </c>
      <c r="G480" s="61">
        <v>0.524486787334836</v>
      </c>
      <c r="H480" s="66">
        <v>19</v>
      </c>
      <c r="I480" s="66" t="str">
        <f>H480&amp;"/"&amp;25</f>
        <v>19/25</v>
      </c>
      <c r="J480" s="68">
        <f>H480/25</f>
        <v>0.76</v>
      </c>
      <c r="K480" s="18" t="s">
        <v>44</v>
      </c>
      <c r="L480" s="18" t="s">
        <v>45</v>
      </c>
      <c r="M480" s="58" t="s">
        <v>817</v>
      </c>
      <c r="N480" s="18">
        <f>[1]!f_prt_stocktonav(C480,"2017/03/31")</f>
        <v>89.073089599609375</v>
      </c>
      <c r="O480" s="20" t="str">
        <f>[1]!f_info_fundmanager(C480)</f>
        <v>林忠晶,栾绍菲</v>
      </c>
      <c r="P480" s="21">
        <v>1.8520547945205479</v>
      </c>
      <c r="Q480" s="34" t="s">
        <v>1897</v>
      </c>
      <c r="R480" s="34" t="s">
        <v>1898</v>
      </c>
      <c r="S480" s="34" t="s">
        <v>1306</v>
      </c>
      <c r="T480" s="34">
        <v>20140507</v>
      </c>
      <c r="U480" s="45">
        <v>1.3555902077999999</v>
      </c>
      <c r="V480" s="46">
        <v>0.17084416550000001</v>
      </c>
      <c r="W480" s="34" t="s">
        <v>3776</v>
      </c>
      <c r="X480" s="34" t="s">
        <v>41</v>
      </c>
      <c r="Y480" s="34" t="s">
        <v>42</v>
      </c>
      <c r="Z480" s="34" t="s">
        <v>388</v>
      </c>
      <c r="AA480" s="34"/>
      <c r="AB480" s="34"/>
      <c r="AC480" s="22">
        <v>3.3753702640533449E-2</v>
      </c>
      <c r="AD480" s="23" t="s">
        <v>1899</v>
      </c>
      <c r="AE480" s="24">
        <v>1.6219178082191781</v>
      </c>
      <c r="AF480" s="25">
        <v>6.9309969512797887E-2</v>
      </c>
      <c r="AG480" s="26">
        <v>0</v>
      </c>
      <c r="AH480" s="26">
        <v>0</v>
      </c>
      <c r="AI480" s="27">
        <v>1.6632623960003228</v>
      </c>
      <c r="AJ480" s="27">
        <v>1.6632623960003228</v>
      </c>
      <c r="AK480" s="27">
        <v>1.6632623960003228</v>
      </c>
      <c r="AL480" s="28" t="s">
        <v>1900</v>
      </c>
      <c r="AM480" s="29" t="s">
        <v>48</v>
      </c>
      <c r="AN480" s="29" t="s">
        <v>48</v>
      </c>
      <c r="AO480" s="29" t="s">
        <v>48</v>
      </c>
      <c r="AP480" s="47" t="s">
        <v>209</v>
      </c>
      <c r="AQ480" s="28">
        <v>0</v>
      </c>
      <c r="AR480" s="26">
        <v>1.2000000476837159E-2</v>
      </c>
      <c r="AS480" s="26">
        <v>0</v>
      </c>
    </row>
    <row r="481" spans="1:45" x14ac:dyDescent="0.15">
      <c r="A481" s="64">
        <v>936</v>
      </c>
      <c r="B481" s="64">
        <v>913</v>
      </c>
      <c r="C481" s="11">
        <v>70002</v>
      </c>
      <c r="D481" s="61">
        <v>286</v>
      </c>
      <c r="E481" s="61">
        <v>6.0700435598441098E-5</v>
      </c>
      <c r="F481" s="61">
        <v>65</v>
      </c>
      <c r="G481" s="61">
        <v>0.960926728407415</v>
      </c>
      <c r="H481" s="66">
        <v>20</v>
      </c>
      <c r="I481" s="66" t="str">
        <f>H481&amp;"/"&amp;25</f>
        <v>20/25</v>
      </c>
      <c r="J481" s="68">
        <f>H481/25</f>
        <v>0.8</v>
      </c>
      <c r="K481" s="18" t="s">
        <v>44</v>
      </c>
      <c r="L481" s="18" t="s">
        <v>45</v>
      </c>
      <c r="M481" s="58" t="s">
        <v>817</v>
      </c>
      <c r="N481" s="18">
        <f>[1]!f_prt_stocktonav(C481,"2017/03/31")</f>
        <v>71.807350158691406</v>
      </c>
      <c r="O481" s="20" t="str">
        <f>[1]!f_info_fundmanager(C481)</f>
        <v>刘美玲</v>
      </c>
      <c r="P481" s="21">
        <v>1.2493150684931507</v>
      </c>
      <c r="Q481" s="34" t="s">
        <v>3640</v>
      </c>
      <c r="R481" s="34" t="s">
        <v>3641</v>
      </c>
      <c r="S481" s="34" t="s">
        <v>92</v>
      </c>
      <c r="T481" s="34">
        <v>20030709</v>
      </c>
      <c r="U481" s="45">
        <v>26.461965295700001</v>
      </c>
      <c r="V481" s="46">
        <v>27.3113422443</v>
      </c>
      <c r="W481" s="34" t="s">
        <v>231</v>
      </c>
      <c r="X481" s="34" t="s">
        <v>44</v>
      </c>
      <c r="Y481" s="34" t="s">
        <v>45</v>
      </c>
      <c r="Z481" s="34" t="s">
        <v>817</v>
      </c>
      <c r="AA481" s="34"/>
      <c r="AB481" s="34"/>
      <c r="AC481" s="22">
        <v>0.74016151428222654</v>
      </c>
      <c r="AD481" s="23" t="s">
        <v>109</v>
      </c>
      <c r="AE481" s="24">
        <v>1.0191780821917809</v>
      </c>
      <c r="AF481" s="25">
        <v>0.20640384421048963</v>
      </c>
      <c r="AG481" s="26">
        <v>0.21040065784052242</v>
      </c>
      <c r="AH481" s="26">
        <v>0.16391961877551675</v>
      </c>
      <c r="AI481" s="27">
        <v>0.93236992714835332</v>
      </c>
      <c r="AJ481" s="27">
        <v>0.79398939170499316</v>
      </c>
      <c r="AK481" s="27">
        <v>0.71798872282120063</v>
      </c>
      <c r="AL481" s="28" t="s">
        <v>3642</v>
      </c>
      <c r="AM481" s="29">
        <v>4</v>
      </c>
      <c r="AN481" s="29">
        <v>3</v>
      </c>
      <c r="AO481" s="29" t="s">
        <v>48</v>
      </c>
      <c r="AP481" s="47" t="s">
        <v>427</v>
      </c>
      <c r="AQ481" s="28" t="s">
        <v>2293</v>
      </c>
      <c r="AR481" s="26">
        <v>1.4999999999999999E-2</v>
      </c>
      <c r="AS481" s="26">
        <v>0</v>
      </c>
    </row>
    <row r="482" spans="1:45" x14ac:dyDescent="0.15">
      <c r="A482" s="64">
        <v>152</v>
      </c>
      <c r="B482" s="64">
        <v>937</v>
      </c>
      <c r="C482" s="11">
        <v>2107</v>
      </c>
      <c r="D482" s="61">
        <v>314</v>
      </c>
      <c r="E482" s="61">
        <v>-1.35119873010961E-4</v>
      </c>
      <c r="F482" s="61">
        <v>63</v>
      </c>
      <c r="G482" s="61">
        <v>0.90026461647730804</v>
      </c>
      <c r="H482" s="66">
        <v>21</v>
      </c>
      <c r="I482" s="66" t="str">
        <f>H482&amp;"/"&amp;25</f>
        <v>21/25</v>
      </c>
      <c r="J482" s="68">
        <f>H482/25</f>
        <v>0.84</v>
      </c>
      <c r="K482" s="18" t="s">
        <v>44</v>
      </c>
      <c r="L482" s="18" t="s">
        <v>45</v>
      </c>
      <c r="M482" s="58" t="s">
        <v>817</v>
      </c>
      <c r="N482" s="18">
        <f>[1]!f_prt_stocktonav(C482,"2017/03/31")</f>
        <v>70.850822448730469</v>
      </c>
      <c r="O482" s="20" t="str">
        <f>[1]!f_info_fundmanager(C482)</f>
        <v>张芊</v>
      </c>
      <c r="P482" s="21">
        <v>1.2547945205479452</v>
      </c>
      <c r="Q482" s="34" t="s">
        <v>769</v>
      </c>
      <c r="R482" s="34" t="s">
        <v>770</v>
      </c>
      <c r="S482" s="34" t="s">
        <v>132</v>
      </c>
      <c r="T482" s="34">
        <v>20151229</v>
      </c>
      <c r="U482" s="45">
        <v>2.3453303821000002</v>
      </c>
      <c r="V482" s="46">
        <v>2.8545757391</v>
      </c>
      <c r="W482" s="34" t="s">
        <v>3789</v>
      </c>
      <c r="X482" s="34" t="s">
        <v>41</v>
      </c>
      <c r="Y482" s="17" t="s">
        <v>42</v>
      </c>
      <c r="Z482" s="17" t="s">
        <v>181</v>
      </c>
      <c r="AA482" s="34"/>
      <c r="AB482" s="34"/>
      <c r="AC482" s="22">
        <v>0.54498668670654293</v>
      </c>
      <c r="AD482" s="23" t="s">
        <v>771</v>
      </c>
      <c r="AE482" s="24">
        <v>1.0246575342465754</v>
      </c>
      <c r="AF482" s="25">
        <v>-0.11778918896223045</v>
      </c>
      <c r="AG482" s="26">
        <v>0</v>
      </c>
      <c r="AH482" s="26">
        <v>0</v>
      </c>
      <c r="AI482" s="27">
        <v>-0.82456063349848541</v>
      </c>
      <c r="AJ482" s="27">
        <v>-0.82456063349848541</v>
      </c>
      <c r="AK482" s="27">
        <v>-0.82456063349848541</v>
      </c>
      <c r="AL482" s="28" t="s">
        <v>134</v>
      </c>
      <c r="AM482" s="29" t="s">
        <v>48</v>
      </c>
      <c r="AN482" s="29" t="s">
        <v>48</v>
      </c>
      <c r="AO482" s="29" t="s">
        <v>48</v>
      </c>
      <c r="AP482" s="47" t="s">
        <v>772</v>
      </c>
      <c r="AQ482" s="28">
        <v>0</v>
      </c>
      <c r="AR482" s="26">
        <v>6.0000002384185793E-3</v>
      </c>
      <c r="AS482" s="26">
        <v>0</v>
      </c>
    </row>
    <row r="483" spans="1:45" x14ac:dyDescent="0.15">
      <c r="A483" s="64">
        <v>315</v>
      </c>
      <c r="B483" s="64">
        <v>716</v>
      </c>
      <c r="C483" s="11">
        <v>1140</v>
      </c>
      <c r="D483" s="61">
        <v>414</v>
      </c>
      <c r="E483" s="61">
        <v>-8.2537012868810701E-4</v>
      </c>
      <c r="F483" s="61">
        <v>100</v>
      </c>
      <c r="G483" s="61">
        <v>0.53905738435626205</v>
      </c>
      <c r="H483" s="66">
        <v>22</v>
      </c>
      <c r="I483" s="66" t="str">
        <f>H483&amp;"/"&amp;25</f>
        <v>22/25</v>
      </c>
      <c r="J483" s="68">
        <f>H483/25</f>
        <v>0.88</v>
      </c>
      <c r="K483" s="18" t="s">
        <v>44</v>
      </c>
      <c r="L483" s="18" t="s">
        <v>45</v>
      </c>
      <c r="M483" s="58" t="s">
        <v>817</v>
      </c>
      <c r="N483" s="18">
        <f>[1]!f_prt_stocktonav(C483,"2017/03/31")</f>
        <v>79.587127685546875</v>
      </c>
      <c r="O483" s="20" t="str">
        <f>[1]!f_info_fundmanager(C483)</f>
        <v>杜海涛,鄢耀</v>
      </c>
      <c r="P483" s="21">
        <v>1.9561643835616438</v>
      </c>
      <c r="Q483" s="34" t="s">
        <v>1421</v>
      </c>
      <c r="R483" s="34" t="s">
        <v>1422</v>
      </c>
      <c r="S483" s="34" t="s">
        <v>523</v>
      </c>
      <c r="T483" s="34">
        <v>20150417</v>
      </c>
      <c r="U483" s="45">
        <v>21.631564503900002</v>
      </c>
      <c r="V483" s="46">
        <v>25.101887043200001</v>
      </c>
      <c r="W483" s="34" t="s">
        <v>201</v>
      </c>
      <c r="X483" s="34" t="s">
        <v>44</v>
      </c>
      <c r="Y483" s="34" t="s">
        <v>45</v>
      </c>
      <c r="Z483" s="34" t="s">
        <v>817</v>
      </c>
      <c r="AA483" s="34"/>
      <c r="AB483" s="34"/>
      <c r="AC483" s="22">
        <v>0.83655128479003904</v>
      </c>
      <c r="AD483" s="23" t="s">
        <v>1423</v>
      </c>
      <c r="AE483" s="24">
        <v>1.726027397260274</v>
      </c>
      <c r="AF483" s="25">
        <v>-2.9511070963407882E-2</v>
      </c>
      <c r="AG483" s="26">
        <v>0</v>
      </c>
      <c r="AH483" s="26">
        <v>0</v>
      </c>
      <c r="AI483" s="27">
        <v>-9.4711918262645786E-2</v>
      </c>
      <c r="AJ483" s="27">
        <v>-9.4711918262645786E-2</v>
      </c>
      <c r="AK483" s="27">
        <v>-9.4711918262645786E-2</v>
      </c>
      <c r="AL483" s="28" t="s">
        <v>1424</v>
      </c>
      <c r="AM483" s="29" t="s">
        <v>48</v>
      </c>
      <c r="AN483" s="29" t="s">
        <v>48</v>
      </c>
      <c r="AO483" s="29" t="s">
        <v>48</v>
      </c>
      <c r="AP483" s="47" t="s">
        <v>255</v>
      </c>
      <c r="AQ483" s="28">
        <v>0</v>
      </c>
      <c r="AR483" s="26">
        <v>1.4999999999999999E-2</v>
      </c>
      <c r="AS483" s="26">
        <v>0</v>
      </c>
    </row>
    <row r="484" spans="1:45" x14ac:dyDescent="0.15">
      <c r="A484" s="64">
        <v>641</v>
      </c>
      <c r="B484" s="64">
        <v>334</v>
      </c>
      <c r="C484" s="11">
        <v>376510</v>
      </c>
      <c r="D484" s="61">
        <v>519</v>
      </c>
      <c r="E484" s="61">
        <v>-1.5643846244591099E-3</v>
      </c>
      <c r="F484" s="61">
        <v>193</v>
      </c>
      <c r="G484" s="61">
        <v>0.18646193400414399</v>
      </c>
      <c r="H484" s="66">
        <v>23</v>
      </c>
      <c r="I484" s="66" t="str">
        <f>H484&amp;"/"&amp;25</f>
        <v>23/25</v>
      </c>
      <c r="J484" s="68">
        <f>H484/25</f>
        <v>0.92</v>
      </c>
      <c r="K484" s="18" t="s">
        <v>44</v>
      </c>
      <c r="L484" s="19" t="s">
        <v>45</v>
      </c>
      <c r="M484" s="59" t="s">
        <v>817</v>
      </c>
      <c r="N484" s="18">
        <f>[1]!f_prt_stocktonav(C484,"2017/03/31")</f>
        <v>88.758140563964844</v>
      </c>
      <c r="O484" s="20" t="str">
        <f>[1]!f_info_fundmanager(C484)</f>
        <v>征茂平</v>
      </c>
      <c r="P484" s="21">
        <v>3.6931506849315068</v>
      </c>
      <c r="Q484" s="12" t="s">
        <v>2589</v>
      </c>
      <c r="R484" s="13" t="s">
        <v>2590</v>
      </c>
      <c r="S484" s="13" t="s">
        <v>511</v>
      </c>
      <c r="T484" s="13">
        <v>20101220</v>
      </c>
      <c r="U484" s="14">
        <v>1.5975025352000001</v>
      </c>
      <c r="V484" s="15" t="s">
        <v>3782</v>
      </c>
      <c r="W484" s="16" t="s">
        <v>40</v>
      </c>
      <c r="X484" s="17" t="s">
        <v>44</v>
      </c>
      <c r="Y484" s="17" t="s">
        <v>45</v>
      </c>
      <c r="Z484" s="17" t="s">
        <v>817</v>
      </c>
      <c r="AA484" s="13"/>
      <c r="AB484" s="13"/>
      <c r="AC484" s="22">
        <v>0.91186157226562503</v>
      </c>
      <c r="AD484" s="23" t="s">
        <v>2591</v>
      </c>
      <c r="AE484" s="24">
        <v>3.463013698630137</v>
      </c>
      <c r="AF484" s="25">
        <v>4.3206469073289178E-2</v>
      </c>
      <c r="AG484" s="26">
        <v>7.4037655197938923E-2</v>
      </c>
      <c r="AH484" s="26">
        <v>0.11120517217466851</v>
      </c>
      <c r="AI484" s="27">
        <v>0.23709600601279801</v>
      </c>
      <c r="AJ484" s="27">
        <v>0.31808863823583816</v>
      </c>
      <c r="AK484" s="27">
        <v>0.48709478245520355</v>
      </c>
      <c r="AL484" s="28" t="s">
        <v>1009</v>
      </c>
      <c r="AM484" s="29">
        <v>2</v>
      </c>
      <c r="AN484" s="29">
        <v>4</v>
      </c>
      <c r="AO484" s="29" t="s">
        <v>48</v>
      </c>
      <c r="AP484" s="23" t="s">
        <v>2592</v>
      </c>
      <c r="AQ484" s="30">
        <v>0</v>
      </c>
      <c r="AR484" s="31">
        <v>1.4999999999999999E-2</v>
      </c>
      <c r="AS484" s="31">
        <v>0</v>
      </c>
    </row>
    <row r="485" spans="1:45" x14ac:dyDescent="0.15">
      <c r="A485" s="64">
        <v>427</v>
      </c>
      <c r="B485" s="64">
        <v>81</v>
      </c>
      <c r="C485" s="11">
        <v>690</v>
      </c>
      <c r="D485" s="61">
        <v>634</v>
      </c>
      <c r="E485" s="61">
        <v>-2.3748307382234499E-3</v>
      </c>
      <c r="F485" s="61">
        <v>79</v>
      </c>
      <c r="G485" s="61">
        <v>0.124779118336227</v>
      </c>
      <c r="H485" s="66">
        <v>24</v>
      </c>
      <c r="I485" s="66" t="str">
        <f>H485&amp;"/"&amp;25</f>
        <v>24/25</v>
      </c>
      <c r="J485" s="68">
        <f>H485/25</f>
        <v>0.96</v>
      </c>
      <c r="K485" s="18" t="s">
        <v>44</v>
      </c>
      <c r="L485" s="18" t="s">
        <v>45</v>
      </c>
      <c r="M485" s="58" t="s">
        <v>817</v>
      </c>
      <c r="N485" s="18">
        <f>[1]!f_prt_stocktonav(C485,"2017/03/31")</f>
        <v>93.887672424316406</v>
      </c>
      <c r="O485" s="20" t="str">
        <f>[1]!f_info_fundmanager(C485)</f>
        <v>吴国清</v>
      </c>
      <c r="P485" s="21">
        <v>1.515068493150685</v>
      </c>
      <c r="Q485" s="34" t="s">
        <v>1832</v>
      </c>
      <c r="R485" s="34" t="s">
        <v>1833</v>
      </c>
      <c r="S485" s="34" t="s">
        <v>78</v>
      </c>
      <c r="T485" s="34">
        <v>20140731</v>
      </c>
      <c r="U485" s="45">
        <v>1.7185645146999999</v>
      </c>
      <c r="V485" s="46">
        <v>1.7211111521</v>
      </c>
      <c r="W485" s="34" t="s">
        <v>3776</v>
      </c>
      <c r="X485" s="34" t="s">
        <v>44</v>
      </c>
      <c r="Y485" s="34" t="s">
        <v>45</v>
      </c>
      <c r="Z485" s="34" t="s">
        <v>817</v>
      </c>
      <c r="AA485" s="34"/>
      <c r="AB485" s="34"/>
      <c r="AC485" s="22">
        <v>0.86524200439453125</v>
      </c>
      <c r="AD485" s="23" t="s">
        <v>1834</v>
      </c>
      <c r="AE485" s="24">
        <v>1.284931506849315</v>
      </c>
      <c r="AF485" s="25">
        <v>4.9006288233962136E-2</v>
      </c>
      <c r="AG485" s="26">
        <v>0</v>
      </c>
      <c r="AH485" s="26">
        <v>0</v>
      </c>
      <c r="AI485" s="27">
        <v>0.26055291913108786</v>
      </c>
      <c r="AJ485" s="27">
        <v>0.26055291913108786</v>
      </c>
      <c r="AK485" s="27">
        <v>0.26055291913108786</v>
      </c>
      <c r="AL485" s="28" t="s">
        <v>196</v>
      </c>
      <c r="AM485" s="29" t="s">
        <v>48</v>
      </c>
      <c r="AN485" s="29" t="s">
        <v>48</v>
      </c>
      <c r="AO485" s="29" t="s">
        <v>48</v>
      </c>
      <c r="AP485" s="47" t="s">
        <v>270</v>
      </c>
      <c r="AQ485" s="28">
        <v>0</v>
      </c>
      <c r="AR485" s="26">
        <v>1.4999999999999999E-2</v>
      </c>
      <c r="AS485" s="26">
        <v>0</v>
      </c>
    </row>
    <row r="486" spans="1:45" x14ac:dyDescent="0.15">
      <c r="A486" s="64">
        <v>778</v>
      </c>
      <c r="B486" s="64">
        <v>809</v>
      </c>
      <c r="C486" s="11">
        <v>163805</v>
      </c>
      <c r="D486" s="61">
        <v>642</v>
      </c>
      <c r="E486" s="61">
        <v>-2.4558812726061499E-3</v>
      </c>
      <c r="F486" s="61">
        <v>96</v>
      </c>
      <c r="G486" s="61">
        <v>0.16552280531946301</v>
      </c>
      <c r="H486" s="66">
        <v>25</v>
      </c>
      <c r="I486" s="66" t="str">
        <f>H486&amp;"/"&amp;25</f>
        <v>25/25</v>
      </c>
      <c r="J486" s="68">
        <f>H486/25</f>
        <v>1</v>
      </c>
      <c r="K486" s="18" t="s">
        <v>44</v>
      </c>
      <c r="L486" s="18" t="s">
        <v>45</v>
      </c>
      <c r="M486" s="58" t="s">
        <v>817</v>
      </c>
      <c r="N486" s="18">
        <f>[1]!f_prt_stocktonav(C486,"2017/03/31")</f>
        <v>76.366416931152344</v>
      </c>
      <c r="O486" s="20" t="str">
        <f>[1]!f_info_fundmanager(C486)</f>
        <v>邬炜</v>
      </c>
      <c r="P486" s="21">
        <v>1.8410958904109589</v>
      </c>
      <c r="Q486" s="34" t="s">
        <v>3042</v>
      </c>
      <c r="R486" s="34" t="s">
        <v>3043</v>
      </c>
      <c r="S486" s="34" t="s">
        <v>71</v>
      </c>
      <c r="T486" s="34">
        <v>20080403</v>
      </c>
      <c r="U486" s="45">
        <v>6.6593343035999997</v>
      </c>
      <c r="V486" s="46">
        <v>6.5872648633999997</v>
      </c>
      <c r="W486" s="34" t="s">
        <v>231</v>
      </c>
      <c r="X486" s="34" t="s">
        <v>44</v>
      </c>
      <c r="Y486" s="34" t="s">
        <v>45</v>
      </c>
      <c r="Z486" s="34" t="s">
        <v>817</v>
      </c>
      <c r="AA486" s="34"/>
      <c r="AB486" s="34"/>
      <c r="AC486" s="22">
        <v>0.74801399230957033</v>
      </c>
      <c r="AD486" s="23" t="s">
        <v>990</v>
      </c>
      <c r="AE486" s="24">
        <v>1.6109589041095891</v>
      </c>
      <c r="AF486" s="25">
        <v>0.11292386198599334</v>
      </c>
      <c r="AG486" s="26">
        <v>0.21020711472773201</v>
      </c>
      <c r="AH486" s="26">
        <v>0.17540208036520699</v>
      </c>
      <c r="AI486" s="27">
        <v>0.51872095745199487</v>
      </c>
      <c r="AJ486" s="27">
        <v>0.77672815702720499</v>
      </c>
      <c r="AK486" s="27">
        <v>0.71925526203415913</v>
      </c>
      <c r="AL486" s="28" t="s">
        <v>3044</v>
      </c>
      <c r="AM486" s="29">
        <v>4</v>
      </c>
      <c r="AN486" s="29">
        <v>3</v>
      </c>
      <c r="AO486" s="29" t="s">
        <v>48</v>
      </c>
      <c r="AP486" s="47" t="s">
        <v>845</v>
      </c>
      <c r="AQ486" s="28">
        <v>0</v>
      </c>
      <c r="AR486" s="26">
        <v>1.4999999999999999E-2</v>
      </c>
      <c r="AS486" s="26">
        <v>0</v>
      </c>
    </row>
    <row r="487" spans="1:45" x14ac:dyDescent="0.15">
      <c r="A487" s="64">
        <v>763</v>
      </c>
      <c r="B487" s="64">
        <v>565</v>
      </c>
      <c r="C487" s="11">
        <v>450004</v>
      </c>
      <c r="D487" s="61">
        <v>1</v>
      </c>
      <c r="E487" s="61">
        <v>7.66350443780739E-3</v>
      </c>
      <c r="F487" s="61">
        <v>6</v>
      </c>
      <c r="G487" s="61">
        <v>0.38641263671839998</v>
      </c>
      <c r="H487" s="66">
        <v>1</v>
      </c>
      <c r="I487" s="66" t="str">
        <f>H487&amp;"/"&amp;451</f>
        <v>1/451</v>
      </c>
      <c r="J487" s="68">
        <f>H487/451</f>
        <v>2.2172949002217295E-3</v>
      </c>
      <c r="K487" s="18" t="s">
        <v>44</v>
      </c>
      <c r="L487" s="18" t="s">
        <v>45</v>
      </c>
      <c r="M487" s="58" t="s">
        <v>65</v>
      </c>
      <c r="N487" s="18">
        <f>[1]!f_prt_stocktonav(C487,"2017/03/31")</f>
        <v>83.782402038574219</v>
      </c>
      <c r="O487" s="20" t="str">
        <f>[1]!f_info_fundmanager(C487)</f>
        <v>刘晓</v>
      </c>
      <c r="P487" s="21">
        <v>0.11232876712328767</v>
      </c>
      <c r="Q487" s="34" t="s">
        <v>2990</v>
      </c>
      <c r="R487" s="34" t="s">
        <v>2991</v>
      </c>
      <c r="S487" s="34" t="s">
        <v>742</v>
      </c>
      <c r="T487" s="34">
        <v>20080703</v>
      </c>
      <c r="U487" s="45">
        <v>1.9954203188999999</v>
      </c>
      <c r="V487" s="46">
        <v>3.0227601972000002</v>
      </c>
      <c r="W487" s="34" t="s">
        <v>231</v>
      </c>
      <c r="X487" s="34" t="s">
        <v>44</v>
      </c>
      <c r="Y487" s="34" t="s">
        <v>45</v>
      </c>
      <c r="Z487" s="34" t="s">
        <v>274</v>
      </c>
      <c r="AA487" s="34"/>
      <c r="AB487" s="34"/>
      <c r="AC487" s="22">
        <v>0.93448242187499997</v>
      </c>
      <c r="AD487" s="23" t="s">
        <v>743</v>
      </c>
      <c r="AE487" s="24">
        <v>2.043835616438356</v>
      </c>
      <c r="AF487" s="25">
        <v>4.0467000904273354E-2</v>
      </c>
      <c r="AG487" s="26">
        <v>-6.5808690610918763E-2</v>
      </c>
      <c r="AH487" s="26">
        <v>4.5641126882802752E-3</v>
      </c>
      <c r="AI487" s="27">
        <v>0.23572612819756164</v>
      </c>
      <c r="AJ487" s="27">
        <v>2.7187159979143782E-2</v>
      </c>
      <c r="AK487" s="27">
        <v>0.14924271385485005</v>
      </c>
      <c r="AL487" s="28" t="s">
        <v>2992</v>
      </c>
      <c r="AM487" s="29">
        <v>1</v>
      </c>
      <c r="AN487" s="29">
        <v>2</v>
      </c>
      <c r="AO487" s="29" t="s">
        <v>48</v>
      </c>
      <c r="AP487" s="47" t="s">
        <v>2905</v>
      </c>
      <c r="AQ487" s="28">
        <v>0</v>
      </c>
      <c r="AR487" s="26">
        <v>1.4999999999999999E-2</v>
      </c>
      <c r="AS487" s="26">
        <v>0</v>
      </c>
    </row>
    <row r="488" spans="1:45" x14ac:dyDescent="0.15">
      <c r="A488" s="64">
        <v>723</v>
      </c>
      <c r="B488" s="64">
        <v>588</v>
      </c>
      <c r="C488" s="11">
        <v>310388</v>
      </c>
      <c r="D488" s="61">
        <v>2</v>
      </c>
      <c r="E488" s="61">
        <v>7.1548045143261301E-3</v>
      </c>
      <c r="F488" s="61">
        <v>11</v>
      </c>
      <c r="G488" s="61">
        <v>6.6361219100475294E-2</v>
      </c>
      <c r="H488" s="66">
        <v>2</v>
      </c>
      <c r="I488" s="66" t="str">
        <f>H488&amp;"/"&amp;451</f>
        <v>2/451</v>
      </c>
      <c r="J488" s="68">
        <f>H488/451</f>
        <v>4.434589800443459E-3</v>
      </c>
      <c r="K488" s="18" t="s">
        <v>44</v>
      </c>
      <c r="L488" s="18" t="s">
        <v>45</v>
      </c>
      <c r="M488" s="58" t="s">
        <v>65</v>
      </c>
      <c r="N488" s="18">
        <f>[1]!f_prt_stocktonav(C488,"2017/03/31")</f>
        <v>83.077476501464844</v>
      </c>
      <c r="O488" s="20" t="str">
        <f>[1]!f_info_fundmanager(C488)</f>
        <v>季新星</v>
      </c>
      <c r="P488" s="21">
        <v>0.21095890410958903</v>
      </c>
      <c r="Q488" s="34" t="s">
        <v>2858</v>
      </c>
      <c r="R488" s="34" t="s">
        <v>2859</v>
      </c>
      <c r="S488" s="34" t="s">
        <v>2493</v>
      </c>
      <c r="T488" s="34">
        <v>20090612</v>
      </c>
      <c r="U488" s="45">
        <v>0.99417325639999998</v>
      </c>
      <c r="V488" s="46">
        <v>1.0239225199999999</v>
      </c>
      <c r="W488" s="34" t="s">
        <v>201</v>
      </c>
      <c r="X488" s="34" t="s">
        <v>44</v>
      </c>
      <c r="Y488" s="34" t="s">
        <v>45</v>
      </c>
      <c r="Z488" s="34" t="s">
        <v>274</v>
      </c>
      <c r="AA488" s="34"/>
      <c r="AB488" s="34"/>
      <c r="AC488" s="22">
        <v>0.75075576782226561</v>
      </c>
      <c r="AD488" s="23" t="s">
        <v>2860</v>
      </c>
      <c r="AE488" s="24">
        <v>1.5205479452054795</v>
      </c>
      <c r="AF488" s="25">
        <v>3.3111255273814644E-2</v>
      </c>
      <c r="AG488" s="26">
        <v>9.2356347032723107E-2</v>
      </c>
      <c r="AH488" s="26">
        <v>9.058403179513741E-2</v>
      </c>
      <c r="AI488" s="27">
        <v>0.19882225453224908</v>
      </c>
      <c r="AJ488" s="27">
        <v>0.41084381495958266</v>
      </c>
      <c r="AK488" s="27">
        <v>0.40518304268060223</v>
      </c>
      <c r="AL488" s="28" t="s">
        <v>2861</v>
      </c>
      <c r="AM488" s="29">
        <v>2</v>
      </c>
      <c r="AN488" s="29">
        <v>2</v>
      </c>
      <c r="AO488" s="29" t="s">
        <v>48</v>
      </c>
      <c r="AP488" s="47" t="s">
        <v>2862</v>
      </c>
      <c r="AQ488" s="28">
        <v>0</v>
      </c>
      <c r="AR488" s="26">
        <v>1.4999999999999999E-2</v>
      </c>
      <c r="AS488" s="26">
        <v>0</v>
      </c>
    </row>
    <row r="489" spans="1:45" x14ac:dyDescent="0.15">
      <c r="A489" s="64">
        <v>213</v>
      </c>
      <c r="B489" s="64">
        <v>214</v>
      </c>
      <c r="C489" s="11">
        <v>1410</v>
      </c>
      <c r="D489" s="61">
        <v>3</v>
      </c>
      <c r="E489" s="61">
        <v>7.0329886509158399E-3</v>
      </c>
      <c r="F489" s="61">
        <v>24</v>
      </c>
      <c r="G489" s="61">
        <v>7.2866385967556299E-3</v>
      </c>
      <c r="H489" s="66">
        <v>3</v>
      </c>
      <c r="I489" s="66" t="str">
        <f>H489&amp;"/"&amp;451</f>
        <v>3/451</v>
      </c>
      <c r="J489" s="68">
        <f>H489/451</f>
        <v>6.6518847006651885E-3</v>
      </c>
      <c r="K489" s="18" t="s">
        <v>44</v>
      </c>
      <c r="L489" s="18" t="s">
        <v>45</v>
      </c>
      <c r="M489" s="58" t="s">
        <v>65</v>
      </c>
      <c r="N489" s="18">
        <f>[1]!f_prt_stocktonav(C489,"2017/03/31")</f>
        <v>91.533981323242188</v>
      </c>
      <c r="O489" s="20" t="str">
        <f>[1]!f_info_fundmanager(C489)</f>
        <v>冯明远</v>
      </c>
      <c r="P489" s="21">
        <v>0.44657534246575342</v>
      </c>
      <c r="Q489" s="34" t="s">
        <v>1006</v>
      </c>
      <c r="R489" s="34" t="s">
        <v>1007</v>
      </c>
      <c r="S489" s="34" t="s">
        <v>189</v>
      </c>
      <c r="T489" s="34">
        <v>20150731</v>
      </c>
      <c r="U489" s="45">
        <v>0.55353262479999998</v>
      </c>
      <c r="V489" s="46">
        <v>0.64239996899999996</v>
      </c>
      <c r="W489" s="34" t="s">
        <v>1235</v>
      </c>
      <c r="X489" s="34" t="s">
        <v>44</v>
      </c>
      <c r="Y489" s="34" t="s">
        <v>45</v>
      </c>
      <c r="Z489" s="34" t="s">
        <v>65</v>
      </c>
      <c r="AA489" s="34"/>
      <c r="AB489" s="34"/>
      <c r="AC489" s="22">
        <v>0.92747314453124996</v>
      </c>
      <c r="AD489" s="23" t="s">
        <v>1008</v>
      </c>
      <c r="AE489" s="24">
        <v>0.21643835616438356</v>
      </c>
      <c r="AF489" s="25">
        <v>4.6572348226306959E-2</v>
      </c>
      <c r="AG489" s="26">
        <v>0</v>
      </c>
      <c r="AH489" s="26">
        <v>0</v>
      </c>
      <c r="AI489" s="27">
        <v>0.24840217482258484</v>
      </c>
      <c r="AJ489" s="27">
        <v>0.24840217482258484</v>
      </c>
      <c r="AK489" s="27">
        <v>0.24840217482258484</v>
      </c>
      <c r="AL489" s="28" t="s">
        <v>1009</v>
      </c>
      <c r="AM489" s="29" t="s">
        <v>48</v>
      </c>
      <c r="AN489" s="29" t="s">
        <v>48</v>
      </c>
      <c r="AO489" s="29" t="s">
        <v>48</v>
      </c>
      <c r="AP489" s="47" t="s">
        <v>1002</v>
      </c>
      <c r="AQ489" s="28">
        <v>0</v>
      </c>
      <c r="AR489" s="26">
        <v>1.4999999999999999E-2</v>
      </c>
      <c r="AS489" s="26">
        <v>0</v>
      </c>
    </row>
    <row r="490" spans="1:45" x14ac:dyDescent="0.15">
      <c r="A490" s="64">
        <v>3</v>
      </c>
      <c r="B490" s="64">
        <v>471</v>
      </c>
      <c r="C490" s="11">
        <v>3940</v>
      </c>
      <c r="D490" s="61">
        <v>4</v>
      </c>
      <c r="E490" s="61">
        <v>5.7813839061017398E-3</v>
      </c>
      <c r="F490" s="61">
        <v>14</v>
      </c>
      <c r="G490" s="61">
        <v>0.114750090810686</v>
      </c>
      <c r="H490" s="66">
        <v>4</v>
      </c>
      <c r="I490" s="66" t="str">
        <f>H490&amp;"/"&amp;451</f>
        <v>4/451</v>
      </c>
      <c r="J490" s="68">
        <f>H490/451</f>
        <v>8.869179600886918E-3</v>
      </c>
      <c r="K490" s="18" t="s">
        <v>44</v>
      </c>
      <c r="L490" s="19" t="s">
        <v>45</v>
      </c>
      <c r="M490" s="59" t="s">
        <v>65</v>
      </c>
      <c r="N490" s="18">
        <f>[1]!f_prt_stocktonav(C490,"2017/03/31")</f>
        <v>85.825592041015625</v>
      </c>
      <c r="O490" s="20" t="str">
        <f>[1]!f_info_fundmanager(C490)</f>
        <v>李晓星</v>
      </c>
      <c r="P490" s="21">
        <v>0.27123287671232876</v>
      </c>
      <c r="Q490" s="12" t="s">
        <v>55</v>
      </c>
      <c r="R490" s="13" t="s">
        <v>56</v>
      </c>
      <c r="S490" s="13" t="s">
        <v>57</v>
      </c>
      <c r="T490" s="13">
        <v>20161222</v>
      </c>
      <c r="U490" s="14">
        <v>0.21753142810000001</v>
      </c>
      <c r="V490" s="15" t="s">
        <v>3772</v>
      </c>
      <c r="W490" s="16" t="s">
        <v>40</v>
      </c>
      <c r="X490" s="17" t="s">
        <v>41</v>
      </c>
      <c r="Y490" s="17" t="s">
        <v>42</v>
      </c>
      <c r="Z490" s="17" t="s">
        <v>43</v>
      </c>
      <c r="AA490" s="13"/>
      <c r="AB490" s="13"/>
      <c r="AC490" s="22">
        <v>0</v>
      </c>
      <c r="AD490" s="23" t="s">
        <v>59</v>
      </c>
      <c r="AE490" s="24">
        <v>4.1095890410958902E-2</v>
      </c>
      <c r="AF490" s="25">
        <v>-8.0611671872241608E-2</v>
      </c>
      <c r="AG490" s="26">
        <v>0</v>
      </c>
      <c r="AH490" s="26">
        <v>0</v>
      </c>
      <c r="AI490" s="27">
        <v>0</v>
      </c>
      <c r="AJ490" s="27">
        <v>0</v>
      </c>
      <c r="AK490" s="27">
        <v>0</v>
      </c>
      <c r="AL490" s="28" t="s">
        <v>60</v>
      </c>
      <c r="AM490" s="29" t="s">
        <v>48</v>
      </c>
      <c r="AN490" s="29" t="s">
        <v>48</v>
      </c>
      <c r="AO490" s="29" t="s">
        <v>48</v>
      </c>
      <c r="AP490" s="23">
        <v>0</v>
      </c>
      <c r="AQ490" s="30">
        <v>0</v>
      </c>
      <c r="AR490" s="31">
        <v>1.4999999999999999E-2</v>
      </c>
      <c r="AS490" s="31">
        <v>0</v>
      </c>
    </row>
    <row r="491" spans="1:45" x14ac:dyDescent="0.15">
      <c r="A491" s="64">
        <v>6</v>
      </c>
      <c r="B491" s="64">
        <v>728</v>
      </c>
      <c r="C491" s="11">
        <v>3993</v>
      </c>
      <c r="D491" s="61">
        <v>5</v>
      </c>
      <c r="E491" s="61">
        <v>5.6495061595942999E-3</v>
      </c>
      <c r="F491" s="61">
        <v>15</v>
      </c>
      <c r="G491" s="61">
        <v>7.4045863138341605E-2</v>
      </c>
      <c r="H491" s="66">
        <v>5</v>
      </c>
      <c r="I491" s="66" t="str">
        <f>H491&amp;"/"&amp;451</f>
        <v>5/451</v>
      </c>
      <c r="J491" s="68">
        <f>H491/451</f>
        <v>1.1086474501108648E-2</v>
      </c>
      <c r="K491" s="18" t="s">
        <v>44</v>
      </c>
      <c r="L491" s="19" t="s">
        <v>45</v>
      </c>
      <c r="M491" s="59" t="s">
        <v>65</v>
      </c>
      <c r="N491" s="18">
        <f>[1]!f_prt_stocktonav(C491,"2017/03/31")</f>
        <v>79.214019775390625</v>
      </c>
      <c r="O491" s="20" t="str">
        <f>[1]!f_info_fundmanager(C491)</f>
        <v>丁骏</v>
      </c>
      <c r="P491" s="21">
        <v>0.29589041095890412</v>
      </c>
      <c r="Q491" s="32" t="s">
        <v>76</v>
      </c>
      <c r="R491" s="13" t="s">
        <v>77</v>
      </c>
      <c r="S491" s="13" t="s">
        <v>78</v>
      </c>
      <c r="T491" s="13">
        <v>20161213</v>
      </c>
      <c r="U491" s="14">
        <v>2.5102016794000002</v>
      </c>
      <c r="V491" s="15" t="s">
        <v>3772</v>
      </c>
      <c r="W491" s="16" t="s">
        <v>40</v>
      </c>
      <c r="X491" s="17" t="s">
        <v>41</v>
      </c>
      <c r="Y491" s="17" t="s">
        <v>42</v>
      </c>
      <c r="Z491" s="17" t="s">
        <v>43</v>
      </c>
      <c r="AA491" s="13"/>
      <c r="AB491" s="13"/>
      <c r="AC491" s="22">
        <v>0</v>
      </c>
      <c r="AD491" s="23" t="s">
        <v>80</v>
      </c>
      <c r="AE491" s="24">
        <v>6.575342465753424E-2</v>
      </c>
      <c r="AF491" s="25">
        <v>7.3525159311644162E-2</v>
      </c>
      <c r="AG491" s="26">
        <v>0</v>
      </c>
      <c r="AH491" s="26">
        <v>0</v>
      </c>
      <c r="AI491" s="27">
        <v>4.1141587910608264</v>
      </c>
      <c r="AJ491" s="27">
        <v>4.1141587910608264</v>
      </c>
      <c r="AK491" s="27">
        <v>4.1141587910608264</v>
      </c>
      <c r="AL491" s="28" t="s">
        <v>81</v>
      </c>
      <c r="AM491" s="29" t="s">
        <v>48</v>
      </c>
      <c r="AN491" s="29" t="s">
        <v>48</v>
      </c>
      <c r="AO491" s="29" t="s">
        <v>48</v>
      </c>
      <c r="AP491" s="23" t="s">
        <v>82</v>
      </c>
      <c r="AQ491" s="30">
        <v>0</v>
      </c>
      <c r="AR491" s="31">
        <v>1.4999999999999999E-2</v>
      </c>
      <c r="AS491" s="31">
        <v>0</v>
      </c>
    </row>
    <row r="492" spans="1:45" x14ac:dyDescent="0.15">
      <c r="A492" s="64">
        <v>414</v>
      </c>
      <c r="B492" s="64">
        <v>428</v>
      </c>
      <c r="C492" s="11">
        <v>519606</v>
      </c>
      <c r="D492" s="61">
        <v>6</v>
      </c>
      <c r="E492" s="61">
        <v>5.4331234367651403E-3</v>
      </c>
      <c r="F492" s="61">
        <v>49</v>
      </c>
      <c r="G492" s="61">
        <v>6.0390838233667201E-3</v>
      </c>
      <c r="H492" s="66">
        <v>6</v>
      </c>
      <c r="I492" s="66" t="str">
        <f>H492&amp;"/"&amp;451</f>
        <v>6/451</v>
      </c>
      <c r="J492" s="68">
        <f>H492/451</f>
        <v>1.3303769401330377E-2</v>
      </c>
      <c r="K492" s="18" t="s">
        <v>44</v>
      </c>
      <c r="L492" s="18" t="s">
        <v>45</v>
      </c>
      <c r="M492" s="58" t="s">
        <v>65</v>
      </c>
      <c r="N492" s="18">
        <f>[1]!f_prt_stocktonav(C492,"2017/03/31")</f>
        <v>86.713356018066406</v>
      </c>
      <c r="O492" s="20" t="str">
        <f>[1]!f_info_fundmanager(C492)</f>
        <v>申坤</v>
      </c>
      <c r="P492" s="21">
        <v>0.92876712328767119</v>
      </c>
      <c r="Q492" s="34" t="s">
        <v>1784</v>
      </c>
      <c r="R492" s="34" t="s">
        <v>1785</v>
      </c>
      <c r="S492" s="34" t="s">
        <v>663</v>
      </c>
      <c r="T492" s="34">
        <v>20140915</v>
      </c>
      <c r="U492" s="45">
        <v>5.6750987779999997</v>
      </c>
      <c r="V492" s="46">
        <v>5.2077104497000004</v>
      </c>
      <c r="W492" s="34" t="s">
        <v>3776</v>
      </c>
      <c r="X492" s="34" t="s">
        <v>44</v>
      </c>
      <c r="Y492" s="34" t="s">
        <v>45</v>
      </c>
      <c r="Z492" s="34" t="s">
        <v>65</v>
      </c>
      <c r="AA492" s="34"/>
      <c r="AB492" s="34"/>
      <c r="AC492" s="22">
        <v>0.80247947692871091</v>
      </c>
      <c r="AD492" s="23" t="s">
        <v>1786</v>
      </c>
      <c r="AE492" s="24">
        <v>0.69863013698630139</v>
      </c>
      <c r="AF492" s="25">
        <v>0.13372899167050112</v>
      </c>
      <c r="AG492" s="26">
        <v>0</v>
      </c>
      <c r="AH492" s="26">
        <v>0</v>
      </c>
      <c r="AI492" s="27">
        <v>0.5076645475674143</v>
      </c>
      <c r="AJ492" s="27">
        <v>0.5076645475674143</v>
      </c>
      <c r="AK492" s="27">
        <v>0.5076645475674143</v>
      </c>
      <c r="AL492" s="28" t="s">
        <v>1787</v>
      </c>
      <c r="AM492" s="29">
        <v>5</v>
      </c>
      <c r="AN492" s="29">
        <v>3</v>
      </c>
      <c r="AO492" s="29" t="s">
        <v>48</v>
      </c>
      <c r="AP492" s="47" t="s">
        <v>1788</v>
      </c>
      <c r="AQ492" s="28">
        <v>0</v>
      </c>
      <c r="AR492" s="26">
        <v>1.4999999999999999E-2</v>
      </c>
      <c r="AS492" s="26">
        <v>0</v>
      </c>
    </row>
    <row r="493" spans="1:45" x14ac:dyDescent="0.15">
      <c r="A493" s="64">
        <v>855</v>
      </c>
      <c r="B493" s="64">
        <v>380</v>
      </c>
      <c r="C493" s="11">
        <v>112002</v>
      </c>
      <c r="D493" s="61">
        <v>7</v>
      </c>
      <c r="E493" s="61">
        <v>5.3572199555456E-3</v>
      </c>
      <c r="F493" s="61">
        <v>6</v>
      </c>
      <c r="G493" s="61">
        <v>0.17905613348440999</v>
      </c>
      <c r="H493" s="66">
        <v>7</v>
      </c>
      <c r="I493" s="66" t="str">
        <f>H493&amp;"/"&amp;451</f>
        <v>7/451</v>
      </c>
      <c r="J493" s="68">
        <f>H493/451</f>
        <v>1.5521064301552107E-2</v>
      </c>
      <c r="K493" s="18" t="s">
        <v>44</v>
      </c>
      <c r="L493" s="18" t="s">
        <v>45</v>
      </c>
      <c r="M493" s="58" t="s">
        <v>65</v>
      </c>
      <c r="N493" s="18">
        <f>[1]!f_prt_stocktonav(C493,"2017/03/31")</f>
        <v>87.944389343261719</v>
      </c>
      <c r="O493" s="20" t="str">
        <f>[1]!f_info_fundmanager(C493)</f>
        <v>梁裕宁</v>
      </c>
      <c r="P493" s="21">
        <v>0.11506849315068493</v>
      </c>
      <c r="Q493" s="34" t="s">
        <v>3325</v>
      </c>
      <c r="R493" s="34" t="s">
        <v>3326</v>
      </c>
      <c r="S493" s="34" t="s">
        <v>218</v>
      </c>
      <c r="T493" s="34">
        <v>20060816</v>
      </c>
      <c r="U493" s="45">
        <v>12.528068602899999</v>
      </c>
      <c r="V493" s="46">
        <v>13.1994667989</v>
      </c>
      <c r="W493" s="34" t="s">
        <v>231</v>
      </c>
      <c r="X493" s="34" t="s">
        <v>44</v>
      </c>
      <c r="Y493" s="34" t="s">
        <v>45</v>
      </c>
      <c r="Z493" s="34" t="s">
        <v>65</v>
      </c>
      <c r="AA493" s="34"/>
      <c r="AB493" s="34"/>
      <c r="AC493" s="22">
        <v>0.90308120727539065</v>
      </c>
      <c r="AD493" s="23" t="s">
        <v>3327</v>
      </c>
      <c r="AE493" s="24">
        <v>1.4986301369863013</v>
      </c>
      <c r="AF493" s="25">
        <v>0.10471636354417591</v>
      </c>
      <c r="AG493" s="26">
        <v>-1.5675855649876613E-2</v>
      </c>
      <c r="AH493" s="26">
        <v>4.0001502762992303E-2</v>
      </c>
      <c r="AI493" s="27">
        <v>0.46680829697779386</v>
      </c>
      <c r="AJ493" s="27">
        <v>2.0162036468350478E-2</v>
      </c>
      <c r="AK493" s="27">
        <v>0.22339309162422785</v>
      </c>
      <c r="AL493" s="28" t="s">
        <v>3328</v>
      </c>
      <c r="AM493" s="29">
        <v>3</v>
      </c>
      <c r="AN493" s="29">
        <v>3</v>
      </c>
      <c r="AO493" s="29" t="s">
        <v>48</v>
      </c>
      <c r="AP493" s="47" t="s">
        <v>3168</v>
      </c>
      <c r="AQ493" s="28">
        <v>0</v>
      </c>
      <c r="AR493" s="26">
        <v>1.4999999999999999E-2</v>
      </c>
      <c r="AS493" s="26">
        <v>0</v>
      </c>
    </row>
    <row r="494" spans="1:45" x14ac:dyDescent="0.15">
      <c r="A494" s="64">
        <v>150</v>
      </c>
      <c r="B494" s="64">
        <v>340</v>
      </c>
      <c r="C494" s="11">
        <v>1616</v>
      </c>
      <c r="D494" s="61">
        <v>8</v>
      </c>
      <c r="E494" s="61">
        <v>5.21863196729354E-3</v>
      </c>
      <c r="F494" s="61">
        <v>63</v>
      </c>
      <c r="G494" s="61">
        <v>6.1598026973622599E-2</v>
      </c>
      <c r="H494" s="66">
        <v>8</v>
      </c>
      <c r="I494" s="66" t="str">
        <f>H494&amp;"/"&amp;451</f>
        <v>8/451</v>
      </c>
      <c r="J494" s="68">
        <f>H494/451</f>
        <v>1.7738359201773836E-2</v>
      </c>
      <c r="K494" s="18" t="s">
        <v>44</v>
      </c>
      <c r="L494" s="18" t="s">
        <v>87</v>
      </c>
      <c r="M494" s="58" t="s">
        <v>65</v>
      </c>
      <c r="N494" s="18">
        <f>[1]!f_prt_stocktonav(C494,"2017/03/31")</f>
        <v>88.674690246582031</v>
      </c>
      <c r="O494" s="20" t="str">
        <f>[1]!f_info_fundmanager(C494)</f>
        <v>李化松</v>
      </c>
      <c r="P494" s="21">
        <v>1.252054794520548</v>
      </c>
      <c r="Q494" s="34" t="s">
        <v>761</v>
      </c>
      <c r="R494" s="34" t="s">
        <v>762</v>
      </c>
      <c r="S494" s="34" t="s">
        <v>92</v>
      </c>
      <c r="T494" s="34">
        <v>20151230</v>
      </c>
      <c r="U494" s="45">
        <v>12.8692598824</v>
      </c>
      <c r="V494" s="46">
        <v>11.877031646800001</v>
      </c>
      <c r="W494" s="34" t="s">
        <v>3776</v>
      </c>
      <c r="X494" s="34" t="s">
        <v>44</v>
      </c>
      <c r="Y494" s="34" t="s">
        <v>45</v>
      </c>
      <c r="Z494" s="34" t="s">
        <v>65</v>
      </c>
      <c r="AA494" s="34"/>
      <c r="AB494" s="34"/>
      <c r="AC494" s="22">
        <v>0.93945846557617185</v>
      </c>
      <c r="AD494" s="23" t="s">
        <v>763</v>
      </c>
      <c r="AE494" s="24">
        <v>1.021917808219178</v>
      </c>
      <c r="AF494" s="25">
        <v>0.16355046720411104</v>
      </c>
      <c r="AG494" s="26">
        <v>0</v>
      </c>
      <c r="AH494" s="26">
        <v>0</v>
      </c>
      <c r="AI494" s="27">
        <v>0.84122560303107818</v>
      </c>
      <c r="AJ494" s="27">
        <v>0.84122560303107818</v>
      </c>
      <c r="AK494" s="27">
        <v>0.84122560303107818</v>
      </c>
      <c r="AL494" s="28" t="s">
        <v>764</v>
      </c>
      <c r="AM494" s="29" t="s">
        <v>48</v>
      </c>
      <c r="AN494" s="29" t="s">
        <v>48</v>
      </c>
      <c r="AO494" s="29" t="s">
        <v>48</v>
      </c>
      <c r="AP494" s="47" t="s">
        <v>249</v>
      </c>
      <c r="AQ494" s="28">
        <v>0</v>
      </c>
      <c r="AR494" s="26">
        <v>1.4999999999999999E-2</v>
      </c>
      <c r="AS494" s="26">
        <v>0</v>
      </c>
    </row>
    <row r="495" spans="1:45" x14ac:dyDescent="0.15">
      <c r="A495" s="64">
        <v>916</v>
      </c>
      <c r="B495" s="64">
        <v>491</v>
      </c>
      <c r="C495" s="11">
        <v>20005</v>
      </c>
      <c r="D495" s="61">
        <v>9</v>
      </c>
      <c r="E495" s="61">
        <v>5.0310306004717996E-3</v>
      </c>
      <c r="F495" s="61">
        <v>10</v>
      </c>
      <c r="G495" s="61">
        <v>0.26952003364153498</v>
      </c>
      <c r="H495" s="66">
        <v>9</v>
      </c>
      <c r="I495" s="66" t="str">
        <f>H495&amp;"/"&amp;451</f>
        <v>9/451</v>
      </c>
      <c r="J495" s="68">
        <f>H495/451</f>
        <v>1.9955654101995565E-2</v>
      </c>
      <c r="K495" s="18" t="s">
        <v>44</v>
      </c>
      <c r="L495" s="18" t="s">
        <v>45</v>
      </c>
      <c r="M495" s="58" t="s">
        <v>65</v>
      </c>
      <c r="N495" s="18">
        <f>[1]!f_prt_stocktonav(C495,"2017/03/31")</f>
        <v>85.519996643066406</v>
      </c>
      <c r="O495" s="20" t="str">
        <f>[1]!f_info_fundmanager(C495)</f>
        <v>李恒</v>
      </c>
      <c r="P495" s="21">
        <v>0.17534246575342466</v>
      </c>
      <c r="Q495" s="34" t="s">
        <v>3557</v>
      </c>
      <c r="R495" s="34" t="s">
        <v>3558</v>
      </c>
      <c r="S495" s="34" t="s">
        <v>663</v>
      </c>
      <c r="T495" s="34">
        <v>20040618</v>
      </c>
      <c r="U495" s="45">
        <v>14.5801569966</v>
      </c>
      <c r="V495" s="46">
        <v>15.1825983843</v>
      </c>
      <c r="W495" s="34" t="s">
        <v>231</v>
      </c>
      <c r="X495" s="34" t="s">
        <v>44</v>
      </c>
      <c r="Y495" s="34" t="s">
        <v>45</v>
      </c>
      <c r="Z495" s="34" t="s">
        <v>65</v>
      </c>
      <c r="AA495" s="34"/>
      <c r="AB495" s="34"/>
      <c r="AC495" s="22">
        <v>0.72586624145507816</v>
      </c>
      <c r="AD495" s="23" t="s">
        <v>664</v>
      </c>
      <c r="AE495" s="24">
        <v>0.69863013698630139</v>
      </c>
      <c r="AF495" s="25">
        <v>0.10898152288581908</v>
      </c>
      <c r="AG495" s="26">
        <v>6.3931215391785035E-2</v>
      </c>
      <c r="AH495" s="26">
        <v>3.7583946388315415E-2</v>
      </c>
      <c r="AI495" s="27">
        <v>0.48960901678109858</v>
      </c>
      <c r="AJ495" s="27">
        <v>0.34027786231030449</v>
      </c>
      <c r="AK495" s="27">
        <v>0.21142706416346913</v>
      </c>
      <c r="AL495" s="28" t="s">
        <v>3559</v>
      </c>
      <c r="AM495" s="29">
        <v>1</v>
      </c>
      <c r="AN495" s="29">
        <v>1</v>
      </c>
      <c r="AO495" s="29" t="s">
        <v>48</v>
      </c>
      <c r="AP495" s="47" t="s">
        <v>3560</v>
      </c>
      <c r="AQ495" s="28">
        <v>0</v>
      </c>
      <c r="AR495" s="26">
        <v>1.4999999999999999E-2</v>
      </c>
      <c r="AS495" s="26">
        <v>0</v>
      </c>
    </row>
    <row r="496" spans="1:45" x14ac:dyDescent="0.15">
      <c r="A496" s="64">
        <v>601</v>
      </c>
      <c r="B496" s="64">
        <v>351</v>
      </c>
      <c r="C496" s="11">
        <v>20023</v>
      </c>
      <c r="D496" s="61">
        <v>11</v>
      </c>
      <c r="E496" s="61">
        <v>4.5969628022220098E-3</v>
      </c>
      <c r="F496" s="61">
        <v>49</v>
      </c>
      <c r="G496" s="61">
        <v>1.7934503995899E-2</v>
      </c>
      <c r="H496" s="66">
        <v>10</v>
      </c>
      <c r="I496" s="66" t="str">
        <f>H496&amp;"/"&amp;451</f>
        <v>10/451</v>
      </c>
      <c r="J496" s="68">
        <f>H496/451</f>
        <v>2.2172949002217297E-2</v>
      </c>
      <c r="K496" s="18" t="s">
        <v>44</v>
      </c>
      <c r="L496" s="18" t="s">
        <v>45</v>
      </c>
      <c r="M496" s="58" t="s">
        <v>65</v>
      </c>
      <c r="N496" s="18">
        <f>[1]!f_prt_stocktonav(C496,"2017/03/31")</f>
        <v>88.538841247558594</v>
      </c>
      <c r="O496" s="20" t="str">
        <f>[1]!f_info_fundmanager(C496)</f>
        <v>邱晓华</v>
      </c>
      <c r="P496" s="21">
        <v>0.92876712328767119</v>
      </c>
      <c r="Q496" s="34" t="s">
        <v>2451</v>
      </c>
      <c r="R496" s="34" t="s">
        <v>2452</v>
      </c>
      <c r="S496" s="34" t="s">
        <v>663</v>
      </c>
      <c r="T496" s="34">
        <v>20110817</v>
      </c>
      <c r="U496" s="45">
        <v>0.88629179089999999</v>
      </c>
      <c r="V496" s="46">
        <v>1.0079697114999999</v>
      </c>
      <c r="W496" s="34" t="s">
        <v>3776</v>
      </c>
      <c r="X496" s="34" t="s">
        <v>44</v>
      </c>
      <c r="Y496" s="34" t="s">
        <v>45</v>
      </c>
      <c r="Z496" s="34" t="s">
        <v>65</v>
      </c>
      <c r="AA496" s="34"/>
      <c r="AB496" s="34"/>
      <c r="AC496" s="22">
        <v>0.74476913452148441</v>
      </c>
      <c r="AD496" s="23" t="s">
        <v>2092</v>
      </c>
      <c r="AE496" s="24">
        <v>0.69863013698630139</v>
      </c>
      <c r="AF496" s="25">
        <v>0.14302568904568447</v>
      </c>
      <c r="AG496" s="26">
        <v>0.12007278345445262</v>
      </c>
      <c r="AH496" s="26">
        <v>0.16201847896338339</v>
      </c>
      <c r="AI496" s="27">
        <v>0.5834532086958405</v>
      </c>
      <c r="AJ496" s="27">
        <v>0.48675804158053837</v>
      </c>
      <c r="AK496" s="27">
        <v>0.6332198297173619</v>
      </c>
      <c r="AL496" s="28" t="s">
        <v>208</v>
      </c>
      <c r="AM496" s="29">
        <v>2</v>
      </c>
      <c r="AN496" s="29">
        <v>2</v>
      </c>
      <c r="AO496" s="29" t="s">
        <v>48</v>
      </c>
      <c r="AP496" s="47" t="s">
        <v>101</v>
      </c>
      <c r="AQ496" s="28">
        <v>0</v>
      </c>
      <c r="AR496" s="26">
        <v>1.4999999999999999E-2</v>
      </c>
      <c r="AS496" s="26">
        <v>0</v>
      </c>
    </row>
    <row r="497" spans="1:45" x14ac:dyDescent="0.15">
      <c r="A497" s="64">
        <v>201</v>
      </c>
      <c r="B497" s="64">
        <v>126</v>
      </c>
      <c r="C497" s="11">
        <v>168101</v>
      </c>
      <c r="D497" s="61">
        <v>13</v>
      </c>
      <c r="E497" s="61">
        <v>4.2784058016949802E-3</v>
      </c>
      <c r="F497" s="61">
        <v>83</v>
      </c>
      <c r="G497" s="61">
        <v>1.0700678223011E-2</v>
      </c>
      <c r="H497" s="66">
        <v>11</v>
      </c>
      <c r="I497" s="66" t="str">
        <f>H497&amp;"/"&amp;451</f>
        <v>11/451</v>
      </c>
      <c r="J497" s="68">
        <f>H497/451</f>
        <v>2.4390243902439025E-2</v>
      </c>
      <c r="K497" s="18" t="s">
        <v>44</v>
      </c>
      <c r="L497" s="18" t="s">
        <v>45</v>
      </c>
      <c r="M497" s="58" t="s">
        <v>65</v>
      </c>
      <c r="N497" s="18">
        <f>[1]!f_prt_stocktonav(C497,"2017/03/31")</f>
        <v>93.143806457519531</v>
      </c>
      <c r="O497" s="20" t="str">
        <f>[1]!f_info_fundmanager(C497)</f>
        <v>刘开运</v>
      </c>
      <c r="P497" s="21">
        <v>1.6301369863013699</v>
      </c>
      <c r="Q497" s="34" t="s">
        <v>962</v>
      </c>
      <c r="R497" s="34" t="s">
        <v>963</v>
      </c>
      <c r="S497" s="34" t="s">
        <v>640</v>
      </c>
      <c r="T497" s="34">
        <v>20150814</v>
      </c>
      <c r="U497" s="45">
        <v>4.1923182453000001</v>
      </c>
      <c r="V497" s="46">
        <v>4.8151679188000003</v>
      </c>
      <c r="W497" s="34" t="s">
        <v>1235</v>
      </c>
      <c r="X497" s="34" t="s">
        <v>44</v>
      </c>
      <c r="Y497" s="17" t="s">
        <v>45</v>
      </c>
      <c r="Z497" s="17" t="s">
        <v>817</v>
      </c>
      <c r="AA497" s="34"/>
      <c r="AB497" s="34"/>
      <c r="AC497" s="22">
        <v>0.89202697753906246</v>
      </c>
      <c r="AD497" s="23" t="s">
        <v>641</v>
      </c>
      <c r="AE497" s="24">
        <v>1.4</v>
      </c>
      <c r="AF497" s="25">
        <v>0.24016177271376057</v>
      </c>
      <c r="AG497" s="26">
        <v>0</v>
      </c>
      <c r="AH497" s="26">
        <v>0</v>
      </c>
      <c r="AI497" s="27">
        <v>1.8728241540217641</v>
      </c>
      <c r="AJ497" s="27">
        <v>1.8728241540217641</v>
      </c>
      <c r="AK497" s="27">
        <v>1.8728241540217641</v>
      </c>
      <c r="AL497" s="28" t="s">
        <v>642</v>
      </c>
      <c r="AM497" s="29" t="s">
        <v>48</v>
      </c>
      <c r="AN497" s="29" t="s">
        <v>48</v>
      </c>
      <c r="AO497" s="29" t="s">
        <v>48</v>
      </c>
      <c r="AP497" s="47" t="s">
        <v>964</v>
      </c>
      <c r="AQ497" s="28">
        <v>0</v>
      </c>
      <c r="AR497" s="26">
        <v>0.02</v>
      </c>
      <c r="AS497" s="26">
        <v>0</v>
      </c>
    </row>
    <row r="498" spans="1:45" x14ac:dyDescent="0.15">
      <c r="A498" s="64">
        <v>212</v>
      </c>
      <c r="B498" s="64">
        <v>403</v>
      </c>
      <c r="C498" s="11">
        <v>1542</v>
      </c>
      <c r="D498" s="61">
        <v>14</v>
      </c>
      <c r="E498" s="61">
        <v>4.1864270828381603E-3</v>
      </c>
      <c r="F498" s="61">
        <v>70</v>
      </c>
      <c r="G498" s="61">
        <v>9.4759372632172906E-2</v>
      </c>
      <c r="H498" s="66">
        <v>12</v>
      </c>
      <c r="I498" s="66" t="str">
        <f>H498&amp;"/"&amp;451</f>
        <v>12/451</v>
      </c>
      <c r="J498" s="68">
        <f>H498/451</f>
        <v>2.6607538802660754E-2</v>
      </c>
      <c r="K498" s="18" t="s">
        <v>44</v>
      </c>
      <c r="L498" s="18" t="s">
        <v>45</v>
      </c>
      <c r="M498" s="58" t="s">
        <v>65</v>
      </c>
      <c r="N498" s="18">
        <f>[1]!f_prt_stocktonav(C498,"2017/03/31")</f>
        <v>87.499130249023438</v>
      </c>
      <c r="O498" s="20" t="str">
        <f>[1]!f_info_fundmanager(C498)</f>
        <v>彭凌志</v>
      </c>
      <c r="P498" s="21">
        <v>1.3315068493150686</v>
      </c>
      <c r="Q498" s="34" t="s">
        <v>1003</v>
      </c>
      <c r="R498" s="34" t="s">
        <v>1004</v>
      </c>
      <c r="S498" s="34" t="s">
        <v>663</v>
      </c>
      <c r="T498" s="34">
        <v>20150804</v>
      </c>
      <c r="U498" s="45">
        <v>6.0033638273000003</v>
      </c>
      <c r="V498" s="46">
        <v>6.8989249283999996</v>
      </c>
      <c r="W498" s="34" t="s">
        <v>1235</v>
      </c>
      <c r="X498" s="34" t="s">
        <v>44</v>
      </c>
      <c r="Y498" s="34" t="s">
        <v>45</v>
      </c>
      <c r="Z498" s="34" t="s">
        <v>817</v>
      </c>
      <c r="AA498" s="34"/>
      <c r="AB498" s="34"/>
      <c r="AC498" s="22">
        <v>0.82296836853027344</v>
      </c>
      <c r="AD498" s="23" t="s">
        <v>1005</v>
      </c>
      <c r="AE498" s="24">
        <v>1.1013698630136985</v>
      </c>
      <c r="AF498" s="25">
        <v>0.17694084402090524</v>
      </c>
      <c r="AG498" s="26">
        <v>0</v>
      </c>
      <c r="AH498" s="26">
        <v>0</v>
      </c>
      <c r="AI498" s="27">
        <v>0.71855866284512593</v>
      </c>
      <c r="AJ498" s="27">
        <v>0.71855866284512593</v>
      </c>
      <c r="AK498" s="27">
        <v>0.71855866284512593</v>
      </c>
      <c r="AL498" s="28" t="s">
        <v>380</v>
      </c>
      <c r="AM498" s="29" t="s">
        <v>48</v>
      </c>
      <c r="AN498" s="29" t="s">
        <v>48</v>
      </c>
      <c r="AO498" s="29" t="s">
        <v>48</v>
      </c>
      <c r="AP498" s="47" t="s">
        <v>666</v>
      </c>
      <c r="AQ498" s="28">
        <v>0</v>
      </c>
      <c r="AR498" s="26">
        <v>1.4999999999999999E-2</v>
      </c>
      <c r="AS498" s="26">
        <v>0</v>
      </c>
    </row>
    <row r="499" spans="1:45" x14ac:dyDescent="0.15">
      <c r="A499" s="64">
        <v>603</v>
      </c>
      <c r="B499" s="64">
        <v>194</v>
      </c>
      <c r="C499" s="11">
        <v>100056</v>
      </c>
      <c r="D499" s="61">
        <v>15</v>
      </c>
      <c r="E499" s="61">
        <v>4.1519626647033197E-3</v>
      </c>
      <c r="F499" s="61">
        <v>140</v>
      </c>
      <c r="G499" s="61">
        <v>0.13470227253693601</v>
      </c>
      <c r="H499" s="66">
        <v>13</v>
      </c>
      <c r="I499" s="66" t="str">
        <f>H499&amp;"/"&amp;451</f>
        <v>13/451</v>
      </c>
      <c r="J499" s="68">
        <f>H499/451</f>
        <v>2.8824833702882482E-2</v>
      </c>
      <c r="K499" s="18" t="s">
        <v>44</v>
      </c>
      <c r="L499" s="18" t="s">
        <v>45</v>
      </c>
      <c r="M499" s="58" t="s">
        <v>65</v>
      </c>
      <c r="N499" s="18">
        <f>[1]!f_prt_stocktonav(C499,"2017/03/31")</f>
        <v>91.935508728027344</v>
      </c>
      <c r="O499" s="20" t="str">
        <f>[1]!f_info_fundmanager(C499)</f>
        <v>魏伟</v>
      </c>
      <c r="P499" s="21">
        <v>2.6739726027397261</v>
      </c>
      <c r="Q499" s="34" t="s">
        <v>2458</v>
      </c>
      <c r="R499" s="34" t="s">
        <v>2459</v>
      </c>
      <c r="S499" s="34" t="s">
        <v>396</v>
      </c>
      <c r="T499" s="34">
        <v>20110810</v>
      </c>
      <c r="U499" s="45">
        <v>60.979612561000003</v>
      </c>
      <c r="V499" s="46">
        <v>70.684330948500005</v>
      </c>
      <c r="W499" s="34" t="s">
        <v>3776</v>
      </c>
      <c r="X499" s="34" t="s">
        <v>44</v>
      </c>
      <c r="Y499" s="34" t="s">
        <v>45</v>
      </c>
      <c r="Z499" s="34" t="s">
        <v>65</v>
      </c>
      <c r="AA499" s="34"/>
      <c r="AB499" s="34"/>
      <c r="AC499" s="22">
        <v>0.94548217773437504</v>
      </c>
      <c r="AD499" s="23" t="s">
        <v>1532</v>
      </c>
      <c r="AE499" s="24">
        <v>2.4438356164383563</v>
      </c>
      <c r="AF499" s="25">
        <v>0.15564531196197384</v>
      </c>
      <c r="AG499" s="26">
        <v>0.2340956893052526</v>
      </c>
      <c r="AH499" s="26">
        <v>0.20128949162597465</v>
      </c>
      <c r="AI499" s="27">
        <v>0.63178606705457185</v>
      </c>
      <c r="AJ499" s="27">
        <v>0.8063926982261107</v>
      </c>
      <c r="AK499" s="27">
        <v>0.76557655694431836</v>
      </c>
      <c r="AL499" s="28" t="s">
        <v>167</v>
      </c>
      <c r="AM499" s="29">
        <v>5</v>
      </c>
      <c r="AN499" s="29">
        <v>5</v>
      </c>
      <c r="AO499" s="29" t="s">
        <v>48</v>
      </c>
      <c r="AP499" s="47" t="s">
        <v>2095</v>
      </c>
      <c r="AQ499" s="28" t="s">
        <v>608</v>
      </c>
      <c r="AR499" s="26">
        <v>1.4999999999999999E-2</v>
      </c>
      <c r="AS499" s="26">
        <v>0</v>
      </c>
    </row>
    <row r="500" spans="1:45" x14ac:dyDescent="0.15">
      <c r="A500" s="64">
        <v>377</v>
      </c>
      <c r="B500" s="64">
        <v>454</v>
      </c>
      <c r="C500" s="11">
        <v>970</v>
      </c>
      <c r="D500" s="61">
        <v>17</v>
      </c>
      <c r="E500" s="61">
        <v>3.9083577412897504E-3</v>
      </c>
      <c r="F500" s="61">
        <v>112</v>
      </c>
      <c r="G500" s="61">
        <v>2.93881712864923E-3</v>
      </c>
      <c r="H500" s="66">
        <v>14</v>
      </c>
      <c r="I500" s="66" t="str">
        <f>H500&amp;"/"&amp;451</f>
        <v>14/451</v>
      </c>
      <c r="J500" s="68">
        <f>H500/451</f>
        <v>3.1042128603104215E-2</v>
      </c>
      <c r="K500" s="18" t="s">
        <v>44</v>
      </c>
      <c r="L500" s="18" t="s">
        <v>45</v>
      </c>
      <c r="M500" s="58" t="s">
        <v>65</v>
      </c>
      <c r="N500" s="18">
        <f>[1]!f_prt_stocktonav(C500,"2017/03/31")</f>
        <v>86.168045043945313</v>
      </c>
      <c r="O500" s="20" t="str">
        <f>[1]!f_info_fundmanager(C500)</f>
        <v>林鹏,韩冬</v>
      </c>
      <c r="P500" s="21">
        <v>2.1863013698630138</v>
      </c>
      <c r="Q500" s="34" t="s">
        <v>1644</v>
      </c>
      <c r="R500" s="34" t="s">
        <v>1645</v>
      </c>
      <c r="S500" s="34" t="s">
        <v>313</v>
      </c>
      <c r="T500" s="34">
        <v>20150121</v>
      </c>
      <c r="U500" s="45">
        <v>10.2988885408</v>
      </c>
      <c r="V500" s="46">
        <v>9.9980012062999997</v>
      </c>
      <c r="W500" s="34" t="s">
        <v>201</v>
      </c>
      <c r="X500" s="34" t="s">
        <v>44</v>
      </c>
      <c r="Y500" s="17" t="s">
        <v>45</v>
      </c>
      <c r="Z500" s="17" t="s">
        <v>65</v>
      </c>
      <c r="AA500" s="34"/>
      <c r="AB500" s="34"/>
      <c r="AC500" s="22">
        <v>0.87702301025390628</v>
      </c>
      <c r="AD500" s="23" t="s">
        <v>1646</v>
      </c>
      <c r="AE500" s="24">
        <v>1.9561643835616438</v>
      </c>
      <c r="AF500" s="25">
        <v>0.24523176875777075</v>
      </c>
      <c r="AG500" s="26">
        <v>0</v>
      </c>
      <c r="AH500" s="26">
        <v>0</v>
      </c>
      <c r="AI500" s="27">
        <v>1.084897330295177</v>
      </c>
      <c r="AJ500" s="27">
        <v>1.084897330295177</v>
      </c>
      <c r="AK500" s="27">
        <v>1.084897330295177</v>
      </c>
      <c r="AL500" s="28" t="s">
        <v>1647</v>
      </c>
      <c r="AM500" s="29" t="s">
        <v>48</v>
      </c>
      <c r="AN500" s="29" t="s">
        <v>48</v>
      </c>
      <c r="AO500" s="29" t="s">
        <v>48</v>
      </c>
      <c r="AP500" s="47" t="s">
        <v>1648</v>
      </c>
      <c r="AQ500" s="28">
        <v>0</v>
      </c>
      <c r="AR500" s="26">
        <v>0.01</v>
      </c>
      <c r="AS500" s="26">
        <v>0</v>
      </c>
    </row>
    <row r="501" spans="1:45" x14ac:dyDescent="0.15">
      <c r="A501" s="64">
        <v>205</v>
      </c>
      <c r="B501" s="64">
        <v>71</v>
      </c>
      <c r="C501" s="11">
        <v>519195</v>
      </c>
      <c r="D501" s="61">
        <v>18</v>
      </c>
      <c r="E501" s="61">
        <v>3.8955382203886202E-3</v>
      </c>
      <c r="F501" s="61">
        <v>84</v>
      </c>
      <c r="G501" s="61">
        <v>0.121973357894252</v>
      </c>
      <c r="H501" s="66">
        <v>15</v>
      </c>
      <c r="I501" s="66" t="str">
        <f>H501&amp;"/"&amp;451</f>
        <v>15/451</v>
      </c>
      <c r="J501" s="68">
        <f>H501/451</f>
        <v>3.325942350332594E-2</v>
      </c>
      <c r="K501" s="18" t="s">
        <v>44</v>
      </c>
      <c r="L501" s="18" t="s">
        <v>45</v>
      </c>
      <c r="M501" s="58" t="s">
        <v>65</v>
      </c>
      <c r="N501" s="18">
        <f>[1]!f_prt_stocktonav(C501,"2017/03/31")</f>
        <v>94.041610717773438</v>
      </c>
      <c r="O501" s="20" t="str">
        <f>[1]!f_info_fundmanager(C501)</f>
        <v>莫海波</v>
      </c>
      <c r="P501" s="21">
        <v>1.6520547945205479</v>
      </c>
      <c r="Q501" s="34" t="s">
        <v>977</v>
      </c>
      <c r="R501" s="34" t="s">
        <v>978</v>
      </c>
      <c r="S501" s="34" t="s">
        <v>718</v>
      </c>
      <c r="T501" s="34">
        <v>20150806</v>
      </c>
      <c r="U501" s="45">
        <v>1.0246432379999999</v>
      </c>
      <c r="V501" s="46">
        <v>0.93516804499999995</v>
      </c>
      <c r="W501" s="34" t="s">
        <v>1235</v>
      </c>
      <c r="X501" s="34" t="s">
        <v>44</v>
      </c>
      <c r="Y501" s="17" t="s">
        <v>45</v>
      </c>
      <c r="Z501" s="17" t="s">
        <v>65</v>
      </c>
      <c r="AA501" s="34"/>
      <c r="AB501" s="34"/>
      <c r="AC501" s="22">
        <v>0.91302368164062497</v>
      </c>
      <c r="AD501" s="23" t="s">
        <v>719</v>
      </c>
      <c r="AE501" s="24">
        <v>1.4219178082191781</v>
      </c>
      <c r="AF501" s="25">
        <v>0.13707920762076298</v>
      </c>
      <c r="AG501" s="26">
        <v>0</v>
      </c>
      <c r="AH501" s="26">
        <v>0</v>
      </c>
      <c r="AI501" s="27">
        <v>0.56899222451493847</v>
      </c>
      <c r="AJ501" s="27">
        <v>0.56899222451493847</v>
      </c>
      <c r="AK501" s="27">
        <v>0.56899222451493847</v>
      </c>
      <c r="AL501" s="28" t="s">
        <v>191</v>
      </c>
      <c r="AM501" s="29" t="s">
        <v>48</v>
      </c>
      <c r="AN501" s="29" t="s">
        <v>48</v>
      </c>
      <c r="AO501" s="29" t="s">
        <v>48</v>
      </c>
      <c r="AP501" s="47" t="s">
        <v>979</v>
      </c>
      <c r="AQ501" s="28">
        <v>0</v>
      </c>
      <c r="AR501" s="26">
        <v>1.4999999999999999E-2</v>
      </c>
      <c r="AS501" s="26">
        <v>0</v>
      </c>
    </row>
    <row r="502" spans="1:45" x14ac:dyDescent="0.15">
      <c r="A502" s="64">
        <v>925</v>
      </c>
      <c r="B502" s="64">
        <v>911</v>
      </c>
      <c r="C502" s="11">
        <v>310308</v>
      </c>
      <c r="D502" s="61">
        <v>19</v>
      </c>
      <c r="E502" s="61">
        <v>3.8323675984299902E-3</v>
      </c>
      <c r="F502" s="61">
        <v>14</v>
      </c>
      <c r="G502" s="61">
        <v>0.198200635409508</v>
      </c>
      <c r="H502" s="66">
        <v>16</v>
      </c>
      <c r="I502" s="66" t="str">
        <f>H502&amp;"/"&amp;451</f>
        <v>16/451</v>
      </c>
      <c r="J502" s="68">
        <f>H502/451</f>
        <v>3.5476718403547672E-2</v>
      </c>
      <c r="K502" s="18" t="s">
        <v>44</v>
      </c>
      <c r="L502" s="18" t="s">
        <v>45</v>
      </c>
      <c r="M502" s="58" t="s">
        <v>65</v>
      </c>
      <c r="N502" s="18">
        <f>[1]!f_prt_stocktonav(C502,"2017/03/31")</f>
        <v>71.876449584960937</v>
      </c>
      <c r="O502" s="20" t="str">
        <f>[1]!f_info_fundmanager(C502)</f>
        <v>孙琳</v>
      </c>
      <c r="P502" s="21">
        <v>0.25479452054794521</v>
      </c>
      <c r="Q502" s="34" t="s">
        <v>3596</v>
      </c>
      <c r="R502" s="34" t="s">
        <v>3597</v>
      </c>
      <c r="S502" s="34" t="s">
        <v>2493</v>
      </c>
      <c r="T502" s="34">
        <v>20040409</v>
      </c>
      <c r="U502" s="45">
        <v>6.3527111607000002</v>
      </c>
      <c r="V502" s="46">
        <v>6.4717813381999996</v>
      </c>
      <c r="W502" s="34" t="s">
        <v>231</v>
      </c>
      <c r="X502" s="34" t="s">
        <v>41</v>
      </c>
      <c r="Y502" s="34" t="s">
        <v>42</v>
      </c>
      <c r="Z502" s="34" t="s">
        <v>181</v>
      </c>
      <c r="AA502" s="34"/>
      <c r="AB502" s="34"/>
      <c r="AC502" s="22">
        <v>0.59467292785644532</v>
      </c>
      <c r="AD502" s="23" t="s">
        <v>3598</v>
      </c>
      <c r="AE502" s="24">
        <v>1.5205479452054795</v>
      </c>
      <c r="AF502" s="25">
        <v>0.12048953133235019</v>
      </c>
      <c r="AG502" s="26">
        <v>0.10109696505114286</v>
      </c>
      <c r="AH502" s="26">
        <v>9.3862915489869803E-2</v>
      </c>
      <c r="AI502" s="27">
        <v>0.56461730081074279</v>
      </c>
      <c r="AJ502" s="27">
        <v>0.39536291609544083</v>
      </c>
      <c r="AK502" s="27">
        <v>0.43807357412672865</v>
      </c>
      <c r="AL502" s="28" t="s">
        <v>3599</v>
      </c>
      <c r="AM502" s="29">
        <v>3</v>
      </c>
      <c r="AN502" s="29">
        <v>2</v>
      </c>
      <c r="AO502" s="29" t="s">
        <v>48</v>
      </c>
      <c r="AP502" s="47" t="s">
        <v>3600</v>
      </c>
      <c r="AQ502" s="28">
        <v>0</v>
      </c>
      <c r="AR502" s="26">
        <v>1.4999999999999999E-2</v>
      </c>
      <c r="AS502" s="26">
        <v>0</v>
      </c>
    </row>
    <row r="503" spans="1:45" x14ac:dyDescent="0.15">
      <c r="A503" s="64">
        <v>378</v>
      </c>
      <c r="B503" s="64">
        <v>386</v>
      </c>
      <c r="C503" s="11">
        <v>169102</v>
      </c>
      <c r="D503" s="61">
        <v>22</v>
      </c>
      <c r="E503" s="61">
        <v>3.7117504824600101E-3</v>
      </c>
      <c r="F503" s="61">
        <v>112</v>
      </c>
      <c r="G503" s="61">
        <v>4.0656518099924802E-3</v>
      </c>
      <c r="H503" s="66">
        <v>17</v>
      </c>
      <c r="I503" s="66" t="str">
        <f>H503&amp;"/"&amp;451</f>
        <v>17/451</v>
      </c>
      <c r="J503" s="68">
        <f>H503/451</f>
        <v>3.7694013303769404E-2</v>
      </c>
      <c r="K503" s="18" t="s">
        <v>44</v>
      </c>
      <c r="L503" s="18" t="s">
        <v>45</v>
      </c>
      <c r="M503" s="58" t="s">
        <v>65</v>
      </c>
      <c r="N503" s="18">
        <f>[1]!f_prt_stocktonav(C503,"2017/03/31")</f>
        <v>87.793792724609375</v>
      </c>
      <c r="O503" s="20" t="str">
        <f>[1]!f_info_fundmanager(C503)</f>
        <v>林鹏,王延飞,秦绪文</v>
      </c>
      <c r="P503" s="21">
        <v>2.1972602739726028</v>
      </c>
      <c r="Q503" s="34" t="s">
        <v>1649</v>
      </c>
      <c r="R503" s="34" t="s">
        <v>1650</v>
      </c>
      <c r="S503" s="34" t="s">
        <v>313</v>
      </c>
      <c r="T503" s="34">
        <v>20150119</v>
      </c>
      <c r="U503" s="45">
        <v>6.3468032662000002</v>
      </c>
      <c r="V503" s="46">
        <v>6.1443722693999998</v>
      </c>
      <c r="W503" s="34" t="s">
        <v>3776</v>
      </c>
      <c r="X503" s="34" t="s">
        <v>44</v>
      </c>
      <c r="Y503" s="17" t="s">
        <v>45</v>
      </c>
      <c r="Z503" s="17" t="s">
        <v>65</v>
      </c>
      <c r="AA503" s="34"/>
      <c r="AB503" s="34"/>
      <c r="AC503" s="22">
        <v>0.86488075256347652</v>
      </c>
      <c r="AD503" s="23" t="s">
        <v>1651</v>
      </c>
      <c r="AE503" s="24">
        <v>1.9671232876712328</v>
      </c>
      <c r="AF503" s="25">
        <v>0.25015359284004157</v>
      </c>
      <c r="AG503" s="26">
        <v>0</v>
      </c>
      <c r="AH503" s="26">
        <v>0</v>
      </c>
      <c r="AI503" s="27">
        <v>1.0790944663036959</v>
      </c>
      <c r="AJ503" s="27">
        <v>1.0790944663036959</v>
      </c>
      <c r="AK503" s="27">
        <v>1.0790944663036959</v>
      </c>
      <c r="AL503" s="28" t="s">
        <v>1647</v>
      </c>
      <c r="AM503" s="29" t="s">
        <v>48</v>
      </c>
      <c r="AN503" s="29" t="s">
        <v>48</v>
      </c>
      <c r="AO503" s="29" t="s">
        <v>48</v>
      </c>
      <c r="AP503" s="47">
        <v>0</v>
      </c>
      <c r="AQ503" s="28">
        <v>0</v>
      </c>
      <c r="AR503" s="26">
        <v>1.4999999999999999E-2</v>
      </c>
      <c r="AS503" s="26">
        <v>0</v>
      </c>
    </row>
    <row r="504" spans="1:45" x14ac:dyDescent="0.15">
      <c r="A504" s="64">
        <v>410</v>
      </c>
      <c r="B504" s="64">
        <v>527</v>
      </c>
      <c r="C504" s="11">
        <v>169101</v>
      </c>
      <c r="D504" s="61">
        <v>24</v>
      </c>
      <c r="E504" s="61">
        <v>3.6987445264906101E-3</v>
      </c>
      <c r="F504" s="61">
        <v>130</v>
      </c>
      <c r="G504" s="61">
        <v>2.3169505449232202E-3</v>
      </c>
      <c r="H504" s="66">
        <v>18</v>
      </c>
      <c r="I504" s="66" t="str">
        <f>H504&amp;"/"&amp;451</f>
        <v>18/451</v>
      </c>
      <c r="J504" s="68">
        <f>H504/451</f>
        <v>3.9911308203991129E-2</v>
      </c>
      <c r="K504" s="18" t="s">
        <v>44</v>
      </c>
      <c r="L504" s="18" t="s">
        <v>45</v>
      </c>
      <c r="M504" s="58" t="s">
        <v>65</v>
      </c>
      <c r="N504" s="18">
        <f>[1]!f_prt_stocktonav(C504,"2017/03/31")</f>
        <v>84.634162902832031</v>
      </c>
      <c r="O504" s="20" t="str">
        <f>[1]!f_info_fundmanager(C504)</f>
        <v>林鹏</v>
      </c>
      <c r="P504" s="21">
        <v>2.515068493150685</v>
      </c>
      <c r="Q504" s="34" t="s">
        <v>1769</v>
      </c>
      <c r="R504" s="34" t="s">
        <v>1770</v>
      </c>
      <c r="S504" s="34" t="s">
        <v>313</v>
      </c>
      <c r="T504" s="34">
        <v>20140919</v>
      </c>
      <c r="U504" s="45">
        <v>20.099275867500001</v>
      </c>
      <c r="V504" s="46">
        <v>19.468692940699999</v>
      </c>
      <c r="W504" s="34" t="s">
        <v>3776</v>
      </c>
      <c r="X504" s="34" t="s">
        <v>44</v>
      </c>
      <c r="Y504" s="17" t="s">
        <v>45</v>
      </c>
      <c r="Z504" s="17" t="s">
        <v>65</v>
      </c>
      <c r="AA504" s="34"/>
      <c r="AB504" s="34"/>
      <c r="AC504" s="22">
        <v>0.91212226867675783</v>
      </c>
      <c r="AD504" s="23" t="s">
        <v>1771</v>
      </c>
      <c r="AE504" s="24">
        <v>2.2849315068493152</v>
      </c>
      <c r="AF504" s="25">
        <v>0.33386705772612268</v>
      </c>
      <c r="AG504" s="26">
        <v>0</v>
      </c>
      <c r="AH504" s="26">
        <v>0</v>
      </c>
      <c r="AI504" s="27">
        <v>1.4243134473837056</v>
      </c>
      <c r="AJ504" s="27">
        <v>1.4243134473837056</v>
      </c>
      <c r="AK504" s="27">
        <v>1.4243134473837056</v>
      </c>
      <c r="AL504" s="28" t="s">
        <v>1647</v>
      </c>
      <c r="AM504" s="29" t="s">
        <v>48</v>
      </c>
      <c r="AN504" s="29" t="s">
        <v>48</v>
      </c>
      <c r="AO504" s="29" t="s">
        <v>48</v>
      </c>
      <c r="AP504" s="47">
        <v>0</v>
      </c>
      <c r="AQ504" s="28">
        <v>0</v>
      </c>
      <c r="AR504" s="26">
        <v>1.4999999999999999E-2</v>
      </c>
      <c r="AS504" s="26">
        <v>0</v>
      </c>
    </row>
    <row r="505" spans="1:45" x14ac:dyDescent="0.15">
      <c r="A505" s="64">
        <v>24</v>
      </c>
      <c r="B505" s="64">
        <v>412</v>
      </c>
      <c r="C505" s="11">
        <v>2121</v>
      </c>
      <c r="D505" s="61">
        <v>25</v>
      </c>
      <c r="E505" s="61">
        <v>3.6313707255702702E-3</v>
      </c>
      <c r="F505" s="61">
        <v>21</v>
      </c>
      <c r="G505" s="61">
        <v>0.14083593978699999</v>
      </c>
      <c r="H505" s="66">
        <v>19</v>
      </c>
      <c r="I505" s="66" t="str">
        <f>H505&amp;"/"&amp;451</f>
        <v>19/451</v>
      </c>
      <c r="J505" s="68">
        <f>H505/451</f>
        <v>4.2128603104212861E-2</v>
      </c>
      <c r="K505" s="18" t="s">
        <v>44</v>
      </c>
      <c r="L505" s="19" t="s">
        <v>45</v>
      </c>
      <c r="M505" s="59" t="s">
        <v>65</v>
      </c>
      <c r="N505" s="18">
        <f>[1]!f_prt_stocktonav(C505,"2017/03/31")</f>
        <v>87.089683532714844</v>
      </c>
      <c r="O505" s="20" t="str">
        <f>[1]!f_info_fundmanager(C505)</f>
        <v>李耀柱</v>
      </c>
      <c r="P505" s="21">
        <v>0.38904109589041097</v>
      </c>
      <c r="Q505" s="32" t="s">
        <v>173</v>
      </c>
      <c r="R505" s="13" t="s">
        <v>174</v>
      </c>
      <c r="S505" s="13" t="s">
        <v>132</v>
      </c>
      <c r="T505" s="13">
        <v>20161102</v>
      </c>
      <c r="U505" s="14">
        <v>9.6940601893</v>
      </c>
      <c r="V505" s="15" t="s">
        <v>58</v>
      </c>
      <c r="W505" s="16" t="s">
        <v>40</v>
      </c>
      <c r="X505" s="34" t="s">
        <v>41</v>
      </c>
      <c r="Y505" s="17" t="s">
        <v>42</v>
      </c>
      <c r="Z505" s="17" t="s">
        <v>43</v>
      </c>
      <c r="AA505" s="13"/>
      <c r="AB505" s="13"/>
      <c r="AC505" s="22">
        <v>0</v>
      </c>
      <c r="AD505" s="23" t="s">
        <v>175</v>
      </c>
      <c r="AE505" s="24">
        <v>0.15890410958904111</v>
      </c>
      <c r="AF505" s="25">
        <v>-0.16913961959746016</v>
      </c>
      <c r="AG505" s="26">
        <v>0</v>
      </c>
      <c r="AH505" s="26">
        <v>0</v>
      </c>
      <c r="AI505" s="27">
        <v>-2.370542674195959</v>
      </c>
      <c r="AJ505" s="27">
        <v>-2.370542674195959</v>
      </c>
      <c r="AK505" s="27">
        <v>-2.370542674195959</v>
      </c>
      <c r="AL505" s="28" t="s">
        <v>176</v>
      </c>
      <c r="AM505" s="29" t="s">
        <v>48</v>
      </c>
      <c r="AN505" s="29" t="s">
        <v>48</v>
      </c>
      <c r="AO505" s="29" t="s">
        <v>48</v>
      </c>
      <c r="AP505" s="23" t="s">
        <v>177</v>
      </c>
      <c r="AQ505" s="30">
        <v>0</v>
      </c>
      <c r="AR505" s="31">
        <v>1.4999999999999999E-2</v>
      </c>
      <c r="AS505" s="31">
        <v>0</v>
      </c>
    </row>
    <row r="506" spans="1:45" x14ac:dyDescent="0.15">
      <c r="A506" s="64">
        <v>51</v>
      </c>
      <c r="B506" s="64">
        <v>654</v>
      </c>
      <c r="C506" s="11">
        <v>169105</v>
      </c>
      <c r="D506" s="61">
        <v>26</v>
      </c>
      <c r="E506" s="61">
        <v>3.6281047777451001E-3</v>
      </c>
      <c r="F506" s="61">
        <v>33</v>
      </c>
      <c r="G506" s="61">
        <v>4.9674530360714002E-2</v>
      </c>
      <c r="H506" s="66">
        <v>20</v>
      </c>
      <c r="I506" s="66" t="str">
        <f>H506&amp;"/"&amp;451</f>
        <v>20/451</v>
      </c>
      <c r="J506" s="68">
        <f>H506/451</f>
        <v>4.4345898004434593E-2</v>
      </c>
      <c r="K506" s="18" t="s">
        <v>44</v>
      </c>
      <c r="L506" s="18" t="s">
        <v>45</v>
      </c>
      <c r="M506" s="58" t="s">
        <v>65</v>
      </c>
      <c r="N506" s="18">
        <f>[1]!f_prt_stocktonav(C506,"2017/03/31")</f>
        <v>81.30194091796875</v>
      </c>
      <c r="O506" s="20" t="str">
        <f>[1]!f_info_fundmanager(C506)</f>
        <v>林鹏</v>
      </c>
      <c r="P506" s="21">
        <v>0.65479452054794518</v>
      </c>
      <c r="Q506" s="34" t="s">
        <v>311</v>
      </c>
      <c r="R506" s="34" t="s">
        <v>312</v>
      </c>
      <c r="S506" s="34" t="s">
        <v>313</v>
      </c>
      <c r="T506" s="34">
        <v>20160804</v>
      </c>
      <c r="U506" s="45">
        <v>64.401398828300003</v>
      </c>
      <c r="V506" s="46">
        <v>63.709946645499997</v>
      </c>
      <c r="W506" s="34" t="s">
        <v>1235</v>
      </c>
      <c r="X506" s="34" t="s">
        <v>41</v>
      </c>
      <c r="Y506" s="34" t="s">
        <v>42</v>
      </c>
      <c r="Z506" s="34" t="s">
        <v>43</v>
      </c>
      <c r="AA506" s="34"/>
      <c r="AB506" s="34"/>
      <c r="AC506" s="22">
        <v>0.59366031646728512</v>
      </c>
      <c r="AD506" s="23" t="s">
        <v>314</v>
      </c>
      <c r="AE506" s="24">
        <v>0.42465753424657532</v>
      </c>
      <c r="AF506" s="25">
        <v>2.8709123722145735E-2</v>
      </c>
      <c r="AG506" s="26">
        <v>0</v>
      </c>
      <c r="AH506" s="26">
        <v>0</v>
      </c>
      <c r="AI506" s="27">
        <v>0.29156815188133001</v>
      </c>
      <c r="AJ506" s="27">
        <v>0.29156815188133001</v>
      </c>
      <c r="AK506" s="27">
        <v>0.29156815188133001</v>
      </c>
      <c r="AL506" s="28" t="s">
        <v>315</v>
      </c>
      <c r="AM506" s="29" t="s">
        <v>48</v>
      </c>
      <c r="AN506" s="29" t="s">
        <v>48</v>
      </c>
      <c r="AO506" s="29" t="s">
        <v>48</v>
      </c>
      <c r="AP506" s="47">
        <v>0</v>
      </c>
      <c r="AQ506" s="28">
        <v>0</v>
      </c>
      <c r="AR506" s="26">
        <v>1.4999999999999999E-2</v>
      </c>
      <c r="AS506" s="26">
        <v>0</v>
      </c>
    </row>
    <row r="507" spans="1:45" x14ac:dyDescent="0.15">
      <c r="A507" s="64">
        <v>60</v>
      </c>
      <c r="B507" s="64">
        <v>676</v>
      </c>
      <c r="C507" s="11">
        <v>2803</v>
      </c>
      <c r="D507" s="61">
        <v>28</v>
      </c>
      <c r="E507" s="61">
        <v>3.57668451270999E-3</v>
      </c>
      <c r="F507" s="61">
        <v>36</v>
      </c>
      <c r="G507" s="61">
        <v>3.0273971867059199E-2</v>
      </c>
      <c r="H507" s="66">
        <v>21</v>
      </c>
      <c r="I507" s="66" t="str">
        <f>H507&amp;"/"&amp;451</f>
        <v>21/451</v>
      </c>
      <c r="J507" s="68">
        <f>H507/451</f>
        <v>4.6563192904656318E-2</v>
      </c>
      <c r="K507" s="18" t="s">
        <v>44</v>
      </c>
      <c r="L507" s="18" t="s">
        <v>45</v>
      </c>
      <c r="M507" s="58" t="s">
        <v>65</v>
      </c>
      <c r="N507" s="18">
        <f>[1]!f_prt_stocktonav(C507,"2017/03/31")</f>
        <v>80.682403564453125</v>
      </c>
      <c r="O507" s="20" t="str">
        <f>[1]!f_info_fundmanager(C507)</f>
        <v>林鹏</v>
      </c>
      <c r="P507" s="21">
        <v>0.72054794520547949</v>
      </c>
      <c r="Q507" s="34" t="s">
        <v>358</v>
      </c>
      <c r="R507" s="34" t="s">
        <v>359</v>
      </c>
      <c r="S507" s="34" t="s">
        <v>313</v>
      </c>
      <c r="T507" s="34">
        <v>20160711</v>
      </c>
      <c r="U507" s="45">
        <v>12.113475060800001</v>
      </c>
      <c r="V507" s="46">
        <v>8.5987294472000002</v>
      </c>
      <c r="W507" s="34" t="s">
        <v>201</v>
      </c>
      <c r="X507" s="34" t="s">
        <v>41</v>
      </c>
      <c r="Y507" s="34" t="s">
        <v>42</v>
      </c>
      <c r="Z507" s="34" t="s">
        <v>181</v>
      </c>
      <c r="AA507" s="34"/>
      <c r="AB507" s="34"/>
      <c r="AC507" s="22">
        <v>0.60857772827148438</v>
      </c>
      <c r="AD507" s="23" t="s">
        <v>314</v>
      </c>
      <c r="AE507" s="24">
        <v>0.49041095890410957</v>
      </c>
      <c r="AF507" s="25">
        <v>6.3968232113696066E-2</v>
      </c>
      <c r="AG507" s="26">
        <v>0</v>
      </c>
      <c r="AH507" s="26">
        <v>0</v>
      </c>
      <c r="AI507" s="27">
        <v>0.8714539152477937</v>
      </c>
      <c r="AJ507" s="27">
        <v>0.8714539152477937</v>
      </c>
      <c r="AK507" s="27">
        <v>0.8714539152477937</v>
      </c>
      <c r="AL507" s="28" t="s">
        <v>360</v>
      </c>
      <c r="AM507" s="29" t="s">
        <v>48</v>
      </c>
      <c r="AN507" s="29" t="s">
        <v>48</v>
      </c>
      <c r="AO507" s="29" t="s">
        <v>48</v>
      </c>
      <c r="AP507" s="47" t="s">
        <v>361</v>
      </c>
      <c r="AQ507" s="28">
        <v>0</v>
      </c>
      <c r="AR507" s="26">
        <v>1.4999999999999999E-2</v>
      </c>
      <c r="AS507" s="26">
        <v>0</v>
      </c>
    </row>
    <row r="508" spans="1:45" x14ac:dyDescent="0.15">
      <c r="A508" s="64">
        <v>65</v>
      </c>
      <c r="B508" s="64">
        <v>337</v>
      </c>
      <c r="C508" s="11">
        <v>169104</v>
      </c>
      <c r="D508" s="61">
        <v>30</v>
      </c>
      <c r="E508" s="61">
        <v>3.4979489515256802E-3</v>
      </c>
      <c r="F508" s="61">
        <v>38</v>
      </c>
      <c r="G508" s="61">
        <v>1.45877019400099E-2</v>
      </c>
      <c r="H508" s="66">
        <v>22</v>
      </c>
      <c r="I508" s="66" t="str">
        <f>H508&amp;"/"&amp;451</f>
        <v>22/451</v>
      </c>
      <c r="J508" s="68">
        <f>H508/451</f>
        <v>4.878048780487805E-2</v>
      </c>
      <c r="K508" s="18" t="s">
        <v>44</v>
      </c>
      <c r="L508" s="18" t="s">
        <v>45</v>
      </c>
      <c r="M508" s="58" t="s">
        <v>65</v>
      </c>
      <c r="N508" s="18">
        <f>[1]!f_prt_stocktonav(C508,"2017/03/31")</f>
        <v>88.708457946777344</v>
      </c>
      <c r="O508" s="20" t="str">
        <f>[1]!f_info_fundmanager(C508)</f>
        <v>周云,孙伟</v>
      </c>
      <c r="P508" s="21">
        <v>0.75616438356164384</v>
      </c>
      <c r="Q508" s="34" t="s">
        <v>382</v>
      </c>
      <c r="R508" s="34" t="s">
        <v>383</v>
      </c>
      <c r="S508" s="34" t="s">
        <v>313</v>
      </c>
      <c r="T508" s="34">
        <v>20160628</v>
      </c>
      <c r="U508" s="45">
        <v>12.0489605438</v>
      </c>
      <c r="V508" s="46">
        <v>11.7100120732</v>
      </c>
      <c r="W508" s="34" t="s">
        <v>201</v>
      </c>
      <c r="X508" s="34" t="s">
        <v>41</v>
      </c>
      <c r="Y508" s="34" t="s">
        <v>42</v>
      </c>
      <c r="Z508" s="34" t="s">
        <v>181</v>
      </c>
      <c r="AA508" s="34"/>
      <c r="AB508" s="34"/>
      <c r="AC508" s="22">
        <v>0.4886722946166992</v>
      </c>
      <c r="AD508" s="23" t="s">
        <v>384</v>
      </c>
      <c r="AE508" s="24">
        <v>0.52602739726027392</v>
      </c>
      <c r="AF508" s="25">
        <v>0.10605647380587024</v>
      </c>
      <c r="AG508" s="26">
        <v>0</v>
      </c>
      <c r="AH508" s="26">
        <v>0</v>
      </c>
      <c r="AI508" s="27">
        <v>2.0767995066613789</v>
      </c>
      <c r="AJ508" s="27">
        <v>2.0767995066613789</v>
      </c>
      <c r="AK508" s="27">
        <v>2.0767995066613789</v>
      </c>
      <c r="AL508" s="28" t="s">
        <v>315</v>
      </c>
      <c r="AM508" s="29" t="s">
        <v>48</v>
      </c>
      <c r="AN508" s="29" t="s">
        <v>48</v>
      </c>
      <c r="AO508" s="29" t="s">
        <v>48</v>
      </c>
      <c r="AP508" s="47">
        <v>0</v>
      </c>
      <c r="AQ508" s="28">
        <v>0</v>
      </c>
      <c r="AR508" s="26">
        <v>1.4999999999999999E-2</v>
      </c>
      <c r="AS508" s="26">
        <v>0</v>
      </c>
    </row>
    <row r="509" spans="1:45" x14ac:dyDescent="0.15">
      <c r="A509" s="64">
        <v>708</v>
      </c>
      <c r="B509" s="64">
        <v>514</v>
      </c>
      <c r="C509" s="11">
        <v>257050</v>
      </c>
      <c r="D509" s="61">
        <v>31</v>
      </c>
      <c r="E509" s="61">
        <v>3.4307147164637599E-3</v>
      </c>
      <c r="F509" s="61">
        <v>14</v>
      </c>
      <c r="G509" s="61">
        <v>0.34453478160428502</v>
      </c>
      <c r="H509" s="66">
        <v>23</v>
      </c>
      <c r="I509" s="66" t="str">
        <f>H509&amp;"/"&amp;451</f>
        <v>23/451</v>
      </c>
      <c r="J509" s="68">
        <f>H509/451</f>
        <v>5.0997782705099776E-2</v>
      </c>
      <c r="K509" s="18" t="s">
        <v>44</v>
      </c>
      <c r="L509" s="18" t="s">
        <v>87</v>
      </c>
      <c r="M509" s="58" t="s">
        <v>65</v>
      </c>
      <c r="N509" s="18">
        <f>[1]!f_prt_stocktonav(C509,"2017/03/31")</f>
        <v>84.983901977539063</v>
      </c>
      <c r="O509" s="20" t="str">
        <f>[1]!f_info_fundmanager(C509)</f>
        <v>张汉毅</v>
      </c>
      <c r="P509" s="21">
        <v>0.26849315068493151</v>
      </c>
      <c r="Q509" s="34" t="s">
        <v>2806</v>
      </c>
      <c r="R509" s="34" t="s">
        <v>2807</v>
      </c>
      <c r="S509" s="34" t="s">
        <v>724</v>
      </c>
      <c r="T509" s="34">
        <v>20090826</v>
      </c>
      <c r="U509" s="45">
        <v>1.7009351804999999</v>
      </c>
      <c r="V509" s="46">
        <v>2.2144423487</v>
      </c>
      <c r="W509" s="34" t="s">
        <v>3776</v>
      </c>
      <c r="X509" s="34" t="s">
        <v>44</v>
      </c>
      <c r="Y509" s="34" t="s">
        <v>45</v>
      </c>
      <c r="Z509" s="34" t="s">
        <v>274</v>
      </c>
      <c r="AA509" s="34"/>
      <c r="AB509" s="34"/>
      <c r="AC509" s="22">
        <v>0.8029210662841797</v>
      </c>
      <c r="AD509" s="23" t="s">
        <v>2808</v>
      </c>
      <c r="AE509" s="24">
        <v>1.6958904109589041</v>
      </c>
      <c r="AF509" s="25">
        <v>2.216492963624872E-2</v>
      </c>
      <c r="AG509" s="26">
        <v>2.2229462182910442E-2</v>
      </c>
      <c r="AH509" s="26">
        <v>7.0962744176155335E-2</v>
      </c>
      <c r="AI509" s="27">
        <v>0.17984238755702181</v>
      </c>
      <c r="AJ509" s="27">
        <v>0.22216399002885001</v>
      </c>
      <c r="AK509" s="27">
        <v>0.33109878355474115</v>
      </c>
      <c r="AL509" s="28" t="s">
        <v>726</v>
      </c>
      <c r="AM509" s="29">
        <v>2</v>
      </c>
      <c r="AN509" s="29">
        <v>3</v>
      </c>
      <c r="AO509" s="29" t="s">
        <v>48</v>
      </c>
      <c r="AP509" s="47" t="s">
        <v>2809</v>
      </c>
      <c r="AQ509" s="28">
        <v>0</v>
      </c>
      <c r="AR509" s="26">
        <v>1.4999999999999999E-2</v>
      </c>
      <c r="AS509" s="26">
        <v>0</v>
      </c>
    </row>
    <row r="510" spans="1:45" x14ac:dyDescent="0.15">
      <c r="A510" s="64">
        <v>904</v>
      </c>
      <c r="B510" s="64">
        <v>802</v>
      </c>
      <c r="C510" s="11">
        <v>90004</v>
      </c>
      <c r="D510" s="61">
        <v>32</v>
      </c>
      <c r="E510" s="61">
        <v>3.3536666491615998E-3</v>
      </c>
      <c r="F510" s="61">
        <v>21</v>
      </c>
      <c r="G510" s="61">
        <v>0.15472371942643101</v>
      </c>
      <c r="H510" s="66">
        <v>24</v>
      </c>
      <c r="I510" s="66" t="str">
        <f>H510&amp;"/"&amp;451</f>
        <v>24/451</v>
      </c>
      <c r="J510" s="68">
        <f>H510/451</f>
        <v>5.3215077605321508E-2</v>
      </c>
      <c r="K510" s="18" t="s">
        <v>44</v>
      </c>
      <c r="L510" s="18" t="s">
        <v>45</v>
      </c>
      <c r="M510" s="58" t="s">
        <v>65</v>
      </c>
      <c r="N510" s="18">
        <f>[1]!f_prt_stocktonav(C510,"2017/03/31")</f>
        <v>76.5654296875</v>
      </c>
      <c r="O510" s="20" t="str">
        <f>[1]!f_info_fundmanager(C510)</f>
        <v>李博</v>
      </c>
      <c r="P510" s="21">
        <v>0.40273972602739727</v>
      </c>
      <c r="Q510" s="34" t="s">
        <v>3512</v>
      </c>
      <c r="R510" s="34" t="s">
        <v>3513</v>
      </c>
      <c r="S510" s="34" t="s">
        <v>486</v>
      </c>
      <c r="T510" s="34">
        <v>20041215</v>
      </c>
      <c r="U510" s="45">
        <v>12.709639513100001</v>
      </c>
      <c r="V510" s="46">
        <v>13.4158478</v>
      </c>
      <c r="W510" s="34" t="s">
        <v>231</v>
      </c>
      <c r="X510" s="34" t="s">
        <v>44</v>
      </c>
      <c r="Y510" s="34" t="s">
        <v>45</v>
      </c>
      <c r="Z510" s="34" t="s">
        <v>65</v>
      </c>
      <c r="AA510" s="34"/>
      <c r="AB510" s="34"/>
      <c r="AC510" s="22">
        <v>0.76916709899902347</v>
      </c>
      <c r="AD510" s="23" t="s">
        <v>1419</v>
      </c>
      <c r="AE510" s="24">
        <v>0.17260273972602741</v>
      </c>
      <c r="AF510" s="25">
        <v>0.16409427813391186</v>
      </c>
      <c r="AG510" s="26">
        <v>0.16388845417299103</v>
      </c>
      <c r="AH510" s="26">
        <v>0.13021737251036902</v>
      </c>
      <c r="AI510" s="27">
        <v>0.64764002290443889</v>
      </c>
      <c r="AJ510" s="27">
        <v>0.61780889054542687</v>
      </c>
      <c r="AK510" s="27">
        <v>0.54849401271520848</v>
      </c>
      <c r="AL510" s="28" t="s">
        <v>2949</v>
      </c>
      <c r="AM510" s="29">
        <v>3</v>
      </c>
      <c r="AN510" s="29">
        <v>1</v>
      </c>
      <c r="AO510" s="29" t="s">
        <v>48</v>
      </c>
      <c r="AP510" s="47" t="s">
        <v>1002</v>
      </c>
      <c r="AQ510" s="28">
        <v>0</v>
      </c>
      <c r="AR510" s="26">
        <v>1.4999999999999999E-2</v>
      </c>
      <c r="AS510" s="26">
        <v>0</v>
      </c>
    </row>
    <row r="511" spans="1:45" x14ac:dyDescent="0.15">
      <c r="A511" s="64">
        <v>18</v>
      </c>
      <c r="B511" s="64">
        <v>592</v>
      </c>
      <c r="C511" s="11">
        <v>160322</v>
      </c>
      <c r="D511" s="61">
        <v>34</v>
      </c>
      <c r="E511" s="61">
        <v>3.26632734555716E-3</v>
      </c>
      <c r="F511" s="61">
        <v>20</v>
      </c>
      <c r="G511" s="61">
        <v>0.211775659955735</v>
      </c>
      <c r="H511" s="66">
        <v>25</v>
      </c>
      <c r="I511" s="66" t="str">
        <f>H511&amp;"/"&amp;451</f>
        <v>25/451</v>
      </c>
      <c r="J511" s="68">
        <f>H511/451</f>
        <v>5.543237250554324E-2</v>
      </c>
      <c r="K511" s="18" t="s">
        <v>44</v>
      </c>
      <c r="L511" s="19" t="s">
        <v>45</v>
      </c>
      <c r="M511" s="59" t="s">
        <v>65</v>
      </c>
      <c r="N511" s="18">
        <f>[1]!f_prt_stocktonav(C511,"2017/03/31")</f>
        <v>83.021133422851563</v>
      </c>
      <c r="O511" s="20" t="str">
        <f>[1]!f_info_fundmanager(C511)</f>
        <v>李湘杰</v>
      </c>
      <c r="P511" s="21">
        <v>0.38356164383561642</v>
      </c>
      <c r="Q511" s="32" t="s">
        <v>141</v>
      </c>
      <c r="R511" s="13" t="s">
        <v>142</v>
      </c>
      <c r="S511" s="13" t="s">
        <v>143</v>
      </c>
      <c r="T511" s="13">
        <v>20161111</v>
      </c>
      <c r="U511" s="14">
        <v>3.7673142986000001</v>
      </c>
      <c r="V511" s="15" t="s">
        <v>58</v>
      </c>
      <c r="W511" s="16" t="s">
        <v>40</v>
      </c>
      <c r="X511" s="34" t="s">
        <v>41</v>
      </c>
      <c r="Y511" s="17" t="s">
        <v>42</v>
      </c>
      <c r="Z511" s="17" t="s">
        <v>43</v>
      </c>
      <c r="AA511" s="13"/>
      <c r="AB511" s="13"/>
      <c r="AC511" s="22">
        <v>0</v>
      </c>
      <c r="AD511" s="23" t="s">
        <v>144</v>
      </c>
      <c r="AE511" s="24">
        <v>0.15342465753424658</v>
      </c>
      <c r="AF511" s="25">
        <v>-4.2152019671042096E-2</v>
      </c>
      <c r="AG511" s="26">
        <v>0</v>
      </c>
      <c r="AH511" s="26">
        <v>0</v>
      </c>
      <c r="AI511" s="27">
        <v>-1.24222540968425</v>
      </c>
      <c r="AJ511" s="27">
        <v>-1.24222540968425</v>
      </c>
      <c r="AK511" s="27">
        <v>-1.24222540968425</v>
      </c>
      <c r="AL511" s="28" t="s">
        <v>145</v>
      </c>
      <c r="AM511" s="29" t="s">
        <v>48</v>
      </c>
      <c r="AN511" s="29" t="s">
        <v>48</v>
      </c>
      <c r="AO511" s="29" t="s">
        <v>48</v>
      </c>
      <c r="AP511" s="23" t="s">
        <v>146</v>
      </c>
      <c r="AQ511" s="30">
        <v>0</v>
      </c>
      <c r="AR511" s="31">
        <v>1.4999999999999999E-2</v>
      </c>
      <c r="AS511" s="31">
        <v>0</v>
      </c>
    </row>
    <row r="512" spans="1:45" x14ac:dyDescent="0.15">
      <c r="A512" s="64">
        <v>760</v>
      </c>
      <c r="B512" s="64">
        <v>164</v>
      </c>
      <c r="C512" s="11">
        <v>460005</v>
      </c>
      <c r="D512" s="61">
        <v>35</v>
      </c>
      <c r="E512" s="61">
        <v>3.1762804320267599E-3</v>
      </c>
      <c r="F512" s="61">
        <v>136</v>
      </c>
      <c r="G512" s="61">
        <v>8.0992863984267902E-2</v>
      </c>
      <c r="H512" s="66">
        <v>26</v>
      </c>
      <c r="I512" s="66" t="str">
        <f>H512&amp;"/"&amp;451</f>
        <v>26/451</v>
      </c>
      <c r="J512" s="68">
        <f>H512/451</f>
        <v>5.7649667405764965E-2</v>
      </c>
      <c r="K512" s="18" t="s">
        <v>44</v>
      </c>
      <c r="L512" s="18" t="s">
        <v>45</v>
      </c>
      <c r="M512" s="58" t="s">
        <v>65</v>
      </c>
      <c r="N512" s="18">
        <f>[1]!f_prt_stocktonav(C512,"2017/03/31")</f>
        <v>92.44891357421875</v>
      </c>
      <c r="O512" s="20" t="str">
        <f>[1]!f_info_fundmanager(C512)</f>
        <v>方纬</v>
      </c>
      <c r="P512" s="21">
        <v>2.6082191780821917</v>
      </c>
      <c r="Q512" s="34" t="s">
        <v>2981</v>
      </c>
      <c r="R512" s="34" t="s">
        <v>2982</v>
      </c>
      <c r="S512" s="34" t="s">
        <v>880</v>
      </c>
      <c r="T512" s="34">
        <v>20080716</v>
      </c>
      <c r="U512" s="45">
        <v>8.8707808440000004</v>
      </c>
      <c r="V512" s="46">
        <v>9.6951913065999999</v>
      </c>
      <c r="W512" s="34" t="s">
        <v>231</v>
      </c>
      <c r="X512" s="34" t="s">
        <v>44</v>
      </c>
      <c r="Y512" s="34" t="s">
        <v>45</v>
      </c>
      <c r="Z512" s="34" t="s">
        <v>817</v>
      </c>
      <c r="AA512" s="34"/>
      <c r="AB512" s="34"/>
      <c r="AC512" s="22">
        <v>0.93580924987792968</v>
      </c>
      <c r="AD512" s="23" t="s">
        <v>1280</v>
      </c>
      <c r="AE512" s="24">
        <v>2.3780821917808219</v>
      </c>
      <c r="AF512" s="25">
        <v>0.17926195687245716</v>
      </c>
      <c r="AG512" s="26">
        <v>0.32171780062034272</v>
      </c>
      <c r="AH512" s="26">
        <v>0.22615514423676353</v>
      </c>
      <c r="AI512" s="27">
        <v>0.71851833669359133</v>
      </c>
      <c r="AJ512" s="27">
        <v>1.0202225410282011</v>
      </c>
      <c r="AK512" s="27">
        <v>0.85148582616893709</v>
      </c>
      <c r="AL512" s="28" t="s">
        <v>726</v>
      </c>
      <c r="AM512" s="29">
        <v>5</v>
      </c>
      <c r="AN512" s="29">
        <v>5</v>
      </c>
      <c r="AO512" s="29" t="s">
        <v>48</v>
      </c>
      <c r="AP512" s="47" t="s">
        <v>2790</v>
      </c>
      <c r="AQ512" s="28">
        <v>0</v>
      </c>
      <c r="AR512" s="26">
        <v>1.4999999999999999E-2</v>
      </c>
      <c r="AS512" s="26">
        <v>0</v>
      </c>
    </row>
    <row r="513" spans="1:45" x14ac:dyDescent="0.15">
      <c r="A513" s="64">
        <v>69</v>
      </c>
      <c r="B513" s="64">
        <v>476</v>
      </c>
      <c r="C513" s="11">
        <v>2482</v>
      </c>
      <c r="D513" s="61">
        <v>36</v>
      </c>
      <c r="E513" s="61">
        <v>3.1759976534228998E-3</v>
      </c>
      <c r="F513" s="61">
        <v>32</v>
      </c>
      <c r="G513" s="61">
        <v>0.247496598295596</v>
      </c>
      <c r="H513" s="66">
        <v>27</v>
      </c>
      <c r="I513" s="66" t="str">
        <f>H513&amp;"/"&amp;451</f>
        <v>27/451</v>
      </c>
      <c r="J513" s="68">
        <f>H513/451</f>
        <v>5.9866962305986697E-2</v>
      </c>
      <c r="K513" s="18" t="s">
        <v>44</v>
      </c>
      <c r="L513" s="18" t="s">
        <v>45</v>
      </c>
      <c r="M513" s="58" t="s">
        <v>65</v>
      </c>
      <c r="N513" s="18">
        <f>[1]!f_prt_stocktonav(C513,"2017/03/31")</f>
        <v>85.750083923339844</v>
      </c>
      <c r="O513" s="20" t="str">
        <f>[1]!f_info_fundmanager(C513)</f>
        <v>易祚兴,张仲维</v>
      </c>
      <c r="P513" s="21">
        <v>0.61095890410958908</v>
      </c>
      <c r="Q513" s="34" t="s">
        <v>400</v>
      </c>
      <c r="R513" s="34" t="s">
        <v>401</v>
      </c>
      <c r="S513" s="34" t="s">
        <v>402</v>
      </c>
      <c r="T513" s="34">
        <v>20160616</v>
      </c>
      <c r="U513" s="45">
        <v>0.72728268119999995</v>
      </c>
      <c r="V513" s="46">
        <v>1.1479234105</v>
      </c>
      <c r="W513" s="34" t="s">
        <v>3776</v>
      </c>
      <c r="X513" s="34" t="s">
        <v>44</v>
      </c>
      <c r="Y513" s="34" t="s">
        <v>45</v>
      </c>
      <c r="Z513" s="34" t="s">
        <v>65</v>
      </c>
      <c r="AA513" s="34"/>
      <c r="AB513" s="34"/>
      <c r="AC513" s="22">
        <v>0.86331512451171877</v>
      </c>
      <c r="AD513" s="23" t="s">
        <v>403</v>
      </c>
      <c r="AE513" s="24">
        <v>0.38082191780821917</v>
      </c>
      <c r="AF513" s="25">
        <v>-6.3257015804702332E-2</v>
      </c>
      <c r="AG513" s="26">
        <v>0</v>
      </c>
      <c r="AH513" s="26">
        <v>0</v>
      </c>
      <c r="AI513" s="27">
        <v>-0.68437405501380311</v>
      </c>
      <c r="AJ513" s="27">
        <v>-0.68437405501380311</v>
      </c>
      <c r="AK513" s="27">
        <v>-0.68437405501380311</v>
      </c>
      <c r="AL513" s="28" t="s">
        <v>404</v>
      </c>
      <c r="AM513" s="29" t="s">
        <v>48</v>
      </c>
      <c r="AN513" s="29" t="s">
        <v>48</v>
      </c>
      <c r="AO513" s="29" t="s">
        <v>48</v>
      </c>
      <c r="AP513" s="47" t="s">
        <v>405</v>
      </c>
      <c r="AQ513" s="28">
        <v>0</v>
      </c>
      <c r="AR513" s="26">
        <v>1.4999999999999999E-2</v>
      </c>
      <c r="AS513" s="26">
        <v>0</v>
      </c>
    </row>
    <row r="514" spans="1:45" x14ac:dyDescent="0.15">
      <c r="A514" s="64">
        <v>278</v>
      </c>
      <c r="B514" s="64">
        <v>720</v>
      </c>
      <c r="C514" s="11">
        <v>1069</v>
      </c>
      <c r="D514" s="61">
        <v>38</v>
      </c>
      <c r="E514" s="61">
        <v>3.1682639822851601E-3</v>
      </c>
      <c r="F514" s="61">
        <v>95</v>
      </c>
      <c r="G514" s="61">
        <v>0.23077394208482899</v>
      </c>
      <c r="H514" s="66">
        <v>28</v>
      </c>
      <c r="I514" s="66" t="str">
        <f>H514&amp;"/"&amp;451</f>
        <v>28/451</v>
      </c>
      <c r="J514" s="68">
        <f>H514/451</f>
        <v>6.2084257206208429E-2</v>
      </c>
      <c r="K514" s="18" t="s">
        <v>44</v>
      </c>
      <c r="L514" s="18" t="s">
        <v>87</v>
      </c>
      <c r="M514" s="58" t="s">
        <v>65</v>
      </c>
      <c r="N514" s="18">
        <f>[1]!f_prt_stocktonav(C514,"2017/03/31")</f>
        <v>79.450149536132812</v>
      </c>
      <c r="O514" s="20" t="str">
        <f>[1]!f_info_fundmanager(C514)</f>
        <v>方纬</v>
      </c>
      <c r="P514" s="21">
        <v>1.8657534246575342</v>
      </c>
      <c r="Q514" s="34" t="s">
        <v>1278</v>
      </c>
      <c r="R514" s="34" t="s">
        <v>1279</v>
      </c>
      <c r="S514" s="34" t="s">
        <v>880</v>
      </c>
      <c r="T514" s="34">
        <v>20150520</v>
      </c>
      <c r="U514" s="45">
        <v>6.2879097120000003</v>
      </c>
      <c r="V514" s="46">
        <v>8.7666662193999993</v>
      </c>
      <c r="W514" s="34" t="s">
        <v>3789</v>
      </c>
      <c r="X514" s="34" t="s">
        <v>44</v>
      </c>
      <c r="Y514" s="34" t="s">
        <v>45</v>
      </c>
      <c r="Z514" s="34" t="s">
        <v>65</v>
      </c>
      <c r="AA514" s="34"/>
      <c r="AB514" s="34"/>
      <c r="AC514" s="22">
        <v>0.89824371337890629</v>
      </c>
      <c r="AD514" s="23" t="s">
        <v>1280</v>
      </c>
      <c r="AE514" s="24">
        <v>1.6356164383561644</v>
      </c>
      <c r="AF514" s="25">
        <v>5.9335526790132986E-2</v>
      </c>
      <c r="AG514" s="26">
        <v>0</v>
      </c>
      <c r="AH514" s="26">
        <v>0</v>
      </c>
      <c r="AI514" s="27">
        <v>0.29137184573591796</v>
      </c>
      <c r="AJ514" s="27">
        <v>0.29137184573591796</v>
      </c>
      <c r="AK514" s="27">
        <v>0.29137184573591796</v>
      </c>
      <c r="AL514" s="28" t="s">
        <v>1281</v>
      </c>
      <c r="AM514" s="29" t="s">
        <v>48</v>
      </c>
      <c r="AN514" s="29" t="s">
        <v>48</v>
      </c>
      <c r="AO514" s="29" t="s">
        <v>48</v>
      </c>
      <c r="AP514" s="47" t="s">
        <v>255</v>
      </c>
      <c r="AQ514" s="28">
        <v>0</v>
      </c>
      <c r="AR514" s="26">
        <v>1.4999999999999999E-2</v>
      </c>
      <c r="AS514" s="26">
        <v>0</v>
      </c>
    </row>
    <row r="515" spans="1:45" x14ac:dyDescent="0.15">
      <c r="A515" s="64">
        <v>851</v>
      </c>
      <c r="B515" s="64">
        <v>917</v>
      </c>
      <c r="C515" s="11">
        <v>378010</v>
      </c>
      <c r="D515" s="61">
        <v>39</v>
      </c>
      <c r="E515" s="61">
        <v>3.1598308266177501E-3</v>
      </c>
      <c r="F515" s="61">
        <v>11</v>
      </c>
      <c r="G515" s="61">
        <v>0.26707548107434398</v>
      </c>
      <c r="H515" s="66">
        <v>29</v>
      </c>
      <c r="I515" s="66" t="str">
        <f>H515&amp;"/"&amp;451</f>
        <v>29/451</v>
      </c>
      <c r="J515" s="68">
        <f>H515/451</f>
        <v>6.4301552106430154E-2</v>
      </c>
      <c r="K515" s="18" t="s">
        <v>44</v>
      </c>
      <c r="L515" s="19" t="s">
        <v>45</v>
      </c>
      <c r="M515" s="59" t="s">
        <v>65</v>
      </c>
      <c r="N515" s="18">
        <f>[1]!f_prt_stocktonav(C515,"2017/03/31")</f>
        <v>71.677291870117188</v>
      </c>
      <c r="O515" s="20" t="str">
        <f>[1]!f_info_fundmanager(C515)</f>
        <v>张一甫</v>
      </c>
      <c r="P515" s="21">
        <v>0.20273972602739726</v>
      </c>
      <c r="Q515" s="32" t="s">
        <v>3306</v>
      </c>
      <c r="R515" s="13" t="s">
        <v>3307</v>
      </c>
      <c r="S515" s="13" t="s">
        <v>511</v>
      </c>
      <c r="T515" s="13">
        <v>20060920</v>
      </c>
      <c r="U515" s="14">
        <v>8.5367239551999994</v>
      </c>
      <c r="V515" s="15" t="s">
        <v>39</v>
      </c>
      <c r="W515" s="16" t="s">
        <v>40</v>
      </c>
      <c r="X515" s="17" t="s">
        <v>44</v>
      </c>
      <c r="Y515" s="17" t="s">
        <v>45</v>
      </c>
      <c r="Z515" s="17" t="s">
        <v>274</v>
      </c>
      <c r="AA515" s="13"/>
      <c r="AB515" s="13"/>
      <c r="AC515" s="22">
        <v>0.77121902465820313</v>
      </c>
      <c r="AD515" s="23" t="s">
        <v>3308</v>
      </c>
      <c r="AE515" s="24">
        <v>1.9945205479452055</v>
      </c>
      <c r="AF515" s="25">
        <v>5.0480256643499644E-2</v>
      </c>
      <c r="AG515" s="26">
        <v>-9.9011882517529445E-2</v>
      </c>
      <c r="AH515" s="26">
        <v>-2.3262856157726386E-3</v>
      </c>
      <c r="AI515" s="27">
        <v>0.26539211422241116</v>
      </c>
      <c r="AJ515" s="27">
        <v>-0.16946024750569369</v>
      </c>
      <c r="AK515" s="27">
        <v>8.945458234818042E-2</v>
      </c>
      <c r="AL515" s="28" t="s">
        <v>1934</v>
      </c>
      <c r="AM515" s="29">
        <v>1</v>
      </c>
      <c r="AN515" s="29">
        <v>1</v>
      </c>
      <c r="AO515" s="29" t="s">
        <v>48</v>
      </c>
      <c r="AP515" s="23" t="s">
        <v>3309</v>
      </c>
      <c r="AQ515" s="30">
        <v>0</v>
      </c>
      <c r="AR515" s="31">
        <v>1.4999999999999999E-2</v>
      </c>
      <c r="AS515" s="31">
        <v>0</v>
      </c>
    </row>
    <row r="516" spans="1:45" x14ac:dyDescent="0.15">
      <c r="A516" s="64">
        <v>19</v>
      </c>
      <c r="B516" s="64">
        <v>111</v>
      </c>
      <c r="C516" s="11">
        <v>2332</v>
      </c>
      <c r="D516" s="61">
        <v>40</v>
      </c>
      <c r="E516" s="61">
        <v>3.0937630475020299E-3</v>
      </c>
      <c r="F516" s="61">
        <v>20</v>
      </c>
      <c r="G516" s="61">
        <v>0.19712097066932699</v>
      </c>
      <c r="H516" s="66">
        <v>30</v>
      </c>
      <c r="I516" s="66" t="str">
        <f>H516&amp;"/"&amp;451</f>
        <v>30/451</v>
      </c>
      <c r="J516" s="68">
        <f>H516/451</f>
        <v>6.6518847006651879E-2</v>
      </c>
      <c r="K516" s="18" t="s">
        <v>44</v>
      </c>
      <c r="L516" s="19" t="s">
        <v>45</v>
      </c>
      <c r="M516" s="59" t="s">
        <v>65</v>
      </c>
      <c r="N516" s="18">
        <f>[1]!f_prt_stocktonav(C516,"2017/03/31")</f>
        <v>93.385223388671875</v>
      </c>
      <c r="O516" s="20" t="str">
        <f>[1]!f_info_fundmanager(C516)</f>
        <v>曹庆,程彧</v>
      </c>
      <c r="P516" s="21">
        <v>0.38630136986301372</v>
      </c>
      <c r="Q516" s="32" t="s">
        <v>147</v>
      </c>
      <c r="R516" s="13" t="s">
        <v>148</v>
      </c>
      <c r="S516" s="13" t="s">
        <v>149</v>
      </c>
      <c r="T516" s="13">
        <v>20161110</v>
      </c>
      <c r="U516" s="14">
        <v>12.2894964107</v>
      </c>
      <c r="V516" s="15" t="s">
        <v>58</v>
      </c>
      <c r="W516" s="16" t="s">
        <v>40</v>
      </c>
      <c r="X516" s="34" t="s">
        <v>41</v>
      </c>
      <c r="Y516" s="17" t="s">
        <v>42</v>
      </c>
      <c r="Z516" s="17" t="s">
        <v>43</v>
      </c>
      <c r="AA516" s="13"/>
      <c r="AB516" s="13"/>
      <c r="AC516" s="22">
        <v>0</v>
      </c>
      <c r="AD516" s="23" t="s">
        <v>150</v>
      </c>
      <c r="AE516" s="24">
        <v>0.15616438356164383</v>
      </c>
      <c r="AF516" s="25">
        <v>-8.6458179430636495E-2</v>
      </c>
      <c r="AG516" s="26">
        <v>0</v>
      </c>
      <c r="AH516" s="26">
        <v>0</v>
      </c>
      <c r="AI516" s="27">
        <v>-1.3065010782407491</v>
      </c>
      <c r="AJ516" s="27">
        <v>-1.3065010782407491</v>
      </c>
      <c r="AK516" s="27">
        <v>-1.3065010782407491</v>
      </c>
      <c r="AL516" s="28" t="s">
        <v>151</v>
      </c>
      <c r="AM516" s="29" t="s">
        <v>48</v>
      </c>
      <c r="AN516" s="29" t="s">
        <v>48</v>
      </c>
      <c r="AO516" s="29" t="s">
        <v>48</v>
      </c>
      <c r="AP516" s="23" t="s">
        <v>152</v>
      </c>
      <c r="AQ516" s="30">
        <v>0</v>
      </c>
      <c r="AR516" s="31">
        <v>1.4999999999999999E-2</v>
      </c>
      <c r="AS516" s="31">
        <v>0</v>
      </c>
    </row>
    <row r="517" spans="1:45" x14ac:dyDescent="0.15">
      <c r="A517" s="64">
        <v>9</v>
      </c>
      <c r="B517" s="64">
        <v>897</v>
      </c>
      <c r="C517" s="11">
        <v>1659</v>
      </c>
      <c r="D517" s="61">
        <v>42</v>
      </c>
      <c r="E517" s="61">
        <v>3.0384007778101901E-3</v>
      </c>
      <c r="F517" s="61">
        <v>16</v>
      </c>
      <c r="G517" s="61">
        <v>0.122607840187027</v>
      </c>
      <c r="H517" s="66">
        <v>31</v>
      </c>
      <c r="I517" s="66" t="str">
        <f>H517&amp;"/"&amp;451</f>
        <v>31/451</v>
      </c>
      <c r="J517" s="68">
        <f>H517/451</f>
        <v>6.8736141906873618E-2</v>
      </c>
      <c r="K517" s="18" t="s">
        <v>44</v>
      </c>
      <c r="L517" s="19" t="s">
        <v>87</v>
      </c>
      <c r="M517" s="59" t="s">
        <v>65</v>
      </c>
      <c r="N517" s="18">
        <f>[1]!f_prt_stocktonav(C517,"2017/03/31")</f>
        <v>72.632537841796875</v>
      </c>
      <c r="O517" s="20" t="str">
        <f>[1]!f_info_fundmanager(C517)</f>
        <v>毛矛</v>
      </c>
      <c r="P517" s="21">
        <v>0.31232876712328766</v>
      </c>
      <c r="Q517" s="32" t="s">
        <v>96</v>
      </c>
      <c r="R517" s="13" t="s">
        <v>97</v>
      </c>
      <c r="S517" s="13" t="s">
        <v>98</v>
      </c>
      <c r="T517" s="13">
        <v>20161207</v>
      </c>
      <c r="U517" s="14">
        <v>3.5124520277000002</v>
      </c>
      <c r="V517" s="15" t="s">
        <v>3772</v>
      </c>
      <c r="W517" s="16" t="s">
        <v>40</v>
      </c>
      <c r="X517" s="17" t="s">
        <v>41</v>
      </c>
      <c r="Y517" s="17" t="s">
        <v>42</v>
      </c>
      <c r="Z517" s="17" t="s">
        <v>43</v>
      </c>
      <c r="AA517" s="13"/>
      <c r="AB517" s="13"/>
      <c r="AC517" s="22">
        <v>0</v>
      </c>
      <c r="AD517" s="23" t="s">
        <v>99</v>
      </c>
      <c r="AE517" s="24">
        <v>8.2191780821917804E-2</v>
      </c>
      <c r="AF517" s="25">
        <v>2.0635737641342855E-2</v>
      </c>
      <c r="AG517" s="26">
        <v>0</v>
      </c>
      <c r="AH517" s="26">
        <v>0</v>
      </c>
      <c r="AI517" s="27">
        <v>18.388800133646992</v>
      </c>
      <c r="AJ517" s="27">
        <v>18.388800133646992</v>
      </c>
      <c r="AK517" s="27">
        <v>18.388800133646992</v>
      </c>
      <c r="AL517" s="28" t="s">
        <v>100</v>
      </c>
      <c r="AM517" s="29" t="s">
        <v>48</v>
      </c>
      <c r="AN517" s="29" t="s">
        <v>48</v>
      </c>
      <c r="AO517" s="29" t="s">
        <v>48</v>
      </c>
      <c r="AP517" s="23" t="s">
        <v>101</v>
      </c>
      <c r="AQ517" s="30">
        <v>0</v>
      </c>
      <c r="AR517" s="31">
        <v>1.4999999999999999E-2</v>
      </c>
      <c r="AS517" s="31">
        <v>0</v>
      </c>
    </row>
    <row r="518" spans="1:45" x14ac:dyDescent="0.15">
      <c r="A518" s="64">
        <v>413</v>
      </c>
      <c r="B518" s="64">
        <v>603</v>
      </c>
      <c r="C518" s="11">
        <v>742</v>
      </c>
      <c r="D518" s="61">
        <v>44</v>
      </c>
      <c r="E518" s="61">
        <v>2.9975279901685698E-3</v>
      </c>
      <c r="F518" s="61">
        <v>70</v>
      </c>
      <c r="G518" s="61">
        <v>0.17634033386804601</v>
      </c>
      <c r="H518" s="66">
        <v>32</v>
      </c>
      <c r="I518" s="66" t="str">
        <f>H518&amp;"/"&amp;451</f>
        <v>32/451</v>
      </c>
      <c r="J518" s="68">
        <f>H518/451</f>
        <v>7.0953436807095344E-2</v>
      </c>
      <c r="K518" s="18" t="s">
        <v>44</v>
      </c>
      <c r="L518" s="18" t="s">
        <v>45</v>
      </c>
      <c r="M518" s="58" t="s">
        <v>65</v>
      </c>
      <c r="N518" s="18">
        <f>[1]!f_prt_stocktonav(C518,"2017/03/31")</f>
        <v>82.875717163085938</v>
      </c>
      <c r="O518" s="20" t="str">
        <f>[1]!f_info_fundmanager(C518)</f>
        <v>彭凌志</v>
      </c>
      <c r="P518" s="21">
        <v>1.3315068493150686</v>
      </c>
      <c r="Q518" s="34" t="s">
        <v>1781</v>
      </c>
      <c r="R518" s="34" t="s">
        <v>1782</v>
      </c>
      <c r="S518" s="34" t="s">
        <v>663</v>
      </c>
      <c r="T518" s="34">
        <v>20140916</v>
      </c>
      <c r="U518" s="45">
        <v>8.0217792773000003</v>
      </c>
      <c r="V518" s="46">
        <v>8.5113067561999998</v>
      </c>
      <c r="W518" s="34" t="s">
        <v>3789</v>
      </c>
      <c r="X518" s="34" t="s">
        <v>41</v>
      </c>
      <c r="Y518" s="34" t="s">
        <v>42</v>
      </c>
      <c r="Z518" s="34" t="s">
        <v>388</v>
      </c>
      <c r="AA518" s="34"/>
      <c r="AB518" s="34"/>
      <c r="AC518" s="22">
        <v>0.26714187622070312</v>
      </c>
      <c r="AD518" s="23" t="s">
        <v>1005</v>
      </c>
      <c r="AE518" s="24">
        <v>1.1013698630136985</v>
      </c>
      <c r="AF518" s="25">
        <v>0.32350272964801663</v>
      </c>
      <c r="AG518" s="26">
        <v>0</v>
      </c>
      <c r="AH518" s="26">
        <v>0</v>
      </c>
      <c r="AI518" s="27">
        <v>0.95228663940699043</v>
      </c>
      <c r="AJ518" s="27">
        <v>0.95228663940699043</v>
      </c>
      <c r="AK518" s="27">
        <v>0.95228663940699043</v>
      </c>
      <c r="AL518" s="28" t="s">
        <v>105</v>
      </c>
      <c r="AM518" s="29" t="s">
        <v>48</v>
      </c>
      <c r="AN518" s="29" t="s">
        <v>48</v>
      </c>
      <c r="AO518" s="29" t="s">
        <v>48</v>
      </c>
      <c r="AP518" s="47" t="s">
        <v>1783</v>
      </c>
      <c r="AQ518" s="28">
        <v>0</v>
      </c>
      <c r="AR518" s="26">
        <v>1.4999999999999999E-2</v>
      </c>
      <c r="AS518" s="26">
        <v>0</v>
      </c>
    </row>
    <row r="519" spans="1:45" x14ac:dyDescent="0.15">
      <c r="A519" s="64">
        <v>222</v>
      </c>
      <c r="B519" s="64">
        <v>773</v>
      </c>
      <c r="C519" s="11">
        <v>1538</v>
      </c>
      <c r="D519" s="61">
        <v>45</v>
      </c>
      <c r="E519" s="61">
        <v>2.9518067707155998E-3</v>
      </c>
      <c r="F519" s="61">
        <v>19</v>
      </c>
      <c r="G519" s="61">
        <v>0.41027854498715</v>
      </c>
      <c r="H519" s="66">
        <v>33</v>
      </c>
      <c r="I519" s="66" t="str">
        <f>H519&amp;"/"&amp;451</f>
        <v>33/451</v>
      </c>
      <c r="J519" s="68">
        <f>H519/451</f>
        <v>7.3170731707317069E-2</v>
      </c>
      <c r="K519" s="18" t="s">
        <v>44</v>
      </c>
      <c r="L519" s="19" t="s">
        <v>45</v>
      </c>
      <c r="M519" s="59" t="s">
        <v>65</v>
      </c>
      <c r="N519" s="18">
        <f>[1]!f_prt_stocktonav(C519,"2017/03/31")</f>
        <v>77.483833312988281</v>
      </c>
      <c r="O519" s="20" t="str">
        <f>[1]!f_info_fundmanager(C519)</f>
        <v>李德辉</v>
      </c>
      <c r="P519" s="21">
        <v>0.36438356164383562</v>
      </c>
      <c r="Q519" s="12" t="s">
        <v>1038</v>
      </c>
      <c r="R519" s="13" t="s">
        <v>1039</v>
      </c>
      <c r="S519" s="13" t="s">
        <v>511</v>
      </c>
      <c r="T519" s="13">
        <v>20150709</v>
      </c>
      <c r="U519" s="14">
        <v>0.89160437920000002</v>
      </c>
      <c r="V519" s="15" t="s">
        <v>3772</v>
      </c>
      <c r="W519" s="16" t="s">
        <v>40</v>
      </c>
      <c r="X519" s="17" t="s">
        <v>44</v>
      </c>
      <c r="Y519" s="17" t="s">
        <v>45</v>
      </c>
      <c r="Z519" s="17" t="s">
        <v>65</v>
      </c>
      <c r="AA519" s="13"/>
      <c r="AB519" s="13"/>
      <c r="AC519" s="22">
        <v>0.80836639404296873</v>
      </c>
      <c r="AD519" s="23" t="s">
        <v>1040</v>
      </c>
      <c r="AE519" s="24">
        <v>0.13424657534246576</v>
      </c>
      <c r="AF519" s="25">
        <v>-7.5477203243460078E-2</v>
      </c>
      <c r="AG519" s="26">
        <v>0</v>
      </c>
      <c r="AH519" s="26">
        <v>0</v>
      </c>
      <c r="AI519" s="27">
        <v>-0.23086912896459358</v>
      </c>
      <c r="AJ519" s="27">
        <v>-0.23086912896459358</v>
      </c>
      <c r="AK519" s="27">
        <v>-0.23086912896459358</v>
      </c>
      <c r="AL519" s="28" t="s">
        <v>513</v>
      </c>
      <c r="AM519" s="29" t="s">
        <v>48</v>
      </c>
      <c r="AN519" s="29" t="s">
        <v>48</v>
      </c>
      <c r="AO519" s="29" t="s">
        <v>48</v>
      </c>
      <c r="AP519" s="23">
        <v>0</v>
      </c>
      <c r="AQ519" s="30">
        <v>0</v>
      </c>
      <c r="AR519" s="31">
        <v>1.4999999999999999E-2</v>
      </c>
      <c r="AS519" s="31">
        <v>0</v>
      </c>
    </row>
    <row r="520" spans="1:45" x14ac:dyDescent="0.15">
      <c r="A520" s="64">
        <v>555</v>
      </c>
      <c r="B520" s="64">
        <v>789</v>
      </c>
      <c r="C520" s="11">
        <v>519710</v>
      </c>
      <c r="D520" s="61">
        <v>46</v>
      </c>
      <c r="E520" s="61">
        <v>2.9512677218413602E-3</v>
      </c>
      <c r="F520" s="61">
        <v>73</v>
      </c>
      <c r="G520" s="61">
        <v>0.12987146613960401</v>
      </c>
      <c r="H520" s="66">
        <v>34</v>
      </c>
      <c r="I520" s="66" t="str">
        <f>H520&amp;"/"&amp;451</f>
        <v>34/451</v>
      </c>
      <c r="J520" s="68">
        <f>H520/451</f>
        <v>7.5388026607538808E-2</v>
      </c>
      <c r="K520" s="18" t="s">
        <v>44</v>
      </c>
      <c r="L520" s="18" t="s">
        <v>45</v>
      </c>
      <c r="M520" s="58" t="s">
        <v>65</v>
      </c>
      <c r="N520" s="18">
        <f>[1]!f_prt_stocktonav(C520,"2017/03/31")</f>
        <v>77.140426635742188</v>
      </c>
      <c r="O520" s="20" t="str">
        <f>[1]!f_info_fundmanager(C520)</f>
        <v>韩威俊,王少成</v>
      </c>
      <c r="P520" s="21">
        <v>1.3972602739726028</v>
      </c>
      <c r="Q520" s="34" t="s">
        <v>2298</v>
      </c>
      <c r="R520" s="34" t="s">
        <v>2299</v>
      </c>
      <c r="S520" s="34" t="s">
        <v>138</v>
      </c>
      <c r="T520" s="34">
        <v>20120620</v>
      </c>
      <c r="U520" s="45">
        <v>3.0843429445999999</v>
      </c>
      <c r="V520" s="46">
        <v>2.6329263338</v>
      </c>
      <c r="W520" s="34" t="s">
        <v>201</v>
      </c>
      <c r="X520" s="34" t="s">
        <v>44</v>
      </c>
      <c r="Y520" s="17" t="s">
        <v>45</v>
      </c>
      <c r="Z520" s="17" t="s">
        <v>354</v>
      </c>
      <c r="AA520" s="34"/>
      <c r="AB520" s="34"/>
      <c r="AC520" s="22">
        <v>0.79542816162109375</v>
      </c>
      <c r="AD520" s="23" t="s">
        <v>2300</v>
      </c>
      <c r="AE520" s="24">
        <v>1.167123287671233</v>
      </c>
      <c r="AF520" s="25">
        <v>-2.9371982555040366E-2</v>
      </c>
      <c r="AG520" s="26">
        <v>0</v>
      </c>
      <c r="AH520" s="26">
        <v>0</v>
      </c>
      <c r="AI520" s="27">
        <v>0.28919937630883019</v>
      </c>
      <c r="AJ520" s="27">
        <v>0.28919937630883019</v>
      </c>
      <c r="AK520" s="27">
        <v>0.28919937630883019</v>
      </c>
      <c r="AL520" s="28" t="s">
        <v>140</v>
      </c>
      <c r="AM520" s="29" t="s">
        <v>48</v>
      </c>
      <c r="AN520" s="29" t="s">
        <v>48</v>
      </c>
      <c r="AO520" s="29" t="s">
        <v>48</v>
      </c>
      <c r="AP520" s="47" t="s">
        <v>2301</v>
      </c>
      <c r="AQ520" s="28">
        <v>0</v>
      </c>
      <c r="AR520" s="26">
        <v>1.4999999999999999E-2</v>
      </c>
      <c r="AS520" s="26">
        <v>0</v>
      </c>
    </row>
    <row r="521" spans="1:45" x14ac:dyDescent="0.15">
      <c r="A521" s="64">
        <v>180</v>
      </c>
      <c r="B521" s="64">
        <v>664</v>
      </c>
      <c r="C521" s="11">
        <v>1736</v>
      </c>
      <c r="D521" s="61">
        <v>47</v>
      </c>
      <c r="E521" s="61">
        <v>2.8706256330859E-3</v>
      </c>
      <c r="F521" s="61">
        <v>72</v>
      </c>
      <c r="G521" s="61">
        <v>4.4412883428027503E-2</v>
      </c>
      <c r="H521" s="66">
        <v>35</v>
      </c>
      <c r="I521" s="66" t="str">
        <f>H521&amp;"/"&amp;451</f>
        <v>35/451</v>
      </c>
      <c r="J521" s="68">
        <f>H521/451</f>
        <v>7.7605321507760533E-2</v>
      </c>
      <c r="K521" s="18" t="s">
        <v>44</v>
      </c>
      <c r="L521" s="18" t="s">
        <v>45</v>
      </c>
      <c r="M521" s="58" t="s">
        <v>65</v>
      </c>
      <c r="N521" s="18">
        <f>[1]!f_prt_stocktonav(C521,"2017/03/31")</f>
        <v>81.007804870605469</v>
      </c>
      <c r="O521" s="20" t="str">
        <f>[1]!f_info_fundmanager(C521)</f>
        <v>范妍,洪流</v>
      </c>
      <c r="P521" s="21">
        <v>1.4246575342465753</v>
      </c>
      <c r="Q521" s="34" t="s">
        <v>883</v>
      </c>
      <c r="R521" s="34" t="s">
        <v>884</v>
      </c>
      <c r="S521" s="34" t="s">
        <v>885</v>
      </c>
      <c r="T521" s="34">
        <v>20151028</v>
      </c>
      <c r="U521" s="45">
        <v>6.0166545448999997</v>
      </c>
      <c r="V521" s="46">
        <v>5.4552914208000001</v>
      </c>
      <c r="W521" s="34" t="s">
        <v>3789</v>
      </c>
      <c r="X521" s="34" t="s">
        <v>44</v>
      </c>
      <c r="Y521" s="34" t="s">
        <v>45</v>
      </c>
      <c r="Z521" s="34" t="s">
        <v>817</v>
      </c>
      <c r="AA521" s="34"/>
      <c r="AB521" s="34"/>
      <c r="AC521" s="22">
        <v>0.83690078735351559</v>
      </c>
      <c r="AD521" s="23" t="s">
        <v>886</v>
      </c>
      <c r="AE521" s="24">
        <v>1.1945205479452055</v>
      </c>
      <c r="AF521" s="25">
        <v>0.17930169337265453</v>
      </c>
      <c r="AG521" s="26">
        <v>0</v>
      </c>
      <c r="AH521" s="26">
        <v>0</v>
      </c>
      <c r="AI521" s="27">
        <v>1.2586329536511356</v>
      </c>
      <c r="AJ521" s="27">
        <v>1.2586329536511356</v>
      </c>
      <c r="AK521" s="27">
        <v>1.2586329536511356</v>
      </c>
      <c r="AL521" s="28" t="s">
        <v>167</v>
      </c>
      <c r="AM521" s="29" t="s">
        <v>48</v>
      </c>
      <c r="AN521" s="29" t="s">
        <v>48</v>
      </c>
      <c r="AO521" s="29" t="s">
        <v>48</v>
      </c>
      <c r="AP521" s="47" t="s">
        <v>310</v>
      </c>
      <c r="AQ521" s="28">
        <v>0</v>
      </c>
      <c r="AR521" s="26">
        <v>1.4999999999999999E-2</v>
      </c>
      <c r="AS521" s="26">
        <v>0</v>
      </c>
    </row>
    <row r="522" spans="1:45" x14ac:dyDescent="0.15">
      <c r="A522" s="64">
        <v>117</v>
      </c>
      <c r="B522" s="64">
        <v>557</v>
      </c>
      <c r="C522" s="11">
        <v>1811</v>
      </c>
      <c r="D522" s="61">
        <v>49</v>
      </c>
      <c r="E522" s="61">
        <v>2.8167298243060501E-3</v>
      </c>
      <c r="F522" s="61">
        <v>18</v>
      </c>
      <c r="G522" s="61">
        <v>0.23007405752052401</v>
      </c>
      <c r="H522" s="66">
        <v>36</v>
      </c>
      <c r="I522" s="66" t="str">
        <f>H522&amp;"/"&amp;451</f>
        <v>36/451</v>
      </c>
      <c r="J522" s="68">
        <f>H522/451</f>
        <v>7.9822616407982258E-2</v>
      </c>
      <c r="K522" s="18" t="s">
        <v>44</v>
      </c>
      <c r="L522" s="18" t="s">
        <v>45</v>
      </c>
      <c r="M522" s="58" t="s">
        <v>65</v>
      </c>
      <c r="N522" s="18">
        <f>[1]!f_prt_stocktonav(C522,"2017/03/31")</f>
        <v>83.923820495605469</v>
      </c>
      <c r="O522" s="20" t="str">
        <f>[1]!f_info_fundmanager(C522)</f>
        <v>周应波</v>
      </c>
      <c r="P522" s="21">
        <v>0.32876712328767121</v>
      </c>
      <c r="Q522" s="34" t="s">
        <v>609</v>
      </c>
      <c r="R522" s="34" t="s">
        <v>610</v>
      </c>
      <c r="S522" s="34" t="s">
        <v>200</v>
      </c>
      <c r="T522" s="34">
        <v>20160303</v>
      </c>
      <c r="U522" s="45">
        <v>1.4257842596999999</v>
      </c>
      <c r="V522" s="46">
        <v>1.6294988552</v>
      </c>
      <c r="W522" s="34" t="s">
        <v>3776</v>
      </c>
      <c r="X522" s="34" t="s">
        <v>44</v>
      </c>
      <c r="Y522" s="34" t="s">
        <v>45</v>
      </c>
      <c r="Z522" s="34" t="s">
        <v>65</v>
      </c>
      <c r="AA522" s="34"/>
      <c r="AB522" s="34"/>
      <c r="AC522" s="22">
        <v>0.85859756469726567</v>
      </c>
      <c r="AD522" s="23" t="s">
        <v>611</v>
      </c>
      <c r="AE522" s="24">
        <v>9.8630136986301367E-2</v>
      </c>
      <c r="AF522" s="25">
        <v>-9.5264630150856622E-2</v>
      </c>
      <c r="AG522" s="26">
        <v>0</v>
      </c>
      <c r="AH522" s="26">
        <v>0</v>
      </c>
      <c r="AI522" s="27">
        <v>-0.51841251198117044</v>
      </c>
      <c r="AJ522" s="27">
        <v>-0.51841251198117044</v>
      </c>
      <c r="AK522" s="27">
        <v>-0.51841251198117044</v>
      </c>
      <c r="AL522" s="28" t="s">
        <v>167</v>
      </c>
      <c r="AM522" s="29" t="s">
        <v>48</v>
      </c>
      <c r="AN522" s="29" t="s">
        <v>48</v>
      </c>
      <c r="AO522" s="29" t="s">
        <v>48</v>
      </c>
      <c r="AP522" s="47" t="s">
        <v>421</v>
      </c>
      <c r="AQ522" s="28">
        <v>0</v>
      </c>
      <c r="AR522" s="26">
        <v>1.4999999999999999E-2</v>
      </c>
      <c r="AS522" s="26">
        <v>0</v>
      </c>
    </row>
    <row r="523" spans="1:45" x14ac:dyDescent="0.15">
      <c r="A523" s="64">
        <v>593</v>
      </c>
      <c r="B523" s="64">
        <v>549</v>
      </c>
      <c r="C523" s="11">
        <v>519979</v>
      </c>
      <c r="D523" s="61">
        <v>52</v>
      </c>
      <c r="E523" s="61">
        <v>2.7592260724911199E-3</v>
      </c>
      <c r="F523" s="61">
        <v>25</v>
      </c>
      <c r="G523" s="61">
        <v>0.31775657544858299</v>
      </c>
      <c r="H523" s="66">
        <v>37</v>
      </c>
      <c r="I523" s="66" t="str">
        <f>H523&amp;"/"&amp;451</f>
        <v>37/451</v>
      </c>
      <c r="J523" s="68">
        <f>H523/451</f>
        <v>8.2039911308203997E-2</v>
      </c>
      <c r="K523" s="18" t="s">
        <v>44</v>
      </c>
      <c r="L523" s="18" t="s">
        <v>45</v>
      </c>
      <c r="M523" s="58" t="s">
        <v>65</v>
      </c>
      <c r="N523" s="18">
        <f>[1]!f_prt_stocktonav(C523,"2017/03/31")</f>
        <v>84.063262939453125</v>
      </c>
      <c r="O523" s="20" t="str">
        <f>[1]!f_info_fundmanager(C523)</f>
        <v>叶松</v>
      </c>
      <c r="P523" s="21">
        <v>0.46301369863013697</v>
      </c>
      <c r="Q523" s="34" t="s">
        <v>2428</v>
      </c>
      <c r="R523" s="34" t="s">
        <v>2429</v>
      </c>
      <c r="S523" s="34" t="s">
        <v>206</v>
      </c>
      <c r="T523" s="34">
        <v>20111020</v>
      </c>
      <c r="U523" s="45">
        <v>6.0880811056999997</v>
      </c>
      <c r="V523" s="46">
        <v>8.4019077147000001</v>
      </c>
      <c r="W523" s="34" t="s">
        <v>3776</v>
      </c>
      <c r="X523" s="34" t="s">
        <v>44</v>
      </c>
      <c r="Y523" s="34" t="s">
        <v>45</v>
      </c>
      <c r="Z523" s="34" t="s">
        <v>65</v>
      </c>
      <c r="AA523" s="34"/>
      <c r="AB523" s="34"/>
      <c r="AC523" s="22">
        <v>0.74409393310546879</v>
      </c>
      <c r="AD523" s="23" t="s">
        <v>207</v>
      </c>
      <c r="AE523" s="24">
        <v>0.23287671232876711</v>
      </c>
      <c r="AF523" s="25">
        <v>0.13899206406150522</v>
      </c>
      <c r="AG523" s="26">
        <v>0.14378819049509772</v>
      </c>
      <c r="AH523" s="26">
        <v>0.18237584160233222</v>
      </c>
      <c r="AI523" s="27">
        <v>0.52666155561704353</v>
      </c>
      <c r="AJ523" s="27">
        <v>0.50012609473812786</v>
      </c>
      <c r="AK523" s="27">
        <v>0.63922606683766636</v>
      </c>
      <c r="AL523" s="28" t="s">
        <v>208</v>
      </c>
      <c r="AM523" s="29">
        <v>4</v>
      </c>
      <c r="AN523" s="29">
        <v>4</v>
      </c>
      <c r="AO523" s="29" t="s">
        <v>48</v>
      </c>
      <c r="AP523" s="47" t="s">
        <v>209</v>
      </c>
      <c r="AQ523" s="28" t="s">
        <v>608</v>
      </c>
      <c r="AR523" s="26">
        <v>1.4999999999999999E-2</v>
      </c>
      <c r="AS523" s="26">
        <v>0</v>
      </c>
    </row>
    <row r="524" spans="1:45" x14ac:dyDescent="0.15">
      <c r="A524" s="64">
        <v>88</v>
      </c>
      <c r="B524" s="64">
        <v>946</v>
      </c>
      <c r="C524" s="11">
        <v>2567</v>
      </c>
      <c r="D524" s="61">
        <v>53</v>
      </c>
      <c r="E524" s="61">
        <v>2.75730462142924E-3</v>
      </c>
      <c r="F524" s="61">
        <v>11</v>
      </c>
      <c r="G524" s="61">
        <v>0.28996453826514101</v>
      </c>
      <c r="H524" s="66">
        <v>38</v>
      </c>
      <c r="I524" s="66" t="str">
        <f>H524&amp;"/"&amp;451</f>
        <v>38/451</v>
      </c>
      <c r="J524" s="68">
        <f>H524/451</f>
        <v>8.4257206208425722E-2</v>
      </c>
      <c r="K524" s="18" t="s">
        <v>44</v>
      </c>
      <c r="L524" s="18" t="s">
        <v>87</v>
      </c>
      <c r="M524" s="58" t="s">
        <v>65</v>
      </c>
      <c r="N524" s="18">
        <f>[1]!f_prt_stocktonav(C524,"2017/03/31")</f>
        <v>70.645233154296875</v>
      </c>
      <c r="O524" s="20" t="str">
        <f>[1]!f_info_fundmanager(C524)</f>
        <v>侯春燕,陈龙</v>
      </c>
      <c r="P524" s="21">
        <v>0.19726027397260273</v>
      </c>
      <c r="Q524" s="34" t="s">
        <v>484</v>
      </c>
      <c r="R524" s="34" t="s">
        <v>485</v>
      </c>
      <c r="S524" s="34" t="s">
        <v>486</v>
      </c>
      <c r="T524" s="34">
        <v>20160504</v>
      </c>
      <c r="U524" s="45">
        <v>1.3731993133</v>
      </c>
      <c r="V524" s="46">
        <v>1.5583430671</v>
      </c>
      <c r="W524" s="34" t="s">
        <v>3776</v>
      </c>
      <c r="X524" s="34" t="s">
        <v>44</v>
      </c>
      <c r="Y524" s="34" t="s">
        <v>87</v>
      </c>
      <c r="Z524" s="34" t="s">
        <v>65</v>
      </c>
      <c r="AA524" s="34" t="s">
        <v>3781</v>
      </c>
      <c r="AB524" s="34"/>
      <c r="AC524" s="22">
        <v>0.90092430114746092</v>
      </c>
      <c r="AD524" s="23" t="s">
        <v>488</v>
      </c>
      <c r="AE524" s="24">
        <v>0.67671232876712328</v>
      </c>
      <c r="AF524" s="25">
        <v>-0.14978579043341189</v>
      </c>
      <c r="AG524" s="26">
        <v>0</v>
      </c>
      <c r="AH524" s="26">
        <v>0</v>
      </c>
      <c r="AI524" s="27">
        <v>-1.3156840934664713</v>
      </c>
      <c r="AJ524" s="27">
        <v>-1.3156840934664713</v>
      </c>
      <c r="AK524" s="27">
        <v>-1.3156840934664713</v>
      </c>
      <c r="AL524" s="33" t="s">
        <v>489</v>
      </c>
      <c r="AM524" s="29" t="s">
        <v>48</v>
      </c>
      <c r="AN524" s="29" t="s">
        <v>48</v>
      </c>
      <c r="AO524" s="29" t="s">
        <v>48</v>
      </c>
      <c r="AP524" s="47" t="s">
        <v>490</v>
      </c>
      <c r="AQ524" s="28">
        <v>0</v>
      </c>
      <c r="AR524" s="26">
        <v>1.4999999999999999E-2</v>
      </c>
      <c r="AS524" s="26">
        <v>0</v>
      </c>
    </row>
    <row r="525" spans="1:45" x14ac:dyDescent="0.15">
      <c r="A525" s="64">
        <v>87</v>
      </c>
      <c r="B525" s="64">
        <v>826</v>
      </c>
      <c r="C525" s="11">
        <v>1986</v>
      </c>
      <c r="D525" s="61">
        <v>54</v>
      </c>
      <c r="E525" s="61">
        <v>2.7398386448099798E-3</v>
      </c>
      <c r="F525" s="61">
        <v>46</v>
      </c>
      <c r="G525" s="61">
        <v>0.2213748094453</v>
      </c>
      <c r="H525" s="66">
        <v>39</v>
      </c>
      <c r="I525" s="66" t="str">
        <f>H525&amp;"/"&amp;451</f>
        <v>39/451</v>
      </c>
      <c r="J525" s="68">
        <f>H525/451</f>
        <v>8.6474501108647447E-2</v>
      </c>
      <c r="K525" s="18" t="s">
        <v>44</v>
      </c>
      <c r="L525" s="18" t="s">
        <v>87</v>
      </c>
      <c r="M525" s="58" t="s">
        <v>65</v>
      </c>
      <c r="N525" s="18">
        <f>[1]!f_prt_stocktonav(C525,"2017/03/31")</f>
        <v>75.792533874511719</v>
      </c>
      <c r="O525" s="20" t="str">
        <f>[1]!f_info_fundmanager(C525)</f>
        <v>曲扬</v>
      </c>
      <c r="P525" s="21">
        <v>0.9068493150684932</v>
      </c>
      <c r="Q525" s="34" t="s">
        <v>481</v>
      </c>
      <c r="R525" s="34" t="s">
        <v>482</v>
      </c>
      <c r="S525" s="34" t="s">
        <v>78</v>
      </c>
      <c r="T525" s="34">
        <v>20160504</v>
      </c>
      <c r="U525" s="45">
        <v>0.50664775900000003</v>
      </c>
      <c r="V525" s="46">
        <v>0.70190586560000001</v>
      </c>
      <c r="W525" s="34" t="s">
        <v>3776</v>
      </c>
      <c r="X525" s="34" t="s">
        <v>44</v>
      </c>
      <c r="Y525" s="34" t="s">
        <v>87</v>
      </c>
      <c r="Z525" s="34" t="s">
        <v>65</v>
      </c>
      <c r="AA525" s="34" t="s">
        <v>3780</v>
      </c>
      <c r="AB525" s="34"/>
      <c r="AC525" s="22">
        <v>0.78220687866210936</v>
      </c>
      <c r="AD525" s="23" t="s">
        <v>119</v>
      </c>
      <c r="AE525" s="24">
        <v>0.67671232876712328</v>
      </c>
      <c r="AF525" s="25">
        <v>1.5086476986194697E-3</v>
      </c>
      <c r="AG525" s="26">
        <v>0</v>
      </c>
      <c r="AH525" s="26">
        <v>0</v>
      </c>
      <c r="AI525" s="27">
        <v>-0.1071471907933564</v>
      </c>
      <c r="AJ525" s="27">
        <v>-0.1071471907933564</v>
      </c>
      <c r="AK525" s="27">
        <v>-0.1071471907933564</v>
      </c>
      <c r="AL525" s="33" t="s">
        <v>196</v>
      </c>
      <c r="AM525" s="29" t="s">
        <v>48</v>
      </c>
      <c r="AN525" s="29" t="s">
        <v>48</v>
      </c>
      <c r="AO525" s="29" t="s">
        <v>48</v>
      </c>
      <c r="AP525" s="47" t="s">
        <v>270</v>
      </c>
      <c r="AQ525" s="28">
        <v>0</v>
      </c>
      <c r="AR525" s="26">
        <v>1.4999999999999999E-2</v>
      </c>
      <c r="AS525" s="26">
        <v>0</v>
      </c>
    </row>
    <row r="526" spans="1:45" x14ac:dyDescent="0.15">
      <c r="A526" s="64">
        <v>192</v>
      </c>
      <c r="B526" s="64">
        <v>326</v>
      </c>
      <c r="C526" s="11">
        <v>1702</v>
      </c>
      <c r="D526" s="61">
        <v>55</v>
      </c>
      <c r="E526" s="61">
        <v>2.6988279778758901E-3</v>
      </c>
      <c r="F526" s="61">
        <v>14</v>
      </c>
      <c r="G526" s="61">
        <v>0.33411669533614802</v>
      </c>
      <c r="H526" s="66">
        <v>40</v>
      </c>
      <c r="I526" s="66" t="str">
        <f>H526&amp;"/"&amp;451</f>
        <v>40/451</v>
      </c>
      <c r="J526" s="68">
        <f>H526/451</f>
        <v>8.8691796008869186E-2</v>
      </c>
      <c r="K526" s="18" t="s">
        <v>44</v>
      </c>
      <c r="L526" s="18" t="s">
        <v>45</v>
      </c>
      <c r="M526" s="58" t="s">
        <v>65</v>
      </c>
      <c r="N526" s="18">
        <f>[1]!f_prt_stocktonav(C526,"2017/03/31")</f>
        <v>88.949806213378906</v>
      </c>
      <c r="O526" s="20" t="str">
        <f>[1]!f_info_fundmanager(C526)</f>
        <v>郭瑞</v>
      </c>
      <c r="P526" s="21">
        <v>0.25753424657534246</v>
      </c>
      <c r="Q526" s="34" t="s">
        <v>928</v>
      </c>
      <c r="R526" s="34" t="s">
        <v>929</v>
      </c>
      <c r="S526" s="34" t="s">
        <v>252</v>
      </c>
      <c r="T526" s="34">
        <v>20150908</v>
      </c>
      <c r="U526" s="45">
        <v>0.29929668749999999</v>
      </c>
      <c r="V526" s="46">
        <v>0.3764596201</v>
      </c>
      <c r="W526" s="34" t="s">
        <v>3789</v>
      </c>
      <c r="X526" s="34" t="s">
        <v>41</v>
      </c>
      <c r="Y526" s="17" t="s">
        <v>42</v>
      </c>
      <c r="Z526" s="17" t="s">
        <v>181</v>
      </c>
      <c r="AA526" s="34"/>
      <c r="AB526" s="34"/>
      <c r="AC526" s="22">
        <v>0.61021636962890624</v>
      </c>
      <c r="AD526" s="23" t="s">
        <v>930</v>
      </c>
      <c r="AE526" s="24">
        <v>0.51780821917808217</v>
      </c>
      <c r="AF526" s="25">
        <v>-7.1861449604572192E-2</v>
      </c>
      <c r="AG526" s="26">
        <v>0</v>
      </c>
      <c r="AH526" s="26">
        <v>0</v>
      </c>
      <c r="AI526" s="27">
        <v>-0.14783946122024841</v>
      </c>
      <c r="AJ526" s="27">
        <v>-0.14783946122024841</v>
      </c>
      <c r="AK526" s="27">
        <v>-0.14783946122024841</v>
      </c>
      <c r="AL526" s="28" t="s">
        <v>254</v>
      </c>
      <c r="AM526" s="29" t="s">
        <v>48</v>
      </c>
      <c r="AN526" s="29" t="s">
        <v>48</v>
      </c>
      <c r="AO526" s="29" t="s">
        <v>48</v>
      </c>
      <c r="AP526" s="47" t="s">
        <v>255</v>
      </c>
      <c r="AQ526" s="28">
        <v>0</v>
      </c>
      <c r="AR526" s="26">
        <v>1.4999999999999999E-2</v>
      </c>
      <c r="AS526" s="26">
        <v>0</v>
      </c>
    </row>
    <row r="527" spans="1:45" x14ac:dyDescent="0.15">
      <c r="A527" s="64">
        <v>347</v>
      </c>
      <c r="B527" s="64">
        <v>640</v>
      </c>
      <c r="C527" s="11">
        <v>1009</v>
      </c>
      <c r="D527" s="61">
        <v>56</v>
      </c>
      <c r="E527" s="61">
        <v>2.6868649791962399E-3</v>
      </c>
      <c r="F527" s="61">
        <v>23</v>
      </c>
      <c r="G527" s="61">
        <v>0.437889355630949</v>
      </c>
      <c r="H527" s="66">
        <v>41</v>
      </c>
      <c r="I527" s="66" t="str">
        <f>H527&amp;"/"&amp;451</f>
        <v>41/451</v>
      </c>
      <c r="J527" s="68">
        <f>H527/451</f>
        <v>9.0909090909090912E-2</v>
      </c>
      <c r="K527" s="18" t="s">
        <v>44</v>
      </c>
      <c r="L527" s="19" t="s">
        <v>45</v>
      </c>
      <c r="M527" s="59" t="s">
        <v>65</v>
      </c>
      <c r="N527" s="18">
        <f>[1]!f_prt_stocktonav(C527,"2017/03/31")</f>
        <v>81.84930419921875</v>
      </c>
      <c r="O527" s="20" t="str">
        <f>[1]!f_info_fundmanager(C527)</f>
        <v>陈思郁</v>
      </c>
      <c r="P527" s="21">
        <v>0.44109589041095892</v>
      </c>
      <c r="Q527" s="32" t="s">
        <v>1534</v>
      </c>
      <c r="R527" s="13" t="s">
        <v>1535</v>
      </c>
      <c r="S527" s="13" t="s">
        <v>511</v>
      </c>
      <c r="T527" s="13">
        <v>20150226</v>
      </c>
      <c r="U527" s="14">
        <v>10.139699137099999</v>
      </c>
      <c r="V527" s="15" t="s">
        <v>3772</v>
      </c>
      <c r="W527" s="16" t="s">
        <v>40</v>
      </c>
      <c r="X527" s="17" t="s">
        <v>44</v>
      </c>
      <c r="Y527" s="17" t="s">
        <v>45</v>
      </c>
      <c r="Z527" s="17" t="s">
        <v>65</v>
      </c>
      <c r="AA527" s="13"/>
      <c r="AB527" s="13"/>
      <c r="AC527" s="22">
        <v>0.83205207824707028</v>
      </c>
      <c r="AD527" s="23" t="s">
        <v>1536</v>
      </c>
      <c r="AE527" s="24">
        <v>0.21095890410958903</v>
      </c>
      <c r="AF527" s="25">
        <v>-6.6789709702503863E-2</v>
      </c>
      <c r="AG527" s="26">
        <v>0</v>
      </c>
      <c r="AH527" s="26">
        <v>0</v>
      </c>
      <c r="AI527" s="27">
        <v>-3.0839760726121514E-2</v>
      </c>
      <c r="AJ527" s="27">
        <v>-3.0839760726121514E-2</v>
      </c>
      <c r="AK527" s="27">
        <v>-3.0839760726121514E-2</v>
      </c>
      <c r="AL527" s="28" t="s">
        <v>983</v>
      </c>
      <c r="AM527" s="29" t="s">
        <v>48</v>
      </c>
      <c r="AN527" s="29" t="s">
        <v>48</v>
      </c>
      <c r="AO527" s="29" t="s">
        <v>48</v>
      </c>
      <c r="AP527" s="23" t="s">
        <v>101</v>
      </c>
      <c r="AQ527" s="30">
        <v>0</v>
      </c>
      <c r="AR527" s="31">
        <v>1.4999999999999999E-2</v>
      </c>
      <c r="AS527" s="31">
        <v>0</v>
      </c>
    </row>
    <row r="528" spans="1:45" x14ac:dyDescent="0.15">
      <c r="A528" s="64">
        <v>76</v>
      </c>
      <c r="B528" s="64">
        <v>275</v>
      </c>
      <c r="C528" s="11">
        <v>1878</v>
      </c>
      <c r="D528" s="61">
        <v>58</v>
      </c>
      <c r="E528" s="61">
        <v>2.6290216803657798E-3</v>
      </c>
      <c r="F528" s="61">
        <v>43</v>
      </c>
      <c r="G528" s="61">
        <v>0.32475332581106597</v>
      </c>
      <c r="H528" s="66">
        <v>42</v>
      </c>
      <c r="I528" s="66" t="str">
        <f>H528&amp;"/"&amp;451</f>
        <v>42/451</v>
      </c>
      <c r="J528" s="68">
        <f>H528/451</f>
        <v>9.3126385809312637E-2</v>
      </c>
      <c r="K528" s="18" t="s">
        <v>44</v>
      </c>
      <c r="L528" s="18" t="s">
        <v>45</v>
      </c>
      <c r="M528" s="58" t="s">
        <v>65</v>
      </c>
      <c r="N528" s="18">
        <f>[1]!f_prt_stocktonav(C528,"2017/03/31")</f>
        <v>89.948966979980469</v>
      </c>
      <c r="O528" s="20" t="str">
        <f>[1]!f_info_fundmanager(C528)</f>
        <v>张金涛</v>
      </c>
      <c r="P528" s="21">
        <v>0.84383561643835614</v>
      </c>
      <c r="Q528" s="34" t="s">
        <v>437</v>
      </c>
      <c r="R528" s="34" t="s">
        <v>438</v>
      </c>
      <c r="S528" s="34" t="s">
        <v>92</v>
      </c>
      <c r="T528" s="34">
        <v>20160527</v>
      </c>
      <c r="U528" s="45">
        <v>13.7042188105</v>
      </c>
      <c r="V528" s="46">
        <v>3.3656530907</v>
      </c>
      <c r="W528" s="34" t="s">
        <v>3776</v>
      </c>
      <c r="X528" s="34" t="s">
        <v>44</v>
      </c>
      <c r="Y528" s="34" t="s">
        <v>45</v>
      </c>
      <c r="Z528" s="34" t="s">
        <v>65</v>
      </c>
      <c r="AA528" s="34"/>
      <c r="AB528" s="34"/>
      <c r="AC528" s="22">
        <v>0.90217453002929693</v>
      </c>
      <c r="AD528" s="23" t="s">
        <v>439</v>
      </c>
      <c r="AE528" s="24">
        <v>0.61369863013698633</v>
      </c>
      <c r="AF528" s="25">
        <v>0.26779444782186346</v>
      </c>
      <c r="AG528" s="26">
        <v>0</v>
      </c>
      <c r="AH528" s="26">
        <v>0</v>
      </c>
      <c r="AI528" s="27">
        <v>1.6891386547009168</v>
      </c>
      <c r="AJ528" s="27">
        <v>1.6891386547009168</v>
      </c>
      <c r="AK528" s="27">
        <v>1.6891386547009168</v>
      </c>
      <c r="AL528" s="28" t="s">
        <v>440</v>
      </c>
      <c r="AM528" s="29" t="s">
        <v>48</v>
      </c>
      <c r="AN528" s="29" t="s">
        <v>48</v>
      </c>
      <c r="AO528" s="29" t="s">
        <v>48</v>
      </c>
      <c r="AP528" s="47" t="s">
        <v>249</v>
      </c>
      <c r="AQ528" s="28">
        <v>0</v>
      </c>
      <c r="AR528" s="26">
        <v>1.4999999999999999E-2</v>
      </c>
      <c r="AS528" s="26">
        <v>0</v>
      </c>
    </row>
    <row r="529" spans="1:45" x14ac:dyDescent="0.15">
      <c r="A529" s="64">
        <v>318</v>
      </c>
      <c r="B529" s="64">
        <v>444</v>
      </c>
      <c r="C529" s="11">
        <v>979</v>
      </c>
      <c r="D529" s="61">
        <v>59</v>
      </c>
      <c r="E529" s="61">
        <v>2.61554206839756E-3</v>
      </c>
      <c r="F529" s="61">
        <v>44</v>
      </c>
      <c r="G529" s="61">
        <v>0.20889797277349101</v>
      </c>
      <c r="H529" s="66">
        <v>43</v>
      </c>
      <c r="I529" s="66" t="str">
        <f>H529&amp;"/"&amp;451</f>
        <v>43/451</v>
      </c>
      <c r="J529" s="68">
        <f>H529/451</f>
        <v>9.5343680709534362E-2</v>
      </c>
      <c r="K529" s="18" t="s">
        <v>44</v>
      </c>
      <c r="L529" s="18" t="s">
        <v>45</v>
      </c>
      <c r="M529" s="58" t="s">
        <v>65</v>
      </c>
      <c r="N529" s="18">
        <f>[1]!f_prt_stocktonav(C529,"2017/03/31")</f>
        <v>86.416847229003906</v>
      </c>
      <c r="O529" s="20" t="str">
        <f>[1]!f_info_fundmanager(C529)</f>
        <v>鲍无可</v>
      </c>
      <c r="P529" s="21">
        <v>0.84109589041095889</v>
      </c>
      <c r="Q529" s="34" t="s">
        <v>1434</v>
      </c>
      <c r="R529" s="34" t="s">
        <v>1435</v>
      </c>
      <c r="S529" s="34" t="s">
        <v>353</v>
      </c>
      <c r="T529" s="34">
        <v>20150415</v>
      </c>
      <c r="U529" s="45">
        <v>56.446197798</v>
      </c>
      <c r="V529" s="46">
        <v>56.402162112600003</v>
      </c>
      <c r="W529" s="34" t="s">
        <v>1235</v>
      </c>
      <c r="X529" s="34" t="s">
        <v>44</v>
      </c>
      <c r="Y529" s="34" t="s">
        <v>45</v>
      </c>
      <c r="Z529" s="34" t="s">
        <v>65</v>
      </c>
      <c r="AA529" s="34"/>
      <c r="AB529" s="34"/>
      <c r="AC529" s="22">
        <v>0.85978912353515624</v>
      </c>
      <c r="AD529" s="23" t="s">
        <v>1436</v>
      </c>
      <c r="AE529" s="24">
        <v>0.61095890410958908</v>
      </c>
      <c r="AF529" s="25">
        <v>-7.8487680083894729E-2</v>
      </c>
      <c r="AG529" s="26">
        <v>0</v>
      </c>
      <c r="AH529" s="26">
        <v>0</v>
      </c>
      <c r="AI529" s="27">
        <v>-0.26814933911480948</v>
      </c>
      <c r="AJ529" s="27">
        <v>-0.26814933911480948</v>
      </c>
      <c r="AK529" s="27">
        <v>-0.26814933911480948</v>
      </c>
      <c r="AL529" s="28" t="s">
        <v>507</v>
      </c>
      <c r="AM529" s="29" t="s">
        <v>48</v>
      </c>
      <c r="AN529" s="29" t="s">
        <v>48</v>
      </c>
      <c r="AO529" s="29" t="s">
        <v>48</v>
      </c>
      <c r="AP529" s="47" t="s">
        <v>449</v>
      </c>
      <c r="AQ529" s="28">
        <v>0</v>
      </c>
      <c r="AR529" s="26">
        <v>1.4999999999999999E-2</v>
      </c>
      <c r="AS529" s="26">
        <v>0</v>
      </c>
    </row>
    <row r="530" spans="1:45" x14ac:dyDescent="0.15">
      <c r="A530" s="64">
        <v>53</v>
      </c>
      <c r="B530" s="64">
        <v>813</v>
      </c>
      <c r="C530" s="11">
        <v>2851</v>
      </c>
      <c r="D530" s="61">
        <v>60</v>
      </c>
      <c r="E530" s="61">
        <v>2.6036888792591302E-3</v>
      </c>
      <c r="F530" s="61">
        <v>33</v>
      </c>
      <c r="G530" s="61">
        <v>0.204456290249104</v>
      </c>
      <c r="H530" s="66">
        <v>44</v>
      </c>
      <c r="I530" s="66" t="str">
        <f>H530&amp;"/"&amp;451</f>
        <v>44/451</v>
      </c>
      <c r="J530" s="68">
        <f>H530/451</f>
        <v>9.7560975609756101E-2</v>
      </c>
      <c r="K530" s="18" t="s">
        <v>44</v>
      </c>
      <c r="L530" s="18" t="s">
        <v>45</v>
      </c>
      <c r="M530" s="58" t="s">
        <v>65</v>
      </c>
      <c r="N530" s="18">
        <f>[1]!f_prt_stocktonav(C530,"2017/03/31")</f>
        <v>76.149497985839844</v>
      </c>
      <c r="O530" s="20" t="str">
        <f>[1]!f_info_fundmanager(C530)</f>
        <v>李振兴</v>
      </c>
      <c r="P530" s="21">
        <v>0.66301369863013704</v>
      </c>
      <c r="Q530" s="34" t="s">
        <v>320</v>
      </c>
      <c r="R530" s="34" t="s">
        <v>321</v>
      </c>
      <c r="S530" s="34" t="s">
        <v>284</v>
      </c>
      <c r="T530" s="34">
        <v>20160801</v>
      </c>
      <c r="U530" s="45">
        <v>5.9898692034999996</v>
      </c>
      <c r="V530" s="46">
        <v>8.7228763926999999</v>
      </c>
      <c r="W530" s="34" t="s">
        <v>201</v>
      </c>
      <c r="X530" s="34" t="s">
        <v>41</v>
      </c>
      <c r="Y530" s="34" t="s">
        <v>42</v>
      </c>
      <c r="Z530" s="34" t="s">
        <v>43</v>
      </c>
      <c r="AA530" s="34"/>
      <c r="AB530" s="34"/>
      <c r="AC530" s="22">
        <v>0.67543136596679687</v>
      </c>
      <c r="AD530" s="23" t="s">
        <v>322</v>
      </c>
      <c r="AE530" s="24">
        <v>0.43287671232876712</v>
      </c>
      <c r="AF530" s="25">
        <v>7.1717435266454022E-3</v>
      </c>
      <c r="AG530" s="26">
        <v>0</v>
      </c>
      <c r="AH530" s="26">
        <v>0</v>
      </c>
      <c r="AI530" s="27">
        <v>-7.8476446780692211E-2</v>
      </c>
      <c r="AJ530" s="27">
        <v>-7.8476446780692211E-2</v>
      </c>
      <c r="AK530" s="27">
        <v>-7.8476446780692211E-2</v>
      </c>
      <c r="AL530" s="28" t="s">
        <v>323</v>
      </c>
      <c r="AM530" s="29" t="s">
        <v>48</v>
      </c>
      <c r="AN530" s="29" t="s">
        <v>48</v>
      </c>
      <c r="AO530" s="29" t="s">
        <v>48</v>
      </c>
      <c r="AP530" s="47" t="s">
        <v>287</v>
      </c>
      <c r="AQ530" s="28">
        <v>0</v>
      </c>
      <c r="AR530" s="26">
        <v>1.4999999999999999E-2</v>
      </c>
      <c r="AS530" s="26">
        <v>0</v>
      </c>
    </row>
    <row r="531" spans="1:45" x14ac:dyDescent="0.15">
      <c r="A531" s="64">
        <v>199</v>
      </c>
      <c r="B531" s="64">
        <v>617</v>
      </c>
      <c r="C531" s="11">
        <v>1528</v>
      </c>
      <c r="D531" s="61">
        <v>61</v>
      </c>
      <c r="E531" s="61">
        <v>2.57697603413307E-3</v>
      </c>
      <c r="F531" s="61">
        <v>73</v>
      </c>
      <c r="G531" s="61">
        <v>7.5408077363557202E-2</v>
      </c>
      <c r="H531" s="66">
        <v>45</v>
      </c>
      <c r="I531" s="66" t="str">
        <f>H531&amp;"/"&amp;451</f>
        <v>45/451</v>
      </c>
      <c r="J531" s="68">
        <f>H531/451</f>
        <v>9.9778270509977826E-2</v>
      </c>
      <c r="K531" s="18" t="s">
        <v>44</v>
      </c>
      <c r="L531" s="18" t="s">
        <v>45</v>
      </c>
      <c r="M531" s="58" t="s">
        <v>65</v>
      </c>
      <c r="N531" s="18">
        <f>[1]!f_prt_stocktonav(C531,"2017/03/31")</f>
        <v>82.425735473632812</v>
      </c>
      <c r="O531" s="20" t="str">
        <f>[1]!f_info_fundmanager(C531)</f>
        <v>韩冬燕</v>
      </c>
      <c r="P531" s="21">
        <v>1.4027397260273973</v>
      </c>
      <c r="Q531" s="34" t="s">
        <v>953</v>
      </c>
      <c r="R531" s="34" t="s">
        <v>954</v>
      </c>
      <c r="S531" s="34" t="s">
        <v>955</v>
      </c>
      <c r="T531" s="34">
        <v>20150821</v>
      </c>
      <c r="U531" s="45">
        <v>0.71411333389999998</v>
      </c>
      <c r="V531" s="46">
        <v>0.87167451309999999</v>
      </c>
      <c r="W531" s="34" t="s">
        <v>1235</v>
      </c>
      <c r="X531" s="34" t="s">
        <v>44</v>
      </c>
      <c r="Y531" s="34" t="s">
        <v>45</v>
      </c>
      <c r="Z531" s="34" t="s">
        <v>817</v>
      </c>
      <c r="AA531" s="34"/>
      <c r="AB531" s="34"/>
      <c r="AC531" s="22">
        <v>0.81523826599121096</v>
      </c>
      <c r="AD531" s="23" t="s">
        <v>956</v>
      </c>
      <c r="AE531" s="24">
        <v>1.1726027397260275</v>
      </c>
      <c r="AF531" s="25">
        <v>9.2807494966660187E-2</v>
      </c>
      <c r="AG531" s="26">
        <v>0</v>
      </c>
      <c r="AH531" s="26">
        <v>0</v>
      </c>
      <c r="AI531" s="27">
        <v>0.62024051605488073</v>
      </c>
      <c r="AJ531" s="27">
        <v>0.62024051605488073</v>
      </c>
      <c r="AK531" s="27">
        <v>0.62024051605488073</v>
      </c>
      <c r="AL531" s="28" t="s">
        <v>957</v>
      </c>
      <c r="AM531" s="29" t="s">
        <v>48</v>
      </c>
      <c r="AN531" s="29" t="s">
        <v>48</v>
      </c>
      <c r="AO531" s="29" t="s">
        <v>48</v>
      </c>
      <c r="AP531" s="47" t="s">
        <v>255</v>
      </c>
      <c r="AQ531" s="28">
        <v>0</v>
      </c>
      <c r="AR531" s="26">
        <v>1.4999999999999999E-2</v>
      </c>
      <c r="AS531" s="26">
        <v>0</v>
      </c>
    </row>
    <row r="532" spans="1:45" x14ac:dyDescent="0.15">
      <c r="A532" s="64">
        <v>644</v>
      </c>
      <c r="B532" s="64">
        <v>360</v>
      </c>
      <c r="C532" s="11">
        <v>540009</v>
      </c>
      <c r="D532" s="61">
        <v>62</v>
      </c>
      <c r="E532" s="61">
        <v>2.5320665149346699E-3</v>
      </c>
      <c r="F532" s="61">
        <v>58</v>
      </c>
      <c r="G532" s="61">
        <v>8.7188753483736503E-2</v>
      </c>
      <c r="H532" s="66">
        <v>46</v>
      </c>
      <c r="I532" s="66" t="str">
        <f>H532&amp;"/"&amp;451</f>
        <v>46/451</v>
      </c>
      <c r="J532" s="68">
        <f>H532/451</f>
        <v>0.10199556541019955</v>
      </c>
      <c r="K532" s="18" t="s">
        <v>44</v>
      </c>
      <c r="L532" s="18" t="s">
        <v>87</v>
      </c>
      <c r="M532" s="58" t="s">
        <v>65</v>
      </c>
      <c r="N532" s="18">
        <f>[1]!f_prt_stocktonav(C532,"2017/03/31")</f>
        <v>88.309577941894531</v>
      </c>
      <c r="O532" s="20" t="str">
        <f>[1]!f_info_fundmanager(C532)</f>
        <v>是星涛</v>
      </c>
      <c r="P532" s="21">
        <v>1.1095890410958904</v>
      </c>
      <c r="Q532" s="34" t="s">
        <v>2601</v>
      </c>
      <c r="R532" s="34" t="s">
        <v>2602</v>
      </c>
      <c r="S532" s="34" t="s">
        <v>149</v>
      </c>
      <c r="T532" s="34">
        <v>20101208</v>
      </c>
      <c r="U532" s="45">
        <v>1.4924553129</v>
      </c>
      <c r="V532" s="46">
        <v>1.5511744636</v>
      </c>
      <c r="W532" s="34" t="s">
        <v>3776</v>
      </c>
      <c r="X532" s="34" t="s">
        <v>44</v>
      </c>
      <c r="Y532" s="34" t="s">
        <v>45</v>
      </c>
      <c r="Z532" s="34" t="s">
        <v>65</v>
      </c>
      <c r="AA532" s="34"/>
      <c r="AB532" s="34"/>
      <c r="AC532" s="22">
        <v>0.91440544128417967</v>
      </c>
      <c r="AD532" s="23" t="s">
        <v>2603</v>
      </c>
      <c r="AE532" s="24">
        <v>0.8794520547945206</v>
      </c>
      <c r="AF532" s="25">
        <v>-7.6638351124915793E-3</v>
      </c>
      <c r="AG532" s="26">
        <v>1.0836651873482817E-2</v>
      </c>
      <c r="AH532" s="26">
        <v>3.1191313213516869E-2</v>
      </c>
      <c r="AI532" s="27">
        <v>2.5480967467447029E-2</v>
      </c>
      <c r="AJ532" s="27">
        <v>0.14449637055396417</v>
      </c>
      <c r="AK532" s="27">
        <v>0.19180678903770146</v>
      </c>
      <c r="AL532" s="28" t="s">
        <v>2604</v>
      </c>
      <c r="AM532" s="29">
        <v>1</v>
      </c>
      <c r="AN532" s="29">
        <v>2</v>
      </c>
      <c r="AO532" s="29" t="s">
        <v>48</v>
      </c>
      <c r="AP532" s="47" t="s">
        <v>410</v>
      </c>
      <c r="AQ532" s="28">
        <v>0</v>
      </c>
      <c r="AR532" s="26">
        <v>1.4999999999999999E-2</v>
      </c>
      <c r="AS532" s="26">
        <v>0</v>
      </c>
    </row>
    <row r="533" spans="1:45" x14ac:dyDescent="0.15">
      <c r="A533" s="64">
        <v>55</v>
      </c>
      <c r="B533" s="64">
        <v>489</v>
      </c>
      <c r="C533" s="11">
        <v>1685</v>
      </c>
      <c r="D533" s="61">
        <v>64</v>
      </c>
      <c r="E533" s="61">
        <v>2.5137373140039902E-3</v>
      </c>
      <c r="F533" s="61">
        <v>34</v>
      </c>
      <c r="G533" s="61">
        <v>0.40180757708118597</v>
      </c>
      <c r="H533" s="66">
        <v>47</v>
      </c>
      <c r="I533" s="66" t="str">
        <f>H533&amp;"/"&amp;451</f>
        <v>47/451</v>
      </c>
      <c r="J533" s="68">
        <f>H533/451</f>
        <v>0.10421286031042129</v>
      </c>
      <c r="K533" s="18" t="s">
        <v>44</v>
      </c>
      <c r="L533" s="18" t="s">
        <v>45</v>
      </c>
      <c r="M533" s="58" t="s">
        <v>65</v>
      </c>
      <c r="N533" s="18">
        <f>[1]!f_prt_stocktonav(C533,"2017/03/31")</f>
        <v>85.547576904296875</v>
      </c>
      <c r="O533" s="20" t="str">
        <f>[1]!f_info_fundmanager(C533)</f>
        <v>顾耀强,赵鹏程,佘中强</v>
      </c>
      <c r="P533" s="21">
        <v>0.67671232876712328</v>
      </c>
      <c r="Q533" s="34" t="s">
        <v>329</v>
      </c>
      <c r="R533" s="34" t="s">
        <v>330</v>
      </c>
      <c r="S533" s="34" t="s">
        <v>331</v>
      </c>
      <c r="T533" s="34">
        <v>20160727</v>
      </c>
      <c r="U533" s="45">
        <v>16.410440153300001</v>
      </c>
      <c r="V533" s="46">
        <v>5.8187681675</v>
      </c>
      <c r="W533" s="34" t="s">
        <v>201</v>
      </c>
      <c r="X533" s="34" t="s">
        <v>41</v>
      </c>
      <c r="Y533" s="34" t="s">
        <v>42</v>
      </c>
      <c r="Z533" s="34" t="s">
        <v>181</v>
      </c>
      <c r="AA533" s="34"/>
      <c r="AB533" s="34"/>
      <c r="AC533" s="22">
        <v>0.61758735656738284</v>
      </c>
      <c r="AD533" s="23" t="s">
        <v>332</v>
      </c>
      <c r="AE533" s="24">
        <v>0.44657534246575342</v>
      </c>
      <c r="AF533" s="25">
        <v>3.9710255894606528E-2</v>
      </c>
      <c r="AG533" s="26">
        <v>0</v>
      </c>
      <c r="AH533" s="26">
        <v>0</v>
      </c>
      <c r="AI533" s="27">
        <v>0.25708230744750832</v>
      </c>
      <c r="AJ533" s="27">
        <v>0.25708230744750832</v>
      </c>
      <c r="AK533" s="27">
        <v>0.25708230744750832</v>
      </c>
      <c r="AL533" s="28" t="s">
        <v>333</v>
      </c>
      <c r="AM533" s="29" t="s">
        <v>48</v>
      </c>
      <c r="AN533" s="29" t="s">
        <v>48</v>
      </c>
      <c r="AO533" s="29" t="s">
        <v>48</v>
      </c>
      <c r="AP533" s="47" t="s">
        <v>334</v>
      </c>
      <c r="AQ533" s="28">
        <v>0</v>
      </c>
      <c r="AR533" s="26">
        <v>1.4999999999999999E-2</v>
      </c>
      <c r="AS533" s="26">
        <v>0</v>
      </c>
    </row>
    <row r="534" spans="1:45" x14ac:dyDescent="0.15">
      <c r="A534" s="64">
        <v>484</v>
      </c>
      <c r="B534" s="64">
        <v>542</v>
      </c>
      <c r="C534" s="11">
        <v>390</v>
      </c>
      <c r="D534" s="61">
        <v>65</v>
      </c>
      <c r="E534" s="61">
        <v>2.5002415013841801E-3</v>
      </c>
      <c r="F534" s="61">
        <v>34</v>
      </c>
      <c r="G534" s="61">
        <v>0.11867995827422501</v>
      </c>
      <c r="H534" s="66">
        <v>48</v>
      </c>
      <c r="I534" s="66" t="str">
        <f>H534&amp;"/"&amp;451</f>
        <v>48/451</v>
      </c>
      <c r="J534" s="68">
        <f>H534/451</f>
        <v>0.10643015521064302</v>
      </c>
      <c r="K534" s="18" t="s">
        <v>44</v>
      </c>
      <c r="L534" s="18" t="s">
        <v>45</v>
      </c>
      <c r="M534" s="58" t="s">
        <v>65</v>
      </c>
      <c r="N534" s="18">
        <f>[1]!f_prt_stocktonav(C534,"2017/03/31")</f>
        <v>84.189361572265625</v>
      </c>
      <c r="O534" s="20" t="str">
        <f>[1]!f_info_fundmanager(C534)</f>
        <v>周海栋</v>
      </c>
      <c r="P534" s="21">
        <v>0.65205479452054793</v>
      </c>
      <c r="Q534" s="34" t="s">
        <v>2044</v>
      </c>
      <c r="R534" s="34" t="s">
        <v>2045</v>
      </c>
      <c r="S534" s="34" t="s">
        <v>387</v>
      </c>
      <c r="T534" s="34">
        <v>20131211</v>
      </c>
      <c r="U534" s="45">
        <v>7.5175431849000001</v>
      </c>
      <c r="V534" s="46">
        <v>11.752788713999999</v>
      </c>
      <c r="W534" s="34" t="s">
        <v>3776</v>
      </c>
      <c r="X534" s="34" t="s">
        <v>44</v>
      </c>
      <c r="Y534" s="34" t="s">
        <v>45</v>
      </c>
      <c r="Z534" s="34" t="s">
        <v>65</v>
      </c>
      <c r="AA534" s="34"/>
      <c r="AB534" s="34"/>
      <c r="AC534" s="22">
        <v>0.72095794677734371</v>
      </c>
      <c r="AD534" s="23" t="s">
        <v>2046</v>
      </c>
      <c r="AE534" s="24">
        <v>0.42191780821917807</v>
      </c>
      <c r="AF534" s="25">
        <v>0.27405375576246005</v>
      </c>
      <c r="AG534" s="26">
        <v>0.27899094372029687</v>
      </c>
      <c r="AH534" s="26">
        <v>0</v>
      </c>
      <c r="AI534" s="27">
        <v>1.3153676737321593</v>
      </c>
      <c r="AJ534" s="27">
        <v>1.324416464186807</v>
      </c>
      <c r="AK534" s="27">
        <v>1.3153676737321593</v>
      </c>
      <c r="AL534" s="28" t="s">
        <v>240</v>
      </c>
      <c r="AM534" s="29" t="s">
        <v>48</v>
      </c>
      <c r="AN534" s="29" t="s">
        <v>48</v>
      </c>
      <c r="AO534" s="29" t="s">
        <v>48</v>
      </c>
      <c r="AP534" s="47" t="s">
        <v>2047</v>
      </c>
      <c r="AQ534" s="28">
        <v>0</v>
      </c>
      <c r="AR534" s="26">
        <v>1.4999999999999999E-2</v>
      </c>
      <c r="AS534" s="26">
        <v>0</v>
      </c>
    </row>
    <row r="535" spans="1:45" x14ac:dyDescent="0.15">
      <c r="A535" s="64">
        <v>96</v>
      </c>
      <c r="B535" s="64">
        <v>740</v>
      </c>
      <c r="C535" s="11">
        <v>1875</v>
      </c>
      <c r="D535" s="61">
        <v>66</v>
      </c>
      <c r="E535" s="61">
        <v>2.4778140452165298E-3</v>
      </c>
      <c r="F535" s="61">
        <v>48</v>
      </c>
      <c r="G535" s="61">
        <v>0.28358940892156698</v>
      </c>
      <c r="H535" s="66">
        <v>49</v>
      </c>
      <c r="I535" s="66" t="str">
        <f>H535&amp;"/"&amp;451</f>
        <v>49/451</v>
      </c>
      <c r="J535" s="68">
        <f>H535/451</f>
        <v>0.10864745011086474</v>
      </c>
      <c r="K535" s="18" t="s">
        <v>44</v>
      </c>
      <c r="L535" s="18" t="s">
        <v>45</v>
      </c>
      <c r="M535" s="58" t="s">
        <v>65</v>
      </c>
      <c r="N535" s="18">
        <f>[1]!f_prt_stocktonav(C535,"2017/03/31")</f>
        <v>78.713630676269531</v>
      </c>
      <c r="O535" s="20" t="str">
        <f>[1]!f_info_fundmanager(C535)</f>
        <v>曲扬,史程</v>
      </c>
      <c r="P535" s="21">
        <v>0.94794520547945205</v>
      </c>
      <c r="Q535" s="34" t="s">
        <v>526</v>
      </c>
      <c r="R535" s="34" t="s">
        <v>527</v>
      </c>
      <c r="S535" s="34" t="s">
        <v>78</v>
      </c>
      <c r="T535" s="34">
        <v>20160419</v>
      </c>
      <c r="U535" s="45">
        <v>0.87435571000000001</v>
      </c>
      <c r="V535" s="46">
        <v>1.3095520078</v>
      </c>
      <c r="W535" s="34" t="s">
        <v>3776</v>
      </c>
      <c r="X535" s="34" t="s">
        <v>41</v>
      </c>
      <c r="Y535" s="34" t="s">
        <v>42</v>
      </c>
      <c r="Z535" s="34" t="s">
        <v>181</v>
      </c>
      <c r="AA535" s="34"/>
      <c r="AB535" s="34"/>
      <c r="AC535" s="22">
        <v>0.63771606445312501</v>
      </c>
      <c r="AD535" s="23" t="s">
        <v>528</v>
      </c>
      <c r="AE535" s="24">
        <v>0.71780821917808224</v>
      </c>
      <c r="AF535" s="25">
        <v>0.1910483190993888</v>
      </c>
      <c r="AG535" s="26">
        <v>0</v>
      </c>
      <c r="AH535" s="26">
        <v>0</v>
      </c>
      <c r="AI535" s="27">
        <v>1.5486403120707917</v>
      </c>
      <c r="AJ535" s="27">
        <v>1.5486403120707917</v>
      </c>
      <c r="AK535" s="27">
        <v>1.5486403120707917</v>
      </c>
      <c r="AL535" s="28" t="s">
        <v>120</v>
      </c>
      <c r="AM535" s="29" t="s">
        <v>48</v>
      </c>
      <c r="AN535" s="29" t="s">
        <v>48</v>
      </c>
      <c r="AO535" s="29" t="s">
        <v>48</v>
      </c>
      <c r="AP535" s="47" t="s">
        <v>270</v>
      </c>
      <c r="AQ535" s="28">
        <v>0</v>
      </c>
      <c r="AR535" s="26">
        <v>1.4999999999999999E-2</v>
      </c>
      <c r="AS535" s="26">
        <v>0</v>
      </c>
    </row>
    <row r="536" spans="1:45" x14ac:dyDescent="0.15">
      <c r="A536" s="64">
        <v>901</v>
      </c>
      <c r="B536" s="64">
        <v>861</v>
      </c>
      <c r="C536" s="11">
        <v>519996</v>
      </c>
      <c r="D536" s="61">
        <v>69</v>
      </c>
      <c r="E536" s="61">
        <v>2.3988714076283498E-3</v>
      </c>
      <c r="F536" s="61">
        <v>13</v>
      </c>
      <c r="G536" s="61">
        <v>0.177959676241083</v>
      </c>
      <c r="H536" s="66">
        <v>50</v>
      </c>
      <c r="I536" s="66" t="str">
        <f>H536&amp;"/"&amp;451</f>
        <v>50/451</v>
      </c>
      <c r="J536" s="68">
        <f>H536/451</f>
        <v>0.11086474501108648</v>
      </c>
      <c r="K536" s="18" t="s">
        <v>44</v>
      </c>
      <c r="L536" s="18" t="s">
        <v>45</v>
      </c>
      <c r="M536" s="58" t="s">
        <v>65</v>
      </c>
      <c r="N536" s="18">
        <f>[1]!f_prt_stocktonav(C536,"2017/03/31")</f>
        <v>74.018074035644531</v>
      </c>
      <c r="O536" s="20" t="str">
        <f>[1]!f_info_fundmanager(C536)</f>
        <v>高远</v>
      </c>
      <c r="P536" s="21">
        <v>0.23835616438356164</v>
      </c>
      <c r="Q536" s="34" t="s">
        <v>3500</v>
      </c>
      <c r="R536" s="34" t="s">
        <v>3501</v>
      </c>
      <c r="S536" s="34" t="s">
        <v>206</v>
      </c>
      <c r="T536" s="34">
        <v>20050117</v>
      </c>
      <c r="U536" s="45">
        <v>6.6813195403999996</v>
      </c>
      <c r="V536" s="46">
        <v>6.7837060821000001</v>
      </c>
      <c r="W536" s="34" t="s">
        <v>231</v>
      </c>
      <c r="X536" s="34" t="s">
        <v>44</v>
      </c>
      <c r="Y536" s="34" t="s">
        <v>45</v>
      </c>
      <c r="Z536" s="34" t="s">
        <v>65</v>
      </c>
      <c r="AA536" s="34"/>
      <c r="AB536" s="34"/>
      <c r="AC536" s="22">
        <v>0.75056045532226567</v>
      </c>
      <c r="AD536" s="23" t="s">
        <v>3502</v>
      </c>
      <c r="AE536" s="24">
        <v>1.6520547945205479</v>
      </c>
      <c r="AF536" s="25">
        <v>0.12281793817695232</v>
      </c>
      <c r="AG536" s="26">
        <v>0.15308977969033477</v>
      </c>
      <c r="AH536" s="26">
        <v>9.1343821981144213E-2</v>
      </c>
      <c r="AI536" s="27">
        <v>0.52082781404805689</v>
      </c>
      <c r="AJ536" s="27">
        <v>0.56230490682250933</v>
      </c>
      <c r="AK536" s="27">
        <v>0.40974332238209998</v>
      </c>
      <c r="AL536" s="28" t="s">
        <v>3503</v>
      </c>
      <c r="AM536" s="29">
        <v>1</v>
      </c>
      <c r="AN536" s="29">
        <v>3</v>
      </c>
      <c r="AO536" s="29" t="s">
        <v>48</v>
      </c>
      <c r="AP536" s="47" t="s">
        <v>209</v>
      </c>
      <c r="AQ536" s="28" t="s">
        <v>3373</v>
      </c>
      <c r="AR536" s="26">
        <v>1.4999999999999999E-2</v>
      </c>
      <c r="AS536" s="26">
        <v>0</v>
      </c>
    </row>
    <row r="537" spans="1:45" x14ac:dyDescent="0.15">
      <c r="A537" s="64">
        <v>326</v>
      </c>
      <c r="B537" s="64">
        <v>515</v>
      </c>
      <c r="C537" s="11">
        <v>1112</v>
      </c>
      <c r="D537" s="61">
        <v>70</v>
      </c>
      <c r="E537" s="61">
        <v>2.3982259343790901E-3</v>
      </c>
      <c r="F537" s="61">
        <v>95</v>
      </c>
      <c r="G537" s="61">
        <v>7.3206821080404993E-2</v>
      </c>
      <c r="H537" s="66">
        <v>51</v>
      </c>
      <c r="I537" s="66" t="str">
        <f>H537&amp;"/"&amp;451</f>
        <v>51/451</v>
      </c>
      <c r="J537" s="68">
        <f>H537/451</f>
        <v>0.1130820399113082</v>
      </c>
      <c r="K537" s="18" t="s">
        <v>44</v>
      </c>
      <c r="L537" s="18" t="s">
        <v>45</v>
      </c>
      <c r="M537" s="58" t="s">
        <v>65</v>
      </c>
      <c r="N537" s="18">
        <f>[1]!f_prt_stocktonav(C537,"2017/03/31")</f>
        <v>84.941886901855469</v>
      </c>
      <c r="O537" s="20" t="str">
        <f>[1]!f_info_fundmanager(C537)</f>
        <v>王延飞,林鹏</v>
      </c>
      <c r="P537" s="21">
        <v>1.8136986301369864</v>
      </c>
      <c r="Q537" s="34" t="s">
        <v>1460</v>
      </c>
      <c r="R537" s="34" t="s">
        <v>1461</v>
      </c>
      <c r="S537" s="34" t="s">
        <v>313</v>
      </c>
      <c r="T537" s="34">
        <v>20150407</v>
      </c>
      <c r="U537" s="45">
        <v>41.107172807300003</v>
      </c>
      <c r="V537" s="46">
        <v>47.569399496199999</v>
      </c>
      <c r="W537" s="34" t="s">
        <v>3776</v>
      </c>
      <c r="X537" s="34" t="s">
        <v>44</v>
      </c>
      <c r="Y537" s="17" t="s">
        <v>45</v>
      </c>
      <c r="Z537" s="17" t="s">
        <v>65</v>
      </c>
      <c r="AA537" s="34"/>
      <c r="AB537" s="34"/>
      <c r="AC537" s="22">
        <v>0.87484550476074219</v>
      </c>
      <c r="AD537" s="23" t="s">
        <v>1462</v>
      </c>
      <c r="AE537" s="24">
        <v>1.5835616438356164</v>
      </c>
      <c r="AF537" s="25">
        <v>2.22348176170728E-2</v>
      </c>
      <c r="AG537" s="26">
        <v>0</v>
      </c>
      <c r="AH537" s="26">
        <v>0</v>
      </c>
      <c r="AI537" s="27">
        <v>0.10971901977253885</v>
      </c>
      <c r="AJ537" s="27">
        <v>0.10971901977253885</v>
      </c>
      <c r="AK537" s="27">
        <v>0.10971901977253885</v>
      </c>
      <c r="AL537" s="28" t="s">
        <v>684</v>
      </c>
      <c r="AM537" s="29" t="s">
        <v>48</v>
      </c>
      <c r="AN537" s="29" t="s">
        <v>48</v>
      </c>
      <c r="AO537" s="29" t="s">
        <v>48</v>
      </c>
      <c r="AP537" s="47" t="s">
        <v>209</v>
      </c>
      <c r="AQ537" s="28">
        <v>0</v>
      </c>
      <c r="AR537" s="26">
        <v>1.4999999999999999E-2</v>
      </c>
      <c r="AS537" s="26">
        <v>0</v>
      </c>
    </row>
    <row r="538" spans="1:45" x14ac:dyDescent="0.15">
      <c r="A538" s="64">
        <v>26</v>
      </c>
      <c r="B538" s="64">
        <v>784</v>
      </c>
      <c r="C538" s="11">
        <v>519778</v>
      </c>
      <c r="D538" s="61">
        <v>71</v>
      </c>
      <c r="E538" s="61">
        <v>2.3826642272787601E-3</v>
      </c>
      <c r="F538" s="61">
        <v>23</v>
      </c>
      <c r="G538" s="61">
        <v>0.29170006565379902</v>
      </c>
      <c r="H538" s="66">
        <v>52</v>
      </c>
      <c r="I538" s="66" t="str">
        <f>H538&amp;"/"&amp;451</f>
        <v>52/451</v>
      </c>
      <c r="J538" s="68">
        <f>H538/451</f>
        <v>0.11529933481152993</v>
      </c>
      <c r="K538" s="18" t="s">
        <v>44</v>
      </c>
      <c r="L538" s="19" t="s">
        <v>45</v>
      </c>
      <c r="M538" s="59" t="s">
        <v>65</v>
      </c>
      <c r="N538" s="18">
        <f>[1]!f_prt_stocktonav(C538,"2017/03/31")</f>
        <v>77.202903747558594</v>
      </c>
      <c r="O538" s="20" t="str">
        <f>[1]!f_info_fundmanager(C538)</f>
        <v>任相栋</v>
      </c>
      <c r="P538" s="21">
        <v>0.44383561643835617</v>
      </c>
      <c r="Q538" s="32" t="s">
        <v>184</v>
      </c>
      <c r="R538" s="13" t="s">
        <v>185</v>
      </c>
      <c r="S538" s="13" t="s">
        <v>138</v>
      </c>
      <c r="T538" s="13">
        <v>20161020</v>
      </c>
      <c r="U538" s="14">
        <v>8.4924276809000006</v>
      </c>
      <c r="V538" s="15" t="s">
        <v>58</v>
      </c>
      <c r="W538" s="16" t="s">
        <v>40</v>
      </c>
      <c r="X538" s="17" t="s">
        <v>41</v>
      </c>
      <c r="Y538" s="17" t="s">
        <v>42</v>
      </c>
      <c r="Z538" s="17" t="s">
        <v>43</v>
      </c>
      <c r="AA538" s="13"/>
      <c r="AB538" s="13"/>
      <c r="AC538" s="22">
        <v>0.67695381164550783</v>
      </c>
      <c r="AD538" s="23" t="s">
        <v>186</v>
      </c>
      <c r="AE538" s="24">
        <v>0.21369863013698631</v>
      </c>
      <c r="AF538" s="25">
        <v>-5.9053508689933754E-2</v>
      </c>
      <c r="AG538" s="26">
        <v>0</v>
      </c>
      <c r="AH538" s="26">
        <v>0</v>
      </c>
      <c r="AI538" s="27">
        <v>-1.5588031805051856</v>
      </c>
      <c r="AJ538" s="27">
        <v>-1.5588031805051856</v>
      </c>
      <c r="AK538" s="27">
        <v>-1.5588031805051856</v>
      </c>
      <c r="AL538" s="28" t="s">
        <v>140</v>
      </c>
      <c r="AM538" s="29" t="s">
        <v>48</v>
      </c>
      <c r="AN538" s="29" t="s">
        <v>48</v>
      </c>
      <c r="AO538" s="29" t="s">
        <v>48</v>
      </c>
      <c r="AP538" s="23" t="s">
        <v>49</v>
      </c>
      <c r="AQ538" s="30">
        <v>0</v>
      </c>
      <c r="AR538" s="31">
        <v>1.4999999999999999E-2</v>
      </c>
      <c r="AS538" s="31">
        <v>0</v>
      </c>
    </row>
    <row r="539" spans="1:45" x14ac:dyDescent="0.15">
      <c r="A539" s="64">
        <v>477</v>
      </c>
      <c r="B539" s="64">
        <v>530</v>
      </c>
      <c r="C539" s="11">
        <v>519191</v>
      </c>
      <c r="D539" s="61">
        <v>73</v>
      </c>
      <c r="E539" s="61">
        <v>2.3483655503270702E-3</v>
      </c>
      <c r="F539" s="61">
        <v>95</v>
      </c>
      <c r="G539" s="61">
        <v>0.34403694202805901</v>
      </c>
      <c r="H539" s="66">
        <v>53</v>
      </c>
      <c r="I539" s="66" t="str">
        <f>H539&amp;"/"&amp;451</f>
        <v>53/451</v>
      </c>
      <c r="J539" s="68">
        <f>H539/451</f>
        <v>0.11751662971175167</v>
      </c>
      <c r="K539" s="18" t="s">
        <v>44</v>
      </c>
      <c r="L539" s="18" t="s">
        <v>45</v>
      </c>
      <c r="M539" s="58" t="s">
        <v>65</v>
      </c>
      <c r="N539" s="18">
        <f>[1]!f_prt_stocktonav(C539,"2017/03/31")</f>
        <v>84.59295654296875</v>
      </c>
      <c r="O539" s="20" t="str">
        <f>[1]!f_info_fundmanager(C539)</f>
        <v>高翰昆,莫海波</v>
      </c>
      <c r="P539" s="21">
        <v>1.8684931506849316</v>
      </c>
      <c r="Q539" s="34" t="s">
        <v>2020</v>
      </c>
      <c r="R539" s="34" t="s">
        <v>2021</v>
      </c>
      <c r="S539" s="34" t="s">
        <v>718</v>
      </c>
      <c r="T539" s="34">
        <v>20140124</v>
      </c>
      <c r="U539" s="45">
        <v>7.1774064915000002</v>
      </c>
      <c r="V539" s="46">
        <v>8.2405027531999995</v>
      </c>
      <c r="W539" s="34" t="s">
        <v>1235</v>
      </c>
      <c r="X539" s="34" t="s">
        <v>44</v>
      </c>
      <c r="Y539" s="17" t="s">
        <v>45</v>
      </c>
      <c r="Z539" s="17" t="s">
        <v>65</v>
      </c>
      <c r="AA539" s="34"/>
      <c r="AB539" s="34"/>
      <c r="AC539" s="22">
        <v>0.94600967407226566</v>
      </c>
      <c r="AD539" s="23" t="s">
        <v>2022</v>
      </c>
      <c r="AE539" s="24">
        <v>1.6383561643835616</v>
      </c>
      <c r="AF539" s="25">
        <v>5.9114654528258148E-2</v>
      </c>
      <c r="AG539" s="26">
        <v>0</v>
      </c>
      <c r="AH539" s="26">
        <v>0</v>
      </c>
      <c r="AI539" s="27">
        <v>0.31021564137178925</v>
      </c>
      <c r="AJ539" s="27">
        <v>0.31021564137178925</v>
      </c>
      <c r="AK539" s="27">
        <v>0.31021564137178925</v>
      </c>
      <c r="AL539" s="28" t="s">
        <v>720</v>
      </c>
      <c r="AM539" s="29" t="s">
        <v>48</v>
      </c>
      <c r="AN539" s="29" t="s">
        <v>48</v>
      </c>
      <c r="AO539" s="29" t="s">
        <v>48</v>
      </c>
      <c r="AP539" s="47" t="s">
        <v>2023</v>
      </c>
      <c r="AQ539" s="28">
        <v>0</v>
      </c>
      <c r="AR539" s="26">
        <v>1.4999999999999999E-2</v>
      </c>
      <c r="AS539" s="26">
        <v>0</v>
      </c>
    </row>
    <row r="540" spans="1:45" x14ac:dyDescent="0.15">
      <c r="A540" s="64">
        <v>16</v>
      </c>
      <c r="B540" s="64">
        <v>466</v>
      </c>
      <c r="C540" s="11">
        <v>2133</v>
      </c>
      <c r="D540" s="61">
        <v>75</v>
      </c>
      <c r="E540" s="61">
        <v>2.29995716958369E-3</v>
      </c>
      <c r="F540" s="61">
        <v>19</v>
      </c>
      <c r="G540" s="61">
        <v>0.57363823582286599</v>
      </c>
      <c r="H540" s="66">
        <v>54</v>
      </c>
      <c r="I540" s="66" t="str">
        <f>H540&amp;"/"&amp;451</f>
        <v>54/451</v>
      </c>
      <c r="J540" s="68">
        <f>H540/451</f>
        <v>0.11973392461197339</v>
      </c>
      <c r="K540" s="18" t="s">
        <v>44</v>
      </c>
      <c r="L540" s="19" t="s">
        <v>45</v>
      </c>
      <c r="M540" s="59" t="s">
        <v>65</v>
      </c>
      <c r="N540" s="18">
        <f>[1]!f_prt_stocktonav(C540,"2017/03/31")</f>
        <v>85.911041259765625</v>
      </c>
      <c r="O540" s="20" t="str">
        <f>[1]!f_info_fundmanager(C540)</f>
        <v>任爽,易阳方</v>
      </c>
      <c r="P540" s="21">
        <v>0.36986301369863012</v>
      </c>
      <c r="Q540" s="32" t="s">
        <v>130</v>
      </c>
      <c r="R540" s="13" t="s">
        <v>131</v>
      </c>
      <c r="S540" s="13" t="s">
        <v>132</v>
      </c>
      <c r="T540" s="13">
        <v>20161116</v>
      </c>
      <c r="U540" s="14">
        <v>38.281280713999998</v>
      </c>
      <c r="V540" s="15" t="s">
        <v>58</v>
      </c>
      <c r="W540" s="16" t="s">
        <v>40</v>
      </c>
      <c r="X540" s="17" t="s">
        <v>41</v>
      </c>
      <c r="Y540" s="17" t="s">
        <v>42</v>
      </c>
      <c r="Z540" s="17" t="s">
        <v>43</v>
      </c>
      <c r="AA540" s="13"/>
      <c r="AB540" s="13"/>
      <c r="AC540" s="22">
        <v>0</v>
      </c>
      <c r="AD540" s="23" t="s">
        <v>133</v>
      </c>
      <c r="AE540" s="24">
        <v>0.13972602739726028</v>
      </c>
      <c r="AF540" s="25">
        <v>0.21644237539965006</v>
      </c>
      <c r="AG540" s="26">
        <v>0</v>
      </c>
      <c r="AH540" s="26">
        <v>0</v>
      </c>
      <c r="AI540" s="27">
        <v>0.92363317116610988</v>
      </c>
      <c r="AJ540" s="27">
        <v>0.92363317116610988</v>
      </c>
      <c r="AK540" s="27">
        <v>0.92363317116610988</v>
      </c>
      <c r="AL540" s="28" t="s">
        <v>134</v>
      </c>
      <c r="AM540" s="29" t="s">
        <v>48</v>
      </c>
      <c r="AN540" s="29" t="s">
        <v>48</v>
      </c>
      <c r="AO540" s="29" t="s">
        <v>48</v>
      </c>
      <c r="AP540" s="23" t="s">
        <v>135</v>
      </c>
      <c r="AQ540" s="30">
        <v>0</v>
      </c>
      <c r="AR540" s="31">
        <v>0.01</v>
      </c>
      <c r="AS540" s="31">
        <v>0</v>
      </c>
    </row>
    <row r="541" spans="1:45" x14ac:dyDescent="0.15">
      <c r="A541" s="64">
        <v>163</v>
      </c>
      <c r="B541" s="64">
        <v>298</v>
      </c>
      <c r="C541" s="11">
        <v>1521</v>
      </c>
      <c r="D541" s="61">
        <v>76</v>
      </c>
      <c r="E541" s="61">
        <v>2.2996263889065601E-3</v>
      </c>
      <c r="F541" s="61">
        <v>66</v>
      </c>
      <c r="G541" s="61">
        <v>8.8444562125458703E-2</v>
      </c>
      <c r="H541" s="66">
        <v>55</v>
      </c>
      <c r="I541" s="66" t="str">
        <f>H541&amp;"/"&amp;451</f>
        <v>55/451</v>
      </c>
      <c r="J541" s="68">
        <f>H541/451</f>
        <v>0.12195121951219512</v>
      </c>
      <c r="K541" s="18" t="s">
        <v>44</v>
      </c>
      <c r="L541" s="18" t="s">
        <v>45</v>
      </c>
      <c r="M541" s="58" t="s">
        <v>65</v>
      </c>
      <c r="N541" s="18">
        <f>[1]!f_prt_stocktonav(C541,"2017/03/31")</f>
        <v>89.494049072265625</v>
      </c>
      <c r="O541" s="20" t="str">
        <f>[1]!f_info_fundmanager(C541)</f>
        <v>吴坚,张琦</v>
      </c>
      <c r="P541" s="21">
        <v>1.3041095890410959</v>
      </c>
      <c r="Q541" s="34" t="s">
        <v>815</v>
      </c>
      <c r="R541" s="34" t="s">
        <v>816</v>
      </c>
      <c r="S541" s="34" t="s">
        <v>224</v>
      </c>
      <c r="T541" s="34">
        <v>20151211</v>
      </c>
      <c r="U541" s="45">
        <v>2.9129095304999999</v>
      </c>
      <c r="V541" s="46">
        <v>3.3237889219999999</v>
      </c>
      <c r="W541" s="34" t="s">
        <v>3789</v>
      </c>
      <c r="X541" s="34" t="s">
        <v>44</v>
      </c>
      <c r="Y541" s="34" t="s">
        <v>45</v>
      </c>
      <c r="Z541" s="34" t="s">
        <v>817</v>
      </c>
      <c r="AA541" s="34"/>
      <c r="AB541" s="34"/>
      <c r="AC541" s="22">
        <v>0.88815582275390625</v>
      </c>
      <c r="AD541" s="23" t="s">
        <v>818</v>
      </c>
      <c r="AE541" s="24">
        <v>1.0739726027397261</v>
      </c>
      <c r="AF541" s="25">
        <v>3.2036558299518569E-2</v>
      </c>
      <c r="AG541" s="26">
        <v>0</v>
      </c>
      <c r="AH541" s="26">
        <v>0</v>
      </c>
      <c r="AI541" s="27">
        <v>0.18727594242211962</v>
      </c>
      <c r="AJ541" s="27">
        <v>0.18727594242211962</v>
      </c>
      <c r="AK541" s="27">
        <v>0.18727594242211962</v>
      </c>
      <c r="AL541" s="28" t="s">
        <v>819</v>
      </c>
      <c r="AM541" s="29" t="s">
        <v>48</v>
      </c>
      <c r="AN541" s="29" t="s">
        <v>48</v>
      </c>
      <c r="AO541" s="29" t="s">
        <v>48</v>
      </c>
      <c r="AP541" s="47" t="s">
        <v>820</v>
      </c>
      <c r="AQ541" s="28">
        <v>0</v>
      </c>
      <c r="AR541" s="26">
        <v>1.4999999999999999E-2</v>
      </c>
      <c r="AS541" s="26">
        <v>0</v>
      </c>
    </row>
    <row r="542" spans="1:45" x14ac:dyDescent="0.15">
      <c r="A542" s="64">
        <v>286</v>
      </c>
      <c r="B542" s="64">
        <v>343</v>
      </c>
      <c r="C542" s="11">
        <v>1178</v>
      </c>
      <c r="D542" s="61">
        <v>77</v>
      </c>
      <c r="E542" s="61">
        <v>2.2804050633522099E-3</v>
      </c>
      <c r="F542" s="61">
        <v>95</v>
      </c>
      <c r="G542" s="61">
        <v>0.234887289312916</v>
      </c>
      <c r="H542" s="66">
        <v>56</v>
      </c>
      <c r="I542" s="66" t="str">
        <f>H542&amp;"/"&amp;451</f>
        <v>56/451</v>
      </c>
      <c r="J542" s="68">
        <f>H542/451</f>
        <v>0.12416851441241686</v>
      </c>
      <c r="K542" s="18" t="s">
        <v>44</v>
      </c>
      <c r="L542" s="18" t="s">
        <v>87</v>
      </c>
      <c r="M542" s="58" t="s">
        <v>65</v>
      </c>
      <c r="N542" s="18">
        <f>[1]!f_prt_stocktonav(C542,"2017/03/31")</f>
        <v>88.654319763183594</v>
      </c>
      <c r="O542" s="20" t="str">
        <f>[1]!f_info_fundmanager(C542)</f>
        <v>邱杰</v>
      </c>
      <c r="P542" s="21">
        <v>1.8712328767123287</v>
      </c>
      <c r="Q542" s="34" t="s">
        <v>1309</v>
      </c>
      <c r="R542" s="34" t="s">
        <v>1310</v>
      </c>
      <c r="S542" s="34" t="s">
        <v>78</v>
      </c>
      <c r="T542" s="34">
        <v>20150518</v>
      </c>
      <c r="U542" s="45">
        <v>7.1545467620999998</v>
      </c>
      <c r="V542" s="46">
        <v>7.6966978179999996</v>
      </c>
      <c r="W542" s="34" t="s">
        <v>3789</v>
      </c>
      <c r="X542" s="34" t="s">
        <v>44</v>
      </c>
      <c r="Y542" s="34" t="s">
        <v>87</v>
      </c>
      <c r="Z542" s="34" t="s">
        <v>65</v>
      </c>
      <c r="AA542" s="34" t="s">
        <v>3803</v>
      </c>
      <c r="AB542" s="34"/>
      <c r="AC542" s="22">
        <v>0.80855873107910159</v>
      </c>
      <c r="AD542" s="23" t="s">
        <v>1155</v>
      </c>
      <c r="AE542" s="24">
        <v>1.6410958904109589</v>
      </c>
      <c r="AF542" s="25">
        <v>6.8587091619674023E-2</v>
      </c>
      <c r="AG542" s="26">
        <v>0</v>
      </c>
      <c r="AH542" s="26">
        <v>0</v>
      </c>
      <c r="AI542" s="27">
        <v>0.39877254310864907</v>
      </c>
      <c r="AJ542" s="27">
        <v>0.39877254310864907</v>
      </c>
      <c r="AK542" s="27">
        <v>0.39877254310864907</v>
      </c>
      <c r="AL542" s="33" t="s">
        <v>167</v>
      </c>
      <c r="AM542" s="29" t="s">
        <v>48</v>
      </c>
      <c r="AN542" s="29" t="s">
        <v>48</v>
      </c>
      <c r="AO542" s="29" t="s">
        <v>48</v>
      </c>
      <c r="AP542" s="47" t="s">
        <v>270</v>
      </c>
      <c r="AQ542" s="28">
        <v>0</v>
      </c>
      <c r="AR542" s="26">
        <v>1.4999999999999999E-2</v>
      </c>
      <c r="AS542" s="26">
        <v>0</v>
      </c>
    </row>
    <row r="543" spans="1:45" x14ac:dyDescent="0.15">
      <c r="A543" s="64">
        <v>214</v>
      </c>
      <c r="B543" s="64">
        <v>532</v>
      </c>
      <c r="C543" s="11">
        <v>1473</v>
      </c>
      <c r="D543" s="61">
        <v>78</v>
      </c>
      <c r="E543" s="61">
        <v>2.2582181497731398E-3</v>
      </c>
      <c r="F543" s="61">
        <v>85</v>
      </c>
      <c r="G543" s="61">
        <v>0.21323900123660799</v>
      </c>
      <c r="H543" s="66">
        <v>57</v>
      </c>
      <c r="I543" s="66" t="str">
        <f>H543&amp;"/"&amp;451</f>
        <v>57/451</v>
      </c>
      <c r="J543" s="68">
        <f>H543/451</f>
        <v>0.12638580931263857</v>
      </c>
      <c r="K543" s="18" t="s">
        <v>44</v>
      </c>
      <c r="L543" s="18" t="s">
        <v>45</v>
      </c>
      <c r="M543" s="58" t="s">
        <v>65</v>
      </c>
      <c r="N543" s="18">
        <f>[1]!f_prt_stocktonav(C543,"2017/03/31")</f>
        <v>84.570899963378906</v>
      </c>
      <c r="O543" s="20" t="str">
        <f>[1]!f_info_fundmanager(C543)</f>
        <v>王东杰</v>
      </c>
      <c r="P543" s="21">
        <v>1.6739726027397259</v>
      </c>
      <c r="Q543" s="34" t="s">
        <v>1010</v>
      </c>
      <c r="R543" s="34" t="s">
        <v>1011</v>
      </c>
      <c r="S543" s="34" t="s">
        <v>307</v>
      </c>
      <c r="T543" s="34">
        <v>20150729</v>
      </c>
      <c r="U543" s="45">
        <v>1.0454970803000001</v>
      </c>
      <c r="V543" s="46">
        <v>1.2274503262000001</v>
      </c>
      <c r="W543" s="34" t="s">
        <v>1235</v>
      </c>
      <c r="X543" s="34" t="s">
        <v>44</v>
      </c>
      <c r="Y543" s="34" t="s">
        <v>45</v>
      </c>
      <c r="Z543" s="34" t="s">
        <v>274</v>
      </c>
      <c r="AA543" s="34"/>
      <c r="AB543" s="34"/>
      <c r="AC543" s="22">
        <v>0.86143432617187499</v>
      </c>
      <c r="AD543" s="23" t="s">
        <v>1012</v>
      </c>
      <c r="AE543" s="24">
        <v>1.4438356164383561</v>
      </c>
      <c r="AF543" s="25">
        <v>9.8366423222517874E-2</v>
      </c>
      <c r="AG543" s="26">
        <v>0</v>
      </c>
      <c r="AH543" s="26">
        <v>0</v>
      </c>
      <c r="AI543" s="27">
        <v>0.46237670615730903</v>
      </c>
      <c r="AJ543" s="27">
        <v>0.46237670615730903</v>
      </c>
      <c r="AK543" s="27">
        <v>0.46237670615730903</v>
      </c>
      <c r="AL543" s="28" t="s">
        <v>1013</v>
      </c>
      <c r="AM543" s="29" t="s">
        <v>48</v>
      </c>
      <c r="AN543" s="29" t="s">
        <v>48</v>
      </c>
      <c r="AO543" s="29" t="s">
        <v>48</v>
      </c>
      <c r="AP543" s="47" t="s">
        <v>310</v>
      </c>
      <c r="AQ543" s="28">
        <v>0</v>
      </c>
      <c r="AR543" s="26">
        <v>1.4999999999999999E-2</v>
      </c>
      <c r="AS543" s="26">
        <v>0</v>
      </c>
    </row>
    <row r="544" spans="1:45" x14ac:dyDescent="0.15">
      <c r="A544" s="64">
        <v>516</v>
      </c>
      <c r="B544" s="64">
        <v>545</v>
      </c>
      <c r="C544" s="11">
        <v>83</v>
      </c>
      <c r="D544" s="61">
        <v>79</v>
      </c>
      <c r="E544" s="61">
        <v>2.2372902680503899E-3</v>
      </c>
      <c r="F544" s="61">
        <v>51</v>
      </c>
      <c r="G544" s="61">
        <v>0.14309899782626101</v>
      </c>
      <c r="H544" s="66">
        <v>58</v>
      </c>
      <c r="I544" s="66" t="str">
        <f>H544&amp;"/"&amp;451</f>
        <v>58/451</v>
      </c>
      <c r="J544" s="68">
        <f>H544/451</f>
        <v>0.12860310421286031</v>
      </c>
      <c r="K544" s="18" t="s">
        <v>44</v>
      </c>
      <c r="L544" s="18" t="s">
        <v>45</v>
      </c>
      <c r="M544" s="58" t="s">
        <v>65</v>
      </c>
      <c r="N544" s="18">
        <f>[1]!f_prt_stocktonav(C544,"2017/03/31")</f>
        <v>84.100654602050781</v>
      </c>
      <c r="O544" s="20" t="str">
        <f>[1]!f_info_fundmanager(C544)</f>
        <v>胡昕炜</v>
      </c>
      <c r="P544" s="21">
        <v>0.9780821917808219</v>
      </c>
      <c r="Q544" s="34" t="s">
        <v>2162</v>
      </c>
      <c r="R544" s="34" t="s">
        <v>2163</v>
      </c>
      <c r="S544" s="34" t="s">
        <v>331</v>
      </c>
      <c r="T544" s="34">
        <v>20130503</v>
      </c>
      <c r="U544" s="45">
        <v>21.513820972000001</v>
      </c>
      <c r="V544" s="46">
        <v>22.9396133234</v>
      </c>
      <c r="W544" s="34" t="s">
        <v>201</v>
      </c>
      <c r="X544" s="34" t="s">
        <v>44</v>
      </c>
      <c r="Y544" s="34" t="s">
        <v>86</v>
      </c>
      <c r="Z544" s="34" t="s">
        <v>65</v>
      </c>
      <c r="AA544" s="34" t="s">
        <v>3828</v>
      </c>
      <c r="AB544" s="34"/>
      <c r="AC544" s="22">
        <v>0.86124031066894535</v>
      </c>
      <c r="AD544" s="23" t="s">
        <v>2165</v>
      </c>
      <c r="AE544" s="24">
        <v>0.74794520547945209</v>
      </c>
      <c r="AF544" s="25">
        <v>0.24572381071011695</v>
      </c>
      <c r="AG544" s="26">
        <v>0.25268955567714291</v>
      </c>
      <c r="AH544" s="26">
        <v>0</v>
      </c>
      <c r="AI544" s="27">
        <v>0.79722390481988725</v>
      </c>
      <c r="AJ544" s="27">
        <v>0.77501770126782665</v>
      </c>
      <c r="AK544" s="27">
        <v>0.79722390481988725</v>
      </c>
      <c r="AL544" s="33" t="s">
        <v>2166</v>
      </c>
      <c r="AM544" s="29" t="s">
        <v>48</v>
      </c>
      <c r="AN544" s="29" t="s">
        <v>48</v>
      </c>
      <c r="AO544" s="29" t="s">
        <v>48</v>
      </c>
      <c r="AP544" s="47" t="s">
        <v>334</v>
      </c>
      <c r="AQ544" s="28">
        <v>0</v>
      </c>
      <c r="AR544" s="26">
        <v>1.4999999999999999E-2</v>
      </c>
      <c r="AS544" s="26">
        <v>0</v>
      </c>
    </row>
    <row r="545" spans="1:45" x14ac:dyDescent="0.15">
      <c r="A545" s="64">
        <v>258</v>
      </c>
      <c r="B545" s="64">
        <v>235</v>
      </c>
      <c r="C545" s="11">
        <v>1244</v>
      </c>
      <c r="D545" s="61">
        <v>80</v>
      </c>
      <c r="E545" s="61">
        <v>2.2037829398655999E-3</v>
      </c>
      <c r="F545" s="61">
        <v>93</v>
      </c>
      <c r="G545" s="61">
        <v>0.20025596119390701</v>
      </c>
      <c r="H545" s="66">
        <v>59</v>
      </c>
      <c r="I545" s="66" t="str">
        <f>H545&amp;"/"&amp;451</f>
        <v>59/451</v>
      </c>
      <c r="J545" s="68">
        <f>H545/451</f>
        <v>0.13082039911308205</v>
      </c>
      <c r="K545" s="18" t="s">
        <v>44</v>
      </c>
      <c r="L545" s="18" t="s">
        <v>64</v>
      </c>
      <c r="M545" s="58" t="s">
        <v>65</v>
      </c>
      <c r="N545" s="18">
        <f>[1]!f_prt_stocktonav(C545,"2017/03/31")</f>
        <v>90.969703674316406</v>
      </c>
      <c r="O545" s="20" t="str">
        <f>[1]!f_info_fundmanager(C545)</f>
        <v>田汉卿</v>
      </c>
      <c r="P545" s="21">
        <v>1.8273972602739725</v>
      </c>
      <c r="Q545" s="34" t="s">
        <v>1186</v>
      </c>
      <c r="R545" s="34" t="s">
        <v>1187</v>
      </c>
      <c r="S545" s="34" t="s">
        <v>880</v>
      </c>
      <c r="T545" s="34">
        <v>20150603</v>
      </c>
      <c r="U545" s="45">
        <v>3.6540489534999998</v>
      </c>
      <c r="V545" s="46">
        <v>4.7400803420999997</v>
      </c>
      <c r="W545" s="34" t="s">
        <v>1235</v>
      </c>
      <c r="X545" s="34" t="s">
        <v>44</v>
      </c>
      <c r="Y545" s="34" t="s">
        <v>45</v>
      </c>
      <c r="Z545" s="34" t="s">
        <v>65</v>
      </c>
      <c r="AA545" s="34"/>
      <c r="AB545" s="34"/>
      <c r="AC545" s="22">
        <v>0.84595481872558598</v>
      </c>
      <c r="AD545" s="23" t="s">
        <v>1188</v>
      </c>
      <c r="AE545" s="24">
        <v>1.5972602739726027</v>
      </c>
      <c r="AF545" s="25">
        <v>1.6403500772997459E-2</v>
      </c>
      <c r="AG545" s="26">
        <v>0</v>
      </c>
      <c r="AH545" s="26">
        <v>0</v>
      </c>
      <c r="AI545" s="27">
        <v>0.14464182533881392</v>
      </c>
      <c r="AJ545" s="27">
        <v>0.14464182533881392</v>
      </c>
      <c r="AK545" s="27">
        <v>0.14464182533881392</v>
      </c>
      <c r="AL545" s="28" t="s">
        <v>1189</v>
      </c>
      <c r="AM545" s="29" t="s">
        <v>48</v>
      </c>
      <c r="AN545" s="29" t="s">
        <v>48</v>
      </c>
      <c r="AO545" s="29" t="s">
        <v>48</v>
      </c>
      <c r="AP545" s="47" t="s">
        <v>405</v>
      </c>
      <c r="AQ545" s="28">
        <v>0</v>
      </c>
      <c r="AR545" s="26">
        <v>1.4999999999999999E-2</v>
      </c>
      <c r="AS545" s="26">
        <v>0</v>
      </c>
    </row>
    <row r="546" spans="1:45" x14ac:dyDescent="0.15">
      <c r="A546" s="64">
        <v>249</v>
      </c>
      <c r="B546" s="64">
        <v>702</v>
      </c>
      <c r="C546" s="11">
        <v>1278</v>
      </c>
      <c r="D546" s="61">
        <v>83</v>
      </c>
      <c r="E546" s="61">
        <v>2.1465852023467001E-3</v>
      </c>
      <c r="F546" s="61">
        <v>91</v>
      </c>
      <c r="G546" s="61">
        <v>0.259455227192249</v>
      </c>
      <c r="H546" s="66">
        <v>60</v>
      </c>
      <c r="I546" s="66" t="str">
        <f>H546&amp;"/"&amp;451</f>
        <v>60/451</v>
      </c>
      <c r="J546" s="68">
        <f>H546/451</f>
        <v>0.13303769401330376</v>
      </c>
      <c r="K546" s="18" t="s">
        <v>44</v>
      </c>
      <c r="L546" s="18" t="s">
        <v>87</v>
      </c>
      <c r="M546" s="58" t="s">
        <v>65</v>
      </c>
      <c r="N546" s="18">
        <f>[1]!f_prt_stocktonav(C546,"2017/03/31")</f>
        <v>79.990531921386719</v>
      </c>
      <c r="O546" s="20" t="str">
        <f>[1]!f_info_fundmanager(C546)</f>
        <v>邱杰</v>
      </c>
      <c r="P546" s="21">
        <v>1.7917808219178082</v>
      </c>
      <c r="Q546" s="34" t="s">
        <v>1152</v>
      </c>
      <c r="R546" s="34" t="s">
        <v>3798</v>
      </c>
      <c r="S546" s="34" t="s">
        <v>78</v>
      </c>
      <c r="T546" s="34">
        <v>20150616</v>
      </c>
      <c r="U546" s="45">
        <v>11.2912293054</v>
      </c>
      <c r="V546" s="46">
        <v>12.1896600409</v>
      </c>
      <c r="W546" s="34" t="s">
        <v>1235</v>
      </c>
      <c r="X546" s="34" t="s">
        <v>44</v>
      </c>
      <c r="Y546" s="34" t="s">
        <v>87</v>
      </c>
      <c r="Z546" s="34" t="s">
        <v>65</v>
      </c>
      <c r="AA546" s="34" t="s">
        <v>3799</v>
      </c>
      <c r="AB546" s="34"/>
      <c r="AC546" s="22">
        <v>0.78250366210937505</v>
      </c>
      <c r="AD546" s="23" t="s">
        <v>1155</v>
      </c>
      <c r="AE546" s="24">
        <v>1.5616438356164384</v>
      </c>
      <c r="AF546" s="25">
        <v>6.3322992954816471E-2</v>
      </c>
      <c r="AG546" s="26">
        <v>0</v>
      </c>
      <c r="AH546" s="26">
        <v>0</v>
      </c>
      <c r="AI546" s="27">
        <v>0.40777438899280455</v>
      </c>
      <c r="AJ546" s="27">
        <v>0.40777438899280455</v>
      </c>
      <c r="AK546" s="27">
        <v>0.40777438899280455</v>
      </c>
      <c r="AL546" s="33" t="s">
        <v>196</v>
      </c>
      <c r="AM546" s="29" t="s">
        <v>48</v>
      </c>
      <c r="AN546" s="29" t="s">
        <v>48</v>
      </c>
      <c r="AO546" s="29" t="s">
        <v>48</v>
      </c>
      <c r="AP546" s="47" t="s">
        <v>270</v>
      </c>
      <c r="AQ546" s="28">
        <v>0</v>
      </c>
      <c r="AR546" s="26">
        <v>1.4999999999999999E-2</v>
      </c>
      <c r="AS546" s="26">
        <v>0</v>
      </c>
    </row>
    <row r="547" spans="1:45" x14ac:dyDescent="0.15">
      <c r="A547" s="64">
        <v>765</v>
      </c>
      <c r="B547" s="64">
        <v>766</v>
      </c>
      <c r="C547" s="11">
        <v>110011</v>
      </c>
      <c r="D547" s="61">
        <v>86</v>
      </c>
      <c r="E547" s="61">
        <v>2.0580135580734599E-3</v>
      </c>
      <c r="F547" s="61">
        <v>235</v>
      </c>
      <c r="G547" s="61">
        <v>5.13994788272766E-2</v>
      </c>
      <c r="H547" s="66">
        <v>61</v>
      </c>
      <c r="I547" s="66" t="str">
        <f>H547&amp;"/"&amp;451</f>
        <v>61/451</v>
      </c>
      <c r="J547" s="68">
        <f>H547/451</f>
        <v>0.1352549889135255</v>
      </c>
      <c r="K547" s="18" t="s">
        <v>44</v>
      </c>
      <c r="L547" s="18" t="s">
        <v>45</v>
      </c>
      <c r="M547" s="58" t="s">
        <v>65</v>
      </c>
      <c r="N547" s="18">
        <f>[1]!f_prt_stocktonav(C547,"2017/03/31")</f>
        <v>77.649604797363281</v>
      </c>
      <c r="O547" s="20" t="str">
        <f>[1]!f_info_fundmanager(C547)</f>
        <v>张坤</v>
      </c>
      <c r="P547" s="21">
        <v>4.506849315068493</v>
      </c>
      <c r="Q547" s="34" t="s">
        <v>2996</v>
      </c>
      <c r="R547" s="34" t="s">
        <v>2997</v>
      </c>
      <c r="S547" s="34" t="s">
        <v>218</v>
      </c>
      <c r="T547" s="34">
        <v>20080619</v>
      </c>
      <c r="U547" s="45">
        <v>18.816288274000001</v>
      </c>
      <c r="V547" s="46">
        <v>19.960590749600001</v>
      </c>
      <c r="W547" s="34" t="s">
        <v>231</v>
      </c>
      <c r="X547" s="34" t="s">
        <v>44</v>
      </c>
      <c r="Y547" s="34" t="s">
        <v>45</v>
      </c>
      <c r="Z547" s="34" t="s">
        <v>65</v>
      </c>
      <c r="AA547" s="34"/>
      <c r="AB547" s="34"/>
      <c r="AC547" s="22">
        <v>0.83551887512207035</v>
      </c>
      <c r="AD547" s="23" t="s">
        <v>2998</v>
      </c>
      <c r="AE547" s="24">
        <v>4.2767123287671236</v>
      </c>
      <c r="AF547" s="25">
        <v>0.13700485260860584</v>
      </c>
      <c r="AG547" s="26">
        <v>0.21424815312815818</v>
      </c>
      <c r="AH547" s="26">
        <v>0.15612659920982708</v>
      </c>
      <c r="AI547" s="27">
        <v>0.64824556239239983</v>
      </c>
      <c r="AJ547" s="27">
        <v>1.0043233643372032</v>
      </c>
      <c r="AK547" s="27">
        <v>0.76956001259177975</v>
      </c>
      <c r="AL547" s="28" t="s">
        <v>2999</v>
      </c>
      <c r="AM547" s="29">
        <v>4</v>
      </c>
      <c r="AN547" s="29">
        <v>5</v>
      </c>
      <c r="AO547" s="29" t="s">
        <v>48</v>
      </c>
      <c r="AP547" s="47" t="s">
        <v>2457</v>
      </c>
      <c r="AQ547" s="28">
        <v>0</v>
      </c>
      <c r="AR547" s="26">
        <v>1.4999999999999999E-2</v>
      </c>
      <c r="AS547" s="26">
        <v>0</v>
      </c>
    </row>
    <row r="548" spans="1:45" x14ac:dyDescent="0.15">
      <c r="A548" s="64">
        <v>663</v>
      </c>
      <c r="B548" s="64">
        <v>761</v>
      </c>
      <c r="C548" s="11">
        <v>690004</v>
      </c>
      <c r="D548" s="61">
        <v>88</v>
      </c>
      <c r="E548" s="61">
        <v>2.0433998794077402E-3</v>
      </c>
      <c r="F548" s="61">
        <v>39</v>
      </c>
      <c r="G548" s="61">
        <v>0.26388504936671697</v>
      </c>
      <c r="H548" s="66">
        <v>62</v>
      </c>
      <c r="I548" s="66" t="str">
        <f>H548&amp;"/"&amp;451</f>
        <v>62/451</v>
      </c>
      <c r="J548" s="68">
        <f>H548/451</f>
        <v>0.13747228381374724</v>
      </c>
      <c r="K548" s="18" t="s">
        <v>44</v>
      </c>
      <c r="L548" s="18" t="s">
        <v>45</v>
      </c>
      <c r="M548" s="58" t="s">
        <v>65</v>
      </c>
      <c r="N548" s="18">
        <f>[1]!f_prt_stocktonav(C548,"2017/03/31")</f>
        <v>77.926414489746094</v>
      </c>
      <c r="O548" s="20" t="str">
        <f>[1]!f_info_fundmanager(C548)</f>
        <v>宋磊,蒯学章</v>
      </c>
      <c r="P548" s="21">
        <v>0.73972602739726023</v>
      </c>
      <c r="Q548" s="34" t="s">
        <v>2666</v>
      </c>
      <c r="R548" s="34" t="s">
        <v>2667</v>
      </c>
      <c r="S548" s="34" t="s">
        <v>1234</v>
      </c>
      <c r="T548" s="34">
        <v>20100629</v>
      </c>
      <c r="U548" s="45">
        <v>0.63673388419999999</v>
      </c>
      <c r="V548" s="46">
        <v>0.65609527909999998</v>
      </c>
      <c r="W548" s="34" t="s">
        <v>3776</v>
      </c>
      <c r="X548" s="34" t="s">
        <v>44</v>
      </c>
      <c r="Y548" s="34" t="s">
        <v>45</v>
      </c>
      <c r="Z548" s="34" t="s">
        <v>65</v>
      </c>
      <c r="AA548" s="34"/>
      <c r="AB548" s="34"/>
      <c r="AC548" s="22">
        <v>0.76727439880371096</v>
      </c>
      <c r="AD548" s="23" t="s">
        <v>2668</v>
      </c>
      <c r="AE548" s="24">
        <v>0.50958904109589043</v>
      </c>
      <c r="AF548" s="25">
        <v>4.2073041640272368E-2</v>
      </c>
      <c r="AG548" s="26">
        <v>0.20102928613138579</v>
      </c>
      <c r="AH548" s="26">
        <v>0.15010867030201003</v>
      </c>
      <c r="AI548" s="27">
        <v>0.23687072788175381</v>
      </c>
      <c r="AJ548" s="27">
        <v>0.65027264616634572</v>
      </c>
      <c r="AK548" s="27">
        <v>0.56884600799789242</v>
      </c>
      <c r="AL548" s="28" t="s">
        <v>1459</v>
      </c>
      <c r="AM548" s="29">
        <v>2</v>
      </c>
      <c r="AN548" s="29">
        <v>2</v>
      </c>
      <c r="AO548" s="29" t="s">
        <v>48</v>
      </c>
      <c r="AP548" s="47" t="s">
        <v>82</v>
      </c>
      <c r="AQ548" s="28">
        <v>0</v>
      </c>
      <c r="AR548" s="26">
        <v>1.4999999999999999E-2</v>
      </c>
      <c r="AS548" s="26">
        <v>0</v>
      </c>
    </row>
    <row r="549" spans="1:45" x14ac:dyDescent="0.15">
      <c r="A549" s="64">
        <v>52</v>
      </c>
      <c r="B549" s="64">
        <v>430</v>
      </c>
      <c r="C549" s="11">
        <v>2264</v>
      </c>
      <c r="D549" s="61">
        <v>89</v>
      </c>
      <c r="E549" s="61">
        <v>2.0148953715455001E-3</v>
      </c>
      <c r="F549" s="61">
        <v>33</v>
      </c>
      <c r="G549" s="61">
        <v>0.227287672881544</v>
      </c>
      <c r="H549" s="66">
        <v>63</v>
      </c>
      <c r="I549" s="66" t="str">
        <f>H549&amp;"/"&amp;451</f>
        <v>63/451</v>
      </c>
      <c r="J549" s="68">
        <f>H549/451</f>
        <v>0.13968957871396895</v>
      </c>
      <c r="K549" s="18" t="s">
        <v>44</v>
      </c>
      <c r="L549" s="18" t="s">
        <v>86</v>
      </c>
      <c r="M549" s="58" t="s">
        <v>65</v>
      </c>
      <c r="N549" s="18">
        <f>[1]!f_prt_stocktonav(C549,"2017/03/31")</f>
        <v>86.687797546386719</v>
      </c>
      <c r="O549" s="20" t="str">
        <f>[1]!f_info_fundmanager(C549)</f>
        <v>陈斌</v>
      </c>
      <c r="P549" s="21">
        <v>0.65753424657534243</v>
      </c>
      <c r="Q549" s="34" t="s">
        <v>316</v>
      </c>
      <c r="R549" s="34" t="s">
        <v>317</v>
      </c>
      <c r="S549" s="34" t="s">
        <v>143</v>
      </c>
      <c r="T549" s="34">
        <v>20160803</v>
      </c>
      <c r="U549" s="45">
        <v>7.3429158932999998</v>
      </c>
      <c r="V549" s="46">
        <v>14.5885965738</v>
      </c>
      <c r="W549" s="34" t="s">
        <v>201</v>
      </c>
      <c r="X549" s="34" t="s">
        <v>44</v>
      </c>
      <c r="Y549" s="34" t="s">
        <v>45</v>
      </c>
      <c r="Z549" s="34" t="s">
        <v>65</v>
      </c>
      <c r="AA549" s="34"/>
      <c r="AB549" s="34"/>
      <c r="AC549" s="22">
        <v>0.8224324798583984</v>
      </c>
      <c r="AD549" s="23" t="s">
        <v>318</v>
      </c>
      <c r="AE549" s="24">
        <v>0.42739726027397262</v>
      </c>
      <c r="AF549" s="25">
        <v>-2.4155059178230243E-3</v>
      </c>
      <c r="AG549" s="26">
        <v>0</v>
      </c>
      <c r="AH549" s="26">
        <v>0</v>
      </c>
      <c r="AI549" s="27">
        <v>-0.43516943460954827</v>
      </c>
      <c r="AJ549" s="27">
        <v>-0.43516943460954827</v>
      </c>
      <c r="AK549" s="27">
        <v>-0.43516943460954827</v>
      </c>
      <c r="AL549" s="28" t="s">
        <v>319</v>
      </c>
      <c r="AM549" s="29" t="s">
        <v>48</v>
      </c>
      <c r="AN549" s="29" t="s">
        <v>48</v>
      </c>
      <c r="AO549" s="29" t="s">
        <v>48</v>
      </c>
      <c r="AP549" s="47" t="s">
        <v>310</v>
      </c>
      <c r="AQ549" s="28">
        <v>0</v>
      </c>
      <c r="AR549" s="26">
        <v>1.4999999999999999E-2</v>
      </c>
      <c r="AS549" s="26">
        <v>0</v>
      </c>
    </row>
    <row r="550" spans="1:45" x14ac:dyDescent="0.15">
      <c r="A550" s="64">
        <v>831</v>
      </c>
      <c r="B550" s="64">
        <v>180</v>
      </c>
      <c r="C550" s="11">
        <v>519181</v>
      </c>
      <c r="D550" s="61">
        <v>90</v>
      </c>
      <c r="E550" s="61">
        <v>2.00430718003391E-3</v>
      </c>
      <c r="F550" s="61">
        <v>100</v>
      </c>
      <c r="G550" s="61">
        <v>0.27043782134648398</v>
      </c>
      <c r="H550" s="66">
        <v>64</v>
      </c>
      <c r="I550" s="66" t="str">
        <f>H550&amp;"/"&amp;451</f>
        <v>64/451</v>
      </c>
      <c r="J550" s="68">
        <f>H550/451</f>
        <v>0.14190687361419069</v>
      </c>
      <c r="K550" s="18" t="s">
        <v>44</v>
      </c>
      <c r="L550" s="18" t="s">
        <v>45</v>
      </c>
      <c r="M550" s="58" t="s">
        <v>65</v>
      </c>
      <c r="N550" s="18">
        <f>[1]!f_prt_stocktonav(C550,"2017/03/31")</f>
        <v>92.103660583496094</v>
      </c>
      <c r="O550" s="20" t="str">
        <f>[1]!f_info_fundmanager(C550)</f>
        <v>莫海波</v>
      </c>
      <c r="P550" s="21">
        <v>1.904109589041096</v>
      </c>
      <c r="Q550" s="34" t="s">
        <v>3230</v>
      </c>
      <c r="R550" s="34" t="s">
        <v>3231</v>
      </c>
      <c r="S550" s="34" t="s">
        <v>718</v>
      </c>
      <c r="T550" s="34">
        <v>20061130</v>
      </c>
      <c r="U550" s="45">
        <v>15.5855271184</v>
      </c>
      <c r="V550" s="46">
        <v>14.8622457772</v>
      </c>
      <c r="W550" s="34" t="s">
        <v>231</v>
      </c>
      <c r="X550" s="34" t="s">
        <v>44</v>
      </c>
      <c r="Y550" s="34" t="s">
        <v>45</v>
      </c>
      <c r="Z550" s="34" t="s">
        <v>65</v>
      </c>
      <c r="AA550" s="34"/>
      <c r="AB550" s="34"/>
      <c r="AC550" s="22">
        <v>0.93987274169921875</v>
      </c>
      <c r="AD550" s="23" t="s">
        <v>719</v>
      </c>
      <c r="AE550" s="24">
        <v>1.6739726027397259</v>
      </c>
      <c r="AF550" s="25">
        <v>6.7404137756440274E-2</v>
      </c>
      <c r="AG550" s="26">
        <v>0.16878221342864319</v>
      </c>
      <c r="AH550" s="26">
        <v>0.14025855398054965</v>
      </c>
      <c r="AI550" s="27">
        <v>0.32536428562541969</v>
      </c>
      <c r="AJ550" s="27">
        <v>0.66504248608771033</v>
      </c>
      <c r="AK550" s="27">
        <v>0.60255284215684968</v>
      </c>
      <c r="AL550" s="28" t="s">
        <v>3232</v>
      </c>
      <c r="AM550" s="29">
        <v>5</v>
      </c>
      <c r="AN550" s="29">
        <v>4</v>
      </c>
      <c r="AO550" s="29" t="s">
        <v>48</v>
      </c>
      <c r="AP550" s="47" t="s">
        <v>3233</v>
      </c>
      <c r="AQ550" s="28" t="s">
        <v>3234</v>
      </c>
      <c r="AR550" s="26">
        <v>1.4999999999999999E-2</v>
      </c>
      <c r="AS550" s="26">
        <v>0</v>
      </c>
    </row>
    <row r="551" spans="1:45" x14ac:dyDescent="0.15">
      <c r="A551" s="64">
        <v>635</v>
      </c>
      <c r="B551" s="64">
        <v>504</v>
      </c>
      <c r="C551" s="11">
        <v>690005</v>
      </c>
      <c r="D551" s="61">
        <v>91</v>
      </c>
      <c r="E551" s="61">
        <v>1.9825118804958899E-3</v>
      </c>
      <c r="F551" s="61">
        <v>39</v>
      </c>
      <c r="G551" s="61">
        <v>0.295578386395139</v>
      </c>
      <c r="H551" s="66">
        <v>65</v>
      </c>
      <c r="I551" s="66" t="str">
        <f>H551&amp;"/"&amp;451</f>
        <v>65/451</v>
      </c>
      <c r="J551" s="68">
        <f>H551/451</f>
        <v>0.14412416851441243</v>
      </c>
      <c r="K551" s="18" t="s">
        <v>44</v>
      </c>
      <c r="L551" s="18" t="s">
        <v>45</v>
      </c>
      <c r="M551" s="58" t="s">
        <v>65</v>
      </c>
      <c r="N551" s="18">
        <f>[1]!f_prt_stocktonav(C551,"2017/03/31")</f>
        <v>85.186515808105469</v>
      </c>
      <c r="O551" s="20" t="str">
        <f>[1]!f_info_fundmanager(C551)</f>
        <v>宋磊,柳世庆</v>
      </c>
      <c r="P551" s="21">
        <v>0.73972602739726023</v>
      </c>
      <c r="Q551" s="34" t="s">
        <v>2568</v>
      </c>
      <c r="R551" s="34" t="s">
        <v>2569</v>
      </c>
      <c r="S551" s="34" t="s">
        <v>1234</v>
      </c>
      <c r="T551" s="34">
        <v>20110128</v>
      </c>
      <c r="U551" s="45">
        <v>1.4770196053</v>
      </c>
      <c r="V551" s="46">
        <v>1.5195982754999999</v>
      </c>
      <c r="W551" s="34" t="s">
        <v>1235</v>
      </c>
      <c r="X551" s="34" t="s">
        <v>44</v>
      </c>
      <c r="Y551" s="34" t="s">
        <v>45</v>
      </c>
      <c r="Z551" s="34" t="s">
        <v>65</v>
      </c>
      <c r="AA551" s="34"/>
      <c r="AB551" s="34"/>
      <c r="AC551" s="22">
        <v>0.81438697814941408</v>
      </c>
      <c r="AD551" s="23" t="s">
        <v>2570</v>
      </c>
      <c r="AE551" s="24">
        <v>0.50958904109589043</v>
      </c>
      <c r="AF551" s="25">
        <v>5.3988322480412743E-2</v>
      </c>
      <c r="AG551" s="26">
        <v>0.18543828459598788</v>
      </c>
      <c r="AH551" s="26">
        <v>0.12921217697716081</v>
      </c>
      <c r="AI551" s="27">
        <v>0.27746120548910652</v>
      </c>
      <c r="AJ551" s="27">
        <v>0.61207850394654939</v>
      </c>
      <c r="AK551" s="27">
        <v>0.50407723910533264</v>
      </c>
      <c r="AL551" s="28" t="s">
        <v>1459</v>
      </c>
      <c r="AM551" s="29">
        <v>2</v>
      </c>
      <c r="AN551" s="29">
        <v>2</v>
      </c>
      <c r="AO551" s="29" t="s">
        <v>48</v>
      </c>
      <c r="AP551" s="47" t="s">
        <v>1909</v>
      </c>
      <c r="AQ551" s="28">
        <v>0</v>
      </c>
      <c r="AR551" s="26">
        <v>1.4999999999999999E-2</v>
      </c>
      <c r="AS551" s="26">
        <v>0</v>
      </c>
    </row>
    <row r="552" spans="1:45" x14ac:dyDescent="0.15">
      <c r="A552" s="64">
        <v>207</v>
      </c>
      <c r="B552" s="64">
        <v>656</v>
      </c>
      <c r="C552" s="11">
        <v>1651</v>
      </c>
      <c r="D552" s="61">
        <v>92</v>
      </c>
      <c r="E552" s="61">
        <v>1.94470241654827E-3</v>
      </c>
      <c r="F552" s="61">
        <v>84</v>
      </c>
      <c r="G552" s="61">
        <v>0.23836353721756101</v>
      </c>
      <c r="H552" s="66">
        <v>66</v>
      </c>
      <c r="I552" s="66" t="str">
        <f>H552&amp;"/"&amp;451</f>
        <v>66/451</v>
      </c>
      <c r="J552" s="68">
        <f>H552/451</f>
        <v>0.14634146341463414</v>
      </c>
      <c r="K552" s="18" t="s">
        <v>44</v>
      </c>
      <c r="L552" s="18" t="s">
        <v>45</v>
      </c>
      <c r="M552" s="58" t="s">
        <v>65</v>
      </c>
      <c r="N552" s="18">
        <f>[1]!f_prt_stocktonav(C552,"2017/03/31")</f>
        <v>81.268882751464844</v>
      </c>
      <c r="O552" s="20" t="str">
        <f>[1]!f_info_fundmanager(C552)</f>
        <v>王筱苓</v>
      </c>
      <c r="P552" s="21">
        <v>1.6520547945205479</v>
      </c>
      <c r="Q552" s="34" t="s">
        <v>985</v>
      </c>
      <c r="R552" s="34" t="s">
        <v>986</v>
      </c>
      <c r="S552" s="34" t="s">
        <v>523</v>
      </c>
      <c r="T552" s="34">
        <v>20150806</v>
      </c>
      <c r="U552" s="45">
        <v>1.8632087224</v>
      </c>
      <c r="V552" s="46">
        <v>1.9970295002</v>
      </c>
      <c r="W552" s="34" t="s">
        <v>3789</v>
      </c>
      <c r="X552" s="34" t="s">
        <v>44</v>
      </c>
      <c r="Y552" s="34" t="s">
        <v>45</v>
      </c>
      <c r="Z552" s="34" t="s">
        <v>65</v>
      </c>
      <c r="AA552" s="34"/>
      <c r="AB552" s="34"/>
      <c r="AC552" s="22">
        <v>0.82225234985351559</v>
      </c>
      <c r="AD552" s="23" t="s">
        <v>987</v>
      </c>
      <c r="AE552" s="24">
        <v>1.4219178082191781</v>
      </c>
      <c r="AF552" s="25">
        <v>4.50370810422005E-2</v>
      </c>
      <c r="AG552" s="26">
        <v>0</v>
      </c>
      <c r="AH552" s="26">
        <v>0</v>
      </c>
      <c r="AI552" s="27">
        <v>0.28505490549295015</v>
      </c>
      <c r="AJ552" s="27">
        <v>0.28505490549295015</v>
      </c>
      <c r="AK552" s="27">
        <v>0.28505490549295015</v>
      </c>
      <c r="AL552" s="28" t="s">
        <v>694</v>
      </c>
      <c r="AM552" s="29" t="s">
        <v>48</v>
      </c>
      <c r="AN552" s="29" t="s">
        <v>48</v>
      </c>
      <c r="AO552" s="29" t="s">
        <v>48</v>
      </c>
      <c r="AP552" s="47" t="s">
        <v>255</v>
      </c>
      <c r="AQ552" s="28">
        <v>0</v>
      </c>
      <c r="AR552" s="26">
        <v>1.4999999999999999E-2</v>
      </c>
      <c r="AS552" s="26">
        <v>0</v>
      </c>
    </row>
    <row r="553" spans="1:45" x14ac:dyDescent="0.15">
      <c r="A553" s="64">
        <v>292</v>
      </c>
      <c r="B553" s="64">
        <v>79</v>
      </c>
      <c r="C553" s="11">
        <v>1102</v>
      </c>
      <c r="D553" s="61">
        <v>94</v>
      </c>
      <c r="E553" s="61">
        <v>1.9382024863543799E-3</v>
      </c>
      <c r="F553" s="61">
        <v>97</v>
      </c>
      <c r="G553" s="61">
        <v>0.21351483999763601</v>
      </c>
      <c r="H553" s="66">
        <v>67</v>
      </c>
      <c r="I553" s="66" t="str">
        <f>H553&amp;"/"&amp;451</f>
        <v>67/451</v>
      </c>
      <c r="J553" s="68">
        <f>H553/451</f>
        <v>0.14855875831485588</v>
      </c>
      <c r="K553" s="18" t="s">
        <v>44</v>
      </c>
      <c r="L553" s="18" t="s">
        <v>45</v>
      </c>
      <c r="M553" s="58" t="s">
        <v>65</v>
      </c>
      <c r="N553" s="18">
        <f>[1]!f_prt_stocktonav(C553,"2017/03/31")</f>
        <v>93.932296752929688</v>
      </c>
      <c r="O553" s="20" t="str">
        <f>[1]!f_info_fundmanager(C553)</f>
        <v>曲扬</v>
      </c>
      <c r="P553" s="21">
        <v>1.8986301369863015</v>
      </c>
      <c r="Q553" s="34" t="s">
        <v>1331</v>
      </c>
      <c r="R553" s="34" t="s">
        <v>1332</v>
      </c>
      <c r="S553" s="34" t="s">
        <v>78</v>
      </c>
      <c r="T553" s="34">
        <v>20150508</v>
      </c>
      <c r="U553" s="45">
        <v>9.7042682390999992</v>
      </c>
      <c r="V553" s="46">
        <v>11.3434536146</v>
      </c>
      <c r="W553" s="34" t="s">
        <v>3789</v>
      </c>
      <c r="X553" s="34" t="s">
        <v>44</v>
      </c>
      <c r="Y553" s="17" t="s">
        <v>45</v>
      </c>
      <c r="Z553" s="17" t="s">
        <v>817</v>
      </c>
      <c r="AA553" s="34"/>
      <c r="AB553" s="34"/>
      <c r="AC553" s="22">
        <v>0.94225494384765629</v>
      </c>
      <c r="AD553" s="23" t="s">
        <v>119</v>
      </c>
      <c r="AE553" s="24">
        <v>1.6684931506849314</v>
      </c>
      <c r="AF553" s="25">
        <v>4.7606369720882391E-2</v>
      </c>
      <c r="AG553" s="26">
        <v>0</v>
      </c>
      <c r="AH553" s="26">
        <v>0</v>
      </c>
      <c r="AI553" s="27">
        <v>0.33006751720866023</v>
      </c>
      <c r="AJ553" s="27">
        <v>0.33006751720866023</v>
      </c>
      <c r="AK553" s="27">
        <v>0.33006751720866023</v>
      </c>
      <c r="AL553" s="28" t="s">
        <v>196</v>
      </c>
      <c r="AM553" s="29" t="s">
        <v>48</v>
      </c>
      <c r="AN553" s="29" t="s">
        <v>48</v>
      </c>
      <c r="AO553" s="29" t="s">
        <v>48</v>
      </c>
      <c r="AP553" s="47" t="s">
        <v>227</v>
      </c>
      <c r="AQ553" s="28">
        <v>0</v>
      </c>
      <c r="AR553" s="26">
        <v>1.4999999999999999E-2</v>
      </c>
      <c r="AS553" s="26">
        <v>0</v>
      </c>
    </row>
    <row r="554" spans="1:45" x14ac:dyDescent="0.15">
      <c r="A554" s="64">
        <v>943</v>
      </c>
      <c r="B554" s="64">
        <v>524</v>
      </c>
      <c r="C554" s="11">
        <v>213001</v>
      </c>
      <c r="D554" s="61">
        <v>95</v>
      </c>
      <c r="E554" s="61">
        <v>1.9026897310253799E-3</v>
      </c>
      <c r="F554" s="61">
        <v>13</v>
      </c>
      <c r="G554" s="61">
        <v>0.62074342050523801</v>
      </c>
      <c r="H554" s="66">
        <v>68</v>
      </c>
      <c r="I554" s="66" t="str">
        <f>H554&amp;"/"&amp;451</f>
        <v>68/451</v>
      </c>
      <c r="J554" s="68">
        <f>H554/451</f>
        <v>0.15077605321507762</v>
      </c>
      <c r="K554" s="18" t="s">
        <v>44</v>
      </c>
      <c r="L554" s="18" t="s">
        <v>45</v>
      </c>
      <c r="M554" s="58" t="s">
        <v>65</v>
      </c>
      <c r="N554" s="18">
        <f>[1]!f_prt_stocktonav(C554,"2017/03/31")</f>
        <v>84.667320251464844</v>
      </c>
      <c r="O554" s="20" t="str">
        <f>[1]!f_info_fundmanager(C554)</f>
        <v>李进</v>
      </c>
      <c r="P554" s="21">
        <v>0.23561643835616439</v>
      </c>
      <c r="Q554" s="34" t="s">
        <v>3664</v>
      </c>
      <c r="R554" s="34" t="s">
        <v>3665</v>
      </c>
      <c r="S554" s="34" t="s">
        <v>402</v>
      </c>
      <c r="T554" s="34">
        <v>20021008</v>
      </c>
      <c r="U554" s="45">
        <v>3.5546965044999999</v>
      </c>
      <c r="V554" s="46">
        <v>6.2228387395000002</v>
      </c>
      <c r="W554" s="34" t="s">
        <v>40</v>
      </c>
      <c r="X554" s="34" t="s">
        <v>44</v>
      </c>
      <c r="Y554" s="34" t="s">
        <v>45</v>
      </c>
      <c r="Z554" s="34" t="s">
        <v>65</v>
      </c>
      <c r="AA554" s="34"/>
      <c r="AB554" s="34"/>
      <c r="AC554" s="22">
        <v>0.93025588989257813</v>
      </c>
      <c r="AD554" s="23" t="s">
        <v>3666</v>
      </c>
      <c r="AE554" s="24">
        <v>5.4794520547945206E-3</v>
      </c>
      <c r="AF554" s="25">
        <v>0.10055681708718689</v>
      </c>
      <c r="AG554" s="26">
        <v>0.16632634816726899</v>
      </c>
      <c r="AH554" s="26">
        <v>0.13324693057800308</v>
      </c>
      <c r="AI554" s="27">
        <v>0.46945634735802555</v>
      </c>
      <c r="AJ554" s="27">
        <v>0.59274988174014487</v>
      </c>
      <c r="AK554" s="27">
        <v>0.55137140006339747</v>
      </c>
      <c r="AL554" s="28" t="s">
        <v>1607</v>
      </c>
      <c r="AM554" s="29">
        <v>3</v>
      </c>
      <c r="AN554" s="29">
        <v>3</v>
      </c>
      <c r="AO554" s="29" t="s">
        <v>48</v>
      </c>
      <c r="AP554" s="47" t="s">
        <v>2920</v>
      </c>
      <c r="AQ554" s="28">
        <v>0</v>
      </c>
      <c r="AR554" s="26">
        <v>1.4999999999999999E-2</v>
      </c>
      <c r="AS554" s="26">
        <v>0</v>
      </c>
    </row>
    <row r="555" spans="1:45" x14ac:dyDescent="0.15">
      <c r="A555" s="64">
        <v>636</v>
      </c>
      <c r="B555" s="64">
        <v>456</v>
      </c>
      <c r="C555" s="11">
        <v>110023</v>
      </c>
      <c r="D555" s="61">
        <v>98</v>
      </c>
      <c r="E555" s="61">
        <v>1.8845028662321001E-3</v>
      </c>
      <c r="F555" s="61">
        <v>32</v>
      </c>
      <c r="G555" s="61">
        <v>0.34943228466565801</v>
      </c>
      <c r="H555" s="66">
        <v>69</v>
      </c>
      <c r="I555" s="66" t="str">
        <f>H555&amp;"/"&amp;451</f>
        <v>69/451</v>
      </c>
      <c r="J555" s="68">
        <f>H555/451</f>
        <v>0.15299334811529933</v>
      </c>
      <c r="K555" s="18" t="s">
        <v>44</v>
      </c>
      <c r="L555" s="18" t="s">
        <v>45</v>
      </c>
      <c r="M555" s="58" t="s">
        <v>65</v>
      </c>
      <c r="N555" s="18">
        <f>[1]!f_prt_stocktonav(C555,"2017/03/31")</f>
        <v>86.167411804199219</v>
      </c>
      <c r="O555" s="20" t="str">
        <f>[1]!f_info_fundmanager(C555)</f>
        <v>杨桢霄</v>
      </c>
      <c r="P555" s="21">
        <v>0.61095890410958908</v>
      </c>
      <c r="Q555" s="34" t="s">
        <v>2571</v>
      </c>
      <c r="R555" s="34" t="s">
        <v>2572</v>
      </c>
      <c r="S555" s="34" t="s">
        <v>218</v>
      </c>
      <c r="T555" s="34">
        <v>20110128</v>
      </c>
      <c r="U555" s="45">
        <v>13.402526377299999</v>
      </c>
      <c r="V555" s="46">
        <v>14.7852457729</v>
      </c>
      <c r="W555" s="34" t="s">
        <v>3789</v>
      </c>
      <c r="X555" s="34" t="s">
        <v>44</v>
      </c>
      <c r="Y555" s="34" t="s">
        <v>86</v>
      </c>
      <c r="Z555" s="34" t="s">
        <v>274</v>
      </c>
      <c r="AA555" s="34" t="s">
        <v>3830</v>
      </c>
      <c r="AB555" s="34"/>
      <c r="AC555" s="22">
        <v>0.89964668273925785</v>
      </c>
      <c r="AD555" s="23" t="s">
        <v>2573</v>
      </c>
      <c r="AE555" s="24">
        <v>1.8958904109589041</v>
      </c>
      <c r="AF555" s="25">
        <v>4.1808967117045626E-2</v>
      </c>
      <c r="AG555" s="26">
        <v>-3.1177131417059467E-3</v>
      </c>
      <c r="AH555" s="26">
        <v>8.1184666402386974E-2</v>
      </c>
      <c r="AI555" s="27">
        <v>0.23348110581448361</v>
      </c>
      <c r="AJ555" s="27">
        <v>7.2727971454151677E-2</v>
      </c>
      <c r="AK555" s="27">
        <v>0.36955838814903202</v>
      </c>
      <c r="AL555" s="33" t="s">
        <v>2574</v>
      </c>
      <c r="AM555" s="29">
        <v>1</v>
      </c>
      <c r="AN555" s="29">
        <v>3</v>
      </c>
      <c r="AO555" s="29" t="s">
        <v>48</v>
      </c>
      <c r="AP555" s="47" t="s">
        <v>2457</v>
      </c>
      <c r="AQ555" s="28">
        <v>0</v>
      </c>
      <c r="AR555" s="26">
        <v>1.4999999999999999E-2</v>
      </c>
      <c r="AS555" s="26">
        <v>0</v>
      </c>
    </row>
    <row r="556" spans="1:45" x14ac:dyDescent="0.15">
      <c r="A556" s="64">
        <v>49</v>
      </c>
      <c r="B556" s="64">
        <v>144</v>
      </c>
      <c r="C556" s="11">
        <v>1703</v>
      </c>
      <c r="D556" s="61">
        <v>99</v>
      </c>
      <c r="E556" s="61">
        <v>1.8759849499590301E-3</v>
      </c>
      <c r="F556" s="61">
        <v>32</v>
      </c>
      <c r="G556" s="61">
        <v>0.290104825016263</v>
      </c>
      <c r="H556" s="66">
        <v>70</v>
      </c>
      <c r="I556" s="66" t="str">
        <f>H556&amp;"/"&amp;451</f>
        <v>70/451</v>
      </c>
      <c r="J556" s="68">
        <f>H556/451</f>
        <v>0.15521064301552107</v>
      </c>
      <c r="K556" s="18" t="s">
        <v>44</v>
      </c>
      <c r="L556" s="18" t="s">
        <v>45</v>
      </c>
      <c r="M556" s="58" t="s">
        <v>65</v>
      </c>
      <c r="N556" s="18">
        <f>[1]!f_prt_stocktonav(C556,"2017/03/31")</f>
        <v>92.862701416015625</v>
      </c>
      <c r="O556" s="20" t="str">
        <f>[1]!f_info_fundmanager(C556)</f>
        <v>周可彦</v>
      </c>
      <c r="P556" s="21">
        <v>0.63835616438356169</v>
      </c>
      <c r="Q556" s="34" t="s">
        <v>301</v>
      </c>
      <c r="R556" s="34" t="s">
        <v>302</v>
      </c>
      <c r="S556" s="34" t="s">
        <v>57</v>
      </c>
      <c r="T556" s="34">
        <v>20160810</v>
      </c>
      <c r="U556" s="45">
        <v>1.2830738233000001</v>
      </c>
      <c r="V556" s="46">
        <v>2.3170327493</v>
      </c>
      <c r="W556" s="34" t="s">
        <v>1235</v>
      </c>
      <c r="X556" s="34" t="s">
        <v>41</v>
      </c>
      <c r="Y556" s="34" t="s">
        <v>42</v>
      </c>
      <c r="Z556" s="34" t="s">
        <v>43</v>
      </c>
      <c r="AA556" s="34"/>
      <c r="AB556" s="34"/>
      <c r="AC556" s="22">
        <v>0.3455036163330078</v>
      </c>
      <c r="AD556" s="23" t="s">
        <v>303</v>
      </c>
      <c r="AE556" s="24">
        <v>0.40821917808219177</v>
      </c>
      <c r="AF556" s="25">
        <v>2.5542073232879936E-2</v>
      </c>
      <c r="AG556" s="26">
        <v>0</v>
      </c>
      <c r="AH556" s="26">
        <v>0</v>
      </c>
      <c r="AI556" s="27">
        <v>0.22833446342122882</v>
      </c>
      <c r="AJ556" s="27">
        <v>0.22833446342122882</v>
      </c>
      <c r="AK556" s="27">
        <v>0.22833446342122882</v>
      </c>
      <c r="AL556" s="28" t="s">
        <v>176</v>
      </c>
      <c r="AM556" s="29" t="s">
        <v>48</v>
      </c>
      <c r="AN556" s="29" t="s">
        <v>48</v>
      </c>
      <c r="AO556" s="29" t="s">
        <v>48</v>
      </c>
      <c r="AP556" s="47" t="s">
        <v>304</v>
      </c>
      <c r="AQ556" s="28">
        <v>0</v>
      </c>
      <c r="AR556" s="26">
        <v>1.4999999999999999E-2</v>
      </c>
      <c r="AS556" s="26">
        <v>0</v>
      </c>
    </row>
    <row r="557" spans="1:45" x14ac:dyDescent="0.15">
      <c r="A557" s="64">
        <v>17</v>
      </c>
      <c r="B557" s="64">
        <v>270</v>
      </c>
      <c r="C557" s="11">
        <v>519772</v>
      </c>
      <c r="D557" s="61">
        <v>100</v>
      </c>
      <c r="E557" s="61">
        <v>1.87532102962441E-3</v>
      </c>
      <c r="F557" s="61">
        <v>20</v>
      </c>
      <c r="G557" s="61">
        <v>0.35440887122238102</v>
      </c>
      <c r="H557" s="66">
        <v>71</v>
      </c>
      <c r="I557" s="66" t="str">
        <f>H557&amp;"/"&amp;451</f>
        <v>71/451</v>
      </c>
      <c r="J557" s="68">
        <f>H557/451</f>
        <v>0.1574279379157428</v>
      </c>
      <c r="K557" s="18" t="s">
        <v>44</v>
      </c>
      <c r="L557" s="19" t="s">
        <v>45</v>
      </c>
      <c r="M557" s="59" t="s">
        <v>65</v>
      </c>
      <c r="N557" s="18">
        <f>[1]!f_prt_stocktonav(C557,"2017/03/31")</f>
        <v>90.062606811523438</v>
      </c>
      <c r="O557" s="20" t="str">
        <f>[1]!f_info_fundmanager(C557)</f>
        <v>杨浩</v>
      </c>
      <c r="P557" s="21">
        <v>0.38356164383561642</v>
      </c>
      <c r="Q557" s="32" t="s">
        <v>136</v>
      </c>
      <c r="R557" s="13" t="s">
        <v>137</v>
      </c>
      <c r="S557" s="13" t="s">
        <v>138</v>
      </c>
      <c r="T557" s="13">
        <v>20161111</v>
      </c>
      <c r="U557" s="14">
        <v>5.4005448700000001</v>
      </c>
      <c r="V557" s="15" t="s">
        <v>58</v>
      </c>
      <c r="W557" s="16" t="s">
        <v>40</v>
      </c>
      <c r="X557" s="17" t="s">
        <v>41</v>
      </c>
      <c r="Y557" s="17" t="s">
        <v>42</v>
      </c>
      <c r="Z557" s="17" t="s">
        <v>43</v>
      </c>
      <c r="AA557" s="13"/>
      <c r="AB557" s="13"/>
      <c r="AC557" s="22">
        <v>0</v>
      </c>
      <c r="AD557" s="23" t="s">
        <v>139</v>
      </c>
      <c r="AE557" s="24">
        <v>0.15342465753424658</v>
      </c>
      <c r="AF557" s="25">
        <v>-0.15340289399262896</v>
      </c>
      <c r="AG557" s="26">
        <v>0</v>
      </c>
      <c r="AH557" s="26">
        <v>0</v>
      </c>
      <c r="AI557" s="27">
        <v>-3.6253009823470967</v>
      </c>
      <c r="AJ557" s="27">
        <v>-3.6253009823470967</v>
      </c>
      <c r="AK557" s="27">
        <v>-3.6253009823470967</v>
      </c>
      <c r="AL557" s="28" t="s">
        <v>140</v>
      </c>
      <c r="AM557" s="29" t="s">
        <v>48</v>
      </c>
      <c r="AN557" s="29" t="s">
        <v>48</v>
      </c>
      <c r="AO557" s="29" t="s">
        <v>48</v>
      </c>
      <c r="AP557" s="23" t="s">
        <v>101</v>
      </c>
      <c r="AQ557" s="30">
        <v>0</v>
      </c>
      <c r="AR557" s="31">
        <v>1.4999999999999999E-2</v>
      </c>
      <c r="AS557" s="31">
        <v>0</v>
      </c>
    </row>
    <row r="558" spans="1:45" x14ac:dyDescent="0.15">
      <c r="A558" s="64">
        <v>20</v>
      </c>
      <c r="B558" s="64">
        <v>751</v>
      </c>
      <c r="C558" s="11">
        <v>519779</v>
      </c>
      <c r="D558" s="61">
        <v>101</v>
      </c>
      <c r="E558" s="61">
        <v>1.86668295633768E-3</v>
      </c>
      <c r="F558" s="61">
        <v>20</v>
      </c>
      <c r="G558" s="61">
        <v>0.16477758641845799</v>
      </c>
      <c r="H558" s="66">
        <v>72</v>
      </c>
      <c r="I558" s="66" t="str">
        <f>H558&amp;"/"&amp;451</f>
        <v>72/451</v>
      </c>
      <c r="J558" s="68">
        <f>H558/451</f>
        <v>0.15964523281596452</v>
      </c>
      <c r="K558" s="18" t="s">
        <v>44</v>
      </c>
      <c r="L558" s="19" t="s">
        <v>45</v>
      </c>
      <c r="M558" s="59" t="s">
        <v>65</v>
      </c>
      <c r="N558" s="18">
        <f>[1]!f_prt_stocktonav(C558,"2017/03/31")</f>
        <v>78.232894897460938</v>
      </c>
      <c r="O558" s="20" t="str">
        <f>[1]!f_info_fundmanager(C558)</f>
        <v>陈俊华</v>
      </c>
      <c r="P558" s="21">
        <v>0.39452054794520547</v>
      </c>
      <c r="Q558" s="32" t="s">
        <v>153</v>
      </c>
      <c r="R558" s="13" t="s">
        <v>154</v>
      </c>
      <c r="S558" s="13" t="s">
        <v>138</v>
      </c>
      <c r="T558" s="13">
        <v>20161107</v>
      </c>
      <c r="U558" s="14">
        <v>2.8155952863000002</v>
      </c>
      <c r="V558" s="15" t="s">
        <v>58</v>
      </c>
      <c r="W558" s="16" t="s">
        <v>40</v>
      </c>
      <c r="X558" s="17" t="s">
        <v>41</v>
      </c>
      <c r="Y558" s="17" t="s">
        <v>42</v>
      </c>
      <c r="Z558" s="17" t="s">
        <v>43</v>
      </c>
      <c r="AA558" s="13"/>
      <c r="AB558" s="13"/>
      <c r="AC558" s="22">
        <v>0</v>
      </c>
      <c r="AD558" s="23" t="s">
        <v>155</v>
      </c>
      <c r="AE558" s="24">
        <v>0.16438356164383561</v>
      </c>
      <c r="AF558" s="25">
        <v>-5.8233271212023263E-2</v>
      </c>
      <c r="AG558" s="26">
        <v>0</v>
      </c>
      <c r="AH558" s="26">
        <v>0</v>
      </c>
      <c r="AI558" s="27">
        <v>-4.0739028584223567</v>
      </c>
      <c r="AJ558" s="27">
        <v>-4.0739028584223567</v>
      </c>
      <c r="AK558" s="27">
        <v>-4.0739028584223567</v>
      </c>
      <c r="AL558" s="28" t="s">
        <v>156</v>
      </c>
      <c r="AM558" s="29" t="s">
        <v>48</v>
      </c>
      <c r="AN558" s="29" t="s">
        <v>48</v>
      </c>
      <c r="AO558" s="29" t="s">
        <v>48</v>
      </c>
      <c r="AP558" s="23">
        <v>0</v>
      </c>
      <c r="AQ558" s="30">
        <v>0</v>
      </c>
      <c r="AR558" s="31">
        <v>1.4999999999999999E-2</v>
      </c>
      <c r="AS558" s="31">
        <v>0</v>
      </c>
    </row>
    <row r="559" spans="1:45" x14ac:dyDescent="0.15">
      <c r="A559" s="64">
        <v>288</v>
      </c>
      <c r="B559" s="64">
        <v>176</v>
      </c>
      <c r="C559" s="11">
        <v>1071</v>
      </c>
      <c r="D559" s="61">
        <v>102</v>
      </c>
      <c r="E559" s="61">
        <v>1.85372956709433E-3</v>
      </c>
      <c r="F559" s="61">
        <v>70</v>
      </c>
      <c r="G559" s="61">
        <v>0.40239061910547302</v>
      </c>
      <c r="H559" s="66">
        <v>73</v>
      </c>
      <c r="I559" s="66" t="str">
        <f>H559&amp;"/"&amp;451</f>
        <v>73/451</v>
      </c>
      <c r="J559" s="68">
        <f>H559/451</f>
        <v>0.16186252771618626</v>
      </c>
      <c r="K559" s="18" t="s">
        <v>44</v>
      </c>
      <c r="L559" s="18" t="s">
        <v>45</v>
      </c>
      <c r="M559" s="58" t="s">
        <v>65</v>
      </c>
      <c r="N559" s="18">
        <f>[1]!f_prt_stocktonav(C559,"2017/03/31")</f>
        <v>92.189567565917969</v>
      </c>
      <c r="O559" s="20" t="str">
        <f>[1]!f_info_fundmanager(C559)</f>
        <v>胡宜斌</v>
      </c>
      <c r="P559" s="21">
        <v>1.3452054794520547</v>
      </c>
      <c r="Q559" s="34" t="s">
        <v>1316</v>
      </c>
      <c r="R559" s="34" t="s">
        <v>1317</v>
      </c>
      <c r="S559" s="34" t="s">
        <v>63</v>
      </c>
      <c r="T559" s="34">
        <v>20150515</v>
      </c>
      <c r="U559" s="45">
        <v>16.562335085800001</v>
      </c>
      <c r="V559" s="46">
        <v>19.9613194079</v>
      </c>
      <c r="W559" s="34" t="s">
        <v>3789</v>
      </c>
      <c r="X559" s="34" t="s">
        <v>44</v>
      </c>
      <c r="Y559" s="34" t="s">
        <v>45</v>
      </c>
      <c r="Z559" s="34" t="s">
        <v>65</v>
      </c>
      <c r="AA559" s="34"/>
      <c r="AB559" s="34"/>
      <c r="AC559" s="22">
        <v>0.91270278930664062</v>
      </c>
      <c r="AD559" s="23" t="s">
        <v>1318</v>
      </c>
      <c r="AE559" s="24">
        <v>1.1150684931506849</v>
      </c>
      <c r="AF559" s="25">
        <v>1.9444610021079001E-2</v>
      </c>
      <c r="AG559" s="26">
        <v>0</v>
      </c>
      <c r="AH559" s="26">
        <v>0</v>
      </c>
      <c r="AI559" s="27">
        <v>0.22669453910035256</v>
      </c>
      <c r="AJ559" s="27">
        <v>0.22669453910035256</v>
      </c>
      <c r="AK559" s="27">
        <v>0.22669453910035256</v>
      </c>
      <c r="AL559" s="28" t="s">
        <v>602</v>
      </c>
      <c r="AM559" s="29" t="s">
        <v>48</v>
      </c>
      <c r="AN559" s="29" t="s">
        <v>48</v>
      </c>
      <c r="AO559" s="29" t="s">
        <v>48</v>
      </c>
      <c r="AP559" s="47" t="s">
        <v>1319</v>
      </c>
      <c r="AQ559" s="28">
        <v>0</v>
      </c>
      <c r="AR559" s="26">
        <v>1.4999999999999999E-2</v>
      </c>
      <c r="AS559" s="26">
        <v>0</v>
      </c>
    </row>
    <row r="560" spans="1:45" x14ac:dyDescent="0.15">
      <c r="A560" s="64">
        <v>398</v>
      </c>
      <c r="B560" s="64">
        <v>926</v>
      </c>
      <c r="C560" s="11">
        <v>824</v>
      </c>
      <c r="D560" s="61">
        <v>103</v>
      </c>
      <c r="E560" s="61">
        <v>1.8486572453167401E-3</v>
      </c>
      <c r="F560" s="61">
        <v>121</v>
      </c>
      <c r="G560" s="61">
        <v>0.162287318127981</v>
      </c>
      <c r="H560" s="66">
        <v>74</v>
      </c>
      <c r="I560" s="66" t="str">
        <f>H560&amp;"/"&amp;451</f>
        <v>74/451</v>
      </c>
      <c r="J560" s="68">
        <f>H560/451</f>
        <v>0.16407982261640799</v>
      </c>
      <c r="K560" s="18" t="s">
        <v>44</v>
      </c>
      <c r="L560" s="18" t="s">
        <v>45</v>
      </c>
      <c r="M560" s="58" t="s">
        <v>65</v>
      </c>
      <c r="N560" s="18">
        <f>[1]!f_prt_stocktonav(C560,"2017/03/31")</f>
        <v>71.27020263671875</v>
      </c>
      <c r="O560" s="20" t="str">
        <f>[1]!f_info_fundmanager(C560)</f>
        <v>洪流,范妍</v>
      </c>
      <c r="P560" s="21">
        <v>2.3643835616438356</v>
      </c>
      <c r="Q560" s="34" t="s">
        <v>1719</v>
      </c>
      <c r="R560" s="34" t="s">
        <v>1720</v>
      </c>
      <c r="S560" s="34" t="s">
        <v>885</v>
      </c>
      <c r="T560" s="34">
        <v>20141119</v>
      </c>
      <c r="U560" s="45">
        <v>14.867416480499999</v>
      </c>
      <c r="V560" s="46">
        <v>15.0611369681</v>
      </c>
      <c r="W560" s="34" t="s">
        <v>3789</v>
      </c>
      <c r="X560" s="34" t="s">
        <v>44</v>
      </c>
      <c r="Y560" s="34" t="s">
        <v>45</v>
      </c>
      <c r="Z560" s="34" t="s">
        <v>65</v>
      </c>
      <c r="AA560" s="34"/>
      <c r="AB560" s="34"/>
      <c r="AC560" s="22">
        <v>0.75313240051269537</v>
      </c>
      <c r="AD560" s="23" t="s">
        <v>1721</v>
      </c>
      <c r="AE560" s="24">
        <v>2.1342465753424658</v>
      </c>
      <c r="AF560" s="25">
        <v>0.39748987100419564</v>
      </c>
      <c r="AG560" s="26">
        <v>0</v>
      </c>
      <c r="AH560" s="26">
        <v>0</v>
      </c>
      <c r="AI560" s="27">
        <v>1.2946241530718317</v>
      </c>
      <c r="AJ560" s="27">
        <v>1.2946241530718317</v>
      </c>
      <c r="AK560" s="27">
        <v>1.2946241530718317</v>
      </c>
      <c r="AL560" s="28" t="s">
        <v>1722</v>
      </c>
      <c r="AM560" s="29" t="s">
        <v>48</v>
      </c>
      <c r="AN560" s="29" t="s">
        <v>48</v>
      </c>
      <c r="AO560" s="29" t="s">
        <v>48</v>
      </c>
      <c r="AP560" s="47" t="s">
        <v>310</v>
      </c>
      <c r="AQ560" s="28">
        <v>0</v>
      </c>
      <c r="AR560" s="26">
        <v>1.4999999999999999E-2</v>
      </c>
      <c r="AS560" s="26">
        <v>0</v>
      </c>
    </row>
    <row r="561" spans="1:45" x14ac:dyDescent="0.15">
      <c r="A561" s="64">
        <v>5</v>
      </c>
      <c r="B561" s="64">
        <v>647</v>
      </c>
      <c r="C561" s="11">
        <v>3717</v>
      </c>
      <c r="D561" s="61">
        <v>104</v>
      </c>
      <c r="E561" s="61">
        <v>1.8479180731388099E-3</v>
      </c>
      <c r="F561" s="61">
        <v>15</v>
      </c>
      <c r="G561" s="61">
        <v>0.53838351241770799</v>
      </c>
      <c r="H561" s="66">
        <v>75</v>
      </c>
      <c r="I561" s="66" t="str">
        <f>H561&amp;"/"&amp;451</f>
        <v>75/451</v>
      </c>
      <c r="J561" s="68">
        <f>H561/451</f>
        <v>0.16629711751662971</v>
      </c>
      <c r="K561" s="18" t="s">
        <v>44</v>
      </c>
      <c r="L561" s="19" t="s">
        <v>64</v>
      </c>
      <c r="M561" s="59" t="s">
        <v>65</v>
      </c>
      <c r="N561" s="18">
        <f>[1]!f_prt_stocktonav(C561,"2017/03/31")</f>
        <v>81.543319702148438</v>
      </c>
      <c r="O561" s="20" t="str">
        <f>[1]!f_info_fundmanager(C561)</f>
        <v>赵志华</v>
      </c>
      <c r="P561" s="21">
        <v>0.29589041095890412</v>
      </c>
      <c r="Q561" s="32" t="s">
        <v>69</v>
      </c>
      <c r="R561" s="13" t="s">
        <v>70</v>
      </c>
      <c r="S561" s="13" t="s">
        <v>71</v>
      </c>
      <c r="T561" s="13">
        <v>20161213</v>
      </c>
      <c r="U561" s="14">
        <v>9.2105014099999991</v>
      </c>
      <c r="V561" s="15" t="s">
        <v>3772</v>
      </c>
      <c r="W561" s="16" t="s">
        <v>40</v>
      </c>
      <c r="X561" s="17" t="s">
        <v>44</v>
      </c>
      <c r="Y561" s="17" t="s">
        <v>64</v>
      </c>
      <c r="Z561" s="17" t="s">
        <v>65</v>
      </c>
      <c r="AA561" s="13"/>
      <c r="AB561" s="13"/>
      <c r="AC561" s="22">
        <v>0</v>
      </c>
      <c r="AD561" s="23" t="s">
        <v>73</v>
      </c>
      <c r="AE561" s="24">
        <v>6.575342465753424E-2</v>
      </c>
      <c r="AF561" s="25">
        <v>2.7240343173987824E-2</v>
      </c>
      <c r="AG561" s="26">
        <v>0</v>
      </c>
      <c r="AH561" s="26">
        <v>0</v>
      </c>
      <c r="AI561" s="27">
        <v>26.945716349141062</v>
      </c>
      <c r="AJ561" s="27">
        <v>26.945716349141062</v>
      </c>
      <c r="AK561" s="27">
        <v>26.945716349141062</v>
      </c>
      <c r="AL561" s="28" t="s">
        <v>74</v>
      </c>
      <c r="AM561" s="29" t="s">
        <v>48</v>
      </c>
      <c r="AN561" s="29" t="s">
        <v>48</v>
      </c>
      <c r="AO561" s="29" t="s">
        <v>48</v>
      </c>
      <c r="AP561" s="23" t="s">
        <v>75</v>
      </c>
      <c r="AQ561" s="30">
        <v>0</v>
      </c>
      <c r="AR561" s="31">
        <v>1.4999999999999999E-2</v>
      </c>
      <c r="AS561" s="31">
        <v>0</v>
      </c>
    </row>
    <row r="562" spans="1:45" x14ac:dyDescent="0.15">
      <c r="A562" s="64">
        <v>92</v>
      </c>
      <c r="B562" s="64">
        <v>447</v>
      </c>
      <c r="C562" s="11">
        <v>2214</v>
      </c>
      <c r="D562" s="61">
        <v>106</v>
      </c>
      <c r="E562" s="61">
        <v>1.83003990680232E-3</v>
      </c>
      <c r="F562" s="61">
        <v>47</v>
      </c>
      <c r="G562" s="61">
        <v>0.39208036784216899</v>
      </c>
      <c r="H562" s="66">
        <v>76</v>
      </c>
      <c r="I562" s="66" t="str">
        <f>H562&amp;"/"&amp;451</f>
        <v>76/451</v>
      </c>
      <c r="J562" s="68">
        <f>H562/451</f>
        <v>0.16851441241685144</v>
      </c>
      <c r="K562" s="18" t="s">
        <v>44</v>
      </c>
      <c r="L562" s="18" t="s">
        <v>45</v>
      </c>
      <c r="M562" s="58" t="s">
        <v>65</v>
      </c>
      <c r="N562" s="18">
        <f>[1]!f_prt_stocktonav(C562,"2017/03/31")</f>
        <v>86.373497009277344</v>
      </c>
      <c r="O562" s="20" t="str">
        <f>[1]!f_info_fundmanager(C562)</f>
        <v>姚晨曦,林翠萍</v>
      </c>
      <c r="P562" s="21">
        <v>0.92328767123287669</v>
      </c>
      <c r="Q562" s="34" t="s">
        <v>503</v>
      </c>
      <c r="R562" s="34" t="s">
        <v>504</v>
      </c>
      <c r="S562" s="34" t="s">
        <v>505</v>
      </c>
      <c r="T562" s="34">
        <v>20160428</v>
      </c>
      <c r="U562" s="45">
        <v>1.8779885246000001</v>
      </c>
      <c r="V562" s="46">
        <v>0.52900413359999998</v>
      </c>
      <c r="W562" s="34" t="s">
        <v>3776</v>
      </c>
      <c r="X562" s="34" t="s">
        <v>44</v>
      </c>
      <c r="Y562" s="34" t="s">
        <v>45</v>
      </c>
      <c r="Z562" s="34" t="s">
        <v>65</v>
      </c>
      <c r="AA562" s="34"/>
      <c r="AB562" s="34"/>
      <c r="AC562" s="22">
        <v>0.82612464904785154</v>
      </c>
      <c r="AD562" s="23" t="s">
        <v>506</v>
      </c>
      <c r="AE562" s="24">
        <v>0.69315068493150689</v>
      </c>
      <c r="AF562" s="25">
        <v>0.14751263559296612</v>
      </c>
      <c r="AG562" s="26">
        <v>0</v>
      </c>
      <c r="AH562" s="26">
        <v>0</v>
      </c>
      <c r="AI562" s="27">
        <v>1.1310182250312468</v>
      </c>
      <c r="AJ562" s="27">
        <v>1.1310182250312468</v>
      </c>
      <c r="AK562" s="27">
        <v>1.1310182250312468</v>
      </c>
      <c r="AL562" s="28" t="s">
        <v>507</v>
      </c>
      <c r="AM562" s="29" t="s">
        <v>48</v>
      </c>
      <c r="AN562" s="29" t="s">
        <v>48</v>
      </c>
      <c r="AO562" s="29" t="s">
        <v>48</v>
      </c>
      <c r="AP562" s="47" t="s">
        <v>508</v>
      </c>
      <c r="AQ562" s="28">
        <v>0</v>
      </c>
      <c r="AR562" s="26">
        <v>1.4999999999999999E-2</v>
      </c>
      <c r="AS562" s="26">
        <v>0</v>
      </c>
    </row>
    <row r="563" spans="1:45" x14ac:dyDescent="0.15">
      <c r="A563" s="64">
        <v>285</v>
      </c>
      <c r="B563" s="64">
        <v>152</v>
      </c>
      <c r="C563" s="11">
        <v>1281</v>
      </c>
      <c r="D563" s="61">
        <v>107</v>
      </c>
      <c r="E563" s="61">
        <v>1.80014055556271E-3</v>
      </c>
      <c r="F563" s="61">
        <v>95</v>
      </c>
      <c r="G563" s="61">
        <v>1.09858833616101E-2</v>
      </c>
      <c r="H563" s="66">
        <v>77</v>
      </c>
      <c r="I563" s="66" t="str">
        <f>H563&amp;"/"&amp;451</f>
        <v>77/451</v>
      </c>
      <c r="J563" s="68">
        <f>H563/451</f>
        <v>0.17073170731707318</v>
      </c>
      <c r="K563" s="18" t="s">
        <v>44</v>
      </c>
      <c r="L563" s="18" t="s">
        <v>45</v>
      </c>
      <c r="M563" s="58" t="s">
        <v>65</v>
      </c>
      <c r="N563" s="18">
        <f>[1]!f_prt_stocktonav(C563,"2017/03/31")</f>
        <v>92.687416076660156</v>
      </c>
      <c r="O563" s="20" t="str">
        <f>[1]!f_info_fundmanager(C563)</f>
        <v>林忠晶,陈立秋</v>
      </c>
      <c r="P563" s="21">
        <v>1.8712328767123287</v>
      </c>
      <c r="Q563" s="34" t="s">
        <v>1304</v>
      </c>
      <c r="R563" s="34" t="s">
        <v>1305</v>
      </c>
      <c r="S563" s="34" t="s">
        <v>1306</v>
      </c>
      <c r="T563" s="34">
        <v>20150518</v>
      </c>
      <c r="U563" s="45">
        <v>0.65322990950000004</v>
      </c>
      <c r="V563" s="46">
        <v>0.57897841039999998</v>
      </c>
      <c r="W563" s="34" t="s">
        <v>201</v>
      </c>
      <c r="X563" s="34" t="s">
        <v>41</v>
      </c>
      <c r="Y563" s="34" t="s">
        <v>42</v>
      </c>
      <c r="Z563" s="17" t="s">
        <v>43</v>
      </c>
      <c r="AA563" s="34"/>
      <c r="AB563" s="34"/>
      <c r="AC563" s="22">
        <v>9.8390903472900387E-2</v>
      </c>
      <c r="AD563" s="23" t="s">
        <v>1307</v>
      </c>
      <c r="AE563" s="24">
        <v>1.6410958904109589</v>
      </c>
      <c r="AF563" s="25">
        <v>4.6039162943486867E-2</v>
      </c>
      <c r="AG563" s="26">
        <v>0</v>
      </c>
      <c r="AH563" s="26">
        <v>0</v>
      </c>
      <c r="AI563" s="27">
        <v>0.55483131513267092</v>
      </c>
      <c r="AJ563" s="27">
        <v>0.55483131513267092</v>
      </c>
      <c r="AK563" s="27">
        <v>0.55483131513267092</v>
      </c>
      <c r="AL563" s="28" t="s">
        <v>1308</v>
      </c>
      <c r="AM563" s="29" t="s">
        <v>48</v>
      </c>
      <c r="AN563" s="29" t="s">
        <v>48</v>
      </c>
      <c r="AO563" s="29" t="s">
        <v>48</v>
      </c>
      <c r="AP563" s="47" t="s">
        <v>209</v>
      </c>
      <c r="AQ563" s="28">
        <v>0</v>
      </c>
      <c r="AR563" s="26">
        <v>0.01</v>
      </c>
      <c r="AS563" s="26">
        <v>0</v>
      </c>
    </row>
    <row r="564" spans="1:45" x14ac:dyDescent="0.15">
      <c r="A564" s="64">
        <v>217</v>
      </c>
      <c r="B564" s="64">
        <v>584</v>
      </c>
      <c r="C564" s="11">
        <v>1518</v>
      </c>
      <c r="D564" s="61">
        <v>108</v>
      </c>
      <c r="E564" s="61">
        <v>1.79098158458469E-3</v>
      </c>
      <c r="F564" s="61">
        <v>69</v>
      </c>
      <c r="G564" s="61">
        <v>0.30996520228569302</v>
      </c>
      <c r="H564" s="66">
        <v>78</v>
      </c>
      <c r="I564" s="66" t="str">
        <f>H564&amp;"/"&amp;451</f>
        <v>78/451</v>
      </c>
      <c r="J564" s="68">
        <f>H564/451</f>
        <v>0.17294900221729489</v>
      </c>
      <c r="K564" s="18" t="s">
        <v>44</v>
      </c>
      <c r="L564" s="18" t="s">
        <v>45</v>
      </c>
      <c r="M564" s="58" t="s">
        <v>65</v>
      </c>
      <c r="N564" s="18">
        <f>[1]!f_prt_stocktonav(C564,"2017/03/31")</f>
        <v>83.152969360351562</v>
      </c>
      <c r="O564" s="20" t="str">
        <f>[1]!f_info_fundmanager(C564)</f>
        <v>莫海波,李文宾</v>
      </c>
      <c r="P564" s="21">
        <v>1.3205479452054794</v>
      </c>
      <c r="Q564" s="34" t="s">
        <v>1021</v>
      </c>
      <c r="R564" s="34" t="s">
        <v>1022</v>
      </c>
      <c r="S564" s="34" t="s">
        <v>718</v>
      </c>
      <c r="T564" s="34">
        <v>20150723</v>
      </c>
      <c r="U564" s="45">
        <v>7.5322555553999999</v>
      </c>
      <c r="V564" s="46">
        <v>6.1331575272999999</v>
      </c>
      <c r="W564" s="34" t="s">
        <v>1235</v>
      </c>
      <c r="X564" s="34" t="s">
        <v>44</v>
      </c>
      <c r="Y564" s="17" t="s">
        <v>45</v>
      </c>
      <c r="Z564" s="17" t="s">
        <v>354</v>
      </c>
      <c r="AA564" s="34"/>
      <c r="AB564" s="34"/>
      <c r="AC564" s="22">
        <v>0.9455696105957031</v>
      </c>
      <c r="AD564" s="23" t="s">
        <v>719</v>
      </c>
      <c r="AE564" s="24">
        <v>1.0904109589041096</v>
      </c>
      <c r="AF564" s="25">
        <v>0.50277810025465342</v>
      </c>
      <c r="AG564" s="26">
        <v>0</v>
      </c>
      <c r="AH564" s="26">
        <v>0</v>
      </c>
      <c r="AI564" s="27">
        <v>1.0858134139549456</v>
      </c>
      <c r="AJ564" s="27">
        <v>1.0858134139549456</v>
      </c>
      <c r="AK564" s="27">
        <v>1.0858134139549456</v>
      </c>
      <c r="AL564" s="28" t="s">
        <v>720</v>
      </c>
      <c r="AM564" s="29" t="s">
        <v>48</v>
      </c>
      <c r="AN564" s="29" t="s">
        <v>48</v>
      </c>
      <c r="AO564" s="29" t="s">
        <v>48</v>
      </c>
      <c r="AP564" s="47" t="s">
        <v>1023</v>
      </c>
      <c r="AQ564" s="28">
        <v>0</v>
      </c>
      <c r="AR564" s="26">
        <v>6.0000002384185793E-3</v>
      </c>
      <c r="AS564" s="26">
        <v>0</v>
      </c>
    </row>
    <row r="565" spans="1:45" x14ac:dyDescent="0.15">
      <c r="A565" s="64">
        <v>106</v>
      </c>
      <c r="B565" s="64">
        <v>566</v>
      </c>
      <c r="C565" s="11">
        <v>2251</v>
      </c>
      <c r="D565" s="61">
        <v>109</v>
      </c>
      <c r="E565" s="61">
        <v>1.7820818719179101E-3</v>
      </c>
      <c r="F565" s="61">
        <v>52</v>
      </c>
      <c r="G565" s="61">
        <v>0.28454474506997601</v>
      </c>
      <c r="H565" s="66">
        <v>79</v>
      </c>
      <c r="I565" s="66" t="str">
        <f>H565&amp;"/"&amp;451</f>
        <v>79/451</v>
      </c>
      <c r="J565" s="68">
        <f>H565/451</f>
        <v>0.17516629711751663</v>
      </c>
      <c r="K565" s="18" t="s">
        <v>44</v>
      </c>
      <c r="L565" s="18" t="s">
        <v>87</v>
      </c>
      <c r="M565" s="58" t="s">
        <v>65</v>
      </c>
      <c r="N565" s="18">
        <f>[1]!f_prt_stocktonav(C565,"2017/03/31")</f>
        <v>83.691963195800781</v>
      </c>
      <c r="O565" s="20" t="str">
        <f>[1]!f_info_fundmanager(C565)</f>
        <v>王晓李</v>
      </c>
      <c r="P565" s="21">
        <v>1.0246575342465754</v>
      </c>
      <c r="Q565" s="34" t="s">
        <v>563</v>
      </c>
      <c r="R565" s="34" t="s">
        <v>564</v>
      </c>
      <c r="S565" s="34" t="s">
        <v>143</v>
      </c>
      <c r="T565" s="34">
        <v>20160322</v>
      </c>
      <c r="U565" s="45">
        <v>1.4603456946</v>
      </c>
      <c r="V565" s="46">
        <v>1.6100290304</v>
      </c>
      <c r="W565" s="34" t="s">
        <v>3778</v>
      </c>
      <c r="X565" s="34" t="s">
        <v>44</v>
      </c>
      <c r="Y565" s="17" t="s">
        <v>45</v>
      </c>
      <c r="Z565" s="17" t="s">
        <v>65</v>
      </c>
      <c r="AA565" s="34"/>
      <c r="AB565" s="34"/>
      <c r="AC565" s="22">
        <v>0.8054491424560547</v>
      </c>
      <c r="AD565" s="23" t="s">
        <v>565</v>
      </c>
      <c r="AE565" s="24">
        <v>0.79452054794520544</v>
      </c>
      <c r="AF565" s="25">
        <v>7.3576208353785866E-2</v>
      </c>
      <c r="AG565" s="26">
        <v>0</v>
      </c>
      <c r="AH565" s="26">
        <v>0</v>
      </c>
      <c r="AI565" s="27">
        <v>0.54621220079152621</v>
      </c>
      <c r="AJ565" s="27">
        <v>0.54621220079152621</v>
      </c>
      <c r="AK565" s="27">
        <v>0.54621220079152621</v>
      </c>
      <c r="AL565" s="28" t="s">
        <v>566</v>
      </c>
      <c r="AM565" s="29" t="s">
        <v>48</v>
      </c>
      <c r="AN565" s="29" t="s">
        <v>48</v>
      </c>
      <c r="AO565" s="29" t="s">
        <v>48</v>
      </c>
      <c r="AP565" s="47" t="s">
        <v>310</v>
      </c>
      <c r="AQ565" s="28">
        <v>0</v>
      </c>
      <c r="AR565" s="26">
        <v>1.4999999999999999E-2</v>
      </c>
      <c r="AS565" s="26">
        <v>0</v>
      </c>
    </row>
    <row r="566" spans="1:45" x14ac:dyDescent="0.15">
      <c r="A566" s="64">
        <v>156</v>
      </c>
      <c r="B566" s="64">
        <v>666</v>
      </c>
      <c r="C566" s="11">
        <v>1795</v>
      </c>
      <c r="D566" s="61">
        <v>110</v>
      </c>
      <c r="E566" s="61">
        <v>1.7797119812565901E-3</v>
      </c>
      <c r="F566" s="61">
        <v>64</v>
      </c>
      <c r="G566" s="61">
        <v>0.44192675570693202</v>
      </c>
      <c r="H566" s="66">
        <v>80</v>
      </c>
      <c r="I566" s="66" t="str">
        <f>H566&amp;"/"&amp;451</f>
        <v>80/451</v>
      </c>
      <c r="J566" s="68">
        <f>H566/451</f>
        <v>0.17738359201773837</v>
      </c>
      <c r="K566" s="18" t="s">
        <v>44</v>
      </c>
      <c r="L566" s="19" t="s">
        <v>45</v>
      </c>
      <c r="M566" s="59" t="s">
        <v>65</v>
      </c>
      <c r="N566" s="18">
        <f>[1]!f_prt_stocktonav(C566,"2017/03/31")</f>
        <v>80.951011657714844</v>
      </c>
      <c r="O566" s="20" t="str">
        <f>[1]!f_info_fundmanager(C566)</f>
        <v>周战海</v>
      </c>
      <c r="P566" s="21">
        <v>1.2712328767123289</v>
      </c>
      <c r="Q566" s="12" t="s">
        <v>785</v>
      </c>
      <c r="R566" s="13" t="s">
        <v>786</v>
      </c>
      <c r="S566" s="13" t="s">
        <v>511</v>
      </c>
      <c r="T566" s="13">
        <v>20151223</v>
      </c>
      <c r="U566" s="14">
        <v>1.7294847096999999</v>
      </c>
      <c r="V566" s="15" t="s">
        <v>3782</v>
      </c>
      <c r="W566" s="16" t="s">
        <v>40</v>
      </c>
      <c r="X566" s="17" t="s">
        <v>44</v>
      </c>
      <c r="Y566" s="17" t="s">
        <v>45</v>
      </c>
      <c r="Z566" s="17" t="s">
        <v>65</v>
      </c>
      <c r="AA566" s="13"/>
      <c r="AB566" s="13"/>
      <c r="AC566" s="22">
        <v>0.71259658813476567</v>
      </c>
      <c r="AD566" s="23" t="s">
        <v>787</v>
      </c>
      <c r="AE566" s="24">
        <v>1.0410958904109588</v>
      </c>
      <c r="AF566" s="25">
        <v>-0.12774008307377527</v>
      </c>
      <c r="AG566" s="26">
        <v>0</v>
      </c>
      <c r="AH566" s="26">
        <v>0</v>
      </c>
      <c r="AI566" s="27">
        <v>-0.71062494536958898</v>
      </c>
      <c r="AJ566" s="27">
        <v>-0.71062494536958898</v>
      </c>
      <c r="AK566" s="27">
        <v>-0.71062494536958898</v>
      </c>
      <c r="AL566" s="28" t="s">
        <v>513</v>
      </c>
      <c r="AM566" s="29" t="s">
        <v>48</v>
      </c>
      <c r="AN566" s="29" t="s">
        <v>48</v>
      </c>
      <c r="AO566" s="29" t="s">
        <v>48</v>
      </c>
      <c r="AP566" s="23" t="s">
        <v>788</v>
      </c>
      <c r="AQ566" s="30">
        <v>0</v>
      </c>
      <c r="AR566" s="31">
        <v>1.4999999999999999E-2</v>
      </c>
      <c r="AS566" s="31">
        <v>0</v>
      </c>
    </row>
    <row r="567" spans="1:45" x14ac:dyDescent="0.15">
      <c r="A567" s="64">
        <v>154</v>
      </c>
      <c r="B567" s="64">
        <v>344</v>
      </c>
      <c r="C567" s="11">
        <v>1979</v>
      </c>
      <c r="D567" s="61">
        <v>111</v>
      </c>
      <c r="E567" s="61">
        <v>1.76969099154703E-3</v>
      </c>
      <c r="F567" s="61">
        <v>64</v>
      </c>
      <c r="G567" s="61">
        <v>0.10841886919207699</v>
      </c>
      <c r="H567" s="66">
        <v>81</v>
      </c>
      <c r="I567" s="66" t="str">
        <f>H567&amp;"/"&amp;451</f>
        <v>81/451</v>
      </c>
      <c r="J567" s="68">
        <f>H567/451</f>
        <v>0.17960088691796008</v>
      </c>
      <c r="K567" s="18" t="s">
        <v>44</v>
      </c>
      <c r="L567" s="18" t="s">
        <v>87</v>
      </c>
      <c r="M567" s="58" t="s">
        <v>65</v>
      </c>
      <c r="N567" s="18">
        <f>[1]!f_prt_stocktonav(C567,"2017/03/31")</f>
        <v>88.629600524902344</v>
      </c>
      <c r="O567" s="20" t="str">
        <f>[1]!f_info_fundmanager(C567)</f>
        <v>刘霄汉</v>
      </c>
      <c r="P567" s="21">
        <v>1.2712328767123289</v>
      </c>
      <c r="Q567" s="34" t="s">
        <v>777</v>
      </c>
      <c r="R567" s="34" t="s">
        <v>778</v>
      </c>
      <c r="S567" s="34" t="s">
        <v>284</v>
      </c>
      <c r="T567" s="34">
        <v>20151223</v>
      </c>
      <c r="U567" s="45">
        <v>4.8159990469</v>
      </c>
      <c r="V567" s="46">
        <v>4.5702751457000002</v>
      </c>
      <c r="W567" s="34" t="s">
        <v>1235</v>
      </c>
      <c r="X567" s="34" t="s">
        <v>44</v>
      </c>
      <c r="Y567" s="34" t="s">
        <v>87</v>
      </c>
      <c r="Z567" s="34" t="s">
        <v>65</v>
      </c>
      <c r="AA567" s="34" t="s">
        <v>3790</v>
      </c>
      <c r="AB567" s="34"/>
      <c r="AC567" s="22">
        <v>0.7126912689208984</v>
      </c>
      <c r="AD567" s="23" t="s">
        <v>780</v>
      </c>
      <c r="AE567" s="24">
        <v>1.0410958904109588</v>
      </c>
      <c r="AF567" s="25">
        <v>-8.7610544525408285E-3</v>
      </c>
      <c r="AG567" s="26">
        <v>0</v>
      </c>
      <c r="AH567" s="26">
        <v>0</v>
      </c>
      <c r="AI567" s="27">
        <v>-0.16902473541975538</v>
      </c>
      <c r="AJ567" s="27">
        <v>-0.16902473541975538</v>
      </c>
      <c r="AK567" s="27">
        <v>-0.16902473541975538</v>
      </c>
      <c r="AL567" s="33" t="s">
        <v>323</v>
      </c>
      <c r="AM567" s="29" t="s">
        <v>48</v>
      </c>
      <c r="AN567" s="29" t="s">
        <v>48</v>
      </c>
      <c r="AO567" s="29" t="s">
        <v>48</v>
      </c>
      <c r="AP567" s="47" t="s">
        <v>781</v>
      </c>
      <c r="AQ567" s="28">
        <v>0</v>
      </c>
      <c r="AR567" s="26">
        <v>1.4999999999999999E-2</v>
      </c>
      <c r="AS567" s="26">
        <v>0</v>
      </c>
    </row>
    <row r="568" spans="1:45" x14ac:dyDescent="0.15">
      <c r="A568" s="64">
        <v>147</v>
      </c>
      <c r="B568" s="64">
        <v>725</v>
      </c>
      <c r="C568" s="11">
        <v>2259</v>
      </c>
      <c r="D568" s="61">
        <v>113</v>
      </c>
      <c r="E568" s="61">
        <v>1.76185004888652E-3</v>
      </c>
      <c r="F568" s="61">
        <v>40</v>
      </c>
      <c r="G568" s="61">
        <v>0.27849801534503799</v>
      </c>
      <c r="H568" s="66">
        <v>82</v>
      </c>
      <c r="I568" s="66" t="str">
        <f>H568&amp;"/"&amp;451</f>
        <v>82/451</v>
      </c>
      <c r="J568" s="68">
        <f>H568/451</f>
        <v>0.18181818181818182</v>
      </c>
      <c r="K568" s="18" t="s">
        <v>44</v>
      </c>
      <c r="L568" s="18" t="s">
        <v>86</v>
      </c>
      <c r="M568" s="58" t="s">
        <v>65</v>
      </c>
      <c r="N568" s="18">
        <f>[1]!f_prt_stocktonav(C568,"2017/03/31")</f>
        <v>79.355354309082031</v>
      </c>
      <c r="O568" s="20" t="str">
        <f>[1]!f_info_fundmanager(C568)</f>
        <v>蒋鑫</v>
      </c>
      <c r="P568" s="21">
        <v>0.76712328767123283</v>
      </c>
      <c r="Q568" s="34" t="s">
        <v>750</v>
      </c>
      <c r="R568" s="34" t="s">
        <v>751</v>
      </c>
      <c r="S568" s="34" t="s">
        <v>705</v>
      </c>
      <c r="T568" s="34">
        <v>20160120</v>
      </c>
      <c r="U568" s="45">
        <v>1.0091170647000001</v>
      </c>
      <c r="V568" s="46">
        <v>1.2628574592999999</v>
      </c>
      <c r="W568" s="34" t="s">
        <v>3776</v>
      </c>
      <c r="X568" s="34" t="s">
        <v>44</v>
      </c>
      <c r="Y568" s="17" t="s">
        <v>45</v>
      </c>
      <c r="Z568" s="17" t="s">
        <v>65</v>
      </c>
      <c r="AA568" s="34"/>
      <c r="AB568" s="34"/>
      <c r="AC568" s="22">
        <v>0.80460662841796871</v>
      </c>
      <c r="AD568" s="23" t="s">
        <v>752</v>
      </c>
      <c r="AE568" s="24">
        <v>0.96438356164383565</v>
      </c>
      <c r="AF568" s="25">
        <v>2.9473651929778022E-2</v>
      </c>
      <c r="AG568" s="26">
        <v>0</v>
      </c>
      <c r="AH568" s="26">
        <v>0</v>
      </c>
      <c r="AI568" s="27">
        <v>0.23785830022405705</v>
      </c>
      <c r="AJ568" s="27">
        <v>0.23785830022405705</v>
      </c>
      <c r="AK568" s="27">
        <v>0.23785830022405705</v>
      </c>
      <c r="AL568" s="28" t="s">
        <v>753</v>
      </c>
      <c r="AM568" s="29" t="s">
        <v>48</v>
      </c>
      <c r="AN568" s="29" t="s">
        <v>48</v>
      </c>
      <c r="AO568" s="29" t="s">
        <v>48</v>
      </c>
      <c r="AP568" s="47" t="s">
        <v>708</v>
      </c>
      <c r="AQ568" s="28">
        <v>0</v>
      </c>
      <c r="AR568" s="26">
        <v>1.4999999999999999E-2</v>
      </c>
      <c r="AS568" s="26">
        <v>0</v>
      </c>
    </row>
    <row r="569" spans="1:45" x14ac:dyDescent="0.15">
      <c r="A569" s="64">
        <v>666</v>
      </c>
      <c r="B569" s="64">
        <v>614</v>
      </c>
      <c r="C569" s="11">
        <v>630006</v>
      </c>
      <c r="D569" s="61">
        <v>114</v>
      </c>
      <c r="E569" s="61">
        <v>1.75937261283726E-3</v>
      </c>
      <c r="F569" s="61">
        <v>34</v>
      </c>
      <c r="G569" s="61">
        <v>0.30210385855521998</v>
      </c>
      <c r="H569" s="66">
        <v>83</v>
      </c>
      <c r="I569" s="66" t="str">
        <f>H569&amp;"/"&amp;451</f>
        <v>83/451</v>
      </c>
      <c r="J569" s="68">
        <f>H569/451</f>
        <v>0.18403547671840353</v>
      </c>
      <c r="K569" s="18" t="s">
        <v>44</v>
      </c>
      <c r="L569" s="18" t="s">
        <v>45</v>
      </c>
      <c r="M569" s="58" t="s">
        <v>65</v>
      </c>
      <c r="N569" s="18">
        <f>[1]!f_prt_stocktonav(C569,"2017/03/31")</f>
        <v>82.49920654296875</v>
      </c>
      <c r="O569" s="20" t="str">
        <f>[1]!f_info_fundmanager(C569)</f>
        <v>彭欣杨</v>
      </c>
      <c r="P569" s="21">
        <v>0.65205479452054793</v>
      </c>
      <c r="Q569" s="34" t="s">
        <v>2675</v>
      </c>
      <c r="R569" s="34" t="s">
        <v>2676</v>
      </c>
      <c r="S569" s="34" t="s">
        <v>387</v>
      </c>
      <c r="T569" s="34">
        <v>20100618</v>
      </c>
      <c r="U569" s="45">
        <v>1.9276615498</v>
      </c>
      <c r="V569" s="46">
        <v>2.2256084597000001</v>
      </c>
      <c r="W569" s="34" t="s">
        <v>1235</v>
      </c>
      <c r="X569" s="34" t="s">
        <v>44</v>
      </c>
      <c r="Y569" s="34" t="s">
        <v>45</v>
      </c>
      <c r="Z569" s="34" t="s">
        <v>274</v>
      </c>
      <c r="AA569" s="34"/>
      <c r="AB569" s="34"/>
      <c r="AC569" s="22">
        <v>0.88697143554687496</v>
      </c>
      <c r="AD569" s="23" t="s">
        <v>2677</v>
      </c>
      <c r="AE569" s="24">
        <v>0.96986301369863015</v>
      </c>
      <c r="AF569" s="25">
        <v>4.9323161224335887E-2</v>
      </c>
      <c r="AG569" s="26">
        <v>0.20205995929505782</v>
      </c>
      <c r="AH569" s="26">
        <v>0.15699314904520811</v>
      </c>
      <c r="AI569" s="27">
        <v>0.25944834116339033</v>
      </c>
      <c r="AJ569" s="27">
        <v>0.68312366604067021</v>
      </c>
      <c r="AK569" s="27">
        <v>0.61905621116554888</v>
      </c>
      <c r="AL569" s="28" t="s">
        <v>1750</v>
      </c>
      <c r="AM569" s="29">
        <v>3</v>
      </c>
      <c r="AN569" s="29">
        <v>4</v>
      </c>
      <c r="AO569" s="29" t="s">
        <v>48</v>
      </c>
      <c r="AP569" s="47" t="s">
        <v>1525</v>
      </c>
      <c r="AQ569" s="28">
        <v>0</v>
      </c>
      <c r="AR569" s="26">
        <v>1.4999999999999999E-2</v>
      </c>
      <c r="AS569" s="26">
        <v>0</v>
      </c>
    </row>
    <row r="570" spans="1:45" x14ac:dyDescent="0.15">
      <c r="A570" s="64">
        <v>250</v>
      </c>
      <c r="B570" s="64">
        <v>689</v>
      </c>
      <c r="C570" s="11">
        <v>519756</v>
      </c>
      <c r="D570" s="61">
        <v>115</v>
      </c>
      <c r="E570" s="61">
        <v>1.7475472831919099E-3</v>
      </c>
      <c r="F570" s="61">
        <v>92</v>
      </c>
      <c r="G570" s="61">
        <v>0.250305254165615</v>
      </c>
      <c r="H570" s="66">
        <v>84</v>
      </c>
      <c r="I570" s="66" t="str">
        <f>H570&amp;"/"&amp;451</f>
        <v>84/451</v>
      </c>
      <c r="J570" s="68">
        <f>H570/451</f>
        <v>0.18625277161862527</v>
      </c>
      <c r="K570" s="18" t="s">
        <v>44</v>
      </c>
      <c r="L570" s="18" t="s">
        <v>45</v>
      </c>
      <c r="M570" s="58" t="s">
        <v>65</v>
      </c>
      <c r="N570" s="18">
        <f>[1]!f_prt_stocktonav(C570,"2017/03/31")</f>
        <v>80.40887451171875</v>
      </c>
      <c r="O570" s="20" t="str">
        <f>[1]!f_info_fundmanager(C570)</f>
        <v>沈楠</v>
      </c>
      <c r="P570" s="21">
        <v>1.8082191780821917</v>
      </c>
      <c r="Q570" s="34" t="s">
        <v>1156</v>
      </c>
      <c r="R570" s="34" t="s">
        <v>1157</v>
      </c>
      <c r="S570" s="34" t="s">
        <v>138</v>
      </c>
      <c r="T570" s="34">
        <v>20150610</v>
      </c>
      <c r="U570" s="45">
        <v>12.8889498933</v>
      </c>
      <c r="V570" s="46">
        <v>14.4663056897</v>
      </c>
      <c r="W570" s="34" t="s">
        <v>201</v>
      </c>
      <c r="X570" s="34" t="s">
        <v>44</v>
      </c>
      <c r="Y570" s="17" t="s">
        <v>45</v>
      </c>
      <c r="Z570" s="17" t="s">
        <v>65</v>
      </c>
      <c r="AA570" s="34"/>
      <c r="AB570" s="34"/>
      <c r="AC570" s="22">
        <v>0.83204498291015627</v>
      </c>
      <c r="AD570" s="23" t="s">
        <v>1158</v>
      </c>
      <c r="AE570" s="24">
        <v>1.5780821917808219</v>
      </c>
      <c r="AF570" s="25">
        <v>2.1602520145586057E-2</v>
      </c>
      <c r="AG570" s="26">
        <v>0</v>
      </c>
      <c r="AH570" s="26">
        <v>0</v>
      </c>
      <c r="AI570" s="27">
        <v>0.14237743872617328</v>
      </c>
      <c r="AJ570" s="27">
        <v>0.14237743872617328</v>
      </c>
      <c r="AK570" s="27">
        <v>0.14237743872617328</v>
      </c>
      <c r="AL570" s="28" t="s">
        <v>474</v>
      </c>
      <c r="AM570" s="29" t="s">
        <v>48</v>
      </c>
      <c r="AN570" s="29" t="s">
        <v>48</v>
      </c>
      <c r="AO570" s="29" t="s">
        <v>48</v>
      </c>
      <c r="AP570" s="47" t="s">
        <v>1159</v>
      </c>
      <c r="AQ570" s="28">
        <v>0</v>
      </c>
      <c r="AR570" s="26">
        <v>1.4999999999999999E-2</v>
      </c>
      <c r="AS570" s="26">
        <v>0</v>
      </c>
    </row>
    <row r="571" spans="1:45" x14ac:dyDescent="0.15">
      <c r="A571" s="64">
        <v>466</v>
      </c>
      <c r="B571" s="64">
        <v>696</v>
      </c>
      <c r="C571" s="11">
        <v>524</v>
      </c>
      <c r="D571" s="61">
        <v>116</v>
      </c>
      <c r="E571" s="61">
        <v>1.72778585376049E-3</v>
      </c>
      <c r="F571" s="61">
        <v>113</v>
      </c>
      <c r="G571" s="61">
        <v>0.27282467897789398</v>
      </c>
      <c r="H571" s="66">
        <v>85</v>
      </c>
      <c r="I571" s="66" t="str">
        <f>H571&amp;"/"&amp;451</f>
        <v>85/451</v>
      </c>
      <c r="J571" s="68">
        <f>H571/451</f>
        <v>0.18847006651884701</v>
      </c>
      <c r="K571" s="18" t="s">
        <v>44</v>
      </c>
      <c r="L571" s="19" t="s">
        <v>45</v>
      </c>
      <c r="M571" s="59" t="s">
        <v>65</v>
      </c>
      <c r="N571" s="18">
        <f>[1]!f_prt_stocktonav(C571,"2017/03/31")</f>
        <v>80.105293273925781</v>
      </c>
      <c r="O571" s="20" t="str">
        <f>[1]!f_info_fundmanager(C571)</f>
        <v>帅虎</v>
      </c>
      <c r="P571" s="21">
        <v>2.1671232876712327</v>
      </c>
      <c r="Q571" s="32" t="s">
        <v>1977</v>
      </c>
      <c r="R571" s="13" t="s">
        <v>1978</v>
      </c>
      <c r="S571" s="13" t="s">
        <v>511</v>
      </c>
      <c r="T571" s="13">
        <v>20140314</v>
      </c>
      <c r="U571" s="14">
        <v>15.1587570518</v>
      </c>
      <c r="V571" s="15" t="s">
        <v>3782</v>
      </c>
      <c r="W571" s="16" t="s">
        <v>40</v>
      </c>
      <c r="X571" s="17" t="s">
        <v>44</v>
      </c>
      <c r="Y571" s="17" t="s">
        <v>45</v>
      </c>
      <c r="Z571" s="17" t="s">
        <v>65</v>
      </c>
      <c r="AA571" s="13"/>
      <c r="AB571" s="13"/>
      <c r="AC571" s="22">
        <v>0.9271395874023437</v>
      </c>
      <c r="AD571" s="23" t="s">
        <v>1979</v>
      </c>
      <c r="AE571" s="24">
        <v>1.9369863013698629</v>
      </c>
      <c r="AF571" s="25">
        <v>0.28827607988029902</v>
      </c>
      <c r="AG571" s="26">
        <v>0</v>
      </c>
      <c r="AH571" s="26">
        <v>0</v>
      </c>
      <c r="AI571" s="27">
        <v>0.90787833079029689</v>
      </c>
      <c r="AJ571" s="27">
        <v>0.90787833079029689</v>
      </c>
      <c r="AK571" s="27">
        <v>0.90787833079029689</v>
      </c>
      <c r="AL571" s="28" t="s">
        <v>1980</v>
      </c>
      <c r="AM571" s="29" t="s">
        <v>48</v>
      </c>
      <c r="AN571" s="29" t="s">
        <v>48</v>
      </c>
      <c r="AO571" s="29" t="s">
        <v>48</v>
      </c>
      <c r="AP571" s="23" t="s">
        <v>1981</v>
      </c>
      <c r="AQ571" s="30">
        <v>0</v>
      </c>
      <c r="AR571" s="31">
        <v>1.4999999999999999E-2</v>
      </c>
      <c r="AS571" s="31">
        <v>0</v>
      </c>
    </row>
    <row r="572" spans="1:45" x14ac:dyDescent="0.15">
      <c r="A572" s="64">
        <v>513</v>
      </c>
      <c r="B572" s="64">
        <v>254</v>
      </c>
      <c r="C572" s="11">
        <v>73</v>
      </c>
      <c r="D572" s="61">
        <v>117</v>
      </c>
      <c r="E572" s="61">
        <v>1.69050080365E-3</v>
      </c>
      <c r="F572" s="61">
        <v>48</v>
      </c>
      <c r="G572" s="61">
        <v>0.57644240500133204</v>
      </c>
      <c r="H572" s="66">
        <v>86</v>
      </c>
      <c r="I572" s="66" t="str">
        <f>H572&amp;"/"&amp;451</f>
        <v>86/451</v>
      </c>
      <c r="J572" s="68">
        <f>H572/451</f>
        <v>0.19068736141906872</v>
      </c>
      <c r="K572" s="18" t="s">
        <v>44</v>
      </c>
      <c r="L572" s="19" t="s">
        <v>45</v>
      </c>
      <c r="M572" s="59" t="s">
        <v>65</v>
      </c>
      <c r="N572" s="18">
        <f>[1]!f_prt_stocktonav(C572,"2017/03/31")</f>
        <v>90.464454650878906</v>
      </c>
      <c r="O572" s="20" t="str">
        <f>[1]!f_info_fundmanager(C572)</f>
        <v>刘辉</v>
      </c>
      <c r="P572" s="21">
        <v>0.92054794520547945</v>
      </c>
      <c r="Q572" s="12" t="s">
        <v>2148</v>
      </c>
      <c r="R572" s="13" t="s">
        <v>2149</v>
      </c>
      <c r="S572" s="13" t="s">
        <v>511</v>
      </c>
      <c r="T572" s="13">
        <v>20130515</v>
      </c>
      <c r="U572" s="14">
        <v>1.5491456441</v>
      </c>
      <c r="V572" s="15" t="s">
        <v>72</v>
      </c>
      <c r="W572" s="16" t="s">
        <v>40</v>
      </c>
      <c r="X572" s="17" t="s">
        <v>44</v>
      </c>
      <c r="Y572" s="17" t="s">
        <v>45</v>
      </c>
      <c r="Z572" s="17" t="s">
        <v>65</v>
      </c>
      <c r="AA572" s="13"/>
      <c r="AB572" s="13"/>
      <c r="AC572" s="22">
        <v>0.88723007202148441</v>
      </c>
      <c r="AD572" s="23" t="s">
        <v>2150</v>
      </c>
      <c r="AE572" s="24">
        <v>0.69041095890410964</v>
      </c>
      <c r="AF572" s="25">
        <v>7.6246524492666889E-3</v>
      </c>
      <c r="AG572" s="26">
        <v>1.5721633475643593E-2</v>
      </c>
      <c r="AH572" s="26">
        <v>0</v>
      </c>
      <c r="AI572" s="27">
        <v>0.14023093250861152</v>
      </c>
      <c r="AJ572" s="27">
        <v>0.14665261647987837</v>
      </c>
      <c r="AK572" s="27">
        <v>0.14023093250861152</v>
      </c>
      <c r="AL572" s="28" t="s">
        <v>1934</v>
      </c>
      <c r="AM572" s="29" t="s">
        <v>48</v>
      </c>
      <c r="AN572" s="29" t="s">
        <v>48</v>
      </c>
      <c r="AO572" s="29" t="s">
        <v>48</v>
      </c>
      <c r="AP572" s="23" t="s">
        <v>2151</v>
      </c>
      <c r="AQ572" s="30">
        <v>0</v>
      </c>
      <c r="AR572" s="31">
        <v>1.4999999999999999E-2</v>
      </c>
      <c r="AS572" s="31">
        <v>0</v>
      </c>
    </row>
    <row r="573" spans="1:45" x14ac:dyDescent="0.15">
      <c r="A573" s="64">
        <v>537</v>
      </c>
      <c r="B573" s="64">
        <v>697</v>
      </c>
      <c r="C573" s="11">
        <v>519714</v>
      </c>
      <c r="D573" s="61">
        <v>119</v>
      </c>
      <c r="E573" s="61">
        <v>1.67083045448693E-3</v>
      </c>
      <c r="F573" s="61">
        <v>89</v>
      </c>
      <c r="G573" s="61">
        <v>0.371273910521011</v>
      </c>
      <c r="H573" s="66">
        <v>87</v>
      </c>
      <c r="I573" s="66" t="str">
        <f>H573&amp;"/"&amp;451</f>
        <v>87/451</v>
      </c>
      <c r="J573" s="68">
        <f>H573/451</f>
        <v>0.19290465631929046</v>
      </c>
      <c r="K573" s="18" t="s">
        <v>44</v>
      </c>
      <c r="L573" s="18" t="s">
        <v>87</v>
      </c>
      <c r="M573" s="58" t="s">
        <v>65</v>
      </c>
      <c r="N573" s="18">
        <f>[1]!f_prt_stocktonav(C573,"2017/03/31")</f>
        <v>80.091888427734375</v>
      </c>
      <c r="O573" s="20" t="str">
        <f>[1]!f_info_fundmanager(C573)</f>
        <v>盖婷婷</v>
      </c>
      <c r="P573" s="21">
        <v>1.7506849315068493</v>
      </c>
      <c r="Q573" s="34" t="s">
        <v>2232</v>
      </c>
      <c r="R573" s="34" t="s">
        <v>2233</v>
      </c>
      <c r="S573" s="34" t="s">
        <v>138</v>
      </c>
      <c r="T573" s="34">
        <v>20121107</v>
      </c>
      <c r="U573" s="45">
        <v>0.46077560090000003</v>
      </c>
      <c r="V573" s="46">
        <v>0.46199841530000002</v>
      </c>
      <c r="W573" s="34" t="s">
        <v>3789</v>
      </c>
      <c r="X573" s="34" t="s">
        <v>44</v>
      </c>
      <c r="Y573" s="34" t="s">
        <v>45</v>
      </c>
      <c r="Z573" s="34" t="s">
        <v>65</v>
      </c>
      <c r="AA573" s="34"/>
      <c r="AB573" s="34"/>
      <c r="AC573" s="22">
        <v>0.87702743530273441</v>
      </c>
      <c r="AD573" s="23" t="s">
        <v>2234</v>
      </c>
      <c r="AE573" s="24">
        <v>1.5205479452054795</v>
      </c>
      <c r="AF573" s="25">
        <v>3.7370707256402458E-2</v>
      </c>
      <c r="AG573" s="26">
        <v>0</v>
      </c>
      <c r="AH573" s="26">
        <v>0</v>
      </c>
      <c r="AI573" s="27">
        <v>0.5987535938110613</v>
      </c>
      <c r="AJ573" s="27">
        <v>0.5987535938110613</v>
      </c>
      <c r="AK573" s="27">
        <v>0.5987535938110613</v>
      </c>
      <c r="AL573" s="28" t="s">
        <v>2235</v>
      </c>
      <c r="AM573" s="29" t="s">
        <v>48</v>
      </c>
      <c r="AN573" s="29" t="s">
        <v>48</v>
      </c>
      <c r="AO573" s="29" t="s">
        <v>48</v>
      </c>
      <c r="AP573" s="47" t="s">
        <v>2236</v>
      </c>
      <c r="AQ573" s="28" t="s">
        <v>608</v>
      </c>
      <c r="AR573" s="26">
        <v>1.4999999999999999E-2</v>
      </c>
      <c r="AS573" s="26">
        <v>0</v>
      </c>
    </row>
    <row r="574" spans="1:45" x14ac:dyDescent="0.15">
      <c r="A574" s="64">
        <v>638</v>
      </c>
      <c r="B574" s="64">
        <v>17</v>
      </c>
      <c r="C574" s="11">
        <v>162214</v>
      </c>
      <c r="D574" s="61">
        <v>123</v>
      </c>
      <c r="E574" s="61">
        <v>1.6557489201061101E-3</v>
      </c>
      <c r="F574" s="61">
        <v>14</v>
      </c>
      <c r="G574" s="61">
        <v>0.26938956235586897</v>
      </c>
      <c r="H574" s="66">
        <v>88</v>
      </c>
      <c r="I574" s="66" t="str">
        <f>H574&amp;"/"&amp;451</f>
        <v>88/451</v>
      </c>
      <c r="J574" s="68">
        <f>H574/451</f>
        <v>0.1951219512195122</v>
      </c>
      <c r="K574" s="18" t="s">
        <v>44</v>
      </c>
      <c r="L574" s="18" t="s">
        <v>45</v>
      </c>
      <c r="M574" s="58" t="s">
        <v>65</v>
      </c>
      <c r="N574" s="18">
        <f>[1]!f_prt_stocktonav(C574,"2017/03/31")</f>
        <v>94.784126281738281</v>
      </c>
      <c r="O574" s="20" t="str">
        <f>[1]!f_info_fundmanager(C574)</f>
        <v>庄腾飞</v>
      </c>
      <c r="P574" s="21">
        <v>0.26849315068493151</v>
      </c>
      <c r="Q574" s="34" t="s">
        <v>2579</v>
      </c>
      <c r="R574" s="34" t="s">
        <v>2580</v>
      </c>
      <c r="S574" s="34" t="s">
        <v>263</v>
      </c>
      <c r="T574" s="34">
        <v>20110126</v>
      </c>
      <c r="U574" s="45">
        <v>1.4541342532999999</v>
      </c>
      <c r="V574" s="46">
        <v>2.1885725221999999</v>
      </c>
      <c r="W574" s="34" t="s">
        <v>3776</v>
      </c>
      <c r="X574" s="34" t="s">
        <v>44</v>
      </c>
      <c r="Y574" s="34" t="s">
        <v>45</v>
      </c>
      <c r="Z574" s="34" t="s">
        <v>274</v>
      </c>
      <c r="AA574" s="34"/>
      <c r="AB574" s="34"/>
      <c r="AC574" s="22">
        <v>0.85308662414550784</v>
      </c>
      <c r="AD574" s="23" t="s">
        <v>2581</v>
      </c>
      <c r="AE574" s="24">
        <v>1.726027397260274</v>
      </c>
      <c r="AF574" s="25">
        <v>-4.2024365879935521E-2</v>
      </c>
      <c r="AG574" s="26">
        <v>-6.9838260158718968E-2</v>
      </c>
      <c r="AH574" s="26">
        <v>-6.8257139672240896E-3</v>
      </c>
      <c r="AI574" s="27">
        <v>-2.3251720158939355E-2</v>
      </c>
      <c r="AJ574" s="27">
        <v>-3.0472642240156323E-2</v>
      </c>
      <c r="AK574" s="27">
        <v>0.10706659760566856</v>
      </c>
      <c r="AL574" s="28" t="s">
        <v>2567</v>
      </c>
      <c r="AM574" s="29">
        <v>1</v>
      </c>
      <c r="AN574" s="29">
        <v>1</v>
      </c>
      <c r="AO574" s="29" t="s">
        <v>48</v>
      </c>
      <c r="AP574" s="47" t="s">
        <v>2582</v>
      </c>
      <c r="AQ574" s="28">
        <v>0</v>
      </c>
      <c r="AR574" s="26">
        <v>1.4999999999999999E-2</v>
      </c>
      <c r="AS574" s="26">
        <v>0</v>
      </c>
    </row>
    <row r="575" spans="1:45" x14ac:dyDescent="0.15">
      <c r="A575" s="64">
        <v>579</v>
      </c>
      <c r="B575" s="64">
        <v>690</v>
      </c>
      <c r="C575" s="11">
        <v>240020</v>
      </c>
      <c r="D575" s="61">
        <v>124</v>
      </c>
      <c r="E575" s="61">
        <v>1.6462358831038199E-3</v>
      </c>
      <c r="F575" s="61">
        <v>30</v>
      </c>
      <c r="G575" s="61">
        <v>0.433084870784331</v>
      </c>
      <c r="H575" s="66">
        <v>89</v>
      </c>
      <c r="I575" s="66" t="str">
        <f>H575&amp;"/"&amp;451</f>
        <v>89/451</v>
      </c>
      <c r="J575" s="68">
        <f>H575/451</f>
        <v>0.19733924611973391</v>
      </c>
      <c r="K575" s="18" t="s">
        <v>44</v>
      </c>
      <c r="L575" s="18" t="s">
        <v>86</v>
      </c>
      <c r="M575" s="58" t="s">
        <v>65</v>
      </c>
      <c r="N575" s="18">
        <f>[1]!f_prt_stocktonav(C575,"2017/03/31")</f>
        <v>80.358551025390625</v>
      </c>
      <c r="O575" s="20" t="str">
        <f>[1]!f_info_fundmanager(C575)</f>
        <v>光磊</v>
      </c>
      <c r="P575" s="21">
        <v>0.56164383561643838</v>
      </c>
      <c r="Q575" s="34" t="s">
        <v>2384</v>
      </c>
      <c r="R575" s="34" t="s">
        <v>2385</v>
      </c>
      <c r="S575" s="34" t="s">
        <v>737</v>
      </c>
      <c r="T575" s="34">
        <v>20120228</v>
      </c>
      <c r="U575" s="45">
        <v>2.8342334406999998</v>
      </c>
      <c r="V575" s="46">
        <v>3.5130833688999998</v>
      </c>
      <c r="W575" s="34" t="s">
        <v>201</v>
      </c>
      <c r="X575" s="34" t="s">
        <v>44</v>
      </c>
      <c r="Y575" s="34" t="s">
        <v>45</v>
      </c>
      <c r="Z575" s="34" t="s">
        <v>65</v>
      </c>
      <c r="AA575" s="34"/>
      <c r="AB575" s="34"/>
      <c r="AC575" s="22">
        <v>0.76643104553222652</v>
      </c>
      <c r="AD575" s="23" t="s">
        <v>2386</v>
      </c>
      <c r="AE575" s="24">
        <v>0.33150684931506852</v>
      </c>
      <c r="AF575" s="25">
        <v>0.12954635791786218</v>
      </c>
      <c r="AG575" s="26">
        <v>6.4775130357475508E-2</v>
      </c>
      <c r="AH575" s="26">
        <v>0</v>
      </c>
      <c r="AI575" s="27">
        <v>0.53893815877650741</v>
      </c>
      <c r="AJ575" s="27">
        <v>0.29869438190517017</v>
      </c>
      <c r="AK575" s="27">
        <v>0.53893815877650741</v>
      </c>
      <c r="AL575" s="28" t="s">
        <v>2387</v>
      </c>
      <c r="AM575" s="29">
        <v>3</v>
      </c>
      <c r="AN575" s="29">
        <v>3</v>
      </c>
      <c r="AO575" s="29" t="s">
        <v>48</v>
      </c>
      <c r="AP575" s="47" t="s">
        <v>739</v>
      </c>
      <c r="AQ575" s="28">
        <v>0</v>
      </c>
      <c r="AR575" s="26">
        <v>1.4999999999999999E-2</v>
      </c>
      <c r="AS575" s="26">
        <v>0</v>
      </c>
    </row>
    <row r="576" spans="1:45" x14ac:dyDescent="0.15">
      <c r="A576" s="64">
        <v>198</v>
      </c>
      <c r="B576" s="64">
        <v>763</v>
      </c>
      <c r="C576" s="11">
        <v>1500</v>
      </c>
      <c r="D576" s="61">
        <v>125</v>
      </c>
      <c r="E576" s="61">
        <v>1.6352763510491101E-3</v>
      </c>
      <c r="F576" s="61">
        <v>81</v>
      </c>
      <c r="G576" s="61">
        <v>3.44562848233105E-2</v>
      </c>
      <c r="H576" s="66">
        <v>90</v>
      </c>
      <c r="I576" s="66" t="str">
        <f>H576&amp;"/"&amp;451</f>
        <v>90/451</v>
      </c>
      <c r="J576" s="68">
        <f>H576/451</f>
        <v>0.19955654101995565</v>
      </c>
      <c r="K576" s="18" t="s">
        <v>44</v>
      </c>
      <c r="L576" s="18" t="s">
        <v>45</v>
      </c>
      <c r="M576" s="58" t="s">
        <v>65</v>
      </c>
      <c r="N576" s="18">
        <f>[1]!f_prt_stocktonav(C576,"2017/03/31")</f>
        <v>77.775802612304688</v>
      </c>
      <c r="O576" s="20" t="str">
        <f>[1]!f_info_fundmanager(C576)</f>
        <v>邬传雁</v>
      </c>
      <c r="P576" s="21">
        <v>1.6027397260273972</v>
      </c>
      <c r="Q576" s="34" t="s">
        <v>949</v>
      </c>
      <c r="R576" s="34" t="s">
        <v>950</v>
      </c>
      <c r="S576" s="34" t="s">
        <v>517</v>
      </c>
      <c r="T576" s="34">
        <v>20150824</v>
      </c>
      <c r="U576" s="45">
        <v>11.169526488700001</v>
      </c>
      <c r="V576" s="46">
        <v>11.509655951699999</v>
      </c>
      <c r="W576" s="34" t="s">
        <v>1235</v>
      </c>
      <c r="X576" s="34" t="s">
        <v>44</v>
      </c>
      <c r="Y576" s="34" t="s">
        <v>45</v>
      </c>
      <c r="Z576" s="34" t="s">
        <v>65</v>
      </c>
      <c r="AA576" s="34"/>
      <c r="AB576" s="34"/>
      <c r="AC576" s="22">
        <v>0.73995132446289058</v>
      </c>
      <c r="AD576" s="23" t="s">
        <v>951</v>
      </c>
      <c r="AE576" s="24">
        <v>1.3726027397260274</v>
      </c>
      <c r="AF576" s="25">
        <v>0.13445513023693212</v>
      </c>
      <c r="AG576" s="26">
        <v>0</v>
      </c>
      <c r="AH576" s="26">
        <v>0</v>
      </c>
      <c r="AI576" s="27">
        <v>0.88684957070784864</v>
      </c>
      <c r="AJ576" s="27">
        <v>0.88684957070784864</v>
      </c>
      <c r="AK576" s="27">
        <v>0.88684957070784864</v>
      </c>
      <c r="AL576" s="28" t="s">
        <v>952</v>
      </c>
      <c r="AM576" s="29" t="s">
        <v>48</v>
      </c>
      <c r="AN576" s="29" t="s">
        <v>48</v>
      </c>
      <c r="AO576" s="29" t="s">
        <v>48</v>
      </c>
      <c r="AP576" s="47" t="s">
        <v>520</v>
      </c>
      <c r="AQ576" s="28">
        <v>0</v>
      </c>
      <c r="AR576" s="26">
        <v>1.4999999999999999E-2</v>
      </c>
      <c r="AS576" s="26">
        <v>0</v>
      </c>
    </row>
    <row r="577" spans="1:45" x14ac:dyDescent="0.15">
      <c r="A577" s="64">
        <v>14</v>
      </c>
      <c r="B577" s="64">
        <v>51</v>
      </c>
      <c r="C577" s="11">
        <v>3492</v>
      </c>
      <c r="D577" s="61">
        <v>126</v>
      </c>
      <c r="E577" s="61">
        <v>1.6301874428040601E-3</v>
      </c>
      <c r="F577" s="61">
        <v>19</v>
      </c>
      <c r="G577" s="61">
        <v>0.46043111490317801</v>
      </c>
      <c r="H577" s="66">
        <v>91</v>
      </c>
      <c r="I577" s="66" t="str">
        <f>H577&amp;"/"&amp;451</f>
        <v>91/451</v>
      </c>
      <c r="J577" s="68">
        <f>H577/451</f>
        <v>0.20177383592017739</v>
      </c>
      <c r="K577" s="18" t="s">
        <v>44</v>
      </c>
      <c r="L577" s="19" t="s">
        <v>45</v>
      </c>
      <c r="M577" s="59" t="s">
        <v>65</v>
      </c>
      <c r="N577" s="18">
        <f>[1]!f_prt_stocktonav(C577,"2017/03/31")</f>
        <v>94.323104858398438</v>
      </c>
      <c r="O577" s="20" t="str">
        <f>[1]!f_info_fundmanager(C577)</f>
        <v>苏天杉</v>
      </c>
      <c r="P577" s="21">
        <v>0.36712328767123287</v>
      </c>
      <c r="Q577" s="12" t="s">
        <v>122</v>
      </c>
      <c r="R577" s="13" t="s">
        <v>123</v>
      </c>
      <c r="S577" s="13" t="s">
        <v>78</v>
      </c>
      <c r="T577" s="13">
        <v>20161117</v>
      </c>
      <c r="U577" s="14">
        <v>2.2625246313999998</v>
      </c>
      <c r="V577" s="15" t="s">
        <v>72</v>
      </c>
      <c r="W577" s="16" t="s">
        <v>40</v>
      </c>
      <c r="X577" s="34" t="s">
        <v>41</v>
      </c>
      <c r="Y577" s="17" t="s">
        <v>42</v>
      </c>
      <c r="Z577" s="17" t="s">
        <v>43</v>
      </c>
      <c r="AA577" s="13"/>
      <c r="AB577" s="13"/>
      <c r="AC577" s="22">
        <v>0</v>
      </c>
      <c r="AD577" s="23" t="s">
        <v>124</v>
      </c>
      <c r="AE577" s="24">
        <v>0.13698630136986301</v>
      </c>
      <c r="AF577" s="25">
        <v>-0.11682816077895254</v>
      </c>
      <c r="AG577" s="26">
        <v>0</v>
      </c>
      <c r="AH577" s="26">
        <v>0</v>
      </c>
      <c r="AI577" s="27">
        <v>-3.4038117806244914</v>
      </c>
      <c r="AJ577" s="27">
        <v>-3.4038117806244914</v>
      </c>
      <c r="AK577" s="27">
        <v>-3.4038117806244914</v>
      </c>
      <c r="AL577" s="28" t="s">
        <v>125</v>
      </c>
      <c r="AM577" s="29" t="s">
        <v>48</v>
      </c>
      <c r="AN577" s="29" t="s">
        <v>48</v>
      </c>
      <c r="AO577" s="29" t="s">
        <v>48</v>
      </c>
      <c r="AP577" s="23">
        <v>0</v>
      </c>
      <c r="AQ577" s="30">
        <v>0</v>
      </c>
      <c r="AR577" s="31">
        <v>1.4999999999999999E-2</v>
      </c>
      <c r="AS577" s="31">
        <v>0</v>
      </c>
    </row>
    <row r="578" spans="1:45" x14ac:dyDescent="0.15">
      <c r="A578" s="64">
        <v>301</v>
      </c>
      <c r="B578" s="64">
        <v>311</v>
      </c>
      <c r="C578" s="11">
        <v>1075</v>
      </c>
      <c r="D578" s="61">
        <v>127</v>
      </c>
      <c r="E578" s="61">
        <v>1.60214099447461E-3</v>
      </c>
      <c r="F578" s="61">
        <v>32</v>
      </c>
      <c r="G578" s="61">
        <v>0.329380101945906</v>
      </c>
      <c r="H578" s="66">
        <v>92</v>
      </c>
      <c r="I578" s="66" t="str">
        <f>H578&amp;"/"&amp;451</f>
        <v>92/451</v>
      </c>
      <c r="J578" s="68">
        <f>H578/451</f>
        <v>0.2039911308203991</v>
      </c>
      <c r="K578" s="18" t="s">
        <v>44</v>
      </c>
      <c r="L578" s="18" t="s">
        <v>45</v>
      </c>
      <c r="M578" s="58" t="s">
        <v>65</v>
      </c>
      <c r="N578" s="18">
        <f>[1]!f_prt_stocktonav(C578,"2017/03/31")</f>
        <v>89.278533935546875</v>
      </c>
      <c r="O578" s="20" t="str">
        <f>[1]!f_info_fundmanager(C578)</f>
        <v>盖俊龙</v>
      </c>
      <c r="P578" s="21">
        <v>0.61095890410958908</v>
      </c>
      <c r="Q578" s="34" t="s">
        <v>1365</v>
      </c>
      <c r="R578" s="34" t="s">
        <v>1366</v>
      </c>
      <c r="S578" s="34" t="s">
        <v>402</v>
      </c>
      <c r="T578" s="34">
        <v>20150429</v>
      </c>
      <c r="U578" s="45">
        <v>31.7672241874</v>
      </c>
      <c r="V578" s="46">
        <v>33.824453420899999</v>
      </c>
      <c r="W578" s="34" t="s">
        <v>3789</v>
      </c>
      <c r="X578" s="34" t="s">
        <v>44</v>
      </c>
      <c r="Y578" s="34" t="s">
        <v>45</v>
      </c>
      <c r="Z578" s="34" t="s">
        <v>65</v>
      </c>
      <c r="AA578" s="34"/>
      <c r="AB578" s="34"/>
      <c r="AC578" s="22">
        <v>0.90648063659667966</v>
      </c>
      <c r="AD578" s="23" t="s">
        <v>873</v>
      </c>
      <c r="AE578" s="24">
        <v>0.38082191780821917</v>
      </c>
      <c r="AF578" s="25">
        <v>-0.17087880695977098</v>
      </c>
      <c r="AG578" s="26">
        <v>0</v>
      </c>
      <c r="AH578" s="26">
        <v>0</v>
      </c>
      <c r="AI578" s="27">
        <v>-0.19384626794544865</v>
      </c>
      <c r="AJ578" s="27">
        <v>-0.19384626794544865</v>
      </c>
      <c r="AK578" s="27">
        <v>-0.19384626794544865</v>
      </c>
      <c r="AL578" s="28" t="s">
        <v>572</v>
      </c>
      <c r="AM578" s="29" t="s">
        <v>48</v>
      </c>
      <c r="AN578" s="29" t="s">
        <v>48</v>
      </c>
      <c r="AO578" s="29" t="s">
        <v>48</v>
      </c>
      <c r="AP578" s="47" t="s">
        <v>405</v>
      </c>
      <c r="AQ578" s="28">
        <v>0</v>
      </c>
      <c r="AR578" s="26">
        <v>1.4999999999999999E-2</v>
      </c>
      <c r="AS578" s="26">
        <v>0</v>
      </c>
    </row>
    <row r="579" spans="1:45" x14ac:dyDescent="0.15">
      <c r="A579" s="64">
        <v>13</v>
      </c>
      <c r="B579" s="64">
        <v>115</v>
      </c>
      <c r="C579" s="11">
        <v>1874</v>
      </c>
      <c r="D579" s="61">
        <v>128</v>
      </c>
      <c r="E579" s="61">
        <v>1.5624394587353499E-3</v>
      </c>
      <c r="F579" s="61">
        <v>19</v>
      </c>
      <c r="G579" s="61">
        <v>0.65190485020617595</v>
      </c>
      <c r="H579" s="66">
        <v>93</v>
      </c>
      <c r="I579" s="66" t="str">
        <f>H579&amp;"/"&amp;451</f>
        <v>93/451</v>
      </c>
      <c r="J579" s="68">
        <f>H579/451</f>
        <v>0.20620842572062084</v>
      </c>
      <c r="K579" s="18" t="s">
        <v>44</v>
      </c>
      <c r="L579" s="19" t="s">
        <v>45</v>
      </c>
      <c r="M579" s="59" t="s">
        <v>65</v>
      </c>
      <c r="N579" s="18">
        <f>[1]!f_prt_stocktonav(C579,"2017/03/31")</f>
        <v>93.346549987792969</v>
      </c>
      <c r="O579" s="20" t="str">
        <f>[1]!f_info_fundmanager(C579)</f>
        <v>曲扬</v>
      </c>
      <c r="P579" s="21">
        <v>0.36438356164383562</v>
      </c>
      <c r="Q579" s="32" t="s">
        <v>117</v>
      </c>
      <c r="R579" s="13" t="s">
        <v>118</v>
      </c>
      <c r="S579" s="13" t="s">
        <v>78</v>
      </c>
      <c r="T579" s="13">
        <v>20161118</v>
      </c>
      <c r="U579" s="14">
        <v>20.1199028658</v>
      </c>
      <c r="V579" s="15" t="s">
        <v>58</v>
      </c>
      <c r="W579" s="16" t="s">
        <v>40</v>
      </c>
      <c r="X579" s="17" t="s">
        <v>41</v>
      </c>
      <c r="Y579" s="17" t="s">
        <v>42</v>
      </c>
      <c r="Z579" s="17" t="s">
        <v>43</v>
      </c>
      <c r="AA579" s="13"/>
      <c r="AB579" s="13"/>
      <c r="AC579" s="22">
        <v>0</v>
      </c>
      <c r="AD579" s="23" t="s">
        <v>119</v>
      </c>
      <c r="AE579" s="24">
        <v>0.13424657534246576</v>
      </c>
      <c r="AF579" s="25">
        <v>-0.18943417461030498</v>
      </c>
      <c r="AG579" s="26">
        <v>0</v>
      </c>
      <c r="AH579" s="26">
        <v>0</v>
      </c>
      <c r="AI579" s="27">
        <v>-2.3353508650111099</v>
      </c>
      <c r="AJ579" s="27">
        <v>-2.3353508650111099</v>
      </c>
      <c r="AK579" s="27">
        <v>-2.3353508650111099</v>
      </c>
      <c r="AL579" s="28" t="s">
        <v>120</v>
      </c>
      <c r="AM579" s="29" t="s">
        <v>48</v>
      </c>
      <c r="AN579" s="29" t="s">
        <v>48</v>
      </c>
      <c r="AO579" s="29" t="s">
        <v>48</v>
      </c>
      <c r="AP579" s="23" t="s">
        <v>121</v>
      </c>
      <c r="AQ579" s="30">
        <v>0</v>
      </c>
      <c r="AR579" s="31">
        <v>1.4999999999999999E-2</v>
      </c>
      <c r="AS579" s="31">
        <v>0</v>
      </c>
    </row>
    <row r="580" spans="1:45" x14ac:dyDescent="0.15">
      <c r="A580" s="64">
        <v>676</v>
      </c>
      <c r="B580" s="64">
        <v>379</v>
      </c>
      <c r="C580" s="11">
        <v>163406</v>
      </c>
      <c r="D580" s="61">
        <v>131</v>
      </c>
      <c r="E580" s="61">
        <v>1.50874731068622E-3</v>
      </c>
      <c r="F580" s="61">
        <v>217</v>
      </c>
      <c r="G580" s="61">
        <v>8.24840179438351E-2</v>
      </c>
      <c r="H580" s="66">
        <v>94</v>
      </c>
      <c r="I580" s="66" t="str">
        <f>H580&amp;"/"&amp;451</f>
        <v>94/451</v>
      </c>
      <c r="J580" s="68">
        <f>H580/451</f>
        <v>0.20842572062084258</v>
      </c>
      <c r="K580" s="18" t="s">
        <v>44</v>
      </c>
      <c r="L580" s="18" t="s">
        <v>45</v>
      </c>
      <c r="M580" s="58" t="s">
        <v>65</v>
      </c>
      <c r="N580" s="18">
        <f>[1]!f_prt_stocktonav(C580,"2017/03/31")</f>
        <v>87.944801330566406</v>
      </c>
      <c r="O580" s="20" t="str">
        <f>[1]!f_info_fundmanager(C580)</f>
        <v>谢治宇</v>
      </c>
      <c r="P580" s="21">
        <v>4.1698630136986301</v>
      </c>
      <c r="Q580" s="34" t="s">
        <v>2708</v>
      </c>
      <c r="R580" s="34" t="s">
        <v>2709</v>
      </c>
      <c r="S580" s="34" t="s">
        <v>2217</v>
      </c>
      <c r="T580" s="34">
        <v>20100422</v>
      </c>
      <c r="U580" s="45">
        <v>39.498732664099997</v>
      </c>
      <c r="V580" s="46">
        <v>43.458308778000003</v>
      </c>
      <c r="W580" s="34" t="s">
        <v>201</v>
      </c>
      <c r="X580" s="34" t="s">
        <v>44</v>
      </c>
      <c r="Y580" s="34" t="s">
        <v>45</v>
      </c>
      <c r="Z580" s="34" t="s">
        <v>65</v>
      </c>
      <c r="AA580" s="34"/>
      <c r="AB580" s="34" t="s">
        <v>3832</v>
      </c>
      <c r="AC580" s="22">
        <v>0.86310302734375</v>
      </c>
      <c r="AD580" s="23" t="s">
        <v>2344</v>
      </c>
      <c r="AE580" s="24">
        <v>3.9397260273972603</v>
      </c>
      <c r="AF580" s="25">
        <v>0.16599212072873962</v>
      </c>
      <c r="AG580" s="26">
        <v>0.33832389900438331</v>
      </c>
      <c r="AH580" s="26">
        <v>0.26687405850091617</v>
      </c>
      <c r="AI580" s="27">
        <v>0.7399254852612841</v>
      </c>
      <c r="AJ580" s="27">
        <v>1.2144330185432191</v>
      </c>
      <c r="AK580" s="27">
        <v>1.0724071630092686</v>
      </c>
      <c r="AL580" s="28" t="s">
        <v>2219</v>
      </c>
      <c r="AM580" s="29">
        <v>5</v>
      </c>
      <c r="AN580" s="29">
        <v>5</v>
      </c>
      <c r="AO580" s="29" t="s">
        <v>48</v>
      </c>
      <c r="AP580" s="47" t="s">
        <v>2710</v>
      </c>
      <c r="AQ580" s="28">
        <v>0</v>
      </c>
      <c r="AR580" s="26">
        <v>1.4999999999999999E-2</v>
      </c>
      <c r="AS580" s="26">
        <v>0</v>
      </c>
    </row>
    <row r="581" spans="1:45" x14ac:dyDescent="0.15">
      <c r="A581" s="64">
        <v>166</v>
      </c>
      <c r="B581" s="64">
        <v>336</v>
      </c>
      <c r="C581" s="11">
        <v>1637</v>
      </c>
      <c r="D581" s="61">
        <v>133</v>
      </c>
      <c r="E581" s="61">
        <v>1.4921439138194099E-3</v>
      </c>
      <c r="F581" s="61">
        <v>66</v>
      </c>
      <c r="G581" s="61">
        <v>0.30544142284278603</v>
      </c>
      <c r="H581" s="66">
        <v>95</v>
      </c>
      <c r="I581" s="66" t="str">
        <f>H581&amp;"/"&amp;451</f>
        <v>95/451</v>
      </c>
      <c r="J581" s="68">
        <f>H581/451</f>
        <v>0.21064301552106429</v>
      </c>
      <c r="K581" s="18" t="s">
        <v>44</v>
      </c>
      <c r="L581" s="18" t="s">
        <v>45</v>
      </c>
      <c r="M581" s="58" t="s">
        <v>65</v>
      </c>
      <c r="N581" s="18">
        <f>[1]!f_prt_stocktonav(C581,"2017/03/31")</f>
        <v>88.7366943359375</v>
      </c>
      <c r="O581" s="20" t="str">
        <f>[1]!f_info_fundmanager(C581)</f>
        <v>刘斌</v>
      </c>
      <c r="P581" s="21">
        <v>1.3150684931506849</v>
      </c>
      <c r="Q581" s="34" t="s">
        <v>826</v>
      </c>
      <c r="R581" s="34" t="s">
        <v>827</v>
      </c>
      <c r="S581" s="34" t="s">
        <v>92</v>
      </c>
      <c r="T581" s="34">
        <v>20151207</v>
      </c>
      <c r="U581" s="45">
        <v>6.9428234888000002</v>
      </c>
      <c r="V581" s="46">
        <v>6.7731059368000004</v>
      </c>
      <c r="W581" s="34" t="s">
        <v>1235</v>
      </c>
      <c r="X581" s="34" t="s">
        <v>44</v>
      </c>
      <c r="Y581" s="34" t="s">
        <v>45</v>
      </c>
      <c r="Z581" s="34" t="s">
        <v>817</v>
      </c>
      <c r="AA581" s="34"/>
      <c r="AB581" s="34"/>
      <c r="AC581" s="22">
        <v>0.89085334777832026</v>
      </c>
      <c r="AD581" s="23" t="s">
        <v>828</v>
      </c>
      <c r="AE581" s="24">
        <v>1.0849315068493151</v>
      </c>
      <c r="AF581" s="25">
        <v>7.0771682406525871E-2</v>
      </c>
      <c r="AG581" s="26">
        <v>0</v>
      </c>
      <c r="AH581" s="26">
        <v>0</v>
      </c>
      <c r="AI581" s="27">
        <v>0.4667816877217375</v>
      </c>
      <c r="AJ581" s="27">
        <v>0.4667816877217375</v>
      </c>
      <c r="AK581" s="27">
        <v>0.4667816877217375</v>
      </c>
      <c r="AL581" s="28" t="s">
        <v>829</v>
      </c>
      <c r="AM581" s="29" t="s">
        <v>48</v>
      </c>
      <c r="AN581" s="29" t="s">
        <v>48</v>
      </c>
      <c r="AO581" s="29" t="s">
        <v>48</v>
      </c>
      <c r="AP581" s="47" t="s">
        <v>249</v>
      </c>
      <c r="AQ581" s="28">
        <v>0</v>
      </c>
      <c r="AR581" s="26">
        <v>1.4999999999999999E-2</v>
      </c>
      <c r="AS581" s="26">
        <v>0</v>
      </c>
    </row>
    <row r="582" spans="1:45" x14ac:dyDescent="0.15">
      <c r="A582" s="64">
        <v>491</v>
      </c>
      <c r="B582" s="64">
        <v>455</v>
      </c>
      <c r="C582" s="11">
        <v>309</v>
      </c>
      <c r="D582" s="61">
        <v>137</v>
      </c>
      <c r="E582" s="61">
        <v>1.41024504153734E-3</v>
      </c>
      <c r="F582" s="61">
        <v>76</v>
      </c>
      <c r="G582" s="61">
        <v>0.27071206033003797</v>
      </c>
      <c r="H582" s="66">
        <v>96</v>
      </c>
      <c r="I582" s="66" t="str">
        <f>H582&amp;"/"&amp;451</f>
        <v>96/451</v>
      </c>
      <c r="J582" s="68">
        <f>H582/451</f>
        <v>0.21286031042128603</v>
      </c>
      <c r="K582" s="18" t="s">
        <v>44</v>
      </c>
      <c r="L582" s="18" t="s">
        <v>45</v>
      </c>
      <c r="M582" s="58" t="s">
        <v>65</v>
      </c>
      <c r="N582" s="18">
        <f>[1]!f_prt_stocktonav(C582,"2017/03/31")</f>
        <v>86.168006896972656</v>
      </c>
      <c r="O582" s="20" t="str">
        <f>[1]!f_info_fundmanager(C582)</f>
        <v>袁斌</v>
      </c>
      <c r="P582" s="21">
        <v>1.4602739726027398</v>
      </c>
      <c r="Q582" s="34" t="s">
        <v>2068</v>
      </c>
      <c r="R582" s="34" t="s">
        <v>2069</v>
      </c>
      <c r="S582" s="34" t="s">
        <v>378</v>
      </c>
      <c r="T582" s="34">
        <v>20131029</v>
      </c>
      <c r="U582" s="45">
        <v>15.912713502300001</v>
      </c>
      <c r="V582" s="46">
        <v>10.2718029497</v>
      </c>
      <c r="W582" s="34" t="s">
        <v>201</v>
      </c>
      <c r="X582" s="34" t="s">
        <v>44</v>
      </c>
      <c r="Y582" s="34" t="s">
        <v>45</v>
      </c>
      <c r="Z582" s="34" t="s">
        <v>337</v>
      </c>
      <c r="AA582" s="34"/>
      <c r="AB582" s="34"/>
      <c r="AC582" s="22">
        <v>0.91806465148925787</v>
      </c>
      <c r="AD582" s="23" t="s">
        <v>2070</v>
      </c>
      <c r="AE582" s="24">
        <v>1.2301369863013698</v>
      </c>
      <c r="AF582" s="25">
        <v>0.20462871629263149</v>
      </c>
      <c r="AG582" s="26">
        <v>0.23044481189668953</v>
      </c>
      <c r="AH582" s="26">
        <v>0</v>
      </c>
      <c r="AI582" s="27">
        <v>0.66516587013303297</v>
      </c>
      <c r="AJ582" s="27">
        <v>0.70369466005845982</v>
      </c>
      <c r="AK582" s="27">
        <v>0.66516587013303297</v>
      </c>
      <c r="AL582" s="28" t="s">
        <v>1206</v>
      </c>
      <c r="AM582" s="29" t="s">
        <v>48</v>
      </c>
      <c r="AN582" s="29" t="s">
        <v>48</v>
      </c>
      <c r="AO582" s="29" t="s">
        <v>48</v>
      </c>
      <c r="AP582" s="47" t="s">
        <v>2071</v>
      </c>
      <c r="AQ582" s="28">
        <v>0</v>
      </c>
      <c r="AR582" s="26">
        <v>1.4999999999999999E-2</v>
      </c>
      <c r="AS582" s="26">
        <v>0</v>
      </c>
    </row>
    <row r="583" spans="1:45" x14ac:dyDescent="0.15">
      <c r="A583" s="64">
        <v>62</v>
      </c>
      <c r="B583" s="64">
        <v>705</v>
      </c>
      <c r="C583" s="11">
        <v>2443</v>
      </c>
      <c r="D583" s="61">
        <v>138</v>
      </c>
      <c r="E583" s="61">
        <v>1.4088034011407601E-3</v>
      </c>
      <c r="F583" s="61">
        <v>37</v>
      </c>
      <c r="G583" s="61">
        <v>0.64037363907673195</v>
      </c>
      <c r="H583" s="66">
        <v>97</v>
      </c>
      <c r="I583" s="66" t="str">
        <f>H583&amp;"/"&amp;451</f>
        <v>97/451</v>
      </c>
      <c r="J583" s="68">
        <f>H583/451</f>
        <v>0.21507760532150777</v>
      </c>
      <c r="K583" s="18" t="s">
        <v>44</v>
      </c>
      <c r="L583" s="18" t="s">
        <v>45</v>
      </c>
      <c r="M583" s="58" t="s">
        <v>65</v>
      </c>
      <c r="N583" s="18">
        <f>[1]!f_prt_stocktonav(C583,"2017/03/31")</f>
        <v>79.847267150878906</v>
      </c>
      <c r="O583" s="20" t="str">
        <f>[1]!f_info_fundmanager(C583)</f>
        <v>曲扬</v>
      </c>
      <c r="P583" s="21">
        <v>0.73972602739726023</v>
      </c>
      <c r="Q583" s="34" t="s">
        <v>368</v>
      </c>
      <c r="R583" s="34" t="s">
        <v>369</v>
      </c>
      <c r="S583" s="34" t="s">
        <v>78</v>
      </c>
      <c r="T583" s="34">
        <v>20160704</v>
      </c>
      <c r="U583" s="45">
        <v>5.7008340966000004</v>
      </c>
      <c r="V583" s="46">
        <v>3.0676206574</v>
      </c>
      <c r="W583" s="34" t="s">
        <v>201</v>
      </c>
      <c r="X583" s="34" t="s">
        <v>44</v>
      </c>
      <c r="Y583" s="17" t="s">
        <v>45</v>
      </c>
      <c r="Z583" s="17" t="s">
        <v>65</v>
      </c>
      <c r="AA583" s="34"/>
      <c r="AB583" s="34"/>
      <c r="AC583" s="22">
        <v>0.85150886535644532</v>
      </c>
      <c r="AD583" s="23" t="s">
        <v>119</v>
      </c>
      <c r="AE583" s="24">
        <v>0.50958904109589043</v>
      </c>
      <c r="AF583" s="25">
        <v>0.18979824661283254</v>
      </c>
      <c r="AG583" s="26">
        <v>0</v>
      </c>
      <c r="AH583" s="26">
        <v>0</v>
      </c>
      <c r="AI583" s="27">
        <v>1.2254284331387719</v>
      </c>
      <c r="AJ583" s="27">
        <v>1.2254284331387719</v>
      </c>
      <c r="AK583" s="27">
        <v>1.2254284331387719</v>
      </c>
      <c r="AL583" s="28" t="s">
        <v>269</v>
      </c>
      <c r="AM583" s="29" t="s">
        <v>48</v>
      </c>
      <c r="AN583" s="29" t="s">
        <v>48</v>
      </c>
      <c r="AO583" s="29" t="s">
        <v>48</v>
      </c>
      <c r="AP583" s="47" t="s">
        <v>227</v>
      </c>
      <c r="AQ583" s="28">
        <v>0</v>
      </c>
      <c r="AR583" s="26">
        <v>1.4999999999999999E-2</v>
      </c>
      <c r="AS583" s="26">
        <v>0</v>
      </c>
    </row>
    <row r="584" spans="1:45" x14ac:dyDescent="0.15">
      <c r="A584" s="64">
        <v>38</v>
      </c>
      <c r="B584" s="64">
        <v>196</v>
      </c>
      <c r="C584" s="11">
        <v>3053</v>
      </c>
      <c r="D584" s="61">
        <v>139</v>
      </c>
      <c r="E584" s="61">
        <v>1.3986586480733E-3</v>
      </c>
      <c r="F584" s="61">
        <v>28</v>
      </c>
      <c r="G584" s="61">
        <v>0.38039284598268702</v>
      </c>
      <c r="H584" s="66">
        <v>98</v>
      </c>
      <c r="I584" s="66" t="str">
        <f>H584&amp;"/"&amp;451</f>
        <v>98/451</v>
      </c>
      <c r="J584" s="68">
        <f>H584/451</f>
        <v>0.21729490022172948</v>
      </c>
      <c r="K584" s="18" t="s">
        <v>44</v>
      </c>
      <c r="L584" s="18" t="s">
        <v>87</v>
      </c>
      <c r="M584" s="58" t="s">
        <v>65</v>
      </c>
      <c r="N584" s="18">
        <f>[1]!f_prt_stocktonav(C584,"2017/03/31")</f>
        <v>91.911514282226562</v>
      </c>
      <c r="O584" s="20" t="str">
        <f>[1]!f_info_fundmanager(C584)</f>
        <v>王凯</v>
      </c>
      <c r="P584" s="21">
        <v>0.56164383561643838</v>
      </c>
      <c r="Q584" s="34" t="s">
        <v>245</v>
      </c>
      <c r="R584" s="34" t="s">
        <v>246</v>
      </c>
      <c r="S584" s="34" t="s">
        <v>92</v>
      </c>
      <c r="T584" s="34">
        <v>20160907</v>
      </c>
      <c r="U584" s="45">
        <v>8.3052723556999997</v>
      </c>
      <c r="V584" s="46">
        <v>8.1036879899999992</v>
      </c>
      <c r="W584" s="34" t="s">
        <v>201</v>
      </c>
      <c r="X584" s="34" t="s">
        <v>41</v>
      </c>
      <c r="Y584" s="34" t="s">
        <v>42</v>
      </c>
      <c r="Z584" s="34" t="s">
        <v>43</v>
      </c>
      <c r="AA584" s="34"/>
      <c r="AB584" s="34"/>
      <c r="AC584" s="22">
        <v>0.22577220916748048</v>
      </c>
      <c r="AD584" s="23" t="s">
        <v>247</v>
      </c>
      <c r="AE584" s="24">
        <v>0.33150684931506852</v>
      </c>
      <c r="AF584" s="25">
        <v>-2.8046359553189237E-2</v>
      </c>
      <c r="AG584" s="26">
        <v>0</v>
      </c>
      <c r="AH584" s="26">
        <v>0</v>
      </c>
      <c r="AI584" s="27">
        <v>-1.7378284020398864</v>
      </c>
      <c r="AJ584" s="27">
        <v>-1.7378284020398864</v>
      </c>
      <c r="AK584" s="27">
        <v>-1.7378284020398864</v>
      </c>
      <c r="AL584" s="28" t="s">
        <v>248</v>
      </c>
      <c r="AM584" s="29" t="s">
        <v>48</v>
      </c>
      <c r="AN584" s="29" t="s">
        <v>48</v>
      </c>
      <c r="AO584" s="29" t="s">
        <v>48</v>
      </c>
      <c r="AP584" s="47" t="s">
        <v>249</v>
      </c>
      <c r="AQ584" s="28">
        <v>0</v>
      </c>
      <c r="AR584" s="26">
        <v>1.4999999999999999E-2</v>
      </c>
      <c r="AS584" s="26">
        <v>0</v>
      </c>
    </row>
    <row r="585" spans="1:45" x14ac:dyDescent="0.15">
      <c r="A585" s="64">
        <v>532</v>
      </c>
      <c r="B585" s="64">
        <v>905</v>
      </c>
      <c r="C585" s="11">
        <v>400018</v>
      </c>
      <c r="D585" s="61">
        <v>140</v>
      </c>
      <c r="E585" s="61">
        <v>1.3814687250584101E-3</v>
      </c>
      <c r="F585" s="61">
        <v>67</v>
      </c>
      <c r="G585" s="61">
        <v>0.30234408712805699</v>
      </c>
      <c r="H585" s="66">
        <v>99</v>
      </c>
      <c r="I585" s="66" t="str">
        <f>H585&amp;"/"&amp;451</f>
        <v>99/451</v>
      </c>
      <c r="J585" s="68">
        <f>H585/451</f>
        <v>0.21951219512195122</v>
      </c>
      <c r="K585" s="18" t="s">
        <v>44</v>
      </c>
      <c r="L585" s="18" t="s">
        <v>64</v>
      </c>
      <c r="M585" s="58" t="s">
        <v>65</v>
      </c>
      <c r="N585" s="18">
        <f>[1]!f_prt_stocktonav(C585,"2017/03/31")</f>
        <v>72.248451232910156</v>
      </c>
      <c r="O585" s="20" t="str">
        <f>[1]!f_info_fundmanager(C585)</f>
        <v>刘志刚</v>
      </c>
      <c r="P585" s="21">
        <v>1.3260273972602741</v>
      </c>
      <c r="Q585" s="34" t="s">
        <v>2211</v>
      </c>
      <c r="R585" s="34" t="s">
        <v>2212</v>
      </c>
      <c r="S585" s="34" t="s">
        <v>252</v>
      </c>
      <c r="T585" s="34">
        <v>20121219</v>
      </c>
      <c r="U585" s="45">
        <v>0.51779123940000005</v>
      </c>
      <c r="V585" s="46">
        <v>0.12572928650000001</v>
      </c>
      <c r="W585" s="34" t="s">
        <v>3789</v>
      </c>
      <c r="X585" s="34" t="s">
        <v>41</v>
      </c>
      <c r="Y585" s="17" t="s">
        <v>42</v>
      </c>
      <c r="Z585" s="17" t="s">
        <v>181</v>
      </c>
      <c r="AA585" s="34"/>
      <c r="AB585" s="34"/>
      <c r="AC585" s="22">
        <v>0.30535528182983396</v>
      </c>
      <c r="AD585" s="23" t="s">
        <v>2213</v>
      </c>
      <c r="AE585" s="24">
        <v>1.095890410958904</v>
      </c>
      <c r="AF585" s="25">
        <v>4.6212706205105647E-2</v>
      </c>
      <c r="AG585" s="26">
        <v>0</v>
      </c>
      <c r="AH585" s="26">
        <v>0</v>
      </c>
      <c r="AI585" s="27">
        <v>0.34628822411991256</v>
      </c>
      <c r="AJ585" s="27">
        <v>0.34628822411991256</v>
      </c>
      <c r="AK585" s="27">
        <v>0.34628822411991256</v>
      </c>
      <c r="AL585" s="28" t="s">
        <v>254</v>
      </c>
      <c r="AM585" s="29" t="s">
        <v>48</v>
      </c>
      <c r="AN585" s="29" t="s">
        <v>48</v>
      </c>
      <c r="AO585" s="29" t="s">
        <v>48</v>
      </c>
      <c r="AP585" s="47" t="s">
        <v>2214</v>
      </c>
      <c r="AQ585" s="28">
        <v>0</v>
      </c>
      <c r="AR585" s="26">
        <v>0.01</v>
      </c>
      <c r="AS585" s="26">
        <v>0</v>
      </c>
    </row>
    <row r="586" spans="1:45" x14ac:dyDescent="0.15">
      <c r="A586" s="64">
        <v>726</v>
      </c>
      <c r="B586" s="64">
        <v>488</v>
      </c>
      <c r="C586" s="11">
        <v>519185</v>
      </c>
      <c r="D586" s="61">
        <v>141</v>
      </c>
      <c r="E586" s="61">
        <v>1.37940770051646E-3</v>
      </c>
      <c r="F586" s="61">
        <v>100</v>
      </c>
      <c r="G586" s="61">
        <v>0.39937935450364498</v>
      </c>
      <c r="H586" s="66">
        <v>100</v>
      </c>
      <c r="I586" s="66" t="str">
        <f>H586&amp;"/"&amp;451</f>
        <v>100/451</v>
      </c>
      <c r="J586" s="68">
        <f>H586/451</f>
        <v>0.22172949002217296</v>
      </c>
      <c r="K586" s="18" t="s">
        <v>44</v>
      </c>
      <c r="L586" s="18" t="s">
        <v>45</v>
      </c>
      <c r="M586" s="58" t="s">
        <v>65</v>
      </c>
      <c r="N586" s="18">
        <f>[1]!f_prt_stocktonav(C586,"2017/03/31")</f>
        <v>85.564407348632813</v>
      </c>
      <c r="O586" s="20" t="str">
        <f>[1]!f_info_fundmanager(C586)</f>
        <v>莫海波</v>
      </c>
      <c r="P586" s="21">
        <v>1.904109589041096</v>
      </c>
      <c r="Q586" s="34" t="s">
        <v>2868</v>
      </c>
      <c r="R586" s="34" t="s">
        <v>2869</v>
      </c>
      <c r="S586" s="34" t="s">
        <v>718</v>
      </c>
      <c r="T586" s="34">
        <v>20090518</v>
      </c>
      <c r="U586" s="45">
        <v>14.7695262913</v>
      </c>
      <c r="V586" s="46">
        <v>5.1785688578000002</v>
      </c>
      <c r="W586" s="34" t="s">
        <v>3776</v>
      </c>
      <c r="X586" s="34" t="s">
        <v>44</v>
      </c>
      <c r="Y586" s="34" t="s">
        <v>45</v>
      </c>
      <c r="Z586" s="34" t="s">
        <v>65</v>
      </c>
      <c r="AA586" s="34"/>
      <c r="AB586" s="34"/>
      <c r="AC586" s="22">
        <v>0.94634872436523443</v>
      </c>
      <c r="AD586" s="23" t="s">
        <v>719</v>
      </c>
      <c r="AE586" s="24">
        <v>1.6739726027397259</v>
      </c>
      <c r="AF586" s="25">
        <v>0.11211164968149134</v>
      </c>
      <c r="AG586" s="26">
        <v>0.24268571551730234</v>
      </c>
      <c r="AH586" s="26">
        <v>0.23946111349911844</v>
      </c>
      <c r="AI586" s="27">
        <v>0.50179235742262884</v>
      </c>
      <c r="AJ586" s="27">
        <v>0.81047360149084646</v>
      </c>
      <c r="AK586" s="27">
        <v>0.89244688052624099</v>
      </c>
      <c r="AL586" s="28" t="s">
        <v>1459</v>
      </c>
      <c r="AM586" s="29">
        <v>5</v>
      </c>
      <c r="AN586" s="29">
        <v>4</v>
      </c>
      <c r="AO586" s="29" t="s">
        <v>48</v>
      </c>
      <c r="AP586" s="47" t="s">
        <v>2870</v>
      </c>
      <c r="AQ586" s="28">
        <v>0</v>
      </c>
      <c r="AR586" s="26">
        <v>1.4999999999999999E-2</v>
      </c>
      <c r="AS586" s="26">
        <v>0</v>
      </c>
    </row>
    <row r="587" spans="1:45" x14ac:dyDescent="0.15">
      <c r="A587" s="64">
        <v>436</v>
      </c>
      <c r="B587" s="64">
        <v>758</v>
      </c>
      <c r="C587" s="11">
        <v>652</v>
      </c>
      <c r="D587" s="61">
        <v>142</v>
      </c>
      <c r="E587" s="61">
        <v>1.36869114417487E-3</v>
      </c>
      <c r="F587" s="61">
        <v>84</v>
      </c>
      <c r="G587" s="61">
        <v>0.33339151854374899</v>
      </c>
      <c r="H587" s="66">
        <v>101</v>
      </c>
      <c r="I587" s="66" t="str">
        <f>H587&amp;"/"&amp;451</f>
        <v>101/451</v>
      </c>
      <c r="J587" s="68">
        <f>H587/451</f>
        <v>0.22394678492239467</v>
      </c>
      <c r="K587" s="18" t="s">
        <v>44</v>
      </c>
      <c r="L587" s="18" t="s">
        <v>45</v>
      </c>
      <c r="M587" s="58" t="s">
        <v>65</v>
      </c>
      <c r="N587" s="18">
        <f>[1]!f_prt_stocktonav(C587,"2017/03/31")</f>
        <v>77.994651794433594</v>
      </c>
      <c r="O587" s="20" t="str">
        <f>[1]!f_info_fundmanager(C587)</f>
        <v>陈鹏扬</v>
      </c>
      <c r="P587" s="21">
        <v>1.6027397260273972</v>
      </c>
      <c r="Q587" s="34" t="s">
        <v>1866</v>
      </c>
      <c r="R587" s="34" t="s">
        <v>1867</v>
      </c>
      <c r="S587" s="34" t="s">
        <v>413</v>
      </c>
      <c r="T587" s="34">
        <v>20140603</v>
      </c>
      <c r="U587" s="45">
        <v>12.361364551699999</v>
      </c>
      <c r="V587" s="46">
        <v>8.5988849741000006</v>
      </c>
      <c r="W587" s="34" t="s">
        <v>1235</v>
      </c>
      <c r="X587" s="34" t="s">
        <v>44</v>
      </c>
      <c r="Y587" s="34" t="s">
        <v>45</v>
      </c>
      <c r="Z587" s="34" t="s">
        <v>65</v>
      </c>
      <c r="AA587" s="34"/>
      <c r="AB587" s="34"/>
      <c r="AC587" s="22">
        <v>0.81718132019042966</v>
      </c>
      <c r="AD587" s="23" t="s">
        <v>435</v>
      </c>
      <c r="AE587" s="24">
        <v>1.3726027397260274</v>
      </c>
      <c r="AF587" s="25">
        <v>0.309652643573606</v>
      </c>
      <c r="AG587" s="26">
        <v>0</v>
      </c>
      <c r="AH587" s="26">
        <v>0</v>
      </c>
      <c r="AI587" s="27">
        <v>0.87727625556281286</v>
      </c>
      <c r="AJ587" s="27">
        <v>0.87727625556281286</v>
      </c>
      <c r="AK587" s="27">
        <v>0.87727625556281286</v>
      </c>
      <c r="AL587" s="28" t="s">
        <v>1868</v>
      </c>
      <c r="AM587" s="29">
        <v>1</v>
      </c>
      <c r="AN587" s="29">
        <v>3</v>
      </c>
      <c r="AO587" s="29" t="s">
        <v>48</v>
      </c>
      <c r="AP587" s="47" t="s">
        <v>1869</v>
      </c>
      <c r="AQ587" s="28">
        <v>0</v>
      </c>
      <c r="AR587" s="26">
        <v>1.4999999999999999E-2</v>
      </c>
      <c r="AS587" s="26">
        <v>0</v>
      </c>
    </row>
    <row r="588" spans="1:45" x14ac:dyDescent="0.15">
      <c r="A588" s="64">
        <v>221</v>
      </c>
      <c r="B588" s="64">
        <v>85</v>
      </c>
      <c r="C588" s="11">
        <v>1302</v>
      </c>
      <c r="D588" s="61">
        <v>143</v>
      </c>
      <c r="E588" s="61">
        <v>1.3670649755571499E-3</v>
      </c>
      <c r="F588" s="61">
        <v>88</v>
      </c>
      <c r="G588" s="61">
        <v>0.62705140430988704</v>
      </c>
      <c r="H588" s="66">
        <v>102</v>
      </c>
      <c r="I588" s="66" t="str">
        <f>H588&amp;"/"&amp;451</f>
        <v>102/451</v>
      </c>
      <c r="J588" s="68">
        <f>H588/451</f>
        <v>0.22616407982261641</v>
      </c>
      <c r="K588" s="18" t="s">
        <v>44</v>
      </c>
      <c r="L588" s="18" t="s">
        <v>87</v>
      </c>
      <c r="M588" s="58" t="s">
        <v>65</v>
      </c>
      <c r="N588" s="18">
        <f>[1]!f_prt_stocktonav(C588,"2017/03/31")</f>
        <v>93.86004638671875</v>
      </c>
      <c r="O588" s="20" t="str">
        <f>[1]!f_info_fundmanager(C588)</f>
        <v>谢屹</v>
      </c>
      <c r="P588" s="21">
        <v>1.7287671232876711</v>
      </c>
      <c r="Q588" s="34" t="s">
        <v>1035</v>
      </c>
      <c r="R588" s="34" t="s">
        <v>1036</v>
      </c>
      <c r="S588" s="34" t="s">
        <v>78</v>
      </c>
      <c r="T588" s="34">
        <v>20150709</v>
      </c>
      <c r="U588" s="45">
        <v>19.4485376503</v>
      </c>
      <c r="V588" s="46">
        <v>8.0206967921000007</v>
      </c>
      <c r="W588" s="34" t="s">
        <v>3789</v>
      </c>
      <c r="X588" s="34" t="s">
        <v>44</v>
      </c>
      <c r="Y588" s="34" t="s">
        <v>87</v>
      </c>
      <c r="Z588" s="34" t="s">
        <v>65</v>
      </c>
      <c r="AA588" s="34" t="s">
        <v>3794</v>
      </c>
      <c r="AB588" s="34"/>
      <c r="AC588" s="22">
        <v>0.95182632446289062</v>
      </c>
      <c r="AD588" s="23" t="s">
        <v>464</v>
      </c>
      <c r="AE588" s="24">
        <v>1.4986301369863013</v>
      </c>
      <c r="AF588" s="25">
        <v>0.10126380531175716</v>
      </c>
      <c r="AG588" s="26">
        <v>0</v>
      </c>
      <c r="AH588" s="26">
        <v>0</v>
      </c>
      <c r="AI588" s="27">
        <v>0.53108188425507963</v>
      </c>
      <c r="AJ588" s="27">
        <v>0.53108188425507963</v>
      </c>
      <c r="AK588" s="27">
        <v>0.53108188425507963</v>
      </c>
      <c r="AL588" s="33" t="s">
        <v>226</v>
      </c>
      <c r="AM588" s="29" t="s">
        <v>48</v>
      </c>
      <c r="AN588" s="29" t="s">
        <v>48</v>
      </c>
      <c r="AO588" s="29" t="s">
        <v>48</v>
      </c>
      <c r="AP588" s="47" t="s">
        <v>270</v>
      </c>
      <c r="AQ588" s="28">
        <v>0</v>
      </c>
      <c r="AR588" s="26">
        <v>1.4999999999999999E-2</v>
      </c>
      <c r="AS588" s="26">
        <v>0</v>
      </c>
    </row>
    <row r="589" spans="1:45" x14ac:dyDescent="0.15">
      <c r="A589" s="64">
        <v>105</v>
      </c>
      <c r="B589" s="64">
        <v>547</v>
      </c>
      <c r="C589" s="11">
        <v>2160</v>
      </c>
      <c r="D589" s="61">
        <v>144</v>
      </c>
      <c r="E589" s="61">
        <v>1.3507719219744199E-3</v>
      </c>
      <c r="F589" s="61">
        <v>52</v>
      </c>
      <c r="G589" s="61">
        <v>0.285939697711937</v>
      </c>
      <c r="H589" s="66">
        <v>103</v>
      </c>
      <c r="I589" s="66" t="str">
        <f>H589&amp;"/"&amp;451</f>
        <v>103/451</v>
      </c>
      <c r="J589" s="68">
        <f>H589/451</f>
        <v>0.22838137472283815</v>
      </c>
      <c r="K589" s="18" t="s">
        <v>44</v>
      </c>
      <c r="L589" s="18" t="s">
        <v>45</v>
      </c>
      <c r="M589" s="58" t="s">
        <v>65</v>
      </c>
      <c r="N589" s="18">
        <f>[1]!f_prt_stocktonav(C589,"2017/03/31")</f>
        <v>84.087394714355469</v>
      </c>
      <c r="O589" s="20" t="str">
        <f>[1]!f_info_fundmanager(C589)</f>
        <v>应帅</v>
      </c>
      <c r="P589" s="21">
        <v>1.021917808219178</v>
      </c>
      <c r="Q589" s="34" t="s">
        <v>560</v>
      </c>
      <c r="R589" s="34" t="s">
        <v>561</v>
      </c>
      <c r="S589" s="34" t="s">
        <v>284</v>
      </c>
      <c r="T589" s="34">
        <v>20160323</v>
      </c>
      <c r="U589" s="45">
        <v>1.3828620978999999</v>
      </c>
      <c r="V589" s="46">
        <v>2.0445907597000001</v>
      </c>
      <c r="W589" s="34" t="s">
        <v>3778</v>
      </c>
      <c r="X589" s="34" t="s">
        <v>44</v>
      </c>
      <c r="Y589" s="34" t="s">
        <v>45</v>
      </c>
      <c r="Z589" s="34" t="s">
        <v>65</v>
      </c>
      <c r="AA589" s="34"/>
      <c r="AB589" s="34"/>
      <c r="AC589" s="22">
        <v>0.77922256469726559</v>
      </c>
      <c r="AD589" s="23" t="s">
        <v>562</v>
      </c>
      <c r="AE589" s="24">
        <v>0.79178082191780819</v>
      </c>
      <c r="AF589" s="25">
        <v>9.6092110438016132E-2</v>
      </c>
      <c r="AG589" s="26">
        <v>0</v>
      </c>
      <c r="AH589" s="26">
        <v>0</v>
      </c>
      <c r="AI589" s="27">
        <v>1.3385222404260053</v>
      </c>
      <c r="AJ589" s="27">
        <v>1.3385222404260053</v>
      </c>
      <c r="AK589" s="27">
        <v>1.3385222404260053</v>
      </c>
      <c r="AL589" s="28" t="s">
        <v>323</v>
      </c>
      <c r="AM589" s="29" t="s">
        <v>48</v>
      </c>
      <c r="AN589" s="29" t="s">
        <v>48</v>
      </c>
      <c r="AO589" s="29" t="s">
        <v>48</v>
      </c>
      <c r="AP589" s="47" t="s">
        <v>287</v>
      </c>
      <c r="AQ589" s="28">
        <v>0</v>
      </c>
      <c r="AR589" s="26">
        <v>1.4999999999999999E-2</v>
      </c>
      <c r="AS589" s="26">
        <v>0</v>
      </c>
    </row>
    <row r="590" spans="1:45" x14ac:dyDescent="0.15">
      <c r="A590" s="64">
        <v>170</v>
      </c>
      <c r="B590" s="64">
        <v>583</v>
      </c>
      <c r="C590" s="11">
        <v>1677</v>
      </c>
      <c r="D590" s="61">
        <v>145</v>
      </c>
      <c r="E590" s="61">
        <v>1.3488106329176E-3</v>
      </c>
      <c r="F590" s="61">
        <v>68</v>
      </c>
      <c r="G590" s="61">
        <v>0.32910390062712302</v>
      </c>
      <c r="H590" s="66">
        <v>104</v>
      </c>
      <c r="I590" s="66" t="str">
        <f>H590&amp;"/"&amp;451</f>
        <v>104/451</v>
      </c>
      <c r="J590" s="68">
        <f>H590/451</f>
        <v>0.23059866962305986</v>
      </c>
      <c r="K590" s="18" t="s">
        <v>44</v>
      </c>
      <c r="L590" s="18" t="s">
        <v>45</v>
      </c>
      <c r="M590" s="58" t="s">
        <v>65</v>
      </c>
      <c r="N590" s="18">
        <f>[1]!f_prt_stocktonav(C590,"2017/03/31")</f>
        <v>83.234878540039063</v>
      </c>
      <c r="O590" s="20" t="str">
        <f>[1]!f_info_fundmanager(C590)</f>
        <v>钱亚风云</v>
      </c>
      <c r="P590" s="21">
        <v>1.3452054794520547</v>
      </c>
      <c r="Q590" s="34" t="s">
        <v>841</v>
      </c>
      <c r="R590" s="34" t="s">
        <v>842</v>
      </c>
      <c r="S590" s="34" t="s">
        <v>71</v>
      </c>
      <c r="T590" s="34">
        <v>20151126</v>
      </c>
      <c r="U590" s="45">
        <v>1.2047758180000001</v>
      </c>
      <c r="V590" s="46">
        <v>1.4780961956000001</v>
      </c>
      <c r="W590" s="34" t="s">
        <v>3789</v>
      </c>
      <c r="X590" s="34" t="s">
        <v>44</v>
      </c>
      <c r="Y590" s="34" t="s">
        <v>45</v>
      </c>
      <c r="Z590" s="34" t="s">
        <v>817</v>
      </c>
      <c r="AA590" s="34"/>
      <c r="AB590" s="34"/>
      <c r="AC590" s="22">
        <v>0.87447784423828123</v>
      </c>
      <c r="AD590" s="23" t="s">
        <v>843</v>
      </c>
      <c r="AE590" s="24">
        <v>1.1150684931506849</v>
      </c>
      <c r="AF590" s="25">
        <v>3.9870621093146319E-2</v>
      </c>
      <c r="AG590" s="26">
        <v>0</v>
      </c>
      <c r="AH590" s="26">
        <v>0</v>
      </c>
      <c r="AI590" s="27">
        <v>0.32071420111382187</v>
      </c>
      <c r="AJ590" s="27">
        <v>0.32071420111382187</v>
      </c>
      <c r="AK590" s="27">
        <v>0.32071420111382187</v>
      </c>
      <c r="AL590" s="28" t="s">
        <v>844</v>
      </c>
      <c r="AM590" s="29" t="s">
        <v>48</v>
      </c>
      <c r="AN590" s="29" t="s">
        <v>48</v>
      </c>
      <c r="AO590" s="29" t="s">
        <v>48</v>
      </c>
      <c r="AP590" s="47" t="s">
        <v>845</v>
      </c>
      <c r="AQ590" s="28">
        <v>0</v>
      </c>
      <c r="AR590" s="26">
        <v>1.4999999999999999E-2</v>
      </c>
      <c r="AS590" s="26">
        <v>0</v>
      </c>
    </row>
    <row r="591" spans="1:45" x14ac:dyDescent="0.15">
      <c r="A591" s="64">
        <v>179</v>
      </c>
      <c r="B591" s="64">
        <v>87</v>
      </c>
      <c r="C591" s="11">
        <v>1815</v>
      </c>
      <c r="D591" s="61">
        <v>146</v>
      </c>
      <c r="E591" s="61">
        <v>1.3393481629516101E-3</v>
      </c>
      <c r="F591" s="61">
        <v>72</v>
      </c>
      <c r="G591" s="61">
        <v>0.19995649814262001</v>
      </c>
      <c r="H591" s="66">
        <v>105</v>
      </c>
      <c r="I591" s="66" t="str">
        <f>H591&amp;"/"&amp;451</f>
        <v>105/451</v>
      </c>
      <c r="J591" s="68">
        <f>H591/451</f>
        <v>0.2328159645232816</v>
      </c>
      <c r="K591" s="18" t="s">
        <v>44</v>
      </c>
      <c r="L591" s="18" t="s">
        <v>45</v>
      </c>
      <c r="M591" s="58" t="s">
        <v>65</v>
      </c>
      <c r="N591" s="18">
        <f>[1]!f_prt_stocktonav(C591,"2017/03/31")</f>
        <v>93.821296691894531</v>
      </c>
      <c r="O591" s="20" t="str">
        <f>[1]!f_info_fundmanager(C591)</f>
        <v>徐晓杰</v>
      </c>
      <c r="P591" s="21">
        <v>1.4246575342465753</v>
      </c>
      <c r="Q591" s="34" t="s">
        <v>878</v>
      </c>
      <c r="R591" s="34" t="s">
        <v>879</v>
      </c>
      <c r="S591" s="34" t="s">
        <v>880</v>
      </c>
      <c r="T591" s="34">
        <v>20151028</v>
      </c>
      <c r="U591" s="45">
        <v>1.1638986535</v>
      </c>
      <c r="V591" s="46">
        <v>1.5962966451</v>
      </c>
      <c r="W591" s="34" t="s">
        <v>3789</v>
      </c>
      <c r="X591" s="34" t="s">
        <v>44</v>
      </c>
      <c r="Y591" s="34" t="s">
        <v>45</v>
      </c>
      <c r="Z591" s="34" t="s">
        <v>65</v>
      </c>
      <c r="AA591" s="34"/>
      <c r="AB591" s="34"/>
      <c r="AC591" s="22">
        <v>0.83842300415039062</v>
      </c>
      <c r="AD591" s="23" t="s">
        <v>881</v>
      </c>
      <c r="AE591" s="24">
        <v>1.1945205479452055</v>
      </c>
      <c r="AF591" s="25">
        <v>2.6191318008822462E-2</v>
      </c>
      <c r="AG591" s="26">
        <v>0</v>
      </c>
      <c r="AH591" s="26">
        <v>0</v>
      </c>
      <c r="AI591" s="27">
        <v>0.30960273752158102</v>
      </c>
      <c r="AJ591" s="27">
        <v>0.30960273752158102</v>
      </c>
      <c r="AK591" s="27">
        <v>0.30960273752158102</v>
      </c>
      <c r="AL591" s="28" t="s">
        <v>882</v>
      </c>
      <c r="AM591" s="29" t="s">
        <v>48</v>
      </c>
      <c r="AN591" s="29" t="s">
        <v>48</v>
      </c>
      <c r="AO591" s="29" t="s">
        <v>48</v>
      </c>
      <c r="AP591" s="47" t="s">
        <v>405</v>
      </c>
      <c r="AQ591" s="28">
        <v>0</v>
      </c>
      <c r="AR591" s="26">
        <v>1.4999999999999999E-2</v>
      </c>
      <c r="AS591" s="26">
        <v>0</v>
      </c>
    </row>
    <row r="592" spans="1:45" x14ac:dyDescent="0.15">
      <c r="A592" s="64">
        <v>704</v>
      </c>
      <c r="B592" s="64">
        <v>284</v>
      </c>
      <c r="C592" s="11">
        <v>233006</v>
      </c>
      <c r="D592" s="61">
        <v>147</v>
      </c>
      <c r="E592" s="61">
        <v>1.3287088553687401E-3</v>
      </c>
      <c r="F592" s="61">
        <v>10</v>
      </c>
      <c r="G592" s="61">
        <v>0.600238078013693</v>
      </c>
      <c r="H592" s="66">
        <v>106</v>
      </c>
      <c r="I592" s="66" t="str">
        <f>H592&amp;"/"&amp;451</f>
        <v>106/451</v>
      </c>
      <c r="J592" s="68">
        <f>H592/451</f>
        <v>0.23503325942350334</v>
      </c>
      <c r="K592" s="18" t="s">
        <v>44</v>
      </c>
      <c r="L592" s="18" t="s">
        <v>45</v>
      </c>
      <c r="M592" s="58" t="s">
        <v>65</v>
      </c>
      <c r="N592" s="18">
        <f>[1]!f_prt_stocktonav(C592,"2017/03/31")</f>
        <v>89.726593017578125</v>
      </c>
      <c r="O592" s="20" t="str">
        <f>[1]!f_info_fundmanager(C592)</f>
        <v>徐达</v>
      </c>
      <c r="P592" s="21">
        <v>0.18904109589041096</v>
      </c>
      <c r="Q592" s="34" t="s">
        <v>2794</v>
      </c>
      <c r="R592" s="34" t="s">
        <v>2795</v>
      </c>
      <c r="S592" s="34" t="s">
        <v>378</v>
      </c>
      <c r="T592" s="34">
        <v>20090922</v>
      </c>
      <c r="U592" s="45">
        <v>4.8497992160000001</v>
      </c>
      <c r="V592" s="46">
        <v>5.5283521597999998</v>
      </c>
      <c r="W592" s="34" t="s">
        <v>3776</v>
      </c>
      <c r="X592" s="34" t="s">
        <v>44</v>
      </c>
      <c r="Y592" s="34" t="s">
        <v>45</v>
      </c>
      <c r="Z592" s="34" t="s">
        <v>274</v>
      </c>
      <c r="AA592" s="34"/>
      <c r="AB592" s="34"/>
      <c r="AC592" s="22">
        <v>0.83463836669921876</v>
      </c>
      <c r="AD592" s="23" t="s">
        <v>2367</v>
      </c>
      <c r="AE592" s="24">
        <v>2.4136986301369863</v>
      </c>
      <c r="AF592" s="25">
        <v>9.0132644998322645E-2</v>
      </c>
      <c r="AG592" s="26">
        <v>0.1946632802990429</v>
      </c>
      <c r="AH592" s="26">
        <v>0.15157519912168915</v>
      </c>
      <c r="AI592" s="27">
        <v>0.40663527907938507</v>
      </c>
      <c r="AJ592" s="27">
        <v>0.66014082787949424</v>
      </c>
      <c r="AK592" s="27">
        <v>0.58613496981860158</v>
      </c>
      <c r="AL592" s="28" t="s">
        <v>167</v>
      </c>
      <c r="AM592" s="29">
        <v>3</v>
      </c>
      <c r="AN592" s="29">
        <v>3</v>
      </c>
      <c r="AO592" s="29" t="s">
        <v>48</v>
      </c>
      <c r="AP592" s="47" t="s">
        <v>2368</v>
      </c>
      <c r="AQ592" s="28">
        <v>0</v>
      </c>
      <c r="AR592" s="26">
        <v>1.4999999999999999E-2</v>
      </c>
      <c r="AS592" s="26">
        <v>0</v>
      </c>
    </row>
    <row r="593" spans="1:45" x14ac:dyDescent="0.15">
      <c r="A593" s="64">
        <v>98</v>
      </c>
      <c r="B593" s="64">
        <v>163</v>
      </c>
      <c r="C593" s="11">
        <v>2340</v>
      </c>
      <c r="D593" s="61">
        <v>148</v>
      </c>
      <c r="E593" s="61">
        <v>1.3241933052404501E-3</v>
      </c>
      <c r="F593" s="61">
        <v>50</v>
      </c>
      <c r="G593" s="61">
        <v>0.42818514294415799</v>
      </c>
      <c r="H593" s="66">
        <v>107</v>
      </c>
      <c r="I593" s="66" t="str">
        <f>H593&amp;"/"&amp;451</f>
        <v>107/451</v>
      </c>
      <c r="J593" s="68">
        <f>H593/451</f>
        <v>0.23725055432372505</v>
      </c>
      <c r="K593" s="18" t="s">
        <v>44</v>
      </c>
      <c r="L593" s="18" t="s">
        <v>45</v>
      </c>
      <c r="M593" s="58" t="s">
        <v>65</v>
      </c>
      <c r="N593" s="18">
        <f>[1]!f_prt_stocktonav(C593,"2017/03/31")</f>
        <v>92.521286010742188</v>
      </c>
      <c r="O593" s="20" t="str">
        <f>[1]!f_info_fundmanager(C593)</f>
        <v>王海军</v>
      </c>
      <c r="P593" s="21">
        <v>0.9780821917808219</v>
      </c>
      <c r="Q593" s="34" t="s">
        <v>531</v>
      </c>
      <c r="R593" s="34" t="s">
        <v>532</v>
      </c>
      <c r="S593" s="34" t="s">
        <v>396</v>
      </c>
      <c r="T593" s="34">
        <v>20160408</v>
      </c>
      <c r="U593" s="45">
        <v>0.91871327439999995</v>
      </c>
      <c r="V593" s="46">
        <v>1.1486604052</v>
      </c>
      <c r="W593" s="34" t="s">
        <v>3776</v>
      </c>
      <c r="X593" s="34" t="s">
        <v>44</v>
      </c>
      <c r="Y593" s="34" t="s">
        <v>45</v>
      </c>
      <c r="Z593" s="34" t="s">
        <v>65</v>
      </c>
      <c r="AA593" s="34"/>
      <c r="AB593" s="34"/>
      <c r="AC593" s="22">
        <v>0.94352920532226559</v>
      </c>
      <c r="AD593" s="23" t="s">
        <v>533</v>
      </c>
      <c r="AE593" s="24">
        <v>0.74794520547945209</v>
      </c>
      <c r="AF593" s="25">
        <v>0.14990111361533076</v>
      </c>
      <c r="AG593" s="26">
        <v>0</v>
      </c>
      <c r="AH593" s="26">
        <v>0</v>
      </c>
      <c r="AI593" s="27">
        <v>1.2634413767806167</v>
      </c>
      <c r="AJ593" s="27">
        <v>1.2634413767806167</v>
      </c>
      <c r="AK593" s="27">
        <v>1.2634413767806167</v>
      </c>
      <c r="AL593" s="28" t="s">
        <v>534</v>
      </c>
      <c r="AM593" s="29" t="s">
        <v>48</v>
      </c>
      <c r="AN593" s="29" t="s">
        <v>48</v>
      </c>
      <c r="AO593" s="29" t="s">
        <v>48</v>
      </c>
      <c r="AP593" s="47" t="s">
        <v>399</v>
      </c>
      <c r="AQ593" s="28">
        <v>0</v>
      </c>
      <c r="AR593" s="26">
        <v>1.4999999999999999E-2</v>
      </c>
      <c r="AS593" s="26">
        <v>0</v>
      </c>
    </row>
    <row r="594" spans="1:45" x14ac:dyDescent="0.15">
      <c r="A594" s="64">
        <v>177</v>
      </c>
      <c r="B594" s="64">
        <v>172</v>
      </c>
      <c r="C594" s="11">
        <v>1543</v>
      </c>
      <c r="D594" s="61">
        <v>150</v>
      </c>
      <c r="E594" s="61">
        <v>1.3015405153655301E-3</v>
      </c>
      <c r="F594" s="61">
        <v>12</v>
      </c>
      <c r="G594" s="61">
        <v>0.68517698498062496</v>
      </c>
      <c r="H594" s="66">
        <v>108</v>
      </c>
      <c r="I594" s="66" t="str">
        <f>H594&amp;"/"&amp;451</f>
        <v>108/451</v>
      </c>
      <c r="J594" s="68">
        <f>H594/451</f>
        <v>0.23946784922394679</v>
      </c>
      <c r="K594" s="18" t="s">
        <v>44</v>
      </c>
      <c r="L594" s="18" t="s">
        <v>45</v>
      </c>
      <c r="M594" s="58" t="s">
        <v>65</v>
      </c>
      <c r="N594" s="18">
        <f>[1]!f_prt_stocktonav(C594,"2017/03/31")</f>
        <v>92.299598693847656</v>
      </c>
      <c r="O594" s="20" t="str">
        <f>[1]!f_info_fundmanager(C594)</f>
        <v>肖肖</v>
      </c>
      <c r="P594" s="21">
        <v>0.22739726027397261</v>
      </c>
      <c r="Q594" s="34" t="s">
        <v>871</v>
      </c>
      <c r="R594" s="34" t="s">
        <v>872</v>
      </c>
      <c r="S594" s="34" t="s">
        <v>402</v>
      </c>
      <c r="T594" s="34">
        <v>20151104</v>
      </c>
      <c r="U594" s="45">
        <v>0.91025683830000004</v>
      </c>
      <c r="V594" s="46">
        <v>1.1061919456</v>
      </c>
      <c r="W594" s="34" t="s">
        <v>3789</v>
      </c>
      <c r="X594" s="34" t="s">
        <v>41</v>
      </c>
      <c r="Y594" s="34" t="s">
        <v>42</v>
      </c>
      <c r="Z594" s="34" t="s">
        <v>388</v>
      </c>
      <c r="AA594" s="34"/>
      <c r="AB594" s="34"/>
      <c r="AC594" s="22">
        <v>0.1805947494506836</v>
      </c>
      <c r="AD594" s="23" t="s">
        <v>873</v>
      </c>
      <c r="AE594" s="24">
        <v>1.1753424657534246</v>
      </c>
      <c r="AF594" s="25">
        <v>2.0626188846985194E-2</v>
      </c>
      <c r="AG594" s="26">
        <v>0</v>
      </c>
      <c r="AH594" s="26">
        <v>0</v>
      </c>
      <c r="AI594" s="27">
        <v>0.10121841359826228</v>
      </c>
      <c r="AJ594" s="27">
        <v>0.10121841359826228</v>
      </c>
      <c r="AK594" s="27">
        <v>0.10121841359826228</v>
      </c>
      <c r="AL594" s="28" t="s">
        <v>874</v>
      </c>
      <c r="AM594" s="29" t="s">
        <v>48</v>
      </c>
      <c r="AN594" s="29" t="s">
        <v>48</v>
      </c>
      <c r="AO594" s="29" t="s">
        <v>48</v>
      </c>
      <c r="AP594" s="47" t="s">
        <v>405</v>
      </c>
      <c r="AQ594" s="28">
        <v>0</v>
      </c>
      <c r="AR594" s="26">
        <v>1.4999999999999999E-2</v>
      </c>
      <c r="AS594" s="26">
        <v>0</v>
      </c>
    </row>
    <row r="595" spans="1:45" x14ac:dyDescent="0.15">
      <c r="A595" s="64">
        <v>435</v>
      </c>
      <c r="B595" s="64">
        <v>625</v>
      </c>
      <c r="C595" s="11">
        <v>619</v>
      </c>
      <c r="D595" s="61">
        <v>151</v>
      </c>
      <c r="E595" s="61">
        <v>1.2930667721722799E-3</v>
      </c>
      <c r="F595" s="61">
        <v>92</v>
      </c>
      <c r="G595" s="61">
        <v>0.40683248300722402</v>
      </c>
      <c r="H595" s="66">
        <v>109</v>
      </c>
      <c r="I595" s="66" t="str">
        <f>H595&amp;"/"&amp;451</f>
        <v>109/451</v>
      </c>
      <c r="J595" s="68">
        <f>H595/451</f>
        <v>0.24168514412416853</v>
      </c>
      <c r="K595" s="18" t="s">
        <v>44</v>
      </c>
      <c r="L595" s="18" t="s">
        <v>45</v>
      </c>
      <c r="M595" s="58" t="s">
        <v>65</v>
      </c>
      <c r="N595" s="18">
        <f>[1]!f_prt_stocktonav(C595,"2017/03/31")</f>
        <v>82.181915283203125</v>
      </c>
      <c r="O595" s="20" t="str">
        <f>[1]!f_info_fundmanager(C595)</f>
        <v>王延飞</v>
      </c>
      <c r="P595" s="21">
        <v>1.7643835616438357</v>
      </c>
      <c r="Q595" s="34" t="s">
        <v>1862</v>
      </c>
      <c r="R595" s="34" t="s">
        <v>1863</v>
      </c>
      <c r="S595" s="34" t="s">
        <v>313</v>
      </c>
      <c r="T595" s="34">
        <v>20140606</v>
      </c>
      <c r="U595" s="45">
        <v>7.4140252279999999</v>
      </c>
      <c r="V595" s="46">
        <v>7.3470042830000004</v>
      </c>
      <c r="W595" s="34" t="s">
        <v>3776</v>
      </c>
      <c r="X595" s="34" t="s">
        <v>44</v>
      </c>
      <c r="Y595" s="34" t="s">
        <v>45</v>
      </c>
      <c r="Z595" s="34" t="s">
        <v>65</v>
      </c>
      <c r="AA595" s="34"/>
      <c r="AB595" s="34"/>
      <c r="AC595" s="22">
        <v>0.86147773742675782</v>
      </c>
      <c r="AD595" s="23" t="s">
        <v>1864</v>
      </c>
      <c r="AE595" s="24">
        <v>1.5342465753424657</v>
      </c>
      <c r="AF595" s="25">
        <v>0.35073100414232483</v>
      </c>
      <c r="AG595" s="26">
        <v>0</v>
      </c>
      <c r="AH595" s="26">
        <v>0</v>
      </c>
      <c r="AI595" s="27">
        <v>1.319045899090826</v>
      </c>
      <c r="AJ595" s="27">
        <v>1.319045899090826</v>
      </c>
      <c r="AK595" s="27">
        <v>1.319045899090826</v>
      </c>
      <c r="AL595" s="28" t="s">
        <v>1659</v>
      </c>
      <c r="AM595" s="29" t="s">
        <v>48</v>
      </c>
      <c r="AN595" s="29" t="s">
        <v>48</v>
      </c>
      <c r="AO595" s="29" t="s">
        <v>48</v>
      </c>
      <c r="AP595" s="47" t="s">
        <v>1865</v>
      </c>
      <c r="AQ595" s="28">
        <v>0</v>
      </c>
      <c r="AR595" s="26">
        <v>1.4999999999999999E-2</v>
      </c>
      <c r="AS595" s="26">
        <v>0</v>
      </c>
    </row>
    <row r="596" spans="1:45" x14ac:dyDescent="0.15">
      <c r="A596" s="64">
        <v>431</v>
      </c>
      <c r="B596" s="64">
        <v>245</v>
      </c>
      <c r="C596" s="11">
        <v>663</v>
      </c>
      <c r="D596" s="61">
        <v>153</v>
      </c>
      <c r="E596" s="61">
        <v>1.2430346620777601E-3</v>
      </c>
      <c r="F596" s="61">
        <v>142</v>
      </c>
      <c r="G596" s="61">
        <v>0.43944025260105601</v>
      </c>
      <c r="H596" s="66">
        <v>110</v>
      </c>
      <c r="I596" s="66" t="str">
        <f>H596&amp;"/"&amp;451</f>
        <v>110/451</v>
      </c>
      <c r="J596" s="68">
        <f>H596/451</f>
        <v>0.24390243902439024</v>
      </c>
      <c r="K596" s="18" t="s">
        <v>44</v>
      </c>
      <c r="L596" s="18" t="s">
        <v>45</v>
      </c>
      <c r="M596" s="58" t="s">
        <v>65</v>
      </c>
      <c r="N596" s="18">
        <f>[1]!f_prt_stocktonav(C596,"2017/03/31")</f>
        <v>90.698066711425781</v>
      </c>
      <c r="O596" s="20" t="str">
        <f>[1]!f_info_fundmanager(C596)</f>
        <v>陈小玲,董晗</v>
      </c>
      <c r="P596" s="21">
        <v>2.7698630136986302</v>
      </c>
      <c r="Q596" s="34" t="s">
        <v>1848</v>
      </c>
      <c r="R596" s="34" t="s">
        <v>1849</v>
      </c>
      <c r="S596" s="34" t="s">
        <v>452</v>
      </c>
      <c r="T596" s="34">
        <v>20140624</v>
      </c>
      <c r="U596" s="45">
        <v>5.5646242670000001</v>
      </c>
      <c r="V596" s="46">
        <v>6.6148856874000002</v>
      </c>
      <c r="W596" s="34" t="s">
        <v>3776</v>
      </c>
      <c r="X596" s="34" t="s">
        <v>44</v>
      </c>
      <c r="Y596" s="17" t="s">
        <v>45</v>
      </c>
      <c r="Z596" s="17" t="s">
        <v>65</v>
      </c>
      <c r="AA596" s="34"/>
      <c r="AB596" s="34"/>
      <c r="AC596" s="22">
        <v>0.81946411132812502</v>
      </c>
      <c r="AD596" s="23" t="s">
        <v>1850</v>
      </c>
      <c r="AE596" s="24">
        <v>2.5397260273972604</v>
      </c>
      <c r="AF596" s="25">
        <v>0.24296226241254715</v>
      </c>
      <c r="AG596" s="26">
        <v>0</v>
      </c>
      <c r="AH596" s="26">
        <v>0</v>
      </c>
      <c r="AI596" s="27">
        <v>1.0856460195390032</v>
      </c>
      <c r="AJ596" s="27">
        <v>1.0856460195390032</v>
      </c>
      <c r="AK596" s="27">
        <v>1.0856460195390032</v>
      </c>
      <c r="AL596" s="28" t="s">
        <v>409</v>
      </c>
      <c r="AM596" s="29" t="s">
        <v>48</v>
      </c>
      <c r="AN596" s="29" t="s">
        <v>48</v>
      </c>
      <c r="AO596" s="29" t="s">
        <v>48</v>
      </c>
      <c r="AP596" s="47" t="s">
        <v>209</v>
      </c>
      <c r="AQ596" s="28">
        <v>0</v>
      </c>
      <c r="AR596" s="26">
        <v>1.4999999999999999E-2</v>
      </c>
      <c r="AS596" s="26">
        <v>0</v>
      </c>
    </row>
    <row r="597" spans="1:45" x14ac:dyDescent="0.15">
      <c r="A597" s="64">
        <v>187</v>
      </c>
      <c r="B597" s="64">
        <v>510</v>
      </c>
      <c r="C597" s="11">
        <v>1623</v>
      </c>
      <c r="D597" s="61">
        <v>154</v>
      </c>
      <c r="E597" s="61">
        <v>1.23660390147255E-3</v>
      </c>
      <c r="F597" s="61">
        <v>68</v>
      </c>
      <c r="G597" s="61">
        <v>0.25984427836962698</v>
      </c>
      <c r="H597" s="66">
        <v>111</v>
      </c>
      <c r="I597" s="66" t="str">
        <f>H597&amp;"/"&amp;451</f>
        <v>111/451</v>
      </c>
      <c r="J597" s="68">
        <f>H597/451</f>
        <v>0.24611973392461198</v>
      </c>
      <c r="K597" s="18" t="s">
        <v>44</v>
      </c>
      <c r="L597" s="18" t="s">
        <v>45</v>
      </c>
      <c r="M597" s="58" t="s">
        <v>65</v>
      </c>
      <c r="N597" s="18">
        <f>[1]!f_prt_stocktonav(C597,"2017/03/31")</f>
        <v>85.060203552246094</v>
      </c>
      <c r="O597" s="20" t="str">
        <f>[1]!f_info_fundmanager(C597)</f>
        <v>刘方旭</v>
      </c>
      <c r="P597" s="21">
        <v>1.2931506849315069</v>
      </c>
      <c r="Q597" s="34" t="s">
        <v>913</v>
      </c>
      <c r="R597" s="34" t="s">
        <v>914</v>
      </c>
      <c r="S597" s="34" t="s">
        <v>430</v>
      </c>
      <c r="T597" s="34">
        <v>20150917</v>
      </c>
      <c r="U597" s="45">
        <v>2.0168592207999998</v>
      </c>
      <c r="V597" s="46">
        <v>2.6180948919999998</v>
      </c>
      <c r="W597" s="34" t="s">
        <v>1235</v>
      </c>
      <c r="X597" s="34" t="s">
        <v>44</v>
      </c>
      <c r="Y597" s="17" t="s">
        <v>45</v>
      </c>
      <c r="Z597" s="17" t="s">
        <v>274</v>
      </c>
      <c r="AA597" s="34"/>
      <c r="AB597" s="34"/>
      <c r="AC597" s="22">
        <v>0.82994461059570313</v>
      </c>
      <c r="AD597" s="23" t="s">
        <v>431</v>
      </c>
      <c r="AE597" s="24">
        <v>1.0630136986301371</v>
      </c>
      <c r="AF597" s="25">
        <v>1.4661397442025992E-2</v>
      </c>
      <c r="AG597" s="26">
        <v>0</v>
      </c>
      <c r="AH597" s="26">
        <v>0</v>
      </c>
      <c r="AI597" s="27">
        <v>7.6487856045284089E-2</v>
      </c>
      <c r="AJ597" s="27">
        <v>7.6487856045284089E-2</v>
      </c>
      <c r="AK597" s="27">
        <v>7.6487856045284089E-2</v>
      </c>
      <c r="AL597" s="28" t="s">
        <v>915</v>
      </c>
      <c r="AM597" s="29" t="s">
        <v>48</v>
      </c>
      <c r="AN597" s="29" t="s">
        <v>48</v>
      </c>
      <c r="AO597" s="29" t="s">
        <v>48</v>
      </c>
      <c r="AP597" s="47" t="s">
        <v>209</v>
      </c>
      <c r="AQ597" s="28">
        <v>0</v>
      </c>
      <c r="AR597" s="26">
        <v>1.4999999999999999E-2</v>
      </c>
      <c r="AS597" s="26">
        <v>0</v>
      </c>
    </row>
    <row r="598" spans="1:45" x14ac:dyDescent="0.15">
      <c r="A598" s="64">
        <v>418</v>
      </c>
      <c r="B598" s="64">
        <v>438</v>
      </c>
      <c r="C598" s="11">
        <v>746</v>
      </c>
      <c r="D598" s="61">
        <v>156</v>
      </c>
      <c r="E598" s="61">
        <v>1.2251817404397901E-3</v>
      </c>
      <c r="F598" s="61">
        <v>13</v>
      </c>
      <c r="G598" s="61">
        <v>0.56294470675807495</v>
      </c>
      <c r="H598" s="66">
        <v>112</v>
      </c>
      <c r="I598" s="66" t="str">
        <f>H598&amp;"/"&amp;451</f>
        <v>112/451</v>
      </c>
      <c r="J598" s="68">
        <f>H598/451</f>
        <v>0.24833702882483372</v>
      </c>
      <c r="K598" s="18" t="s">
        <v>44</v>
      </c>
      <c r="L598" s="18" t="s">
        <v>45</v>
      </c>
      <c r="M598" s="58" t="s">
        <v>65</v>
      </c>
      <c r="N598" s="18">
        <f>[1]!f_prt_stocktonav(C598,"2017/03/31")</f>
        <v>86.513374328613281</v>
      </c>
      <c r="O598" s="20" t="str">
        <f>[1]!f_info_fundmanager(C598)</f>
        <v>贾成东</v>
      </c>
      <c r="P598" s="21">
        <v>0.24657534246575341</v>
      </c>
      <c r="Q598" s="34" t="s">
        <v>1798</v>
      </c>
      <c r="R598" s="34" t="s">
        <v>1799</v>
      </c>
      <c r="S598" s="34" t="s">
        <v>165</v>
      </c>
      <c r="T598" s="34">
        <v>20140903</v>
      </c>
      <c r="U598" s="45">
        <v>5.3055765426999999</v>
      </c>
      <c r="V598" s="46">
        <v>7.1314393420000002</v>
      </c>
      <c r="W598" s="34" t="s">
        <v>3776</v>
      </c>
      <c r="X598" s="34" t="s">
        <v>44</v>
      </c>
      <c r="Y598" s="34" t="s">
        <v>45</v>
      </c>
      <c r="Z598" s="34" t="s">
        <v>274</v>
      </c>
      <c r="AA598" s="34"/>
      <c r="AB598" s="34"/>
      <c r="AC598" s="22">
        <v>0.8101602172851563</v>
      </c>
      <c r="AD598" s="23" t="s">
        <v>1800</v>
      </c>
      <c r="AE598" s="24">
        <v>2.3452054794520549</v>
      </c>
      <c r="AF598" s="25">
        <v>0.10570697533844342</v>
      </c>
      <c r="AG598" s="26">
        <v>0</v>
      </c>
      <c r="AH598" s="26">
        <v>0</v>
      </c>
      <c r="AI598" s="27">
        <v>0.42200877564458111</v>
      </c>
      <c r="AJ598" s="27">
        <v>0.42200877564458111</v>
      </c>
      <c r="AK598" s="27">
        <v>0.42200877564458111</v>
      </c>
      <c r="AL598" s="28" t="s">
        <v>957</v>
      </c>
      <c r="AM598" s="29" t="s">
        <v>48</v>
      </c>
      <c r="AN598" s="29" t="s">
        <v>48</v>
      </c>
      <c r="AO598" s="29" t="s">
        <v>48</v>
      </c>
      <c r="AP598" s="47" t="s">
        <v>249</v>
      </c>
      <c r="AQ598" s="28">
        <v>0</v>
      </c>
      <c r="AR598" s="26">
        <v>1.4999999999999999E-2</v>
      </c>
      <c r="AS598" s="26">
        <v>0</v>
      </c>
    </row>
    <row r="599" spans="1:45" x14ac:dyDescent="0.15">
      <c r="A599" s="64">
        <v>2</v>
      </c>
      <c r="B599" s="64">
        <v>791</v>
      </c>
      <c r="C599" s="11">
        <v>3580</v>
      </c>
      <c r="D599" s="61">
        <v>157</v>
      </c>
      <c r="E599" s="61">
        <v>1.2104503219984501E-3</v>
      </c>
      <c r="F599" s="61">
        <v>13</v>
      </c>
      <c r="G599" s="61">
        <v>0.53731469849699398</v>
      </c>
      <c r="H599" s="66">
        <v>113</v>
      </c>
      <c r="I599" s="66" t="str">
        <f>H599&amp;"/"&amp;451</f>
        <v>113/451</v>
      </c>
      <c r="J599" s="68">
        <f>H599/451</f>
        <v>0.25055432372505543</v>
      </c>
      <c r="K599" s="18" t="s">
        <v>44</v>
      </c>
      <c r="L599" s="19" t="s">
        <v>45</v>
      </c>
      <c r="M599" s="59" t="s">
        <v>65</v>
      </c>
      <c r="N599" s="18">
        <f>[1]!f_prt_stocktonav(C599,"2017/03/31")</f>
        <v>77.049247741699219</v>
      </c>
      <c r="O599" s="20" t="str">
        <f>[1]!f_info_fundmanager(C599)</f>
        <v>彭一博,刘伟</v>
      </c>
      <c r="P599" s="21">
        <v>0.25479452054794521</v>
      </c>
      <c r="Q599" s="12" t="s">
        <v>50</v>
      </c>
      <c r="R599" s="13" t="s">
        <v>51</v>
      </c>
      <c r="S599" s="13" t="s">
        <v>52</v>
      </c>
      <c r="T599" s="13">
        <v>20161228</v>
      </c>
      <c r="U599" s="14">
        <v>2.2286771803000001</v>
      </c>
      <c r="V599" s="15" t="s">
        <v>72</v>
      </c>
      <c r="W599" s="16" t="s">
        <v>40</v>
      </c>
      <c r="X599" s="17" t="s">
        <v>41</v>
      </c>
      <c r="Y599" s="17" t="s">
        <v>42</v>
      </c>
      <c r="Z599" s="17" t="s">
        <v>43</v>
      </c>
      <c r="AA599" s="13"/>
      <c r="AB599" s="13"/>
      <c r="AC599" s="22">
        <v>0</v>
      </c>
      <c r="AD599" s="23" t="s">
        <v>53</v>
      </c>
      <c r="AE599" s="24">
        <v>2.4657534246575342E-2</v>
      </c>
      <c r="AF599" s="25">
        <v>-9.5551801602476547E-2</v>
      </c>
      <c r="AG599" s="26">
        <v>0</v>
      </c>
      <c r="AH599" s="26">
        <v>0</v>
      </c>
      <c r="AI599" s="27">
        <v>0</v>
      </c>
      <c r="AJ599" s="27">
        <v>0</v>
      </c>
      <c r="AK599" s="27">
        <v>0</v>
      </c>
      <c r="AL599" s="28" t="s">
        <v>54</v>
      </c>
      <c r="AM599" s="29" t="s">
        <v>48</v>
      </c>
      <c r="AN599" s="29" t="s">
        <v>48</v>
      </c>
      <c r="AO599" s="29" t="s">
        <v>48</v>
      </c>
      <c r="AP599" s="23">
        <v>0</v>
      </c>
      <c r="AQ599" s="30">
        <v>0</v>
      </c>
      <c r="AR599" s="31">
        <v>1.4999999999999999E-2</v>
      </c>
      <c r="AS599" s="31">
        <v>0</v>
      </c>
    </row>
    <row r="600" spans="1:45" x14ac:dyDescent="0.15">
      <c r="A600" s="64">
        <v>574</v>
      </c>
      <c r="B600" s="64">
        <v>674</v>
      </c>
      <c r="C600" s="11">
        <v>233011</v>
      </c>
      <c r="D600" s="61">
        <v>158</v>
      </c>
      <c r="E600" s="61">
        <v>1.1855645662073499E-3</v>
      </c>
      <c r="F600" s="61">
        <v>10</v>
      </c>
      <c r="G600" s="61">
        <v>0.67461281271542095</v>
      </c>
      <c r="H600" s="66">
        <v>114</v>
      </c>
      <c r="I600" s="66" t="str">
        <f>H600&amp;"/"&amp;451</f>
        <v>114/451</v>
      </c>
      <c r="J600" s="68">
        <f>H600/451</f>
        <v>0.25277161862527714</v>
      </c>
      <c r="K600" s="18" t="s">
        <v>44</v>
      </c>
      <c r="L600" s="18" t="s">
        <v>87</v>
      </c>
      <c r="M600" s="58" t="s">
        <v>65</v>
      </c>
      <c r="N600" s="18">
        <f>[1]!f_prt_stocktonav(C600,"2017/03/31")</f>
        <v>80.7578125</v>
      </c>
      <c r="O600" s="20" t="str">
        <f>[1]!f_info_fundmanager(C600)</f>
        <v>袁斌,缪东航</v>
      </c>
      <c r="P600" s="21">
        <v>0.18904109589041096</v>
      </c>
      <c r="Q600" s="34" t="s">
        <v>2365</v>
      </c>
      <c r="R600" s="34" t="s">
        <v>2366</v>
      </c>
      <c r="S600" s="34" t="s">
        <v>378</v>
      </c>
      <c r="T600" s="34">
        <v>20120313</v>
      </c>
      <c r="U600" s="45">
        <v>5.3460212214</v>
      </c>
      <c r="V600" s="46">
        <v>5.6563205303000004</v>
      </c>
      <c r="W600" s="34" t="s">
        <v>1235</v>
      </c>
      <c r="X600" s="34" t="s">
        <v>44</v>
      </c>
      <c r="Y600" s="34" t="s">
        <v>45</v>
      </c>
      <c r="Z600" s="34" t="s">
        <v>65</v>
      </c>
      <c r="AA600" s="34"/>
      <c r="AB600" s="34"/>
      <c r="AC600" s="22">
        <v>0.8663930511474609</v>
      </c>
      <c r="AD600" s="23" t="s">
        <v>2367</v>
      </c>
      <c r="AE600" s="24">
        <v>1.1287671232876713</v>
      </c>
      <c r="AF600" s="25">
        <v>0.18569291563898438</v>
      </c>
      <c r="AG600" s="26">
        <v>0.29807156992499073</v>
      </c>
      <c r="AH600" s="26">
        <v>0</v>
      </c>
      <c r="AI600" s="27">
        <v>0.66164128190129701</v>
      </c>
      <c r="AJ600" s="27">
        <v>0.85118110826570259</v>
      </c>
      <c r="AK600" s="27">
        <v>0.66164128190129701</v>
      </c>
      <c r="AL600" s="28" t="s">
        <v>2225</v>
      </c>
      <c r="AM600" s="29">
        <v>4</v>
      </c>
      <c r="AN600" s="29">
        <v>3</v>
      </c>
      <c r="AO600" s="29" t="s">
        <v>48</v>
      </c>
      <c r="AP600" s="47" t="s">
        <v>2368</v>
      </c>
      <c r="AQ600" s="28">
        <v>0</v>
      </c>
      <c r="AR600" s="26">
        <v>1.4999999999999999E-2</v>
      </c>
      <c r="AS600" s="26">
        <v>0</v>
      </c>
    </row>
    <row r="601" spans="1:45" x14ac:dyDescent="0.15">
      <c r="A601" s="64">
        <v>550</v>
      </c>
      <c r="B601" s="64">
        <v>93</v>
      </c>
      <c r="C601" s="11">
        <v>161616</v>
      </c>
      <c r="D601" s="61">
        <v>159</v>
      </c>
      <c r="E601" s="61">
        <v>1.1831354520045201E-3</v>
      </c>
      <c r="F601" s="61">
        <v>31</v>
      </c>
      <c r="G601" s="61">
        <v>0.45561254419333302</v>
      </c>
      <c r="H601" s="66">
        <v>115</v>
      </c>
      <c r="I601" s="66" t="str">
        <f>H601&amp;"/"&amp;451</f>
        <v>115/451</v>
      </c>
      <c r="J601" s="68">
        <f>H601/451</f>
        <v>0.25498891352549891</v>
      </c>
      <c r="K601" s="18" t="s">
        <v>44</v>
      </c>
      <c r="L601" s="19" t="s">
        <v>45</v>
      </c>
      <c r="M601" s="59" t="s">
        <v>65</v>
      </c>
      <c r="N601" s="18">
        <f>[1]!f_prt_stocktonav(C601,"2017/03/31")</f>
        <v>93.729736328125</v>
      </c>
      <c r="O601" s="20" t="str">
        <f>[1]!f_info_fundmanager(C601)</f>
        <v>万民远</v>
      </c>
      <c r="P601" s="21">
        <v>0.59452054794520548</v>
      </c>
      <c r="Q601" s="32" t="s">
        <v>2282</v>
      </c>
      <c r="R601" s="13" t="s">
        <v>2283</v>
      </c>
      <c r="S601" s="13" t="s">
        <v>230</v>
      </c>
      <c r="T601" s="13">
        <v>20120726</v>
      </c>
      <c r="U601" s="14">
        <v>12.8507520843</v>
      </c>
      <c r="V601" s="15" t="s">
        <v>3782</v>
      </c>
      <c r="W601" s="16" t="s">
        <v>40</v>
      </c>
      <c r="X601" s="17" t="s">
        <v>44</v>
      </c>
      <c r="Y601" s="17" t="s">
        <v>86</v>
      </c>
      <c r="Z601" s="17" t="s">
        <v>65</v>
      </c>
      <c r="AA601" s="13"/>
      <c r="AB601" s="13"/>
      <c r="AC601" s="22">
        <v>0.86658790588378909</v>
      </c>
      <c r="AD601" s="23" t="s">
        <v>1665</v>
      </c>
      <c r="AE601" s="24">
        <v>0.36438356164383562</v>
      </c>
      <c r="AF601" s="25">
        <v>0.11695987001162234</v>
      </c>
      <c r="AG601" s="26">
        <v>3.0539336241961923E-2</v>
      </c>
      <c r="AH601" s="26">
        <v>0</v>
      </c>
      <c r="AI601" s="27">
        <v>0.48184395562688026</v>
      </c>
      <c r="AJ601" s="27">
        <v>0.19790585141143144</v>
      </c>
      <c r="AK601" s="27">
        <v>0.48184395562688026</v>
      </c>
      <c r="AL601" s="33" t="s">
        <v>2284</v>
      </c>
      <c r="AM601" s="29">
        <v>2</v>
      </c>
      <c r="AN601" s="29">
        <v>3</v>
      </c>
      <c r="AO601" s="29" t="s">
        <v>48</v>
      </c>
      <c r="AP601" s="23" t="s">
        <v>2285</v>
      </c>
      <c r="AQ601" s="30">
        <v>0</v>
      </c>
      <c r="AR601" s="31">
        <v>1.4999999999999999E-2</v>
      </c>
      <c r="AS601" s="31">
        <v>0</v>
      </c>
    </row>
    <row r="602" spans="1:45" x14ac:dyDescent="0.15">
      <c r="A602" s="64">
        <v>454</v>
      </c>
      <c r="B602" s="64">
        <v>92</v>
      </c>
      <c r="C602" s="11">
        <v>577</v>
      </c>
      <c r="D602" s="61">
        <v>160</v>
      </c>
      <c r="E602" s="61">
        <v>1.18067960347768E-3</v>
      </c>
      <c r="F602" s="61">
        <v>151</v>
      </c>
      <c r="G602" s="61">
        <v>0.20260072014038299</v>
      </c>
      <c r="H602" s="66">
        <v>116</v>
      </c>
      <c r="I602" s="66" t="str">
        <f>H602&amp;"/"&amp;451</f>
        <v>116/451</v>
      </c>
      <c r="J602" s="68">
        <f>H602/451</f>
        <v>0.25720620842572062</v>
      </c>
      <c r="K602" s="18" t="s">
        <v>44</v>
      </c>
      <c r="L602" s="18" t="s">
        <v>45</v>
      </c>
      <c r="M602" s="58" t="s">
        <v>65</v>
      </c>
      <c r="N602" s="18">
        <f>[1]!f_prt_stocktonav(C602,"2017/03/31")</f>
        <v>93.733901977539062</v>
      </c>
      <c r="O602" s="20" t="str">
        <f>[1]!f_info_fundmanager(C602)</f>
        <v>陈一峰</v>
      </c>
      <c r="P602" s="21">
        <v>2.9452054794520546</v>
      </c>
      <c r="Q602" s="34" t="s">
        <v>1932</v>
      </c>
      <c r="R602" s="34" t="s">
        <v>1933</v>
      </c>
      <c r="S602" s="34" t="s">
        <v>975</v>
      </c>
      <c r="T602" s="34">
        <v>20140421</v>
      </c>
      <c r="U602" s="45">
        <v>5.6213170503000001</v>
      </c>
      <c r="V602" s="46">
        <v>1.2604296789</v>
      </c>
      <c r="W602" s="34" t="s">
        <v>3776</v>
      </c>
      <c r="X602" s="34" t="s">
        <v>44</v>
      </c>
      <c r="Y602" s="34" t="s">
        <v>45</v>
      </c>
      <c r="Z602" s="34" t="s">
        <v>65</v>
      </c>
      <c r="AA602" s="34"/>
      <c r="AB602" s="34"/>
      <c r="AC602" s="22">
        <v>0.91723266601562503</v>
      </c>
      <c r="AD602" s="23" t="s">
        <v>1509</v>
      </c>
      <c r="AE602" s="24">
        <v>2.7150684931506848</v>
      </c>
      <c r="AF602" s="25">
        <v>0.31815808135129853</v>
      </c>
      <c r="AG602" s="26">
        <v>0</v>
      </c>
      <c r="AH602" s="26">
        <v>0</v>
      </c>
      <c r="AI602" s="27">
        <v>1.246002133989442</v>
      </c>
      <c r="AJ602" s="27">
        <v>1.246002133989442</v>
      </c>
      <c r="AK602" s="27">
        <v>1.246002133989442</v>
      </c>
      <c r="AL602" s="28" t="s">
        <v>1934</v>
      </c>
      <c r="AM602" s="29" t="s">
        <v>48</v>
      </c>
      <c r="AN602" s="29" t="s">
        <v>48</v>
      </c>
      <c r="AO602" s="29" t="s">
        <v>48</v>
      </c>
      <c r="AP602" s="47" t="s">
        <v>209</v>
      </c>
      <c r="AQ602" s="28">
        <v>0</v>
      </c>
      <c r="AR602" s="26">
        <v>0.01</v>
      </c>
      <c r="AS602" s="26">
        <v>0</v>
      </c>
    </row>
    <row r="603" spans="1:45" x14ac:dyDescent="0.15">
      <c r="A603" s="64">
        <v>383</v>
      </c>
      <c r="B603" s="64">
        <v>166</v>
      </c>
      <c r="C603" s="11">
        <v>727</v>
      </c>
      <c r="D603" s="61">
        <v>161</v>
      </c>
      <c r="E603" s="61">
        <v>1.1653113087472899E-3</v>
      </c>
      <c r="F603" s="61">
        <v>31</v>
      </c>
      <c r="G603" s="61">
        <v>0.48559222018815201</v>
      </c>
      <c r="H603" s="66">
        <v>117</v>
      </c>
      <c r="I603" s="66" t="str">
        <f>H603&amp;"/"&amp;451</f>
        <v>117/451</v>
      </c>
      <c r="J603" s="68">
        <f>H603/451</f>
        <v>0.25942350332594233</v>
      </c>
      <c r="K603" s="18" t="s">
        <v>44</v>
      </c>
      <c r="L603" s="18" t="s">
        <v>45</v>
      </c>
      <c r="M603" s="58" t="s">
        <v>65</v>
      </c>
      <c r="N603" s="18">
        <f>[1]!f_prt_stocktonav(C603,"2017/03/31")</f>
        <v>92.442085266113281</v>
      </c>
      <c r="O603" s="20" t="str">
        <f>[1]!f_info_fundmanager(C603)</f>
        <v>万民远</v>
      </c>
      <c r="P603" s="21">
        <v>0.59452054794520548</v>
      </c>
      <c r="Q603" s="34" t="s">
        <v>1663</v>
      </c>
      <c r="R603" s="34" t="s">
        <v>1664</v>
      </c>
      <c r="S603" s="34" t="s">
        <v>230</v>
      </c>
      <c r="T603" s="34">
        <v>20141225</v>
      </c>
      <c r="U603" s="45">
        <v>1.5112571602</v>
      </c>
      <c r="V603" s="46">
        <v>1.5745168534</v>
      </c>
      <c r="W603" s="34" t="s">
        <v>3789</v>
      </c>
      <c r="X603" s="34" t="s">
        <v>44</v>
      </c>
      <c r="Y603" s="34" t="s">
        <v>45</v>
      </c>
      <c r="Z603" s="34" t="s">
        <v>65</v>
      </c>
      <c r="AA603" s="34"/>
      <c r="AB603" s="34"/>
      <c r="AC603" s="22">
        <v>0.94565498352050781</v>
      </c>
      <c r="AD603" s="23" t="s">
        <v>1665</v>
      </c>
      <c r="AE603" s="24">
        <v>0.36438356164383562</v>
      </c>
      <c r="AF603" s="25">
        <v>6.0914847942098005E-2</v>
      </c>
      <c r="AG603" s="26">
        <v>0</v>
      </c>
      <c r="AH603" s="26">
        <v>0</v>
      </c>
      <c r="AI603" s="27">
        <v>0.316948005409252</v>
      </c>
      <c r="AJ603" s="27">
        <v>0.316948005409252</v>
      </c>
      <c r="AK603" s="27">
        <v>0.316948005409252</v>
      </c>
      <c r="AL603" s="28" t="s">
        <v>1666</v>
      </c>
      <c r="AM603" s="29" t="s">
        <v>48</v>
      </c>
      <c r="AN603" s="29" t="s">
        <v>48</v>
      </c>
      <c r="AO603" s="29" t="s">
        <v>48</v>
      </c>
      <c r="AP603" s="47" t="s">
        <v>1667</v>
      </c>
      <c r="AQ603" s="28" t="s">
        <v>235</v>
      </c>
      <c r="AR603" s="26">
        <v>1.4999999999999999E-2</v>
      </c>
      <c r="AS603" s="26">
        <v>0</v>
      </c>
    </row>
    <row r="604" spans="1:45" x14ac:dyDescent="0.15">
      <c r="A604" s="64">
        <v>681</v>
      </c>
      <c r="B604" s="64">
        <v>792</v>
      </c>
      <c r="C604" s="11">
        <v>163001</v>
      </c>
      <c r="D604" s="61">
        <v>162</v>
      </c>
      <c r="E604" s="61">
        <v>1.1528936813393099E-3</v>
      </c>
      <c r="F604" s="61">
        <v>107</v>
      </c>
      <c r="G604" s="61">
        <v>0.59263917187208803</v>
      </c>
      <c r="H604" s="66">
        <v>118</v>
      </c>
      <c r="I604" s="66" t="str">
        <f>H604&amp;"/"&amp;451</f>
        <v>118/451</v>
      </c>
      <c r="J604" s="68">
        <f>H604/451</f>
        <v>0.2616407982261641</v>
      </c>
      <c r="K604" s="18" t="s">
        <v>44</v>
      </c>
      <c r="L604" s="18" t="s">
        <v>86</v>
      </c>
      <c r="M604" s="58" t="s">
        <v>65</v>
      </c>
      <c r="N604" s="18">
        <f>[1]!f_prt_stocktonav(C604,"2017/03/31")</f>
        <v>76.963424682617188</v>
      </c>
      <c r="O604" s="20" t="str">
        <f>[1]!f_info_fundmanager(C604)</f>
        <v>左金保</v>
      </c>
      <c r="P604" s="21">
        <v>2.0520547945205481</v>
      </c>
      <c r="Q604" s="34" t="s">
        <v>2721</v>
      </c>
      <c r="R604" s="34" t="s">
        <v>2722</v>
      </c>
      <c r="S604" s="34" t="s">
        <v>206</v>
      </c>
      <c r="T604" s="34">
        <v>20100326</v>
      </c>
      <c r="U604" s="45">
        <v>1.5933338695000001</v>
      </c>
      <c r="V604" s="46">
        <v>1.3736373534999999</v>
      </c>
      <c r="W604" s="34" t="s">
        <v>201</v>
      </c>
      <c r="X604" s="34" t="s">
        <v>44</v>
      </c>
      <c r="Y604" s="34" t="s">
        <v>86</v>
      </c>
      <c r="Z604" s="34" t="s">
        <v>65</v>
      </c>
      <c r="AA604" s="34" t="s">
        <v>2723</v>
      </c>
      <c r="AB604" s="34"/>
      <c r="AC604" s="22">
        <v>0.7161978912353516</v>
      </c>
      <c r="AD604" s="23" t="s">
        <v>327</v>
      </c>
      <c r="AE604" s="24">
        <v>1.821917808219178</v>
      </c>
      <c r="AF604" s="25">
        <v>6.5871178105795236E-2</v>
      </c>
      <c r="AG604" s="26">
        <v>0.28037631716517364</v>
      </c>
      <c r="AH604" s="26">
        <v>0.14672052965938454</v>
      </c>
      <c r="AI604" s="27">
        <v>0.32413119917159372</v>
      </c>
      <c r="AJ604" s="27">
        <v>0.96147064161556406</v>
      </c>
      <c r="AK604" s="27">
        <v>0.60475694977253402</v>
      </c>
      <c r="AL604" s="33" t="s">
        <v>2004</v>
      </c>
      <c r="AM604" s="29" t="s">
        <v>48</v>
      </c>
      <c r="AN604" s="29">
        <v>4</v>
      </c>
      <c r="AO604" s="29" t="s">
        <v>48</v>
      </c>
      <c r="AP604" s="47" t="s">
        <v>209</v>
      </c>
      <c r="AQ604" s="28">
        <v>0</v>
      </c>
      <c r="AR604" s="26">
        <v>1.4999999999999999E-2</v>
      </c>
      <c r="AS604" s="26">
        <v>0</v>
      </c>
    </row>
    <row r="605" spans="1:45" x14ac:dyDescent="0.15">
      <c r="A605" s="64">
        <v>883</v>
      </c>
      <c r="B605" s="64">
        <v>587</v>
      </c>
      <c r="C605" s="11">
        <v>377010</v>
      </c>
      <c r="D605" s="61">
        <v>166</v>
      </c>
      <c r="E605" s="61">
        <v>1.1325788031143901E-3</v>
      </c>
      <c r="F605" s="61">
        <v>80</v>
      </c>
      <c r="G605" s="61">
        <v>0.54090883478540497</v>
      </c>
      <c r="H605" s="66">
        <v>119</v>
      </c>
      <c r="I605" s="66" t="str">
        <f>H605&amp;"/"&amp;451</f>
        <v>119/451</v>
      </c>
      <c r="J605" s="68">
        <f>H605/451</f>
        <v>0.26385809312638581</v>
      </c>
      <c r="K605" s="18" t="s">
        <v>44</v>
      </c>
      <c r="L605" s="19" t="s">
        <v>64</v>
      </c>
      <c r="M605" s="59" t="s">
        <v>65</v>
      </c>
      <c r="N605" s="18">
        <f>[1]!f_prt_stocktonav(C605,"2017/03/31")</f>
        <v>83.082855224609375</v>
      </c>
      <c r="O605" s="20" t="str">
        <f>[1]!f_info_fundmanager(C605)</f>
        <v>李博</v>
      </c>
      <c r="P605" s="21">
        <v>1.5342465753424657</v>
      </c>
      <c r="Q605" s="32" t="s">
        <v>3430</v>
      </c>
      <c r="R605" s="13" t="s">
        <v>3431</v>
      </c>
      <c r="S605" s="13" t="s">
        <v>511</v>
      </c>
      <c r="T605" s="13">
        <v>20051011</v>
      </c>
      <c r="U605" s="14">
        <v>19.654056864800001</v>
      </c>
      <c r="V605" s="15" t="s">
        <v>39</v>
      </c>
      <c r="W605" s="16" t="s">
        <v>40</v>
      </c>
      <c r="X605" s="17" t="s">
        <v>44</v>
      </c>
      <c r="Y605" s="17" t="s">
        <v>64</v>
      </c>
      <c r="Z605" s="17" t="s">
        <v>65</v>
      </c>
      <c r="AA605" s="13"/>
      <c r="AB605" s="13"/>
      <c r="AC605" s="22">
        <v>0.73086395263671877</v>
      </c>
      <c r="AD605" s="23" t="s">
        <v>1419</v>
      </c>
      <c r="AE605" s="24">
        <v>1.3041095890410959</v>
      </c>
      <c r="AF605" s="25">
        <v>0.15846237598895851</v>
      </c>
      <c r="AG605" s="26">
        <v>0.10659826979816733</v>
      </c>
      <c r="AH605" s="26">
        <v>6.8562306633976E-2</v>
      </c>
      <c r="AI605" s="27">
        <v>0.62454150224081462</v>
      </c>
      <c r="AJ605" s="27">
        <v>0.42482343334854172</v>
      </c>
      <c r="AK605" s="27">
        <v>0.32552383220968895</v>
      </c>
      <c r="AL605" s="28" t="s">
        <v>1934</v>
      </c>
      <c r="AM605" s="29">
        <v>1</v>
      </c>
      <c r="AN605" s="29">
        <v>2</v>
      </c>
      <c r="AO605" s="29" t="s">
        <v>48</v>
      </c>
      <c r="AP605" s="23" t="s">
        <v>3432</v>
      </c>
      <c r="AQ605" s="30">
        <v>0</v>
      </c>
      <c r="AR605" s="31">
        <v>1.4999999999999999E-2</v>
      </c>
      <c r="AS605" s="31">
        <v>0</v>
      </c>
    </row>
    <row r="606" spans="1:45" x14ac:dyDescent="0.15">
      <c r="A606" s="64">
        <v>525</v>
      </c>
      <c r="B606" s="64">
        <v>431</v>
      </c>
      <c r="C606" s="11">
        <v>20</v>
      </c>
      <c r="D606" s="61">
        <v>167</v>
      </c>
      <c r="E606" s="61">
        <v>1.1267215436680999E-3</v>
      </c>
      <c r="F606" s="61">
        <v>66</v>
      </c>
      <c r="G606" s="61">
        <v>0.48497642934835</v>
      </c>
      <c r="H606" s="66">
        <v>120</v>
      </c>
      <c r="I606" s="66" t="str">
        <f>H606&amp;"/"&amp;451</f>
        <v>120/451</v>
      </c>
      <c r="J606" s="68">
        <f>H606/451</f>
        <v>0.26607538802660752</v>
      </c>
      <c r="K606" s="18" t="s">
        <v>44</v>
      </c>
      <c r="L606" s="18" t="s">
        <v>45</v>
      </c>
      <c r="M606" s="58" t="s">
        <v>65</v>
      </c>
      <c r="N606" s="18">
        <f>[1]!f_prt_stocktonav(C606,"2017/03/31")</f>
        <v>86.655433654785156</v>
      </c>
      <c r="O606" s="20" t="str">
        <f>[1]!f_info_fundmanager(C606)</f>
        <v>詹成</v>
      </c>
      <c r="P606" s="21">
        <v>1.2547945205479452</v>
      </c>
      <c r="Q606" s="34" t="s">
        <v>2190</v>
      </c>
      <c r="R606" s="34" t="s">
        <v>2191</v>
      </c>
      <c r="S606" s="34" t="s">
        <v>353</v>
      </c>
      <c r="T606" s="34">
        <v>20130319</v>
      </c>
      <c r="U606" s="45">
        <v>3.3277110250000002</v>
      </c>
      <c r="V606" s="46">
        <v>3.7388780617999999</v>
      </c>
      <c r="W606" s="34" t="s">
        <v>3776</v>
      </c>
      <c r="X606" s="34" t="s">
        <v>44</v>
      </c>
      <c r="Y606" s="34" t="s">
        <v>45</v>
      </c>
      <c r="Z606" s="34" t="s">
        <v>65</v>
      </c>
      <c r="AA606" s="34"/>
      <c r="AB606" s="34"/>
      <c r="AC606" s="22">
        <v>0.86319175720214847</v>
      </c>
      <c r="AD606" s="23" t="s">
        <v>2192</v>
      </c>
      <c r="AE606" s="24">
        <v>3.8054794520547945</v>
      </c>
      <c r="AF606" s="25">
        <v>0.13789012829885938</v>
      </c>
      <c r="AG606" s="26">
        <v>0.17461865690203873</v>
      </c>
      <c r="AH606" s="26">
        <v>0</v>
      </c>
      <c r="AI606" s="27">
        <v>0.55390648874679993</v>
      </c>
      <c r="AJ606" s="27">
        <v>0.64347513794596023</v>
      </c>
      <c r="AK606" s="27">
        <v>0.55390648874679993</v>
      </c>
      <c r="AL606" s="28" t="s">
        <v>957</v>
      </c>
      <c r="AM606" s="29" t="s">
        <v>48</v>
      </c>
      <c r="AN606" s="29" t="s">
        <v>48</v>
      </c>
      <c r="AO606" s="29" t="s">
        <v>48</v>
      </c>
      <c r="AP606" s="47" t="s">
        <v>334</v>
      </c>
      <c r="AQ606" s="28">
        <v>0</v>
      </c>
      <c r="AR606" s="26">
        <v>1.4999999999999999E-2</v>
      </c>
      <c r="AS606" s="26">
        <v>0</v>
      </c>
    </row>
    <row r="607" spans="1:45" x14ac:dyDescent="0.15">
      <c r="A607" s="64">
        <v>21</v>
      </c>
      <c r="B607" s="64">
        <v>6</v>
      </c>
      <c r="C607" s="11">
        <v>3622</v>
      </c>
      <c r="D607" s="61">
        <v>168</v>
      </c>
      <c r="E607" s="61">
        <v>1.1156646619906499E-3</v>
      </c>
      <c r="F607" s="61">
        <v>21</v>
      </c>
      <c r="G607" s="61">
        <v>0.51602245047850104</v>
      </c>
      <c r="H607" s="66">
        <v>121</v>
      </c>
      <c r="I607" s="66" t="str">
        <f>H607&amp;"/"&amp;451</f>
        <v>121/451</v>
      </c>
      <c r="J607" s="68">
        <f>H607/451</f>
        <v>0.26829268292682928</v>
      </c>
      <c r="K607" s="18" t="s">
        <v>44</v>
      </c>
      <c r="L607" s="19" t="s">
        <v>45</v>
      </c>
      <c r="M607" s="59" t="s">
        <v>65</v>
      </c>
      <c r="N607" s="18">
        <f>[1]!f_prt_stocktonav(C607,"2017/03/31")</f>
        <v>94.879646301269531</v>
      </c>
      <c r="O607" s="20" t="str">
        <f>[1]!f_info_fundmanager(C607)</f>
        <v>李晗</v>
      </c>
      <c r="P607" s="21">
        <v>0.40821917808219177</v>
      </c>
      <c r="Q607" s="12" t="s">
        <v>157</v>
      </c>
      <c r="R607" s="13" t="s">
        <v>158</v>
      </c>
      <c r="S607" s="13" t="s">
        <v>159</v>
      </c>
      <c r="T607" s="13">
        <v>20161102</v>
      </c>
      <c r="U607" s="14">
        <v>0.12546742289999999</v>
      </c>
      <c r="V607" s="15" t="s">
        <v>58</v>
      </c>
      <c r="W607" s="16" t="s">
        <v>40</v>
      </c>
      <c r="X607" s="34" t="s">
        <v>41</v>
      </c>
      <c r="Y607" s="17" t="s">
        <v>42</v>
      </c>
      <c r="Z607" s="17" t="s">
        <v>43</v>
      </c>
      <c r="AA607" s="13"/>
      <c r="AB607" s="13"/>
      <c r="AC607" s="22">
        <v>0</v>
      </c>
      <c r="AD607" s="23" t="s">
        <v>160</v>
      </c>
      <c r="AE607" s="24">
        <v>0.17808219178082191</v>
      </c>
      <c r="AF607" s="25">
        <v>-0.12819873997297848</v>
      </c>
      <c r="AG607" s="26">
        <v>0</v>
      </c>
      <c r="AH607" s="26">
        <v>0</v>
      </c>
      <c r="AI607" s="27">
        <v>-0.81494401209315892</v>
      </c>
      <c r="AJ607" s="27">
        <v>-0.81494401209315892</v>
      </c>
      <c r="AK607" s="27">
        <v>-0.81494401209315892</v>
      </c>
      <c r="AL607" s="28" t="s">
        <v>161</v>
      </c>
      <c r="AM607" s="29" t="s">
        <v>48</v>
      </c>
      <c r="AN607" s="29" t="s">
        <v>48</v>
      </c>
      <c r="AO607" s="29" t="s">
        <v>48</v>
      </c>
      <c r="AP607" s="23" t="s">
        <v>162</v>
      </c>
      <c r="AQ607" s="30">
        <v>0</v>
      </c>
      <c r="AR607" s="31">
        <v>1.4999999999999999E-2</v>
      </c>
      <c r="AS607" s="31">
        <v>0</v>
      </c>
    </row>
    <row r="608" spans="1:45" x14ac:dyDescent="0.15">
      <c r="A608" s="64">
        <v>346</v>
      </c>
      <c r="B608" s="64">
        <v>229</v>
      </c>
      <c r="C608" s="11">
        <v>1048</v>
      </c>
      <c r="D608" s="61">
        <v>169</v>
      </c>
      <c r="E608" s="61">
        <v>1.0992837318086601E-3</v>
      </c>
      <c r="F608" s="61">
        <v>105</v>
      </c>
      <c r="G608" s="61">
        <v>0.72170291571108003</v>
      </c>
      <c r="H608" s="66">
        <v>122</v>
      </c>
      <c r="I608" s="66" t="str">
        <f>H608&amp;"/"&amp;451</f>
        <v>122/451</v>
      </c>
      <c r="J608" s="68">
        <f>H608/451</f>
        <v>0.270509977827051</v>
      </c>
      <c r="K608" s="18" t="s">
        <v>44</v>
      </c>
      <c r="L608" s="18" t="s">
        <v>45</v>
      </c>
      <c r="M608" s="58" t="s">
        <v>65</v>
      </c>
      <c r="N608" s="18">
        <f>[1]!f_prt_stocktonav(C608,"2017/03/31")</f>
        <v>91.131454467773438</v>
      </c>
      <c r="O608" s="20" t="str">
        <f>[1]!f_info_fundmanager(C608)</f>
        <v>魏伟</v>
      </c>
      <c r="P608" s="21">
        <v>2.0547945205479454</v>
      </c>
      <c r="Q608" s="34" t="s">
        <v>1530</v>
      </c>
      <c r="R608" s="34" t="s">
        <v>1531</v>
      </c>
      <c r="S608" s="34" t="s">
        <v>396</v>
      </c>
      <c r="T608" s="34">
        <v>20150312</v>
      </c>
      <c r="U608" s="45">
        <v>28.799976404599999</v>
      </c>
      <c r="V608" s="46">
        <v>32.422445660299999</v>
      </c>
      <c r="W608" s="34" t="s">
        <v>3776</v>
      </c>
      <c r="X608" s="34" t="s">
        <v>44</v>
      </c>
      <c r="Y608" s="34" t="s">
        <v>45</v>
      </c>
      <c r="Z608" s="34" t="s">
        <v>65</v>
      </c>
      <c r="AA608" s="34"/>
      <c r="AB608" s="34"/>
      <c r="AC608" s="22">
        <v>0.94718254089355469</v>
      </c>
      <c r="AD608" s="23" t="s">
        <v>1532</v>
      </c>
      <c r="AE608" s="24">
        <v>1.8246575342465754</v>
      </c>
      <c r="AF608" s="25">
        <v>2.8927569544475729E-2</v>
      </c>
      <c r="AG608" s="26">
        <v>0</v>
      </c>
      <c r="AH608" s="26">
        <v>0</v>
      </c>
      <c r="AI608" s="27">
        <v>0.20593209340069094</v>
      </c>
      <c r="AJ608" s="27">
        <v>0.20593209340069094</v>
      </c>
      <c r="AK608" s="27">
        <v>0.20593209340069094</v>
      </c>
      <c r="AL608" s="28" t="s">
        <v>489</v>
      </c>
      <c r="AM608" s="29" t="s">
        <v>48</v>
      </c>
      <c r="AN608" s="29" t="s">
        <v>48</v>
      </c>
      <c r="AO608" s="29" t="s">
        <v>48</v>
      </c>
      <c r="AP608" s="47" t="s">
        <v>1533</v>
      </c>
      <c r="AQ608" s="28" t="s">
        <v>608</v>
      </c>
      <c r="AR608" s="26">
        <v>1.4999999999999999E-2</v>
      </c>
      <c r="AS608" s="26">
        <v>0</v>
      </c>
    </row>
    <row r="609" spans="1:45" x14ac:dyDescent="0.15">
      <c r="A609" s="64">
        <v>128</v>
      </c>
      <c r="B609" s="64">
        <v>285</v>
      </c>
      <c r="C609" s="11">
        <v>1717</v>
      </c>
      <c r="D609" s="61">
        <v>170</v>
      </c>
      <c r="E609" s="61">
        <v>1.0831463972374401E-3</v>
      </c>
      <c r="F609" s="61">
        <v>58</v>
      </c>
      <c r="G609" s="61">
        <v>0.50868064586124895</v>
      </c>
      <c r="H609" s="66">
        <v>123</v>
      </c>
      <c r="I609" s="66" t="str">
        <f>H609&amp;"/"&amp;451</f>
        <v>123/451</v>
      </c>
      <c r="J609" s="68">
        <f>H609/451</f>
        <v>0.27272727272727271</v>
      </c>
      <c r="K609" s="18" t="s">
        <v>44</v>
      </c>
      <c r="L609" s="18" t="s">
        <v>45</v>
      </c>
      <c r="M609" s="58" t="s">
        <v>65</v>
      </c>
      <c r="N609" s="18">
        <f>[1]!f_prt_stocktonav(C609,"2017/03/31")</f>
        <v>89.690727233886719</v>
      </c>
      <c r="O609" s="20" t="str">
        <f>[1]!f_info_fundmanager(C609)</f>
        <v>赵蓓</v>
      </c>
      <c r="P609" s="21">
        <v>1.1561643835616437</v>
      </c>
      <c r="Q609" s="34" t="s">
        <v>657</v>
      </c>
      <c r="R609" s="34" t="s">
        <v>658</v>
      </c>
      <c r="S609" s="34" t="s">
        <v>523</v>
      </c>
      <c r="T609" s="34">
        <v>20160203</v>
      </c>
      <c r="U609" s="45">
        <v>1.1621878197</v>
      </c>
      <c r="V609" s="46">
        <v>1.2151042196999999</v>
      </c>
      <c r="W609" s="34" t="s">
        <v>3776</v>
      </c>
      <c r="X609" s="34" t="s">
        <v>44</v>
      </c>
      <c r="Y609" s="34" t="s">
        <v>45</v>
      </c>
      <c r="Z609" s="34" t="s">
        <v>65</v>
      </c>
      <c r="AA609" s="34"/>
      <c r="AB609" s="34"/>
      <c r="AC609" s="22">
        <v>0.87234115600585938</v>
      </c>
      <c r="AD609" s="23" t="s">
        <v>659</v>
      </c>
      <c r="AE609" s="24">
        <v>0.92602739726027394</v>
      </c>
      <c r="AF609" s="25">
        <v>0.13780563466682039</v>
      </c>
      <c r="AG609" s="26">
        <v>0</v>
      </c>
      <c r="AH609" s="26">
        <v>0</v>
      </c>
      <c r="AI609" s="27">
        <v>1.2445573706092812</v>
      </c>
      <c r="AJ609" s="27">
        <v>1.2445573706092812</v>
      </c>
      <c r="AK609" s="27">
        <v>1.2445573706092812</v>
      </c>
      <c r="AL609" s="28" t="s">
        <v>660</v>
      </c>
      <c r="AM609" s="29" t="s">
        <v>48</v>
      </c>
      <c r="AN609" s="29" t="s">
        <v>48</v>
      </c>
      <c r="AO609" s="29" t="s">
        <v>48</v>
      </c>
      <c r="AP609" s="47" t="s">
        <v>255</v>
      </c>
      <c r="AQ609" s="28">
        <v>0</v>
      </c>
      <c r="AR609" s="26">
        <v>1.4999999999999999E-2</v>
      </c>
      <c r="AS609" s="26">
        <v>0</v>
      </c>
    </row>
    <row r="610" spans="1:45" x14ac:dyDescent="0.15">
      <c r="A610" s="64">
        <v>44</v>
      </c>
      <c r="B610" s="64">
        <v>96</v>
      </c>
      <c r="C610" s="11">
        <v>2939</v>
      </c>
      <c r="D610" s="61">
        <v>171</v>
      </c>
      <c r="E610" s="61">
        <v>1.0697782752459701E-3</v>
      </c>
      <c r="F610" s="61">
        <v>30</v>
      </c>
      <c r="G610" s="61">
        <v>0.64028746572255901</v>
      </c>
      <c r="H610" s="66">
        <v>124</v>
      </c>
      <c r="I610" s="66" t="str">
        <f>H610&amp;"/"&amp;451</f>
        <v>124/451</v>
      </c>
      <c r="J610" s="68">
        <f>H610/451</f>
        <v>0.27494456762749447</v>
      </c>
      <c r="K610" s="18" t="s">
        <v>44</v>
      </c>
      <c r="L610" s="18" t="s">
        <v>45</v>
      </c>
      <c r="M610" s="58" t="s">
        <v>65</v>
      </c>
      <c r="N610" s="18">
        <f>[1]!f_prt_stocktonav(C610,"2017/03/31")</f>
        <v>93.659210205078125</v>
      </c>
      <c r="O610" s="20" t="str">
        <f>[1]!f_info_fundmanager(C610)</f>
        <v>王颂</v>
      </c>
      <c r="P610" s="21">
        <v>0.6</v>
      </c>
      <c r="Q610" s="34" t="s">
        <v>277</v>
      </c>
      <c r="R610" s="34" t="s">
        <v>278</v>
      </c>
      <c r="S610" s="34" t="s">
        <v>132</v>
      </c>
      <c r="T610" s="34">
        <v>20160824</v>
      </c>
      <c r="U610" s="45">
        <v>2.0474018600999999</v>
      </c>
      <c r="V610" s="46">
        <v>3.6326516117000001</v>
      </c>
      <c r="W610" s="34" t="s">
        <v>201</v>
      </c>
      <c r="X610" s="34" t="s">
        <v>44</v>
      </c>
      <c r="Y610" s="34" t="s">
        <v>45</v>
      </c>
      <c r="Z610" s="34" t="s">
        <v>65</v>
      </c>
      <c r="AA610" s="34"/>
      <c r="AB610" s="34"/>
      <c r="AC610" s="22">
        <v>0.83604187011718745</v>
      </c>
      <c r="AD610" s="23" t="s">
        <v>279</v>
      </c>
      <c r="AE610" s="24">
        <v>0.36986301369863012</v>
      </c>
      <c r="AF610" s="25">
        <v>-2.5892600704334634E-2</v>
      </c>
      <c r="AG610" s="26">
        <v>0</v>
      </c>
      <c r="AH610" s="26">
        <v>0</v>
      </c>
      <c r="AI610" s="27">
        <v>-0.51298034965758976</v>
      </c>
      <c r="AJ610" s="27">
        <v>-0.51298034965758976</v>
      </c>
      <c r="AK610" s="27">
        <v>-0.51298034965758976</v>
      </c>
      <c r="AL610" s="28" t="s">
        <v>280</v>
      </c>
      <c r="AM610" s="29" t="s">
        <v>48</v>
      </c>
      <c r="AN610" s="29" t="s">
        <v>48</v>
      </c>
      <c r="AO610" s="29" t="s">
        <v>48</v>
      </c>
      <c r="AP610" s="47" t="s">
        <v>281</v>
      </c>
      <c r="AQ610" s="28">
        <v>0</v>
      </c>
      <c r="AR610" s="26">
        <v>1.4999999999999999E-2</v>
      </c>
      <c r="AS610" s="26">
        <v>0</v>
      </c>
    </row>
    <row r="611" spans="1:45" x14ac:dyDescent="0.15">
      <c r="A611" s="64">
        <v>234</v>
      </c>
      <c r="B611" s="64">
        <v>629</v>
      </c>
      <c r="C611" s="11">
        <v>1457</v>
      </c>
      <c r="D611" s="61">
        <v>172</v>
      </c>
      <c r="E611" s="61">
        <v>1.0687934467626099E-3</v>
      </c>
      <c r="F611" s="61">
        <v>34</v>
      </c>
      <c r="G611" s="61">
        <v>0.59712423017066996</v>
      </c>
      <c r="H611" s="66">
        <v>125</v>
      </c>
      <c r="I611" s="66" t="str">
        <f>H611&amp;"/"&amp;451</f>
        <v>125/451</v>
      </c>
      <c r="J611" s="68">
        <f>H611/451</f>
        <v>0.27716186252771619</v>
      </c>
      <c r="K611" s="18" t="s">
        <v>44</v>
      </c>
      <c r="L611" s="18" t="s">
        <v>45</v>
      </c>
      <c r="M611" s="58" t="s">
        <v>65</v>
      </c>
      <c r="N611" s="18">
        <f>[1]!f_prt_stocktonav(C611,"2017/03/31")</f>
        <v>82.136817932128906</v>
      </c>
      <c r="O611" s="20" t="str">
        <f>[1]!f_info_fundmanager(C611)</f>
        <v>高兵</v>
      </c>
      <c r="P611" s="21">
        <v>0.65205479452054793</v>
      </c>
      <c r="Q611" s="34" t="s">
        <v>1087</v>
      </c>
      <c r="R611" s="34" t="s">
        <v>1088</v>
      </c>
      <c r="S611" s="34" t="s">
        <v>387</v>
      </c>
      <c r="T611" s="34">
        <v>20150629</v>
      </c>
      <c r="U611" s="45">
        <v>9.5060328904000002</v>
      </c>
      <c r="V611" s="46">
        <v>13.6285563092</v>
      </c>
      <c r="W611" s="34" t="s">
        <v>1235</v>
      </c>
      <c r="X611" s="34" t="s">
        <v>44</v>
      </c>
      <c r="Y611" s="34" t="s">
        <v>45</v>
      </c>
      <c r="Z611" s="34" t="s">
        <v>65</v>
      </c>
      <c r="AA611" s="34"/>
      <c r="AB611" s="34"/>
      <c r="AC611" s="22">
        <v>0.82253410339355471</v>
      </c>
      <c r="AD611" s="23" t="s">
        <v>804</v>
      </c>
      <c r="AE611" s="24">
        <v>0.42191780821917807</v>
      </c>
      <c r="AF611" s="25">
        <v>0.11745595476184922</v>
      </c>
      <c r="AG611" s="26">
        <v>0</v>
      </c>
      <c r="AH611" s="26">
        <v>0</v>
      </c>
      <c r="AI611" s="27">
        <v>0.68958495706793232</v>
      </c>
      <c r="AJ611" s="27">
        <v>0.68958495706793232</v>
      </c>
      <c r="AK611" s="27">
        <v>0.68958495706793232</v>
      </c>
      <c r="AL611" s="28" t="s">
        <v>1048</v>
      </c>
      <c r="AM611" s="29" t="s">
        <v>48</v>
      </c>
      <c r="AN611" s="29" t="s">
        <v>48</v>
      </c>
      <c r="AO611" s="29" t="s">
        <v>48</v>
      </c>
      <c r="AP611" s="47" t="s">
        <v>919</v>
      </c>
      <c r="AQ611" s="28">
        <v>0</v>
      </c>
      <c r="AR611" s="26">
        <v>1.4999999999999999E-2</v>
      </c>
      <c r="AS611" s="26">
        <v>0</v>
      </c>
    </row>
    <row r="612" spans="1:45" x14ac:dyDescent="0.15">
      <c r="A612" s="64">
        <v>610</v>
      </c>
      <c r="B612" s="64">
        <v>240</v>
      </c>
      <c r="C612" s="11">
        <v>377240</v>
      </c>
      <c r="D612" s="61">
        <v>176</v>
      </c>
      <c r="E612" s="61">
        <v>1.02664120740948E-3</v>
      </c>
      <c r="F612" s="61">
        <v>292</v>
      </c>
      <c r="G612" s="61">
        <v>0.38543641322191802</v>
      </c>
      <c r="H612" s="66">
        <v>126</v>
      </c>
      <c r="I612" s="66" t="str">
        <f>H612&amp;"/"&amp;451</f>
        <v>126/451</v>
      </c>
      <c r="J612" s="68">
        <f>H612/451</f>
        <v>0.2793791574279379</v>
      </c>
      <c r="K612" s="18" t="s">
        <v>44</v>
      </c>
      <c r="L612" s="19" t="s">
        <v>45</v>
      </c>
      <c r="M612" s="59" t="s">
        <v>65</v>
      </c>
      <c r="N612" s="18">
        <f>[1]!f_prt_stocktonav(C612,"2017/03/31")</f>
        <v>90.819648742675781</v>
      </c>
      <c r="O612" s="20" t="str">
        <f>[1]!f_info_fundmanager(C612)</f>
        <v>杜猛</v>
      </c>
      <c r="P612" s="21">
        <v>5.720547945205479</v>
      </c>
      <c r="Q612" s="32" t="s">
        <v>2482</v>
      </c>
      <c r="R612" s="13" t="s">
        <v>2483</v>
      </c>
      <c r="S612" s="13" t="s">
        <v>511</v>
      </c>
      <c r="T612" s="13">
        <v>20110713</v>
      </c>
      <c r="U612" s="14">
        <v>11.522519323099999</v>
      </c>
      <c r="V612" s="15" t="s">
        <v>72</v>
      </c>
      <c r="W612" s="16" t="s">
        <v>40</v>
      </c>
      <c r="X612" s="17" t="s">
        <v>44</v>
      </c>
      <c r="Y612" s="17" t="s">
        <v>45</v>
      </c>
      <c r="Z612" s="17" t="s">
        <v>65</v>
      </c>
      <c r="AA612" s="13"/>
      <c r="AB612" s="13"/>
      <c r="AC612" s="22">
        <v>0.92179016113281254</v>
      </c>
      <c r="AD612" s="23" t="s">
        <v>2484</v>
      </c>
      <c r="AE612" s="24">
        <v>5.4904109589041097</v>
      </c>
      <c r="AF612" s="25">
        <v>0.1423739121547698</v>
      </c>
      <c r="AG612" s="26">
        <v>7.8171710108800863E-2</v>
      </c>
      <c r="AH612" s="26">
        <v>0.18692513276959866</v>
      </c>
      <c r="AI612" s="27">
        <v>0.55851414621215567</v>
      </c>
      <c r="AJ612" s="27">
        <v>0.31901934754229044</v>
      </c>
      <c r="AK612" s="27">
        <v>0.67653024901130321</v>
      </c>
      <c r="AL612" s="28" t="s">
        <v>1459</v>
      </c>
      <c r="AM612" s="29">
        <v>2</v>
      </c>
      <c r="AN612" s="29">
        <v>3</v>
      </c>
      <c r="AO612" s="29" t="s">
        <v>48</v>
      </c>
      <c r="AP612" s="23" t="s">
        <v>2485</v>
      </c>
      <c r="AQ612" s="30">
        <v>0</v>
      </c>
      <c r="AR612" s="31">
        <v>1.4999999999999999E-2</v>
      </c>
      <c r="AS612" s="31">
        <v>0</v>
      </c>
    </row>
    <row r="613" spans="1:45" x14ac:dyDescent="0.15">
      <c r="A613" s="64">
        <v>515</v>
      </c>
      <c r="B613" s="64">
        <v>117</v>
      </c>
      <c r="C613" s="11">
        <v>63</v>
      </c>
      <c r="D613" s="61">
        <v>177</v>
      </c>
      <c r="E613" s="61">
        <v>1.00769246406035E-3</v>
      </c>
      <c r="F613" s="61">
        <v>201</v>
      </c>
      <c r="G613" s="61">
        <v>0.55269636363222097</v>
      </c>
      <c r="H613" s="66">
        <v>127</v>
      </c>
      <c r="I613" s="66" t="str">
        <f>H613&amp;"/"&amp;451</f>
        <v>127/451</v>
      </c>
      <c r="J613" s="68">
        <f>H613/451</f>
        <v>0.28159645232815966</v>
      </c>
      <c r="K613" s="18" t="s">
        <v>44</v>
      </c>
      <c r="L613" s="18" t="s">
        <v>87</v>
      </c>
      <c r="M613" s="58" t="s">
        <v>65</v>
      </c>
      <c r="N613" s="18">
        <f>[1]!f_prt_stocktonav(C613,"2017/03/31")</f>
        <v>93.310745239257813</v>
      </c>
      <c r="O613" s="20" t="str">
        <f>[1]!f_info_fundmanager(C613)</f>
        <v>赵宏宇</v>
      </c>
      <c r="P613" s="21">
        <v>3.893150684931507</v>
      </c>
      <c r="Q613" s="39" t="s">
        <v>2157</v>
      </c>
      <c r="R613" s="39" t="s">
        <v>2158</v>
      </c>
      <c r="S613" s="39" t="s">
        <v>364</v>
      </c>
      <c r="T613" s="39">
        <v>20130510</v>
      </c>
      <c r="U613" s="48">
        <v>18.872479822700001</v>
      </c>
      <c r="V613" s="46">
        <v>24.248019785499999</v>
      </c>
      <c r="W613" s="39" t="s">
        <v>1235</v>
      </c>
      <c r="X613" s="39" t="s">
        <v>44</v>
      </c>
      <c r="Y613" s="39" t="s">
        <v>87</v>
      </c>
      <c r="Z613" s="55" t="s">
        <v>65</v>
      </c>
      <c r="AA613" s="34" t="s">
        <v>3827</v>
      </c>
      <c r="AB613" s="34"/>
      <c r="AC613" s="22">
        <v>0.90684158325195308</v>
      </c>
      <c r="AD613" s="23" t="s">
        <v>2160</v>
      </c>
      <c r="AE613" s="24">
        <v>3.6630136986301371</v>
      </c>
      <c r="AF613" s="25">
        <v>0.17386935137837356</v>
      </c>
      <c r="AG613" s="26">
        <v>0.24417894289795483</v>
      </c>
      <c r="AH613" s="26">
        <v>0</v>
      </c>
      <c r="AI613" s="27">
        <v>0.71569183002541836</v>
      </c>
      <c r="AJ613" s="27">
        <v>0.9480725838190629</v>
      </c>
      <c r="AK613" s="27">
        <v>0.71569183002541836</v>
      </c>
      <c r="AL613" s="40" t="s">
        <v>2161</v>
      </c>
      <c r="AM613" s="41" t="s">
        <v>48</v>
      </c>
      <c r="AN613" s="41" t="s">
        <v>48</v>
      </c>
      <c r="AO613" s="41" t="s">
        <v>48</v>
      </c>
      <c r="AP613" s="50" t="s">
        <v>367</v>
      </c>
      <c r="AQ613" s="51">
        <v>0</v>
      </c>
      <c r="AR613" s="52">
        <v>1.4999999999999999E-2</v>
      </c>
      <c r="AS613" s="52">
        <v>0</v>
      </c>
    </row>
    <row r="614" spans="1:45" x14ac:dyDescent="0.15">
      <c r="A614" s="64">
        <v>204</v>
      </c>
      <c r="B614" s="64">
        <v>650</v>
      </c>
      <c r="C614" s="11">
        <v>1583</v>
      </c>
      <c r="D614" s="61">
        <v>178</v>
      </c>
      <c r="E614" s="61">
        <v>9.9341840016803806E-4</v>
      </c>
      <c r="F614" s="61">
        <v>74</v>
      </c>
      <c r="G614" s="61">
        <v>0.62655955659158602</v>
      </c>
      <c r="H614" s="66">
        <v>128</v>
      </c>
      <c r="I614" s="66" t="str">
        <f>H614&amp;"/"&amp;451</f>
        <v>128/451</v>
      </c>
      <c r="J614" s="68">
        <f>H614/451</f>
        <v>0.28381374722838137</v>
      </c>
      <c r="K614" s="18" t="s">
        <v>44</v>
      </c>
      <c r="L614" s="18" t="s">
        <v>45</v>
      </c>
      <c r="M614" s="58" t="s">
        <v>65</v>
      </c>
      <c r="N614" s="18">
        <f>[1]!f_prt_stocktonav(C614,"2017/03/31")</f>
        <v>81.410125732421875</v>
      </c>
      <c r="O614" s="20" t="str">
        <f>[1]!f_info_fundmanager(C614)</f>
        <v>蓝雁书,袁玮</v>
      </c>
      <c r="P614" s="21">
        <v>1.4109589041095891</v>
      </c>
      <c r="Q614" s="34" t="s">
        <v>973</v>
      </c>
      <c r="R614" s="34" t="s">
        <v>974</v>
      </c>
      <c r="S614" s="34" t="s">
        <v>975</v>
      </c>
      <c r="T614" s="34">
        <v>20150807</v>
      </c>
      <c r="U614" s="45">
        <v>0.24103124179999999</v>
      </c>
      <c r="V614" s="46">
        <v>0.28441906119999999</v>
      </c>
      <c r="W614" s="34" t="s">
        <v>3789</v>
      </c>
      <c r="X614" s="34" t="s">
        <v>44</v>
      </c>
      <c r="Y614" s="34" t="s">
        <v>45</v>
      </c>
      <c r="Z614" s="34" t="s">
        <v>65</v>
      </c>
      <c r="AA614" s="34"/>
      <c r="AB614" s="34"/>
      <c r="AC614" s="22">
        <v>0.87268280029296874</v>
      </c>
      <c r="AD614" s="23" t="s">
        <v>976</v>
      </c>
      <c r="AE614" s="24">
        <v>1.1808219178082191</v>
      </c>
      <c r="AF614" s="25">
        <v>-4.1621213709262417E-2</v>
      </c>
      <c r="AG614" s="26">
        <v>0</v>
      </c>
      <c r="AH614" s="26">
        <v>0</v>
      </c>
      <c r="AI614" s="27">
        <v>-9.7439457772373769E-2</v>
      </c>
      <c r="AJ614" s="27">
        <v>-9.7439457772373769E-2</v>
      </c>
      <c r="AK614" s="27">
        <v>-9.7439457772373769E-2</v>
      </c>
      <c r="AL614" s="28" t="s">
        <v>176</v>
      </c>
      <c r="AM614" s="29" t="s">
        <v>48</v>
      </c>
      <c r="AN614" s="29" t="s">
        <v>48</v>
      </c>
      <c r="AO614" s="29" t="s">
        <v>48</v>
      </c>
      <c r="AP614" s="47" t="s">
        <v>209</v>
      </c>
      <c r="AQ614" s="28">
        <v>0</v>
      </c>
      <c r="AR614" s="26">
        <v>1.4999999999999999E-2</v>
      </c>
      <c r="AS614" s="26">
        <v>0</v>
      </c>
    </row>
    <row r="615" spans="1:45" x14ac:dyDescent="0.15">
      <c r="A615" s="64">
        <v>64</v>
      </c>
      <c r="B615" s="64">
        <v>712</v>
      </c>
      <c r="C615" s="11">
        <v>2708</v>
      </c>
      <c r="D615" s="61">
        <v>179</v>
      </c>
      <c r="E615" s="61">
        <v>9.7990135558393191E-4</v>
      </c>
      <c r="F615" s="61">
        <v>38</v>
      </c>
      <c r="G615" s="61">
        <v>0.55408775633437701</v>
      </c>
      <c r="H615" s="66">
        <v>129</v>
      </c>
      <c r="I615" s="66" t="str">
        <f>H615&amp;"/"&amp;451</f>
        <v>129/451</v>
      </c>
      <c r="J615" s="68">
        <f>H615/451</f>
        <v>0.28603104212860309</v>
      </c>
      <c r="K615" s="18" t="s">
        <v>44</v>
      </c>
      <c r="L615" s="18" t="s">
        <v>45</v>
      </c>
      <c r="M615" s="58" t="s">
        <v>65</v>
      </c>
      <c r="N615" s="18">
        <f>[1]!f_prt_stocktonav(C615,"2017/03/31")</f>
        <v>79.65997314453125</v>
      </c>
      <c r="O615" s="20" t="str">
        <f>[1]!f_info_fundmanager(C615)</f>
        <v>王大鹏</v>
      </c>
      <c r="P615" s="21">
        <v>0.75068493150684934</v>
      </c>
      <c r="Q615" s="34" t="s">
        <v>376</v>
      </c>
      <c r="R615" s="34" t="s">
        <v>377</v>
      </c>
      <c r="S615" s="34" t="s">
        <v>378</v>
      </c>
      <c r="T615" s="34">
        <v>20160630</v>
      </c>
      <c r="U615" s="45">
        <v>1.8167407330000001</v>
      </c>
      <c r="V615" s="46">
        <v>3.2288646712000002</v>
      </c>
      <c r="W615" s="34" t="s">
        <v>201</v>
      </c>
      <c r="X615" s="34" t="s">
        <v>41</v>
      </c>
      <c r="Y615" s="34" t="s">
        <v>42</v>
      </c>
      <c r="Z615" s="34" t="s">
        <v>181</v>
      </c>
      <c r="AA615" s="34"/>
      <c r="AB615" s="34"/>
      <c r="AC615" s="22">
        <v>0.69027198791503908</v>
      </c>
      <c r="AD615" s="23" t="s">
        <v>379</v>
      </c>
      <c r="AE615" s="24">
        <v>0.52054794520547942</v>
      </c>
      <c r="AF615" s="25">
        <v>6.6153049043628842E-2</v>
      </c>
      <c r="AG615" s="26">
        <v>0</v>
      </c>
      <c r="AH615" s="26">
        <v>0</v>
      </c>
      <c r="AI615" s="27">
        <v>1.6069200414882721</v>
      </c>
      <c r="AJ615" s="27">
        <v>1.6069200414882721</v>
      </c>
      <c r="AK615" s="27">
        <v>1.6069200414882721</v>
      </c>
      <c r="AL615" s="28" t="s">
        <v>380</v>
      </c>
      <c r="AM615" s="29" t="s">
        <v>48</v>
      </c>
      <c r="AN615" s="29" t="s">
        <v>48</v>
      </c>
      <c r="AO615" s="29" t="s">
        <v>48</v>
      </c>
      <c r="AP615" s="47" t="s">
        <v>381</v>
      </c>
      <c r="AQ615" s="28">
        <v>0</v>
      </c>
      <c r="AR615" s="26">
        <v>1.4999999999999999E-2</v>
      </c>
      <c r="AS615" s="26">
        <v>0</v>
      </c>
    </row>
    <row r="616" spans="1:45" x14ac:dyDescent="0.15">
      <c r="A616" s="64">
        <v>15</v>
      </c>
      <c r="B616" s="64">
        <v>928</v>
      </c>
      <c r="C616" s="11">
        <v>3397</v>
      </c>
      <c r="D616" s="61">
        <v>180</v>
      </c>
      <c r="E616" s="61">
        <v>9.7338279665187702E-4</v>
      </c>
      <c r="F616" s="61">
        <v>19</v>
      </c>
      <c r="G616" s="61">
        <v>0.56777616544579501</v>
      </c>
      <c r="H616" s="66">
        <v>130</v>
      </c>
      <c r="I616" s="66" t="str">
        <f>H616&amp;"/"&amp;451</f>
        <v>130/451</v>
      </c>
      <c r="J616" s="68">
        <f>H616/451</f>
        <v>0.28824833702882485</v>
      </c>
      <c r="K616" s="18" t="s">
        <v>44</v>
      </c>
      <c r="L616" s="19" t="s">
        <v>45</v>
      </c>
      <c r="M616" s="59" t="s">
        <v>65</v>
      </c>
      <c r="N616" s="18">
        <f>[1]!f_prt_stocktonav(C616,"2017/03/31")</f>
        <v>71.235328674316406</v>
      </c>
      <c r="O616" s="20" t="str">
        <f>[1]!f_info_fundmanager(C616)</f>
        <v>周思聪,王翔</v>
      </c>
      <c r="P616" s="21">
        <v>0.36712328767123287</v>
      </c>
      <c r="Q616" s="32" t="s">
        <v>126</v>
      </c>
      <c r="R616" s="13" t="s">
        <v>127</v>
      </c>
      <c r="S616" s="13" t="s">
        <v>57</v>
      </c>
      <c r="T616" s="13">
        <v>20161117</v>
      </c>
      <c r="U616" s="14">
        <v>2.3383401163999999</v>
      </c>
      <c r="V616" s="15" t="s">
        <v>58</v>
      </c>
      <c r="W616" s="16" t="s">
        <v>40</v>
      </c>
      <c r="X616" s="17" t="s">
        <v>41</v>
      </c>
      <c r="Y616" s="17" t="s">
        <v>42</v>
      </c>
      <c r="Z616" s="17" t="s">
        <v>43</v>
      </c>
      <c r="AA616" s="13"/>
      <c r="AB616" s="13"/>
      <c r="AC616" s="22">
        <v>0</v>
      </c>
      <c r="AD616" s="23" t="s">
        <v>128</v>
      </c>
      <c r="AE616" s="24">
        <v>0.13698630136986301</v>
      </c>
      <c r="AF616" s="25">
        <v>4.1283933712149778E-2</v>
      </c>
      <c r="AG616" s="26">
        <v>0</v>
      </c>
      <c r="AH616" s="26">
        <v>0</v>
      </c>
      <c r="AI616" s="27">
        <v>1.5440891407122943</v>
      </c>
      <c r="AJ616" s="27">
        <v>1.5440891407122943</v>
      </c>
      <c r="AK616" s="27">
        <v>1.5440891407122943</v>
      </c>
      <c r="AL616" s="28" t="s">
        <v>129</v>
      </c>
      <c r="AM616" s="29" t="s">
        <v>48</v>
      </c>
      <c r="AN616" s="29" t="s">
        <v>48</v>
      </c>
      <c r="AO616" s="29" t="s">
        <v>48</v>
      </c>
      <c r="AP616" s="23">
        <v>0</v>
      </c>
      <c r="AQ616" s="30">
        <v>0</v>
      </c>
      <c r="AR616" s="31">
        <v>1.4999999999999999E-2</v>
      </c>
      <c r="AS616" s="31">
        <v>0</v>
      </c>
    </row>
    <row r="617" spans="1:45" x14ac:dyDescent="0.15">
      <c r="A617" s="64">
        <v>341</v>
      </c>
      <c r="B617" s="64">
        <v>719</v>
      </c>
      <c r="C617" s="11">
        <v>1117</v>
      </c>
      <c r="D617" s="61">
        <v>181</v>
      </c>
      <c r="E617" s="61">
        <v>9.67050901083564E-4</v>
      </c>
      <c r="F617" s="61">
        <v>18</v>
      </c>
      <c r="G617" s="61">
        <v>0.65324454459738801</v>
      </c>
      <c r="H617" s="66">
        <v>131</v>
      </c>
      <c r="I617" s="66" t="str">
        <f>H617&amp;"/"&amp;451</f>
        <v>131/451</v>
      </c>
      <c r="J617" s="68">
        <f>H617/451</f>
        <v>0.29046563192904656</v>
      </c>
      <c r="K617" s="18" t="s">
        <v>44</v>
      </c>
      <c r="L617" s="18" t="s">
        <v>45</v>
      </c>
      <c r="M617" s="58" t="s">
        <v>65</v>
      </c>
      <c r="N617" s="18">
        <f>[1]!f_prt_stocktonav(C617,"2017/03/31")</f>
        <v>79.464439392089844</v>
      </c>
      <c r="O617" s="20" t="str">
        <f>[1]!f_info_fundmanager(C617)</f>
        <v>周蔚文</v>
      </c>
      <c r="P617" s="21">
        <v>0.32876712328767121</v>
      </c>
      <c r="Q617" s="34" t="s">
        <v>1510</v>
      </c>
      <c r="R617" s="34" t="s">
        <v>1511</v>
      </c>
      <c r="S617" s="34" t="s">
        <v>200</v>
      </c>
      <c r="T617" s="34">
        <v>20150318</v>
      </c>
      <c r="U617" s="45">
        <v>17.1352821537</v>
      </c>
      <c r="V617" s="46">
        <v>20.074722623700001</v>
      </c>
      <c r="W617" s="34" t="s">
        <v>1235</v>
      </c>
      <c r="X617" s="34" t="s">
        <v>41</v>
      </c>
      <c r="Y617" s="17" t="s">
        <v>42</v>
      </c>
      <c r="Z617" s="17" t="s">
        <v>181</v>
      </c>
      <c r="AA617" s="34"/>
      <c r="AB617" s="34"/>
      <c r="AC617" s="22">
        <v>0.67760635375976563</v>
      </c>
      <c r="AD617" s="23" t="s">
        <v>1512</v>
      </c>
      <c r="AE617" s="24">
        <v>9.8630136986301367E-2</v>
      </c>
      <c r="AF617" s="25">
        <v>-0.14938815759332746</v>
      </c>
      <c r="AG617" s="26">
        <v>0</v>
      </c>
      <c r="AH617" s="26">
        <v>0</v>
      </c>
      <c r="AI617" s="27">
        <v>-0.27050522572155306</v>
      </c>
      <c r="AJ617" s="27">
        <v>-0.27050522572155306</v>
      </c>
      <c r="AK617" s="27">
        <v>-0.27050522572155306</v>
      </c>
      <c r="AL617" s="28" t="s">
        <v>874</v>
      </c>
      <c r="AM617" s="29" t="s">
        <v>48</v>
      </c>
      <c r="AN617" s="29" t="s">
        <v>48</v>
      </c>
      <c r="AO617" s="29" t="s">
        <v>48</v>
      </c>
      <c r="AP617" s="47" t="s">
        <v>1513</v>
      </c>
      <c r="AQ617" s="28">
        <v>0</v>
      </c>
      <c r="AR617" s="26">
        <v>0.01</v>
      </c>
      <c r="AS617" s="26">
        <v>0</v>
      </c>
    </row>
    <row r="618" spans="1:45" x14ac:dyDescent="0.15">
      <c r="A618" s="64">
        <v>33</v>
      </c>
      <c r="B618" s="64">
        <v>482</v>
      </c>
      <c r="C618" s="11">
        <v>1513</v>
      </c>
      <c r="D618" s="61">
        <v>182</v>
      </c>
      <c r="E618" s="61">
        <v>9.6570529233151303E-4</v>
      </c>
      <c r="F618" s="61">
        <v>25</v>
      </c>
      <c r="G618" s="61">
        <v>0.70504830248739903</v>
      </c>
      <c r="H618" s="66">
        <v>132</v>
      </c>
      <c r="I618" s="66" t="str">
        <f>H618&amp;"/"&amp;451</f>
        <v>132/451</v>
      </c>
      <c r="J618" s="68">
        <f>H618/451</f>
        <v>0.29268292682926828</v>
      </c>
      <c r="K618" s="18" t="s">
        <v>44</v>
      </c>
      <c r="L618" s="18" t="s">
        <v>87</v>
      </c>
      <c r="M618" s="58" t="s">
        <v>65</v>
      </c>
      <c r="N618" s="18">
        <f>[1]!f_prt_stocktonav(C618,"2017/03/31")</f>
        <v>85.643287658691406</v>
      </c>
      <c r="O618" s="20" t="str">
        <f>[1]!f_info_fundmanager(C618)</f>
        <v>郑希</v>
      </c>
      <c r="P618" s="21">
        <v>0.50684931506849318</v>
      </c>
      <c r="Q618" s="34" t="s">
        <v>216</v>
      </c>
      <c r="R618" s="34" t="s">
        <v>217</v>
      </c>
      <c r="S618" s="34" t="s">
        <v>218</v>
      </c>
      <c r="T618" s="34">
        <v>20160927</v>
      </c>
      <c r="U618" s="45">
        <v>2.3872347244999998</v>
      </c>
      <c r="V618" s="46">
        <v>4.06261545</v>
      </c>
      <c r="W618" s="34" t="s">
        <v>201</v>
      </c>
      <c r="X618" s="34" t="s">
        <v>41</v>
      </c>
      <c r="Y618" s="34" t="s">
        <v>42</v>
      </c>
      <c r="Z618" s="34" t="s">
        <v>43</v>
      </c>
      <c r="AA618" s="34"/>
      <c r="AB618" s="34"/>
      <c r="AC618" s="22">
        <v>0.45956020355224608</v>
      </c>
      <c r="AD618" s="23" t="s">
        <v>219</v>
      </c>
      <c r="AE618" s="24">
        <v>0.27671232876712326</v>
      </c>
      <c r="AF618" s="25">
        <v>-4.486344567479305E-2</v>
      </c>
      <c r="AG618" s="26">
        <v>0</v>
      </c>
      <c r="AH618" s="26">
        <v>0</v>
      </c>
      <c r="AI618" s="27">
        <v>-2.3082049676714669</v>
      </c>
      <c r="AJ618" s="27">
        <v>-2.3082049676714669</v>
      </c>
      <c r="AK618" s="27">
        <v>-2.3082049676714669</v>
      </c>
      <c r="AL618" s="28" t="s">
        <v>220</v>
      </c>
      <c r="AM618" s="29" t="s">
        <v>48</v>
      </c>
      <c r="AN618" s="29" t="s">
        <v>48</v>
      </c>
      <c r="AO618" s="29" t="s">
        <v>48</v>
      </c>
      <c r="AP618" s="47" t="s">
        <v>221</v>
      </c>
      <c r="AQ618" s="28">
        <v>0</v>
      </c>
      <c r="AR618" s="26">
        <v>1.4999999999999999E-2</v>
      </c>
      <c r="AS618" s="26">
        <v>0</v>
      </c>
    </row>
    <row r="619" spans="1:45" x14ac:dyDescent="0.15">
      <c r="A619" s="64">
        <v>118</v>
      </c>
      <c r="B619" s="64">
        <v>633</v>
      </c>
      <c r="C619" s="11">
        <v>1718</v>
      </c>
      <c r="D619" s="61">
        <v>183</v>
      </c>
      <c r="E619" s="61">
        <v>9.5691025775629097E-4</v>
      </c>
      <c r="F619" s="61">
        <v>55</v>
      </c>
      <c r="G619" s="61">
        <v>0.56658287201329705</v>
      </c>
      <c r="H619" s="66">
        <v>133</v>
      </c>
      <c r="I619" s="66" t="str">
        <f>H619&amp;"/"&amp;451</f>
        <v>133/451</v>
      </c>
      <c r="J619" s="68">
        <f>H619/451</f>
        <v>0.29490022172949004</v>
      </c>
      <c r="K619" s="18" t="s">
        <v>44</v>
      </c>
      <c r="L619" s="18" t="s">
        <v>86</v>
      </c>
      <c r="M619" s="58" t="s">
        <v>65</v>
      </c>
      <c r="N619" s="18">
        <f>[1]!f_prt_stocktonav(C619,"2017/03/31")</f>
        <v>81.974296569824219</v>
      </c>
      <c r="O619" s="20" t="str">
        <f>[1]!f_info_fundmanager(C619)</f>
        <v>杨柯,张宇帆</v>
      </c>
      <c r="P619" s="21">
        <v>1.0821917808219179</v>
      </c>
      <c r="Q619" s="34" t="s">
        <v>612</v>
      </c>
      <c r="R619" s="34" t="s">
        <v>613</v>
      </c>
      <c r="S619" s="34" t="s">
        <v>523</v>
      </c>
      <c r="T619" s="34">
        <v>20160301</v>
      </c>
      <c r="U619" s="45">
        <v>0.54427629730000004</v>
      </c>
      <c r="V619" s="46">
        <v>0.67823887630000002</v>
      </c>
      <c r="W619" s="34" t="s">
        <v>3776</v>
      </c>
      <c r="X619" s="34" t="s">
        <v>44</v>
      </c>
      <c r="Y619" s="34" t="s">
        <v>45</v>
      </c>
      <c r="Z619" s="34" t="s">
        <v>65</v>
      </c>
      <c r="AA619" s="34"/>
      <c r="AB619" s="34"/>
      <c r="AC619" s="22">
        <v>0.81361206054687496</v>
      </c>
      <c r="AD619" s="23" t="s">
        <v>614</v>
      </c>
      <c r="AE619" s="24">
        <v>0.852054794520548</v>
      </c>
      <c r="AF619" s="25">
        <v>0.12040136103422693</v>
      </c>
      <c r="AG619" s="26">
        <v>0</v>
      </c>
      <c r="AH619" s="26">
        <v>0</v>
      </c>
      <c r="AI619" s="27">
        <v>1.0585016133561811</v>
      </c>
      <c r="AJ619" s="27">
        <v>1.0585016133561811</v>
      </c>
      <c r="AK619" s="27">
        <v>1.0585016133561811</v>
      </c>
      <c r="AL619" s="28" t="s">
        <v>615</v>
      </c>
      <c r="AM619" s="29" t="s">
        <v>48</v>
      </c>
      <c r="AN619" s="29" t="s">
        <v>48</v>
      </c>
      <c r="AO619" s="29" t="s">
        <v>48</v>
      </c>
      <c r="AP619" s="47" t="s">
        <v>255</v>
      </c>
      <c r="AQ619" s="28">
        <v>0</v>
      </c>
      <c r="AR619" s="26">
        <v>1.4999999999999999E-2</v>
      </c>
      <c r="AS619" s="26">
        <v>0</v>
      </c>
    </row>
    <row r="620" spans="1:45" x14ac:dyDescent="0.15">
      <c r="A620" s="64">
        <v>81</v>
      </c>
      <c r="B620" s="64">
        <v>722</v>
      </c>
      <c r="C620" s="11">
        <v>2593</v>
      </c>
      <c r="D620" s="61">
        <v>185</v>
      </c>
      <c r="E620" s="61">
        <v>9.3222454396103198E-4</v>
      </c>
      <c r="F620" s="61">
        <v>44</v>
      </c>
      <c r="G620" s="61">
        <v>0.45367130947318002</v>
      </c>
      <c r="H620" s="66">
        <v>134</v>
      </c>
      <c r="I620" s="66" t="str">
        <f>H620&amp;"/"&amp;451</f>
        <v>134/451</v>
      </c>
      <c r="J620" s="68">
        <f>H620/451</f>
        <v>0.29711751662971175</v>
      </c>
      <c r="K620" s="18" t="s">
        <v>44</v>
      </c>
      <c r="L620" s="18" t="s">
        <v>45</v>
      </c>
      <c r="M620" s="58" t="s">
        <v>65</v>
      </c>
      <c r="N620" s="18">
        <f>[1]!f_prt_stocktonav(C620,"2017/03/31")</f>
        <v>79.426399230957031</v>
      </c>
      <c r="O620" s="20" t="str">
        <f>[1]!f_info_fundmanager(C620)</f>
        <v>张啸伟</v>
      </c>
      <c r="P620" s="21">
        <v>0.86575342465753424</v>
      </c>
      <c r="Q620" s="34" t="s">
        <v>458</v>
      </c>
      <c r="R620" s="34" t="s">
        <v>459</v>
      </c>
      <c r="S620" s="34" t="s">
        <v>396</v>
      </c>
      <c r="T620" s="34">
        <v>20160519</v>
      </c>
      <c r="U620" s="45">
        <v>0.52688737320000001</v>
      </c>
      <c r="V620" s="46">
        <v>0.53353077849999997</v>
      </c>
      <c r="W620" s="34" t="s">
        <v>3776</v>
      </c>
      <c r="X620" s="34" t="s">
        <v>41</v>
      </c>
      <c r="Y620" s="34" t="s">
        <v>42</v>
      </c>
      <c r="Z620" s="34" t="s">
        <v>181</v>
      </c>
      <c r="AA620" s="34"/>
      <c r="AB620" s="34"/>
      <c r="AC620" s="22">
        <v>0.67354721069335932</v>
      </c>
      <c r="AD620" s="23" t="s">
        <v>460</v>
      </c>
      <c r="AE620" s="24">
        <v>0.63561643835616444</v>
      </c>
      <c r="AF620" s="25">
        <v>0.12331768611927639</v>
      </c>
      <c r="AG620" s="26">
        <v>0</v>
      </c>
      <c r="AH620" s="26">
        <v>0</v>
      </c>
      <c r="AI620" s="27">
        <v>2.05953350088557</v>
      </c>
      <c r="AJ620" s="27">
        <v>2.05953350088557</v>
      </c>
      <c r="AK620" s="27">
        <v>2.05953350088557</v>
      </c>
      <c r="AL620" s="28" t="s">
        <v>461</v>
      </c>
      <c r="AM620" s="29" t="s">
        <v>48</v>
      </c>
      <c r="AN620" s="29" t="s">
        <v>48</v>
      </c>
      <c r="AO620" s="29" t="s">
        <v>48</v>
      </c>
      <c r="AP620" s="47" t="s">
        <v>399</v>
      </c>
      <c r="AQ620" s="28">
        <v>0</v>
      </c>
      <c r="AR620" s="26">
        <v>1.4999999999999999E-2</v>
      </c>
      <c r="AS620" s="26">
        <v>0</v>
      </c>
    </row>
    <row r="621" spans="1:45" x14ac:dyDescent="0.15">
      <c r="A621" s="64">
        <v>104</v>
      </c>
      <c r="B621" s="64">
        <v>778</v>
      </c>
      <c r="C621" s="11">
        <v>2450</v>
      </c>
      <c r="D621" s="61">
        <v>187</v>
      </c>
      <c r="E621" s="61">
        <v>9.2145686114162098E-4</v>
      </c>
      <c r="F621" s="61">
        <v>32</v>
      </c>
      <c r="G621" s="61">
        <v>0.57667882759023903</v>
      </c>
      <c r="H621" s="66">
        <v>135</v>
      </c>
      <c r="I621" s="66" t="str">
        <f>H621&amp;"/"&amp;451</f>
        <v>135/451</v>
      </c>
      <c r="J621" s="68">
        <f>H621/451</f>
        <v>0.29933481152993346</v>
      </c>
      <c r="K621" s="18" t="s">
        <v>44</v>
      </c>
      <c r="L621" s="18" t="s">
        <v>45</v>
      </c>
      <c r="M621" s="58" t="s">
        <v>65</v>
      </c>
      <c r="N621" s="18">
        <f>[1]!f_prt_stocktonav(C621,"2017/03/31")</f>
        <v>77.347145080566406</v>
      </c>
      <c r="O621" s="20" t="str">
        <f>[1]!f_info_fundmanager(C621)</f>
        <v>黄维</v>
      </c>
      <c r="P621" s="21">
        <v>0.6</v>
      </c>
      <c r="Q621" s="34" t="s">
        <v>556</v>
      </c>
      <c r="R621" s="34" t="s">
        <v>557</v>
      </c>
      <c r="S621" s="34" t="s">
        <v>344</v>
      </c>
      <c r="T621" s="34">
        <v>20160329</v>
      </c>
      <c r="U621" s="45">
        <v>0.54230447179999997</v>
      </c>
      <c r="V621" s="46">
        <v>0.68743512620000002</v>
      </c>
      <c r="W621" s="34" t="s">
        <v>3776</v>
      </c>
      <c r="X621" s="34" t="s">
        <v>41</v>
      </c>
      <c r="Y621" s="34" t="s">
        <v>42</v>
      </c>
      <c r="Z621" s="34" t="s">
        <v>181</v>
      </c>
      <c r="AA621" s="34"/>
      <c r="AB621" s="34"/>
      <c r="AC621" s="22">
        <v>0.2717887306213379</v>
      </c>
      <c r="AD621" s="23" t="s">
        <v>558</v>
      </c>
      <c r="AE621" s="24">
        <v>0.36986301369863012</v>
      </c>
      <c r="AF621" s="25">
        <v>-8.1888333523580825E-2</v>
      </c>
      <c r="AG621" s="26">
        <v>0</v>
      </c>
      <c r="AH621" s="26">
        <v>0</v>
      </c>
      <c r="AI621" s="27">
        <v>-1.7942792628856121</v>
      </c>
      <c r="AJ621" s="27">
        <v>-1.7942792628856121</v>
      </c>
      <c r="AK621" s="27">
        <v>-1.7942792628856121</v>
      </c>
      <c r="AL621" s="28" t="s">
        <v>346</v>
      </c>
      <c r="AM621" s="29" t="s">
        <v>48</v>
      </c>
      <c r="AN621" s="29" t="s">
        <v>48</v>
      </c>
      <c r="AO621" s="29" t="s">
        <v>48</v>
      </c>
      <c r="AP621" s="47" t="s">
        <v>559</v>
      </c>
      <c r="AQ621" s="28">
        <v>0</v>
      </c>
      <c r="AR621" s="26">
        <v>1.4999999999999999E-2</v>
      </c>
      <c r="AS621" s="26">
        <v>0</v>
      </c>
    </row>
    <row r="622" spans="1:45" x14ac:dyDescent="0.15">
      <c r="A622" s="64">
        <v>215</v>
      </c>
      <c r="B622" s="64">
        <v>445</v>
      </c>
      <c r="C622" s="11">
        <v>1577</v>
      </c>
      <c r="D622" s="61">
        <v>188</v>
      </c>
      <c r="E622" s="61">
        <v>9.0947832054489501E-4</v>
      </c>
      <c r="F622" s="61">
        <v>85</v>
      </c>
      <c r="G622" s="61">
        <v>0.42837680767965303</v>
      </c>
      <c r="H622" s="66">
        <v>136</v>
      </c>
      <c r="I622" s="66" t="str">
        <f>H622&amp;"/"&amp;451</f>
        <v>136/451</v>
      </c>
      <c r="J622" s="68">
        <f>H622/451</f>
        <v>0.30155210643015523</v>
      </c>
      <c r="K622" s="18" t="s">
        <v>44</v>
      </c>
      <c r="L622" s="18" t="s">
        <v>45</v>
      </c>
      <c r="M622" s="58" t="s">
        <v>65</v>
      </c>
      <c r="N622" s="18">
        <f>[1]!f_prt_stocktonav(C622,"2017/03/31")</f>
        <v>86.410392761230469</v>
      </c>
      <c r="O622" s="20" t="str">
        <f>[1]!f_info_fundmanager(C622)</f>
        <v>李帅</v>
      </c>
      <c r="P622" s="21">
        <v>1.6794520547945206</v>
      </c>
      <c r="Q622" s="34" t="s">
        <v>1014</v>
      </c>
      <c r="R622" s="34" t="s">
        <v>1015</v>
      </c>
      <c r="S622" s="34" t="s">
        <v>92</v>
      </c>
      <c r="T622" s="34">
        <v>20150727</v>
      </c>
      <c r="U622" s="45">
        <v>3.7571782088000001</v>
      </c>
      <c r="V622" s="46">
        <v>3.7948452128999999</v>
      </c>
      <c r="W622" s="34" t="s">
        <v>1235</v>
      </c>
      <c r="X622" s="34" t="s">
        <v>44</v>
      </c>
      <c r="Y622" s="34" t="s">
        <v>45</v>
      </c>
      <c r="Z622" s="34" t="s">
        <v>65</v>
      </c>
      <c r="AA622" s="34"/>
      <c r="AB622" s="34"/>
      <c r="AC622" s="22">
        <v>0.8150534057617187</v>
      </c>
      <c r="AD622" s="23" t="s">
        <v>1016</v>
      </c>
      <c r="AE622" s="24">
        <v>1.4493150684931506</v>
      </c>
      <c r="AF622" s="25">
        <v>2.7845715759016176E-3</v>
      </c>
      <c r="AG622" s="26">
        <v>0</v>
      </c>
      <c r="AH622" s="26">
        <v>0</v>
      </c>
      <c r="AI622" s="27">
        <v>0.10457681396722236</v>
      </c>
      <c r="AJ622" s="27">
        <v>0.10457681396722236</v>
      </c>
      <c r="AK622" s="27">
        <v>0.10457681396722236</v>
      </c>
      <c r="AL622" s="28" t="s">
        <v>208</v>
      </c>
      <c r="AM622" s="29" t="s">
        <v>48</v>
      </c>
      <c r="AN622" s="29" t="s">
        <v>48</v>
      </c>
      <c r="AO622" s="29" t="s">
        <v>48</v>
      </c>
      <c r="AP622" s="47" t="s">
        <v>249</v>
      </c>
      <c r="AQ622" s="28">
        <v>0</v>
      </c>
      <c r="AR622" s="26">
        <v>1.4999999999999999E-2</v>
      </c>
      <c r="AS622" s="26">
        <v>0</v>
      </c>
    </row>
    <row r="623" spans="1:45" x14ac:dyDescent="0.15">
      <c r="A623" s="64">
        <v>169</v>
      </c>
      <c r="B623" s="64">
        <v>383</v>
      </c>
      <c r="C623" s="11">
        <v>1726</v>
      </c>
      <c r="D623" s="61">
        <v>189</v>
      </c>
      <c r="E623" s="61">
        <v>8.9791411462543402E-4</v>
      </c>
      <c r="F623" s="61">
        <v>67</v>
      </c>
      <c r="G623" s="61">
        <v>0.55932086560937599</v>
      </c>
      <c r="H623" s="66">
        <v>137</v>
      </c>
      <c r="I623" s="66" t="str">
        <f>H623&amp;"/"&amp;451</f>
        <v>137/451</v>
      </c>
      <c r="J623" s="68">
        <f>H623/451</f>
        <v>0.30376940133037694</v>
      </c>
      <c r="K623" s="18" t="s">
        <v>44</v>
      </c>
      <c r="L623" s="18" t="s">
        <v>45</v>
      </c>
      <c r="M623" s="58" t="s">
        <v>65</v>
      </c>
      <c r="N623" s="18">
        <f>[1]!f_prt_stocktonav(C623,"2017/03/31")</f>
        <v>87.835334777832031</v>
      </c>
      <c r="O623" s="20" t="str">
        <f>[1]!f_info_fundmanager(C623)</f>
        <v>雷鸣,刘伟林</v>
      </c>
      <c r="P623" s="21">
        <v>1.3287671232876712</v>
      </c>
      <c r="Q623" s="34" t="s">
        <v>837</v>
      </c>
      <c r="R623" s="34" t="s">
        <v>838</v>
      </c>
      <c r="S623" s="34" t="s">
        <v>331</v>
      </c>
      <c r="T623" s="34">
        <v>20151202</v>
      </c>
      <c r="U623" s="45">
        <v>19.6623524106</v>
      </c>
      <c r="V623" s="46">
        <v>22.536632924399999</v>
      </c>
      <c r="W623" s="34" t="s">
        <v>1235</v>
      </c>
      <c r="X623" s="34" t="s">
        <v>44</v>
      </c>
      <c r="Y623" s="34" t="s">
        <v>45</v>
      </c>
      <c r="Z623" s="34" t="s">
        <v>65</v>
      </c>
      <c r="AA623" s="34"/>
      <c r="AB623" s="34"/>
      <c r="AC623" s="22">
        <v>0.88230285644531248</v>
      </c>
      <c r="AD623" s="23" t="s">
        <v>839</v>
      </c>
      <c r="AE623" s="24">
        <v>1.0986301369863014</v>
      </c>
      <c r="AF623" s="25">
        <v>-4.988002984899742E-2</v>
      </c>
      <c r="AG623" s="26">
        <v>0</v>
      </c>
      <c r="AH623" s="26">
        <v>0</v>
      </c>
      <c r="AI623" s="27">
        <v>-0.35796291367115746</v>
      </c>
      <c r="AJ623" s="27">
        <v>-0.35796291367115746</v>
      </c>
      <c r="AK623" s="27">
        <v>-0.35796291367115746</v>
      </c>
      <c r="AL623" s="28" t="s">
        <v>840</v>
      </c>
      <c r="AM623" s="29" t="s">
        <v>48</v>
      </c>
      <c r="AN623" s="29" t="s">
        <v>48</v>
      </c>
      <c r="AO623" s="29" t="s">
        <v>48</v>
      </c>
      <c r="AP623" s="47" t="s">
        <v>334</v>
      </c>
      <c r="AQ623" s="28">
        <v>0</v>
      </c>
      <c r="AR623" s="26">
        <v>1.4999999999999999E-2</v>
      </c>
      <c r="AS623" s="26">
        <v>0</v>
      </c>
    </row>
    <row r="624" spans="1:45" x14ac:dyDescent="0.15">
      <c r="A624" s="64">
        <v>741</v>
      </c>
      <c r="B624" s="64">
        <v>322</v>
      </c>
      <c r="C624" s="11">
        <v>519069</v>
      </c>
      <c r="D624" s="61">
        <v>192</v>
      </c>
      <c r="E624" s="61">
        <v>8.7794428328548499E-4</v>
      </c>
      <c r="F624" s="61">
        <v>72</v>
      </c>
      <c r="G624" s="61">
        <v>0.37248685323296199</v>
      </c>
      <c r="H624" s="66">
        <v>138</v>
      </c>
      <c r="I624" s="66" t="str">
        <f>H624&amp;"/"&amp;451</f>
        <v>138/451</v>
      </c>
      <c r="J624" s="68">
        <f>H624/451</f>
        <v>0.30598669623059865</v>
      </c>
      <c r="K624" s="18" t="s">
        <v>44</v>
      </c>
      <c r="L624" s="19" t="s">
        <v>45</v>
      </c>
      <c r="M624" s="59" t="s">
        <v>65</v>
      </c>
      <c r="N624" s="18">
        <f>[1]!f_prt_stocktonav(C624,"2017/03/31")</f>
        <v>88.982681274414062</v>
      </c>
      <c r="O624" s="20" t="str">
        <f>[1]!f_info_fundmanager(C624)</f>
        <v>劳杰男</v>
      </c>
      <c r="P624" s="21">
        <v>1.3671232876712329</v>
      </c>
      <c r="Q624" s="32" t="s">
        <v>2921</v>
      </c>
      <c r="R624" s="13" t="s">
        <v>2922</v>
      </c>
      <c r="S624" s="13" t="s">
        <v>331</v>
      </c>
      <c r="T624" s="13">
        <v>20090123</v>
      </c>
      <c r="U624" s="14">
        <v>33.9149970303</v>
      </c>
      <c r="V624" s="15" t="s">
        <v>39</v>
      </c>
      <c r="W624" s="16" t="s">
        <v>40</v>
      </c>
      <c r="X624" s="17" t="s">
        <v>44</v>
      </c>
      <c r="Y624" s="17" t="s">
        <v>45</v>
      </c>
      <c r="Z624" s="17" t="s">
        <v>274</v>
      </c>
      <c r="AA624" s="13"/>
      <c r="AB624" s="13"/>
      <c r="AC624" s="22">
        <v>0.86105972290039068</v>
      </c>
      <c r="AD624" s="23" t="s">
        <v>2923</v>
      </c>
      <c r="AE624" s="24">
        <v>1.1369863013698631</v>
      </c>
      <c r="AF624" s="25">
        <v>0.19571731430758674</v>
      </c>
      <c r="AG624" s="26">
        <v>0.29500971023926237</v>
      </c>
      <c r="AH624" s="26">
        <v>0.23973420343978269</v>
      </c>
      <c r="AI624" s="27">
        <v>0.84283859822287133</v>
      </c>
      <c r="AJ624" s="27">
        <v>1.0738694447533799</v>
      </c>
      <c r="AK624" s="27">
        <v>0.97808438520439023</v>
      </c>
      <c r="AL624" s="28" t="s">
        <v>1459</v>
      </c>
      <c r="AM624" s="29">
        <v>5</v>
      </c>
      <c r="AN624" s="29">
        <v>5</v>
      </c>
      <c r="AO624" s="29" t="s">
        <v>48</v>
      </c>
      <c r="AP624" s="23" t="s">
        <v>2924</v>
      </c>
      <c r="AQ624" s="30">
        <v>0</v>
      </c>
      <c r="AR624" s="31">
        <v>1.4999999999999999E-2</v>
      </c>
      <c r="AS624" s="31">
        <v>0</v>
      </c>
    </row>
    <row r="625" spans="1:45" x14ac:dyDescent="0.15">
      <c r="A625" s="64">
        <v>657</v>
      </c>
      <c r="B625" s="64">
        <v>568</v>
      </c>
      <c r="C625" s="11">
        <v>110022</v>
      </c>
      <c r="D625" s="61">
        <v>193</v>
      </c>
      <c r="E625" s="61">
        <v>8.7318023705109705E-4</v>
      </c>
      <c r="F625" s="61">
        <v>235</v>
      </c>
      <c r="G625" s="61">
        <v>0.41642160024999503</v>
      </c>
      <c r="H625" s="66">
        <v>139</v>
      </c>
      <c r="I625" s="66" t="str">
        <f>H625&amp;"/"&amp;451</f>
        <v>139/451</v>
      </c>
      <c r="J625" s="68">
        <f>H625/451</f>
        <v>0.30820399113082042</v>
      </c>
      <c r="K625" s="18" t="s">
        <v>44</v>
      </c>
      <c r="L625" s="18" t="s">
        <v>87</v>
      </c>
      <c r="M625" s="58" t="s">
        <v>65</v>
      </c>
      <c r="N625" s="18">
        <f>[1]!f_prt_stocktonav(C625,"2017/03/31")</f>
        <v>83.612960815429688</v>
      </c>
      <c r="O625" s="20" t="str">
        <f>[1]!f_info_fundmanager(C625)</f>
        <v>萧楠</v>
      </c>
      <c r="P625" s="21">
        <v>4.506849315068493</v>
      </c>
      <c r="Q625" s="39" t="s">
        <v>2644</v>
      </c>
      <c r="R625" s="39" t="s">
        <v>2645</v>
      </c>
      <c r="S625" s="39" t="s">
        <v>218</v>
      </c>
      <c r="T625" s="39">
        <v>20100820</v>
      </c>
      <c r="U625" s="48">
        <v>12.835985064600001</v>
      </c>
      <c r="V625" s="46">
        <v>13.186650676299999</v>
      </c>
      <c r="W625" s="39" t="s">
        <v>3776</v>
      </c>
      <c r="X625" s="39" t="s">
        <v>44</v>
      </c>
      <c r="Y625" s="39" t="s">
        <v>87</v>
      </c>
      <c r="Z625" s="55" t="s">
        <v>65</v>
      </c>
      <c r="AA625" s="34" t="s">
        <v>2164</v>
      </c>
      <c r="AB625" s="34"/>
      <c r="AC625" s="22">
        <v>0.88071655273437499</v>
      </c>
      <c r="AD625" s="23" t="s">
        <v>2647</v>
      </c>
      <c r="AE625" s="24">
        <v>4.2767123287671236</v>
      </c>
      <c r="AF625" s="25">
        <v>5.5748739070477393E-2</v>
      </c>
      <c r="AG625" s="26">
        <v>0.1383056310575117</v>
      </c>
      <c r="AH625" s="26">
        <v>0.11094136397755892</v>
      </c>
      <c r="AI625" s="27">
        <v>0.29943074707092671</v>
      </c>
      <c r="AJ625" s="27">
        <v>0.63593676371607621</v>
      </c>
      <c r="AK625" s="27">
        <v>0.54262742479106396</v>
      </c>
      <c r="AL625" s="40" t="s">
        <v>2648</v>
      </c>
      <c r="AM625" s="41">
        <v>4</v>
      </c>
      <c r="AN625" s="41">
        <v>3</v>
      </c>
      <c r="AO625" s="41" t="s">
        <v>48</v>
      </c>
      <c r="AP625" s="50" t="s">
        <v>2457</v>
      </c>
      <c r="AQ625" s="51">
        <v>0</v>
      </c>
      <c r="AR625" s="52">
        <v>1.4999999999999999E-2</v>
      </c>
      <c r="AS625" s="52">
        <v>0</v>
      </c>
    </row>
    <row r="626" spans="1:45" x14ac:dyDescent="0.15">
      <c r="A626" s="64">
        <v>30</v>
      </c>
      <c r="B626" s="64">
        <v>612</v>
      </c>
      <c r="C626" s="11">
        <v>519935</v>
      </c>
      <c r="D626" s="61">
        <v>194</v>
      </c>
      <c r="E626" s="61">
        <v>8.7197574681146899E-4</v>
      </c>
      <c r="F626" s="61">
        <v>25</v>
      </c>
      <c r="G626" s="61">
        <v>0.68627081400899304</v>
      </c>
      <c r="H626" s="66">
        <v>140</v>
      </c>
      <c r="I626" s="66" t="str">
        <f>H626&amp;"/"&amp;451</f>
        <v>140/451</v>
      </c>
      <c r="J626" s="68">
        <f>H626/451</f>
        <v>0.31042128603104213</v>
      </c>
      <c r="K626" s="18" t="s">
        <v>44</v>
      </c>
      <c r="L626" s="18" t="s">
        <v>45</v>
      </c>
      <c r="M626" s="58" t="s">
        <v>65</v>
      </c>
      <c r="N626" s="18">
        <f>[1]!f_prt_stocktonav(C626,"2017/03/31")</f>
        <v>82.547889709472656</v>
      </c>
      <c r="O626" s="20" t="str">
        <f>[1]!f_info_fundmanager(C626)</f>
        <v>叶松,黄韵</v>
      </c>
      <c r="P626" s="21">
        <v>0.50136986301369868</v>
      </c>
      <c r="Q626" s="34" t="s">
        <v>204</v>
      </c>
      <c r="R626" s="34" t="s">
        <v>205</v>
      </c>
      <c r="S626" s="34" t="s">
        <v>206</v>
      </c>
      <c r="T626" s="34">
        <v>20160929</v>
      </c>
      <c r="U626" s="45">
        <v>1.1095368205</v>
      </c>
      <c r="V626" s="46">
        <v>2.2056712799999998</v>
      </c>
      <c r="W626" s="34" t="s">
        <v>201</v>
      </c>
      <c r="X626" s="34" t="s">
        <v>41</v>
      </c>
      <c r="Y626" s="34" t="s">
        <v>42</v>
      </c>
      <c r="Z626" s="34" t="s">
        <v>43</v>
      </c>
      <c r="AA626" s="34"/>
      <c r="AB626" s="34"/>
      <c r="AC626" s="22">
        <v>0.485500602722168</v>
      </c>
      <c r="AD626" s="23" t="s">
        <v>207</v>
      </c>
      <c r="AE626" s="24">
        <v>0.27123287671232876</v>
      </c>
      <c r="AF626" s="25">
        <v>-4.5795792130083439E-2</v>
      </c>
      <c r="AG626" s="26">
        <v>0</v>
      </c>
      <c r="AH626" s="26">
        <v>0</v>
      </c>
      <c r="AI626" s="27">
        <v>-1.2538201962425457</v>
      </c>
      <c r="AJ626" s="27">
        <v>-1.2538201962425457</v>
      </c>
      <c r="AK626" s="27">
        <v>-1.2538201962425457</v>
      </c>
      <c r="AL626" s="28" t="s">
        <v>208</v>
      </c>
      <c r="AM626" s="29" t="s">
        <v>48</v>
      </c>
      <c r="AN626" s="29" t="s">
        <v>48</v>
      </c>
      <c r="AO626" s="29" t="s">
        <v>48</v>
      </c>
      <c r="AP626" s="47" t="s">
        <v>209</v>
      </c>
      <c r="AQ626" s="28">
        <v>0</v>
      </c>
      <c r="AR626" s="26">
        <v>1.4999999999999999E-2</v>
      </c>
      <c r="AS626" s="26">
        <v>0</v>
      </c>
    </row>
    <row r="627" spans="1:45" x14ac:dyDescent="0.15">
      <c r="A627" s="64">
        <v>41</v>
      </c>
      <c r="B627" s="64">
        <v>37</v>
      </c>
      <c r="C627" s="11">
        <v>1733</v>
      </c>
      <c r="D627" s="61">
        <v>195</v>
      </c>
      <c r="E627" s="61">
        <v>8.6821890454558603E-4</v>
      </c>
      <c r="F627" s="61">
        <v>29</v>
      </c>
      <c r="G627" s="61">
        <v>0.65660853846620804</v>
      </c>
      <c r="H627" s="66">
        <v>141</v>
      </c>
      <c r="I627" s="66" t="str">
        <f>H627&amp;"/"&amp;451</f>
        <v>141/451</v>
      </c>
      <c r="J627" s="68">
        <f>H627/451</f>
        <v>0.31263858093126384</v>
      </c>
      <c r="K627" s="18" t="s">
        <v>44</v>
      </c>
      <c r="L627" s="18" t="s">
        <v>64</v>
      </c>
      <c r="M627" s="58" t="s">
        <v>65</v>
      </c>
      <c r="N627" s="18">
        <f>[1]!f_prt_stocktonav(C627,"2017/03/31")</f>
        <v>94.450309753417969</v>
      </c>
      <c r="O627" s="20" t="str">
        <f>[1]!f_info_fundmanager(C627)</f>
        <v>杨超</v>
      </c>
      <c r="P627" s="21">
        <v>0.58356164383561648</v>
      </c>
      <c r="Q627" s="34" t="s">
        <v>261</v>
      </c>
      <c r="R627" s="34" t="s">
        <v>262</v>
      </c>
      <c r="S627" s="34" t="s">
        <v>263</v>
      </c>
      <c r="T627" s="34">
        <v>20160830</v>
      </c>
      <c r="U627" s="45">
        <v>2.0357888258000001</v>
      </c>
      <c r="V627" s="46">
        <v>5.5791872723000004</v>
      </c>
      <c r="W627" s="34" t="s">
        <v>1235</v>
      </c>
      <c r="X627" s="34" t="s">
        <v>44</v>
      </c>
      <c r="Y627" s="34" t="s">
        <v>64</v>
      </c>
      <c r="Z627" s="34" t="s">
        <v>65</v>
      </c>
      <c r="AA627" s="34"/>
      <c r="AB627" s="34"/>
      <c r="AC627" s="22">
        <v>0.92206390380859371</v>
      </c>
      <c r="AD627" s="23" t="s">
        <v>264</v>
      </c>
      <c r="AE627" s="24">
        <v>0.35342465753424657</v>
      </c>
      <c r="AF627" s="25">
        <v>-9.1293926417280624E-2</v>
      </c>
      <c r="AG627" s="26">
        <v>0</v>
      </c>
      <c r="AH627" s="26">
        <v>0</v>
      </c>
      <c r="AI627" s="27">
        <v>-1.1406461732855315</v>
      </c>
      <c r="AJ627" s="27">
        <v>-1.1406461732855315</v>
      </c>
      <c r="AK627" s="27">
        <v>-1.1406461732855315</v>
      </c>
      <c r="AL627" s="28" t="s">
        <v>265</v>
      </c>
      <c r="AM627" s="29" t="s">
        <v>48</v>
      </c>
      <c r="AN627" s="29" t="s">
        <v>48</v>
      </c>
      <c r="AO627" s="29" t="s">
        <v>48</v>
      </c>
      <c r="AP627" s="47" t="s">
        <v>266</v>
      </c>
      <c r="AQ627" s="28">
        <v>0</v>
      </c>
      <c r="AR627" s="26">
        <v>1.2000000476837159E-2</v>
      </c>
      <c r="AS627" s="26">
        <v>0</v>
      </c>
    </row>
    <row r="628" spans="1:45" x14ac:dyDescent="0.15">
      <c r="A628" s="64">
        <v>191</v>
      </c>
      <c r="B628" s="64">
        <v>844</v>
      </c>
      <c r="C628" s="11">
        <v>1712</v>
      </c>
      <c r="D628" s="61">
        <v>196</v>
      </c>
      <c r="E628" s="61">
        <v>8.4989473422101799E-4</v>
      </c>
      <c r="F628" s="61">
        <v>79</v>
      </c>
      <c r="G628" s="61">
        <v>0.58671166030134603</v>
      </c>
      <c r="H628" s="66">
        <v>142</v>
      </c>
      <c r="I628" s="66" t="str">
        <f>H628&amp;"/"&amp;451</f>
        <v>142/451</v>
      </c>
      <c r="J628" s="68">
        <f>H628/451</f>
        <v>0.31485587583148561</v>
      </c>
      <c r="K628" s="18" t="s">
        <v>44</v>
      </c>
      <c r="L628" s="18" t="s">
        <v>45</v>
      </c>
      <c r="M628" s="58" t="s">
        <v>65</v>
      </c>
      <c r="N628" s="18">
        <f>[1]!f_prt_stocktonav(C628,"2017/03/31")</f>
        <v>74.808624267578125</v>
      </c>
      <c r="O628" s="20" t="str">
        <f>[1]!f_info_fundmanager(C628)</f>
        <v>刚登峰</v>
      </c>
      <c r="P628" s="21">
        <v>1.5616438356164384</v>
      </c>
      <c r="Q628" s="34" t="s">
        <v>925</v>
      </c>
      <c r="R628" s="34" t="s">
        <v>926</v>
      </c>
      <c r="S628" s="34" t="s">
        <v>313</v>
      </c>
      <c r="T628" s="34">
        <v>20150908</v>
      </c>
      <c r="U628" s="45">
        <v>3.6301551744</v>
      </c>
      <c r="V628" s="46">
        <v>4.1835625951999997</v>
      </c>
      <c r="W628" s="34" t="s">
        <v>201</v>
      </c>
      <c r="X628" s="34" t="s">
        <v>44</v>
      </c>
      <c r="Y628" s="17" t="s">
        <v>45</v>
      </c>
      <c r="Z628" s="17" t="s">
        <v>65</v>
      </c>
      <c r="AA628" s="34"/>
      <c r="AB628" s="34"/>
      <c r="AC628" s="22">
        <v>0.79898597717285158</v>
      </c>
      <c r="AD628" s="23" t="s">
        <v>748</v>
      </c>
      <c r="AE628" s="24">
        <v>1.3315068493150686</v>
      </c>
      <c r="AF628" s="25">
        <v>-9.1192712566662282E-3</v>
      </c>
      <c r="AG628" s="26">
        <v>0</v>
      </c>
      <c r="AH628" s="26">
        <v>0</v>
      </c>
      <c r="AI628" s="27">
        <v>-5.7914477044905738E-2</v>
      </c>
      <c r="AJ628" s="27">
        <v>-5.7914477044905738E-2</v>
      </c>
      <c r="AK628" s="27">
        <v>-5.7914477044905738E-2</v>
      </c>
      <c r="AL628" s="28" t="s">
        <v>684</v>
      </c>
      <c r="AM628" s="29" t="s">
        <v>48</v>
      </c>
      <c r="AN628" s="29" t="s">
        <v>48</v>
      </c>
      <c r="AO628" s="29" t="s">
        <v>48</v>
      </c>
      <c r="AP628" s="47" t="s">
        <v>927</v>
      </c>
      <c r="AQ628" s="28">
        <v>0</v>
      </c>
      <c r="AR628" s="26">
        <v>1.4999999999999999E-2</v>
      </c>
      <c r="AS628" s="26">
        <v>0</v>
      </c>
    </row>
    <row r="629" spans="1:45" x14ac:dyDescent="0.15">
      <c r="A629" s="64">
        <v>486</v>
      </c>
      <c r="B629" s="64">
        <v>143</v>
      </c>
      <c r="C629" s="11">
        <v>404</v>
      </c>
      <c r="D629" s="61">
        <v>197</v>
      </c>
      <c r="E629" s="61">
        <v>8.4374754493026698E-4</v>
      </c>
      <c r="F629" s="61">
        <v>172</v>
      </c>
      <c r="G629" s="61">
        <v>0.65251315044676295</v>
      </c>
      <c r="H629" s="66">
        <v>143</v>
      </c>
      <c r="I629" s="66" t="str">
        <f>H629&amp;"/"&amp;451</f>
        <v>143/451</v>
      </c>
      <c r="J629" s="68">
        <f>H629/451</f>
        <v>0.31707317073170732</v>
      </c>
      <c r="K629" s="18" t="s">
        <v>44</v>
      </c>
      <c r="L629" s="18" t="s">
        <v>87</v>
      </c>
      <c r="M629" s="58" t="s">
        <v>65</v>
      </c>
      <c r="N629" s="18">
        <f>[1]!f_prt_stocktonav(C629,"2017/03/31")</f>
        <v>92.872879028320313</v>
      </c>
      <c r="O629" s="20" t="str">
        <f>[1]!f_info_fundmanager(C629)</f>
        <v>宋昆</v>
      </c>
      <c r="P629" s="21">
        <v>3.3397260273972602</v>
      </c>
      <c r="Q629" s="34" t="s">
        <v>2051</v>
      </c>
      <c r="R629" s="34" t="s">
        <v>2052</v>
      </c>
      <c r="S629" s="34" t="s">
        <v>218</v>
      </c>
      <c r="T629" s="34">
        <v>20131128</v>
      </c>
      <c r="U629" s="45">
        <v>9.9256609347999998</v>
      </c>
      <c r="V629" s="46">
        <v>12.2112887813</v>
      </c>
      <c r="W629" s="34" t="s">
        <v>3776</v>
      </c>
      <c r="X629" s="34" t="s">
        <v>44</v>
      </c>
      <c r="Y629" s="34" t="s">
        <v>45</v>
      </c>
      <c r="Z629" s="34" t="s">
        <v>65</v>
      </c>
      <c r="AA629" s="34"/>
      <c r="AB629" s="34"/>
      <c r="AC629" s="22">
        <v>0.93089576721191403</v>
      </c>
      <c r="AD629" s="23" t="s">
        <v>2053</v>
      </c>
      <c r="AE629" s="24">
        <v>3.1095890410958904</v>
      </c>
      <c r="AF629" s="25">
        <v>0.24728904587027833</v>
      </c>
      <c r="AG629" s="26">
        <v>0.24140826240447955</v>
      </c>
      <c r="AH629" s="26">
        <v>0</v>
      </c>
      <c r="AI629" s="27">
        <v>0.717429903630876</v>
      </c>
      <c r="AJ629" s="27">
        <v>0.67318261869149354</v>
      </c>
      <c r="AK629" s="27">
        <v>0.717429903630876</v>
      </c>
      <c r="AL629" s="28" t="s">
        <v>2054</v>
      </c>
      <c r="AM629" s="29" t="s">
        <v>48</v>
      </c>
      <c r="AN629" s="29" t="s">
        <v>48</v>
      </c>
      <c r="AO629" s="29" t="s">
        <v>48</v>
      </c>
      <c r="AP629" s="47" t="s">
        <v>2055</v>
      </c>
      <c r="AQ629" s="28">
        <v>0</v>
      </c>
      <c r="AR629" s="26">
        <v>1.4999999999999999E-2</v>
      </c>
      <c r="AS629" s="26">
        <v>0</v>
      </c>
    </row>
    <row r="630" spans="1:45" x14ac:dyDescent="0.15">
      <c r="A630" s="64">
        <v>164</v>
      </c>
      <c r="B630" s="64">
        <v>22</v>
      </c>
      <c r="C630" s="11">
        <v>1849</v>
      </c>
      <c r="D630" s="61">
        <v>199</v>
      </c>
      <c r="E630" s="61">
        <v>8.2484196881744498E-4</v>
      </c>
      <c r="F630" s="61">
        <v>66</v>
      </c>
      <c r="G630" s="61">
        <v>0.686486903560382</v>
      </c>
      <c r="H630" s="66">
        <v>144</v>
      </c>
      <c r="I630" s="66" t="str">
        <f>H630&amp;"/"&amp;451</f>
        <v>144/451</v>
      </c>
      <c r="J630" s="68">
        <f>H630/451</f>
        <v>0.31929046563192903</v>
      </c>
      <c r="K630" s="18" t="s">
        <v>44</v>
      </c>
      <c r="L630" s="18" t="s">
        <v>45</v>
      </c>
      <c r="M630" s="58" t="s">
        <v>65</v>
      </c>
      <c r="N630" s="18">
        <f>[1]!f_prt_stocktonav(C630,"2017/03/31")</f>
        <v>94.708518981933594</v>
      </c>
      <c r="O630" s="20" t="str">
        <f>[1]!f_info_fundmanager(C630)</f>
        <v>谢屹</v>
      </c>
      <c r="P630" s="21">
        <v>1.3068493150684932</v>
      </c>
      <c r="Q630" s="34" t="s">
        <v>821</v>
      </c>
      <c r="R630" s="34" t="s">
        <v>822</v>
      </c>
      <c r="S630" s="34" t="s">
        <v>78</v>
      </c>
      <c r="T630" s="34">
        <v>20151210</v>
      </c>
      <c r="U630" s="45">
        <v>0.55537723930000005</v>
      </c>
      <c r="V630" s="46">
        <v>1.1832168782000001</v>
      </c>
      <c r="W630" s="34" t="s">
        <v>3776</v>
      </c>
      <c r="X630" s="34" t="s">
        <v>44</v>
      </c>
      <c r="Y630" s="34" t="s">
        <v>45</v>
      </c>
      <c r="Z630" s="34" t="s">
        <v>65</v>
      </c>
      <c r="AA630" s="34"/>
      <c r="AB630" s="34"/>
      <c r="AC630" s="22">
        <v>0.95227630615234371</v>
      </c>
      <c r="AD630" s="23" t="s">
        <v>464</v>
      </c>
      <c r="AE630" s="24">
        <v>1.0767123287671232</v>
      </c>
      <c r="AF630" s="25">
        <v>-7.4496084677044605E-2</v>
      </c>
      <c r="AG630" s="26">
        <v>0</v>
      </c>
      <c r="AH630" s="26">
        <v>0</v>
      </c>
      <c r="AI630" s="27">
        <v>-0.30610339287406657</v>
      </c>
      <c r="AJ630" s="27">
        <v>-0.30610339287406657</v>
      </c>
      <c r="AK630" s="27">
        <v>-0.30610339287406657</v>
      </c>
      <c r="AL630" s="28" t="s">
        <v>823</v>
      </c>
      <c r="AM630" s="29" t="s">
        <v>48</v>
      </c>
      <c r="AN630" s="29" t="s">
        <v>48</v>
      </c>
      <c r="AO630" s="29" t="s">
        <v>48</v>
      </c>
      <c r="AP630" s="47" t="s">
        <v>227</v>
      </c>
      <c r="AQ630" s="28">
        <v>0</v>
      </c>
      <c r="AR630" s="26">
        <v>1.4999999999999999E-2</v>
      </c>
      <c r="AS630" s="26">
        <v>0</v>
      </c>
    </row>
    <row r="631" spans="1:45" x14ac:dyDescent="0.15">
      <c r="A631" s="64">
        <v>132</v>
      </c>
      <c r="B631" s="64">
        <v>865</v>
      </c>
      <c r="C631" s="11">
        <v>2142</v>
      </c>
      <c r="D631" s="61">
        <v>200</v>
      </c>
      <c r="E631" s="61">
        <v>8.2358775251733195E-4</v>
      </c>
      <c r="F631" s="61">
        <v>58</v>
      </c>
      <c r="G631" s="61">
        <v>0.53565021256229495</v>
      </c>
      <c r="H631" s="66">
        <v>145</v>
      </c>
      <c r="I631" s="66" t="str">
        <f>H631&amp;"/"&amp;451</f>
        <v>145/451</v>
      </c>
      <c r="J631" s="68">
        <f>H631/451</f>
        <v>0.3215077605321508</v>
      </c>
      <c r="K631" s="18" t="s">
        <v>44</v>
      </c>
      <c r="L631" s="18" t="s">
        <v>87</v>
      </c>
      <c r="M631" s="58" t="s">
        <v>65</v>
      </c>
      <c r="N631" s="18">
        <f>[1]!f_prt_stocktonav(C631,"2017/03/31")</f>
        <v>73.958328247070312</v>
      </c>
      <c r="O631" s="20" t="str">
        <f>[1]!f_info_fundmanager(C631)</f>
        <v>蔡滨</v>
      </c>
      <c r="P631" s="21">
        <v>1.1561643835616437</v>
      </c>
      <c r="Q631" s="34" t="s">
        <v>674</v>
      </c>
      <c r="R631" s="34" t="s">
        <v>675</v>
      </c>
      <c r="S631" s="34" t="s">
        <v>413</v>
      </c>
      <c r="T631" s="34">
        <v>20160203</v>
      </c>
      <c r="U631" s="45">
        <v>0.4923774092</v>
      </c>
      <c r="V631" s="46">
        <v>0.53751602359999995</v>
      </c>
      <c r="W631" s="34" t="s">
        <v>3776</v>
      </c>
      <c r="X631" s="34" t="s">
        <v>44</v>
      </c>
      <c r="Y631" s="34" t="s">
        <v>87</v>
      </c>
      <c r="Z631" s="34" t="s">
        <v>65</v>
      </c>
      <c r="AA631" s="34" t="s">
        <v>3786</v>
      </c>
      <c r="AB631" s="34"/>
      <c r="AC631" s="22">
        <v>0.78382919311523436</v>
      </c>
      <c r="AD631" s="23" t="s">
        <v>677</v>
      </c>
      <c r="AE631" s="24">
        <v>0.92602739726027394</v>
      </c>
      <c r="AF631" s="25">
        <v>0.13780563466682039</v>
      </c>
      <c r="AG631" s="26">
        <v>0</v>
      </c>
      <c r="AH631" s="26">
        <v>0</v>
      </c>
      <c r="AI631" s="27">
        <v>1.2261543115330347</v>
      </c>
      <c r="AJ631" s="27">
        <v>1.2261543115330347</v>
      </c>
      <c r="AK631" s="27">
        <v>1.2261543115330347</v>
      </c>
      <c r="AL631" s="33" t="s">
        <v>678</v>
      </c>
      <c r="AM631" s="29" t="s">
        <v>48</v>
      </c>
      <c r="AN631" s="29" t="s">
        <v>48</v>
      </c>
      <c r="AO631" s="29" t="s">
        <v>48</v>
      </c>
      <c r="AP631" s="47" t="s">
        <v>679</v>
      </c>
      <c r="AQ631" s="28">
        <v>0</v>
      </c>
      <c r="AR631" s="26">
        <v>1.4999999999999999E-2</v>
      </c>
      <c r="AS631" s="26">
        <v>0</v>
      </c>
    </row>
    <row r="632" spans="1:45" x14ac:dyDescent="0.15">
      <c r="A632" s="64">
        <v>357</v>
      </c>
      <c r="B632" s="64">
        <v>119</v>
      </c>
      <c r="C632" s="11">
        <v>965</v>
      </c>
      <c r="D632" s="61">
        <v>201</v>
      </c>
      <c r="E632" s="61">
        <v>8.0407305734395802E-4</v>
      </c>
      <c r="F632" s="61">
        <v>32</v>
      </c>
      <c r="G632" s="61">
        <v>0.52034550458898898</v>
      </c>
      <c r="H632" s="66">
        <v>146</v>
      </c>
      <c r="I632" s="66" t="str">
        <f>H632&amp;"/"&amp;451</f>
        <v>146/451</v>
      </c>
      <c r="J632" s="68">
        <f>H632/451</f>
        <v>0.32372505543237251</v>
      </c>
      <c r="K632" s="18" t="s">
        <v>44</v>
      </c>
      <c r="L632" s="18" t="s">
        <v>45</v>
      </c>
      <c r="M632" s="58" t="s">
        <v>65</v>
      </c>
      <c r="N632" s="18">
        <f>[1]!f_prt_stocktonav(C632,"2017/03/31")</f>
        <v>93.291259765625</v>
      </c>
      <c r="O632" s="20" t="str">
        <f>[1]!f_info_fundmanager(C632)</f>
        <v>陈平</v>
      </c>
      <c r="P632" s="21">
        <v>0.61095890410958908</v>
      </c>
      <c r="Q632" s="34" t="s">
        <v>1571</v>
      </c>
      <c r="R632" s="34" t="s">
        <v>1572</v>
      </c>
      <c r="S632" s="34" t="s">
        <v>149</v>
      </c>
      <c r="T632" s="34">
        <v>20150211</v>
      </c>
      <c r="U632" s="45">
        <v>3.2159155126000001</v>
      </c>
      <c r="V632" s="46">
        <v>4.7396236525999997</v>
      </c>
      <c r="W632" s="34" t="s">
        <v>201</v>
      </c>
      <c r="X632" s="34" t="s">
        <v>44</v>
      </c>
      <c r="Y632" s="34" t="s">
        <v>45</v>
      </c>
      <c r="Z632" s="34" t="s">
        <v>65</v>
      </c>
      <c r="AA632" s="34"/>
      <c r="AB632" s="34"/>
      <c r="AC632" s="22">
        <v>0.94644515991210942</v>
      </c>
      <c r="AD632" s="23" t="s">
        <v>1573</v>
      </c>
      <c r="AE632" s="24">
        <v>0.38082191780821917</v>
      </c>
      <c r="AF632" s="25">
        <v>-9.3286448174526596E-2</v>
      </c>
      <c r="AG632" s="26">
        <v>0</v>
      </c>
      <c r="AH632" s="26">
        <v>0</v>
      </c>
      <c r="AI632" s="27">
        <v>5.6711931415433659E-4</v>
      </c>
      <c r="AJ632" s="27">
        <v>5.6711931415433659E-4</v>
      </c>
      <c r="AK632" s="27">
        <v>5.6711931415433659E-4</v>
      </c>
      <c r="AL632" s="28" t="s">
        <v>1574</v>
      </c>
      <c r="AM632" s="29" t="s">
        <v>48</v>
      </c>
      <c r="AN632" s="29" t="s">
        <v>48</v>
      </c>
      <c r="AO632" s="29" t="s">
        <v>48</v>
      </c>
      <c r="AP632" s="47" t="s">
        <v>410</v>
      </c>
      <c r="AQ632" s="28">
        <v>0</v>
      </c>
      <c r="AR632" s="26">
        <v>1.4999999999999999E-2</v>
      </c>
      <c r="AS632" s="26">
        <v>0</v>
      </c>
    </row>
    <row r="633" spans="1:45" x14ac:dyDescent="0.15">
      <c r="A633" s="64">
        <v>263</v>
      </c>
      <c r="B633" s="64">
        <v>260</v>
      </c>
      <c r="C633" s="11">
        <v>1230</v>
      </c>
      <c r="D633" s="61">
        <v>203</v>
      </c>
      <c r="E633" s="61">
        <v>7.7358725748753699E-4</v>
      </c>
      <c r="F633" s="61">
        <v>40</v>
      </c>
      <c r="G633" s="61">
        <v>0.59768485349338796</v>
      </c>
      <c r="H633" s="66">
        <v>147</v>
      </c>
      <c r="I633" s="66" t="str">
        <f>H633&amp;"/"&amp;451</f>
        <v>147/451</v>
      </c>
      <c r="J633" s="68">
        <f>H633/451</f>
        <v>0.32594235033259422</v>
      </c>
      <c r="K633" s="18" t="s">
        <v>44</v>
      </c>
      <c r="L633" s="18" t="s">
        <v>86</v>
      </c>
      <c r="M633" s="58" t="s">
        <v>65</v>
      </c>
      <c r="N633" s="18">
        <f>[1]!f_prt_stocktonav(C633,"2017/03/31")</f>
        <v>90.222763061523438</v>
      </c>
      <c r="O633" s="20" t="str">
        <f>[1]!f_info_fundmanager(C633)</f>
        <v>梁浩,金笑非</v>
      </c>
      <c r="P633" s="21">
        <v>0.76712328767123283</v>
      </c>
      <c r="Q633" s="34" t="s">
        <v>1208</v>
      </c>
      <c r="R633" s="34" t="s">
        <v>1209</v>
      </c>
      <c r="S633" s="34" t="s">
        <v>705</v>
      </c>
      <c r="T633" s="34">
        <v>20150602</v>
      </c>
      <c r="U633" s="45">
        <v>16.861689047399999</v>
      </c>
      <c r="V633" s="46">
        <v>17.901313817599998</v>
      </c>
      <c r="W633" s="34" t="s">
        <v>3789</v>
      </c>
      <c r="X633" s="34" t="s">
        <v>44</v>
      </c>
      <c r="Y633" s="34" t="s">
        <v>45</v>
      </c>
      <c r="Z633" s="34" t="s">
        <v>65</v>
      </c>
      <c r="AA633" s="34"/>
      <c r="AB633" s="34"/>
      <c r="AC633" s="22">
        <v>0.89090599060058595</v>
      </c>
      <c r="AD633" s="23" t="s">
        <v>1210</v>
      </c>
      <c r="AE633" s="24">
        <v>0.53698630136986303</v>
      </c>
      <c r="AF633" s="25">
        <v>-0.33783031755915538</v>
      </c>
      <c r="AG633" s="26">
        <v>0</v>
      </c>
      <c r="AH633" s="26">
        <v>0</v>
      </c>
      <c r="AI633" s="27">
        <v>-0.82941814594654695</v>
      </c>
      <c r="AJ633" s="27">
        <v>-0.82941814594654695</v>
      </c>
      <c r="AK633" s="27">
        <v>-0.82941814594654695</v>
      </c>
      <c r="AL633" s="28" t="s">
        <v>1211</v>
      </c>
      <c r="AM633" s="29" t="s">
        <v>48</v>
      </c>
      <c r="AN633" s="29" t="s">
        <v>48</v>
      </c>
      <c r="AO633" s="29" t="s">
        <v>48</v>
      </c>
      <c r="AP633" s="47" t="s">
        <v>1212</v>
      </c>
      <c r="AQ633" s="28">
        <v>0</v>
      </c>
      <c r="AR633" s="26">
        <v>1.4999999999999999E-2</v>
      </c>
      <c r="AS633" s="26">
        <v>0</v>
      </c>
    </row>
    <row r="634" spans="1:45" x14ac:dyDescent="0.15">
      <c r="A634" s="64">
        <v>27</v>
      </c>
      <c r="B634" s="64">
        <v>963</v>
      </c>
      <c r="C634" s="11">
        <v>3456</v>
      </c>
      <c r="D634" s="61">
        <v>205</v>
      </c>
      <c r="E634" s="61">
        <v>7.6079027709405702E-4</v>
      </c>
      <c r="F634" s="61">
        <v>23</v>
      </c>
      <c r="G634" s="61">
        <v>0.61761338498130602</v>
      </c>
      <c r="H634" s="66">
        <v>148</v>
      </c>
      <c r="I634" s="66" t="str">
        <f>H634&amp;"/"&amp;451</f>
        <v>148/451</v>
      </c>
      <c r="J634" s="68">
        <f>H634/451</f>
        <v>0.32815964523281599</v>
      </c>
      <c r="K634" s="18" t="s">
        <v>44</v>
      </c>
      <c r="L634" s="19" t="s">
        <v>45</v>
      </c>
      <c r="M634" s="59" t="s">
        <v>65</v>
      </c>
      <c r="N634" s="18">
        <f>[1]!f_prt_stocktonav(C634,"2017/03/31")</f>
        <v>70.048377990722656</v>
      </c>
      <c r="O634" s="20" t="str">
        <f>[1]!f_info_fundmanager(C634)</f>
        <v>冯士祯,孔学峰,唐弋迅</v>
      </c>
      <c r="P634" s="21">
        <v>0.44657534246575342</v>
      </c>
      <c r="Q634" s="12" t="s">
        <v>187</v>
      </c>
      <c r="R634" s="13" t="s">
        <v>188</v>
      </c>
      <c r="S634" s="13" t="s">
        <v>189</v>
      </c>
      <c r="T634" s="13">
        <v>20161019</v>
      </c>
      <c r="U634" s="14">
        <v>1.9606986501000001</v>
      </c>
      <c r="V634" s="15" t="s">
        <v>58</v>
      </c>
      <c r="W634" s="16" t="s">
        <v>40</v>
      </c>
      <c r="X634" s="17" t="s">
        <v>41</v>
      </c>
      <c r="Y634" s="17" t="s">
        <v>42</v>
      </c>
      <c r="Z634" s="17" t="s">
        <v>43</v>
      </c>
      <c r="AA634" s="13"/>
      <c r="AB634" s="13"/>
      <c r="AC634" s="22">
        <v>0.505715217590332</v>
      </c>
      <c r="AD634" s="23" t="s">
        <v>190</v>
      </c>
      <c r="AE634" s="24">
        <v>0.21643835616438356</v>
      </c>
      <c r="AF634" s="25">
        <v>-9.4844465566223946E-2</v>
      </c>
      <c r="AG634" s="26">
        <v>0</v>
      </c>
      <c r="AH634" s="26">
        <v>0</v>
      </c>
      <c r="AI634" s="27">
        <v>-3.6902827770454412</v>
      </c>
      <c r="AJ634" s="27">
        <v>-3.6902827770454412</v>
      </c>
      <c r="AK634" s="27">
        <v>-3.6902827770454412</v>
      </c>
      <c r="AL634" s="28" t="s">
        <v>191</v>
      </c>
      <c r="AM634" s="29" t="s">
        <v>48</v>
      </c>
      <c r="AN634" s="29" t="s">
        <v>48</v>
      </c>
      <c r="AO634" s="29" t="s">
        <v>48</v>
      </c>
      <c r="AP634" s="23" t="s">
        <v>192</v>
      </c>
      <c r="AQ634" s="30">
        <v>0</v>
      </c>
      <c r="AR634" s="31">
        <v>1.4999999999999999E-2</v>
      </c>
      <c r="AS634" s="31">
        <v>0</v>
      </c>
    </row>
    <row r="635" spans="1:45" x14ac:dyDescent="0.15">
      <c r="A635" s="64">
        <v>143</v>
      </c>
      <c r="B635" s="64">
        <v>170</v>
      </c>
      <c r="C635" s="11">
        <v>2210</v>
      </c>
      <c r="D635" s="61">
        <v>208</v>
      </c>
      <c r="E635" s="61">
        <v>7.5235527321220895E-4</v>
      </c>
      <c r="F635" s="61">
        <v>60</v>
      </c>
      <c r="G635" s="61">
        <v>0.63276785446253403</v>
      </c>
      <c r="H635" s="66">
        <v>149</v>
      </c>
      <c r="I635" s="66" t="str">
        <f>H635&amp;"/"&amp;451</f>
        <v>149/451</v>
      </c>
      <c r="J635" s="68">
        <f>H635/451</f>
        <v>0.3303769401330377</v>
      </c>
      <c r="K635" s="18" t="s">
        <v>44</v>
      </c>
      <c r="L635" s="18" t="s">
        <v>64</v>
      </c>
      <c r="M635" s="58" t="s">
        <v>65</v>
      </c>
      <c r="N635" s="18">
        <f>[1]!f_prt_stocktonav(C635,"2017/03/31")</f>
        <v>92.330696105957031</v>
      </c>
      <c r="O635" s="20" t="str">
        <f>[1]!f_info_fundmanager(C635)</f>
        <v>程志田,庞世恩</v>
      </c>
      <c r="P635" s="21">
        <v>1.189041095890411</v>
      </c>
      <c r="Q635" s="34" t="s">
        <v>731</v>
      </c>
      <c r="R635" s="34" t="s">
        <v>732</v>
      </c>
      <c r="S635" s="34" t="s">
        <v>159</v>
      </c>
      <c r="T635" s="34">
        <v>20160122</v>
      </c>
      <c r="U635" s="45">
        <v>18.316157593700002</v>
      </c>
      <c r="V635" s="46">
        <v>2.4388405091999998</v>
      </c>
      <c r="W635" s="34" t="s">
        <v>3776</v>
      </c>
      <c r="X635" s="34" t="s">
        <v>44</v>
      </c>
      <c r="Y635" s="34" t="s">
        <v>64</v>
      </c>
      <c r="Z635" s="34" t="s">
        <v>65</v>
      </c>
      <c r="AA635" s="34"/>
      <c r="AB635" s="34"/>
      <c r="AC635" s="22">
        <v>0.91363563537597658</v>
      </c>
      <c r="AD635" s="23" t="s">
        <v>733</v>
      </c>
      <c r="AE635" s="24">
        <v>0.95890410958904104</v>
      </c>
      <c r="AF635" s="25">
        <v>0.26413146835317369</v>
      </c>
      <c r="AG635" s="26">
        <v>0</v>
      </c>
      <c r="AH635" s="26">
        <v>0</v>
      </c>
      <c r="AI635" s="27">
        <v>1.7510928338374521</v>
      </c>
      <c r="AJ635" s="27">
        <v>1.7510928338374521</v>
      </c>
      <c r="AK635" s="27">
        <v>1.7510928338374521</v>
      </c>
      <c r="AL635" s="28" t="s">
        <v>734</v>
      </c>
      <c r="AM635" s="29" t="s">
        <v>48</v>
      </c>
      <c r="AN635" s="29" t="s">
        <v>48</v>
      </c>
      <c r="AO635" s="29" t="s">
        <v>48</v>
      </c>
      <c r="AP635" s="47" t="s">
        <v>214</v>
      </c>
      <c r="AQ635" s="28">
        <v>0</v>
      </c>
      <c r="AR635" s="26">
        <v>1.4999999999999999E-2</v>
      </c>
      <c r="AS635" s="26">
        <v>0</v>
      </c>
    </row>
    <row r="636" spans="1:45" x14ac:dyDescent="0.15">
      <c r="A636" s="64">
        <v>675</v>
      </c>
      <c r="B636" s="64">
        <v>843</v>
      </c>
      <c r="C636" s="11">
        <v>320011</v>
      </c>
      <c r="D636" s="61">
        <v>209</v>
      </c>
      <c r="E636" s="61">
        <v>7.4239960165605899E-4</v>
      </c>
      <c r="F636" s="61">
        <v>29</v>
      </c>
      <c r="G636" s="61">
        <v>0.68340818772162604</v>
      </c>
      <c r="H636" s="66">
        <v>150</v>
      </c>
      <c r="I636" s="66" t="str">
        <f>H636&amp;"/"&amp;451</f>
        <v>150/451</v>
      </c>
      <c r="J636" s="68">
        <f>H636/451</f>
        <v>0.33259423503325941</v>
      </c>
      <c r="K636" s="18" t="s">
        <v>44</v>
      </c>
      <c r="L636" s="18" t="s">
        <v>45</v>
      </c>
      <c r="M636" s="58" t="s">
        <v>65</v>
      </c>
      <c r="N636" s="18">
        <f>[1]!f_prt_stocktonav(C636,"2017/03/31")</f>
        <v>74.869209289550781</v>
      </c>
      <c r="O636" s="20" t="str">
        <f>[1]!f_info_fundmanager(C636)</f>
        <v>韩冬燕</v>
      </c>
      <c r="P636" s="21">
        <v>0.54520547945205478</v>
      </c>
      <c r="Q636" s="34" t="s">
        <v>2706</v>
      </c>
      <c r="R636" s="34" t="s">
        <v>2707</v>
      </c>
      <c r="S636" s="34" t="s">
        <v>955</v>
      </c>
      <c r="T636" s="34">
        <v>20100428</v>
      </c>
      <c r="U636" s="45">
        <v>8.8308149283000006</v>
      </c>
      <c r="V636" s="46">
        <v>8.6155064729999999</v>
      </c>
      <c r="W636" s="34" t="s">
        <v>201</v>
      </c>
      <c r="X636" s="34" t="s">
        <v>44</v>
      </c>
      <c r="Y636" s="34" t="s">
        <v>45</v>
      </c>
      <c r="Z636" s="34" t="s">
        <v>65</v>
      </c>
      <c r="AA636" s="34"/>
      <c r="AB636" s="34"/>
      <c r="AC636" s="22">
        <v>0.70591567993164062</v>
      </c>
      <c r="AD636" s="23" t="s">
        <v>956</v>
      </c>
      <c r="AE636" s="24">
        <v>0.31506849315068491</v>
      </c>
      <c r="AF636" s="25">
        <v>0.16018581577445937</v>
      </c>
      <c r="AG636" s="26">
        <v>0.33233777603738668</v>
      </c>
      <c r="AH636" s="26">
        <v>0.2254394572816345</v>
      </c>
      <c r="AI636" s="27">
        <v>0.7543807501411377</v>
      </c>
      <c r="AJ636" s="27">
        <v>1.3881388674120374</v>
      </c>
      <c r="AK636" s="27">
        <v>1.0052228275679875</v>
      </c>
      <c r="AL636" s="28" t="s">
        <v>2578</v>
      </c>
      <c r="AM636" s="29">
        <v>5</v>
      </c>
      <c r="AN636" s="29">
        <v>5</v>
      </c>
      <c r="AO636" s="29" t="s">
        <v>48</v>
      </c>
      <c r="AP636" s="47" t="s">
        <v>249</v>
      </c>
      <c r="AQ636" s="28">
        <v>0</v>
      </c>
      <c r="AR636" s="26">
        <v>1.4999999999999999E-2</v>
      </c>
      <c r="AS636" s="26">
        <v>0</v>
      </c>
    </row>
    <row r="637" spans="1:45" x14ac:dyDescent="0.15">
      <c r="A637" s="64">
        <v>319</v>
      </c>
      <c r="B637" s="64">
        <v>541</v>
      </c>
      <c r="C637" s="11">
        <v>1105</v>
      </c>
      <c r="D637" s="61">
        <v>210</v>
      </c>
      <c r="E637" s="61">
        <v>7.3935407874967205E-4</v>
      </c>
      <c r="F637" s="61">
        <v>29</v>
      </c>
      <c r="G637" s="61">
        <v>0.66807970120328497</v>
      </c>
      <c r="H637" s="66">
        <v>151</v>
      </c>
      <c r="I637" s="66" t="str">
        <f>H637&amp;"/"&amp;451</f>
        <v>151/451</v>
      </c>
      <c r="J637" s="68">
        <f>H637/451</f>
        <v>0.33481152993348118</v>
      </c>
      <c r="K637" s="18" t="s">
        <v>44</v>
      </c>
      <c r="L637" s="18" t="s">
        <v>45</v>
      </c>
      <c r="M637" s="58" t="s">
        <v>65</v>
      </c>
      <c r="N637" s="18">
        <f>[1]!f_prt_stocktonav(C637,"2017/03/31")</f>
        <v>84.199005126953125</v>
      </c>
      <c r="O637" s="20" t="str">
        <f>[1]!f_info_fundmanager(C637)</f>
        <v>冯士祯</v>
      </c>
      <c r="P637" s="21">
        <v>0.54246575342465753</v>
      </c>
      <c r="Q637" s="34" t="s">
        <v>1437</v>
      </c>
      <c r="R637" s="34" t="s">
        <v>1438</v>
      </c>
      <c r="S637" s="34" t="s">
        <v>189</v>
      </c>
      <c r="T637" s="34">
        <v>20150415</v>
      </c>
      <c r="U637" s="45">
        <v>7.0203115780000003</v>
      </c>
      <c r="V637" s="46">
        <v>7.3830106895999998</v>
      </c>
      <c r="W637" s="34" t="s">
        <v>3789</v>
      </c>
      <c r="X637" s="34" t="s">
        <v>44</v>
      </c>
      <c r="Y637" s="34" t="s">
        <v>45</v>
      </c>
      <c r="Z637" s="34" t="s">
        <v>65</v>
      </c>
      <c r="AA637" s="34"/>
      <c r="AB637" s="34"/>
      <c r="AC637" s="22">
        <v>0.82350776672363279</v>
      </c>
      <c r="AD637" s="23" t="s">
        <v>1439</v>
      </c>
      <c r="AE637" s="24">
        <v>0.31232876712328766</v>
      </c>
      <c r="AF637" s="25">
        <v>-0.22319715257398542</v>
      </c>
      <c r="AG637" s="26">
        <v>0</v>
      </c>
      <c r="AH637" s="26">
        <v>0</v>
      </c>
      <c r="AI637" s="27">
        <v>-0.45196640179602537</v>
      </c>
      <c r="AJ637" s="27">
        <v>-0.45196640179602537</v>
      </c>
      <c r="AK637" s="27">
        <v>-0.45196640179602537</v>
      </c>
      <c r="AL637" s="28" t="s">
        <v>1009</v>
      </c>
      <c r="AM637" s="29" t="s">
        <v>48</v>
      </c>
      <c r="AN637" s="29" t="s">
        <v>48</v>
      </c>
      <c r="AO637" s="29" t="s">
        <v>48</v>
      </c>
      <c r="AP637" s="47" t="s">
        <v>1002</v>
      </c>
      <c r="AQ637" s="28">
        <v>0</v>
      </c>
      <c r="AR637" s="26">
        <v>1.4999999999999999E-2</v>
      </c>
      <c r="AS637" s="26">
        <v>0</v>
      </c>
    </row>
    <row r="638" spans="1:45" x14ac:dyDescent="0.15">
      <c r="A638" s="64">
        <v>918</v>
      </c>
      <c r="B638" s="64">
        <v>353</v>
      </c>
      <c r="C638" s="11">
        <v>90003</v>
      </c>
      <c r="D638" s="61">
        <v>213</v>
      </c>
      <c r="E638" s="61">
        <v>7.15396226740341E-4</v>
      </c>
      <c r="F638" s="61">
        <v>69</v>
      </c>
      <c r="G638" s="61">
        <v>0.58383631374408895</v>
      </c>
      <c r="H638" s="66">
        <v>152</v>
      </c>
      <c r="I638" s="66" t="str">
        <f>H638&amp;"/"&amp;451</f>
        <v>152/451</v>
      </c>
      <c r="J638" s="68">
        <f>H638/451</f>
        <v>0.33702882483370289</v>
      </c>
      <c r="K638" s="18" t="s">
        <v>44</v>
      </c>
      <c r="L638" s="18" t="s">
        <v>45</v>
      </c>
      <c r="M638" s="58" t="s">
        <v>65</v>
      </c>
      <c r="N638" s="18">
        <f>[1]!f_prt_stocktonav(C638,"2017/03/31")</f>
        <v>88.497489929199219</v>
      </c>
      <c r="O638" s="20" t="str">
        <f>[1]!f_info_fundmanager(C638)</f>
        <v>侯春燕</v>
      </c>
      <c r="P638" s="21">
        <v>1.3095890410958904</v>
      </c>
      <c r="Q638" s="34" t="s">
        <v>3567</v>
      </c>
      <c r="R638" s="34" t="s">
        <v>3568</v>
      </c>
      <c r="S638" s="34" t="s">
        <v>486</v>
      </c>
      <c r="T638" s="34">
        <v>20040603</v>
      </c>
      <c r="U638" s="45">
        <v>35.937462485899999</v>
      </c>
      <c r="V638" s="46">
        <v>37.148640688100002</v>
      </c>
      <c r="W638" s="34" t="s">
        <v>201</v>
      </c>
      <c r="X638" s="34" t="s">
        <v>44</v>
      </c>
      <c r="Y638" s="34" t="s">
        <v>45</v>
      </c>
      <c r="Z638" s="34" t="s">
        <v>65</v>
      </c>
      <c r="AA638" s="34"/>
      <c r="AB638" s="34"/>
      <c r="AC638" s="22">
        <v>0.88626678466796871</v>
      </c>
      <c r="AD638" s="23" t="s">
        <v>3569</v>
      </c>
      <c r="AE638" s="24">
        <v>1.0794520547945206</v>
      </c>
      <c r="AF638" s="25">
        <v>9.7624491794626747E-2</v>
      </c>
      <c r="AG638" s="26">
        <v>6.4832802884095653E-2</v>
      </c>
      <c r="AH638" s="26">
        <v>4.1110024582537541E-2</v>
      </c>
      <c r="AI638" s="27">
        <v>0.43648209065028531</v>
      </c>
      <c r="AJ638" s="27">
        <v>0.31884267879934425</v>
      </c>
      <c r="AK638" s="27">
        <v>0.22921191247367553</v>
      </c>
      <c r="AL638" s="28" t="s">
        <v>3570</v>
      </c>
      <c r="AM638" s="29">
        <v>1</v>
      </c>
      <c r="AN638" s="29">
        <v>1</v>
      </c>
      <c r="AO638" s="29" t="s">
        <v>48</v>
      </c>
      <c r="AP638" s="47" t="s">
        <v>1002</v>
      </c>
      <c r="AQ638" s="28" t="s">
        <v>3571</v>
      </c>
      <c r="AR638" s="26">
        <v>1.4999999999999999E-2</v>
      </c>
      <c r="AS638" s="26">
        <v>0</v>
      </c>
    </row>
    <row r="639" spans="1:45" x14ac:dyDescent="0.15">
      <c r="A639" s="64">
        <v>640</v>
      </c>
      <c r="B639" s="64">
        <v>60</v>
      </c>
      <c r="C639" s="11">
        <v>206007</v>
      </c>
      <c r="D639" s="61">
        <v>214</v>
      </c>
      <c r="E639" s="61">
        <v>7.1094827040497801E-4</v>
      </c>
      <c r="F639" s="61">
        <v>320</v>
      </c>
      <c r="G639" s="61">
        <v>0.50086254858583501</v>
      </c>
      <c r="H639" s="66">
        <v>153</v>
      </c>
      <c r="I639" s="66" t="str">
        <f>H639&amp;"/"&amp;451</f>
        <v>153/451</v>
      </c>
      <c r="J639" s="68">
        <f>H639/451</f>
        <v>0.3392461197339246</v>
      </c>
      <c r="K639" s="18" t="s">
        <v>44</v>
      </c>
      <c r="L639" s="18" t="s">
        <v>45</v>
      </c>
      <c r="M639" s="58" t="s">
        <v>65</v>
      </c>
      <c r="N639" s="18">
        <f>[1]!f_prt_stocktonav(C639,"2017/03/31")</f>
        <v>94.199005126953125</v>
      </c>
      <c r="O639" s="20" t="str">
        <f>[1]!f_info_fundmanager(C639)</f>
        <v>王宗合</v>
      </c>
      <c r="P639" s="21">
        <v>6.2602739726027394</v>
      </c>
      <c r="Q639" s="34" t="s">
        <v>2587</v>
      </c>
      <c r="R639" s="34" t="s">
        <v>2588</v>
      </c>
      <c r="S639" s="34" t="s">
        <v>705</v>
      </c>
      <c r="T639" s="34">
        <v>20101228</v>
      </c>
      <c r="U639" s="45">
        <v>2.0064242324000001</v>
      </c>
      <c r="V639" s="46">
        <v>2.1914983317000001</v>
      </c>
      <c r="W639" s="34" t="s">
        <v>3776</v>
      </c>
      <c r="X639" s="34" t="s">
        <v>41</v>
      </c>
      <c r="Y639" s="17" t="s">
        <v>42</v>
      </c>
      <c r="Z639" s="17" t="s">
        <v>181</v>
      </c>
      <c r="AA639" s="34"/>
      <c r="AB639" s="34"/>
      <c r="AC639" s="22">
        <v>0.60578552246093753</v>
      </c>
      <c r="AD639" s="23" t="s">
        <v>1710</v>
      </c>
      <c r="AE639" s="24">
        <v>6.0301369863013701</v>
      </c>
      <c r="AF639" s="25">
        <v>7.4173055362989126E-2</v>
      </c>
      <c r="AG639" s="26">
        <v>0.15238277439453873</v>
      </c>
      <c r="AH639" s="26">
        <v>0.13184042115897299</v>
      </c>
      <c r="AI639" s="27">
        <v>0.34930181767231988</v>
      </c>
      <c r="AJ639" s="27">
        <v>0.59611303627860035</v>
      </c>
      <c r="AK639" s="27">
        <v>0.5500680823950298</v>
      </c>
      <c r="AL639" s="28" t="s">
        <v>380</v>
      </c>
      <c r="AM639" s="29">
        <v>2</v>
      </c>
      <c r="AN639" s="29">
        <v>5</v>
      </c>
      <c r="AO639" s="29" t="s">
        <v>48</v>
      </c>
      <c r="AP639" s="47" t="s">
        <v>2501</v>
      </c>
      <c r="AQ639" s="28">
        <v>0</v>
      </c>
      <c r="AR639" s="26">
        <v>1.4999999999999999E-2</v>
      </c>
      <c r="AS639" s="26">
        <v>0</v>
      </c>
    </row>
    <row r="640" spans="1:45" x14ac:dyDescent="0.15">
      <c r="A640" s="64">
        <v>10</v>
      </c>
      <c r="B640" s="64">
        <v>114</v>
      </c>
      <c r="C640" s="11">
        <v>1758</v>
      </c>
      <c r="D640" s="61">
        <v>215</v>
      </c>
      <c r="E640" s="61">
        <v>6.9260221156176296E-4</v>
      </c>
      <c r="F640" s="61">
        <v>17</v>
      </c>
      <c r="G640" s="61">
        <v>0.73897229337178505</v>
      </c>
      <c r="H640" s="66">
        <v>154</v>
      </c>
      <c r="I640" s="66" t="str">
        <f>H640&amp;"/"&amp;451</f>
        <v>154/451</v>
      </c>
      <c r="J640" s="68">
        <f>H640/451</f>
        <v>0.34146341463414637</v>
      </c>
      <c r="K640" s="18" t="s">
        <v>44</v>
      </c>
      <c r="L640" s="19" t="s">
        <v>45</v>
      </c>
      <c r="M640" s="59" t="s">
        <v>65</v>
      </c>
      <c r="N640" s="18">
        <f>[1]!f_prt_stocktonav(C640,"2017/03/31")</f>
        <v>93.351608276367188</v>
      </c>
      <c r="O640" s="20" t="str">
        <f>[1]!f_info_fundmanager(C640)</f>
        <v>陈少平</v>
      </c>
      <c r="P640" s="21">
        <v>0.32876712328767121</v>
      </c>
      <c r="Q640" s="32" t="s">
        <v>102</v>
      </c>
      <c r="R640" s="13" t="s">
        <v>103</v>
      </c>
      <c r="S640" s="13" t="s">
        <v>92</v>
      </c>
      <c r="T640" s="13">
        <v>20161201</v>
      </c>
      <c r="U640" s="14">
        <v>7.3771804841000002</v>
      </c>
      <c r="V640" s="15" t="s">
        <v>58</v>
      </c>
      <c r="W640" s="16" t="s">
        <v>40</v>
      </c>
      <c r="X640" s="17" t="s">
        <v>41</v>
      </c>
      <c r="Y640" s="17" t="s">
        <v>42</v>
      </c>
      <c r="Z640" s="17" t="s">
        <v>43</v>
      </c>
      <c r="AA640" s="13"/>
      <c r="AB640" s="13"/>
      <c r="AC640" s="22">
        <v>0</v>
      </c>
      <c r="AD640" s="23" t="s">
        <v>104</v>
      </c>
      <c r="AE640" s="24">
        <v>9.8630136986301367E-2</v>
      </c>
      <c r="AF640" s="25">
        <v>-0.1630164789474452</v>
      </c>
      <c r="AG640" s="26">
        <v>0</v>
      </c>
      <c r="AH640" s="26">
        <v>0</v>
      </c>
      <c r="AI640" s="27">
        <v>-8.1238440159700733</v>
      </c>
      <c r="AJ640" s="27">
        <v>-8.1238440159700733</v>
      </c>
      <c r="AK640" s="27">
        <v>-8.1238440159700733</v>
      </c>
      <c r="AL640" s="28" t="s">
        <v>105</v>
      </c>
      <c r="AM640" s="29" t="s">
        <v>48</v>
      </c>
      <c r="AN640" s="29" t="s">
        <v>48</v>
      </c>
      <c r="AO640" s="29" t="s">
        <v>48</v>
      </c>
      <c r="AP640" s="23" t="s">
        <v>106</v>
      </c>
      <c r="AQ640" s="30">
        <v>0</v>
      </c>
      <c r="AR640" s="31">
        <v>1.4999999999999999E-2</v>
      </c>
      <c r="AS640" s="31">
        <v>0</v>
      </c>
    </row>
    <row r="641" spans="1:45" x14ac:dyDescent="0.15">
      <c r="A641" s="64">
        <v>799</v>
      </c>
      <c r="B641" s="64">
        <v>470</v>
      </c>
      <c r="C641" s="11">
        <v>160910</v>
      </c>
      <c r="D641" s="61">
        <v>216</v>
      </c>
      <c r="E641" s="61">
        <v>6.9235737954561195E-4</v>
      </c>
      <c r="F641" s="61">
        <v>32</v>
      </c>
      <c r="G641" s="61">
        <v>0.69609153094470899</v>
      </c>
      <c r="H641" s="66">
        <v>155</v>
      </c>
      <c r="I641" s="66" t="str">
        <f>H641&amp;"/"&amp;451</f>
        <v>155/451</v>
      </c>
      <c r="J641" s="68">
        <f>H641/451</f>
        <v>0.34368070953436808</v>
      </c>
      <c r="K641" s="18" t="s">
        <v>44</v>
      </c>
      <c r="L641" s="18" t="s">
        <v>45</v>
      </c>
      <c r="M641" s="58" t="s">
        <v>65</v>
      </c>
      <c r="N641" s="18">
        <f>[1]!f_prt_stocktonav(C641,"2017/03/31")</f>
        <v>85.828018188476563</v>
      </c>
      <c r="O641" s="20" t="str">
        <f>[1]!f_info_fundmanager(C641)</f>
        <v>石国武,刘旭</v>
      </c>
      <c r="P641" s="21">
        <v>0.61095890410958908</v>
      </c>
      <c r="Q641" s="34" t="s">
        <v>3116</v>
      </c>
      <c r="R641" s="34" t="s">
        <v>3117</v>
      </c>
      <c r="S641" s="34" t="s">
        <v>486</v>
      </c>
      <c r="T641" s="34">
        <v>20070612</v>
      </c>
      <c r="U641" s="45">
        <v>22.127667083999999</v>
      </c>
      <c r="V641" s="46">
        <v>22.705631594500002</v>
      </c>
      <c r="W641" s="34" t="s">
        <v>231</v>
      </c>
      <c r="X641" s="34" t="s">
        <v>44</v>
      </c>
      <c r="Y641" s="34" t="s">
        <v>45</v>
      </c>
      <c r="Z641" s="34" t="s">
        <v>65</v>
      </c>
      <c r="AA641" s="34"/>
      <c r="AB641" s="34"/>
      <c r="AC641" s="22">
        <v>0.7159829711914063</v>
      </c>
      <c r="AD641" s="23" t="s">
        <v>3118</v>
      </c>
      <c r="AE641" s="24">
        <v>0.38082191780821917</v>
      </c>
      <c r="AF641" s="25">
        <v>-7.0937995865461012E-3</v>
      </c>
      <c r="AG641" s="26">
        <v>8.6191387551381352E-2</v>
      </c>
      <c r="AH641" s="26">
        <v>6.7386634286942249E-2</v>
      </c>
      <c r="AI641" s="27">
        <v>5.2987408026162308E-2</v>
      </c>
      <c r="AJ641" s="27">
        <v>0.39039781448458943</v>
      </c>
      <c r="AK641" s="27">
        <v>0.32295504218732546</v>
      </c>
      <c r="AL641" s="28" t="s">
        <v>3119</v>
      </c>
      <c r="AM641" s="29">
        <v>2</v>
      </c>
      <c r="AN641" s="29">
        <v>3</v>
      </c>
      <c r="AO641" s="29" t="s">
        <v>48</v>
      </c>
      <c r="AP641" s="47" t="s">
        <v>1002</v>
      </c>
      <c r="AQ641" s="28">
        <v>0</v>
      </c>
      <c r="AR641" s="26">
        <v>1.4999999999999999E-2</v>
      </c>
      <c r="AS641" s="26">
        <v>0</v>
      </c>
    </row>
    <row r="642" spans="1:45" x14ac:dyDescent="0.15">
      <c r="A642" s="64">
        <v>475</v>
      </c>
      <c r="B642" s="64">
        <v>30</v>
      </c>
      <c r="C642" s="11">
        <v>431</v>
      </c>
      <c r="D642" s="61">
        <v>220</v>
      </c>
      <c r="E642" s="61">
        <v>6.7597042933621905E-4</v>
      </c>
      <c r="F642" s="61">
        <v>140</v>
      </c>
      <c r="G642" s="61">
        <v>0.25912856508703203</v>
      </c>
      <c r="H642" s="66">
        <v>156</v>
      </c>
      <c r="I642" s="66" t="str">
        <f>H642&amp;"/"&amp;451</f>
        <v>156/451</v>
      </c>
      <c r="J642" s="68">
        <f>H642/451</f>
        <v>0.34589800443458979</v>
      </c>
      <c r="K642" s="18" t="s">
        <v>44</v>
      </c>
      <c r="L642" s="18" t="s">
        <v>45</v>
      </c>
      <c r="M642" s="58" t="s">
        <v>65</v>
      </c>
      <c r="N642" s="18">
        <f>[1]!f_prt_stocktonav(C642,"2017/03/31")</f>
        <v>94.608978271484375</v>
      </c>
      <c r="O642" s="20" t="str">
        <f>[1]!f_info_fundmanager(C642)</f>
        <v>王宗合</v>
      </c>
      <c r="P642" s="21">
        <v>2.6821917808219178</v>
      </c>
      <c r="Q642" s="34" t="s">
        <v>2014</v>
      </c>
      <c r="R642" s="34" t="s">
        <v>2015</v>
      </c>
      <c r="S642" s="34" t="s">
        <v>705</v>
      </c>
      <c r="T642" s="34">
        <v>20140128</v>
      </c>
      <c r="U642" s="45">
        <v>0.99761570379999998</v>
      </c>
      <c r="V642" s="46">
        <v>11.4224034776</v>
      </c>
      <c r="W642" s="34" t="s">
        <v>1235</v>
      </c>
      <c r="X642" s="34" t="s">
        <v>41</v>
      </c>
      <c r="Y642" s="34" t="s">
        <v>42</v>
      </c>
      <c r="Z642" s="34" t="s">
        <v>43</v>
      </c>
      <c r="AA642" s="34"/>
      <c r="AB642" s="34"/>
      <c r="AC642" s="22">
        <v>0.24699090957641601</v>
      </c>
      <c r="AD642" s="23" t="s">
        <v>2016</v>
      </c>
      <c r="AE642" s="24">
        <v>2.452054794520548</v>
      </c>
      <c r="AF642" s="25">
        <v>3.5177102031676011E-2</v>
      </c>
      <c r="AG642" s="26">
        <v>0</v>
      </c>
      <c r="AH642" s="26">
        <v>0</v>
      </c>
      <c r="AI642" s="27">
        <v>0.68387195395304889</v>
      </c>
      <c r="AJ642" s="27">
        <v>0.68387195395304889</v>
      </c>
      <c r="AK642" s="27">
        <v>0.68387195395304889</v>
      </c>
      <c r="AL642" s="28" t="s">
        <v>380</v>
      </c>
      <c r="AM642" s="29" t="s">
        <v>48</v>
      </c>
      <c r="AN642" s="29" t="s">
        <v>48</v>
      </c>
      <c r="AO642" s="29" t="s">
        <v>48</v>
      </c>
      <c r="AP642" s="47" t="s">
        <v>2017</v>
      </c>
      <c r="AQ642" s="28">
        <v>0</v>
      </c>
      <c r="AR642" s="26">
        <v>1.4999999999999999E-2</v>
      </c>
      <c r="AS642" s="26">
        <v>0</v>
      </c>
    </row>
    <row r="643" spans="1:45" x14ac:dyDescent="0.15">
      <c r="A643" s="64">
        <v>859</v>
      </c>
      <c r="B643" s="64">
        <v>703</v>
      </c>
      <c r="C643" s="11">
        <v>160607</v>
      </c>
      <c r="D643" s="61">
        <v>223</v>
      </c>
      <c r="E643" s="61">
        <v>6.6005624298256095E-4</v>
      </c>
      <c r="F643" s="61">
        <v>95</v>
      </c>
      <c r="G643" s="61">
        <v>0.62299145805234302</v>
      </c>
      <c r="H643" s="66">
        <v>157</v>
      </c>
      <c r="I643" s="66" t="str">
        <f>H643&amp;"/"&amp;451</f>
        <v>157/451</v>
      </c>
      <c r="J643" s="68">
        <f>H643/451</f>
        <v>0.34811529933481156</v>
      </c>
      <c r="K643" s="18" t="s">
        <v>44</v>
      </c>
      <c r="L643" s="18" t="s">
        <v>45</v>
      </c>
      <c r="M643" s="58" t="s">
        <v>65</v>
      </c>
      <c r="N643" s="18">
        <f>[1]!f_prt_stocktonav(C643,"2017/03/31")</f>
        <v>79.963645935058594</v>
      </c>
      <c r="O643" s="20" t="str">
        <f>[1]!f_info_fundmanager(C643)</f>
        <v>谢书英</v>
      </c>
      <c r="P643" s="21">
        <v>1.8082191780821917</v>
      </c>
      <c r="Q643" s="34" t="s">
        <v>3339</v>
      </c>
      <c r="R643" s="34" t="s">
        <v>3340</v>
      </c>
      <c r="S643" s="34" t="s">
        <v>705</v>
      </c>
      <c r="T643" s="34">
        <v>20060718</v>
      </c>
      <c r="U643" s="45">
        <v>18.546764185600001</v>
      </c>
      <c r="V643" s="46">
        <v>19.759103551799999</v>
      </c>
      <c r="W643" s="34" t="s">
        <v>231</v>
      </c>
      <c r="X643" s="34" t="s">
        <v>44</v>
      </c>
      <c r="Y643" s="34" t="s">
        <v>45</v>
      </c>
      <c r="Z643" s="34" t="s">
        <v>274</v>
      </c>
      <c r="AA643" s="34"/>
      <c r="AB643" s="34"/>
      <c r="AC643" s="22">
        <v>0.9019434356689453</v>
      </c>
      <c r="AD643" s="23" t="s">
        <v>706</v>
      </c>
      <c r="AE643" s="24">
        <v>1.5780821917808219</v>
      </c>
      <c r="AF643" s="25">
        <v>0.14669569826029871</v>
      </c>
      <c r="AG643" s="26">
        <v>0.17367367298597602</v>
      </c>
      <c r="AH643" s="26">
        <v>0.12509977810820194</v>
      </c>
      <c r="AI643" s="27">
        <v>0.61742748869959918</v>
      </c>
      <c r="AJ643" s="27">
        <v>0.70681520537040443</v>
      </c>
      <c r="AK643" s="27">
        <v>0.56727131389428909</v>
      </c>
      <c r="AL643" s="28" t="s">
        <v>1302</v>
      </c>
      <c r="AM643" s="29">
        <v>3</v>
      </c>
      <c r="AN643" s="29">
        <v>4</v>
      </c>
      <c r="AO643" s="29" t="s">
        <v>48</v>
      </c>
      <c r="AP643" s="47" t="s">
        <v>3341</v>
      </c>
      <c r="AQ643" s="28">
        <v>0</v>
      </c>
      <c r="AR643" s="26">
        <v>1.4999999999999999E-2</v>
      </c>
      <c r="AS643" s="26">
        <v>0</v>
      </c>
    </row>
    <row r="644" spans="1:45" x14ac:dyDescent="0.15">
      <c r="A644" s="64">
        <v>127</v>
      </c>
      <c r="B644" s="64">
        <v>273</v>
      </c>
      <c r="C644" s="11">
        <v>1536</v>
      </c>
      <c r="D644" s="61">
        <v>224</v>
      </c>
      <c r="E644" s="61">
        <v>6.5128736279940495E-4</v>
      </c>
      <c r="F644" s="61">
        <v>58</v>
      </c>
      <c r="G644" s="61">
        <v>0.49653780996124303</v>
      </c>
      <c r="H644" s="66">
        <v>158</v>
      </c>
      <c r="I644" s="66" t="str">
        <f>H644&amp;"/"&amp;451</f>
        <v>158/451</v>
      </c>
      <c r="J644" s="68">
        <f>H644/451</f>
        <v>0.35033259423503327</v>
      </c>
      <c r="K644" s="18" t="s">
        <v>44</v>
      </c>
      <c r="L644" s="18" t="s">
        <v>45</v>
      </c>
      <c r="M644" s="58" t="s">
        <v>65</v>
      </c>
      <c r="N644" s="18">
        <f>[1]!f_prt_stocktonav(C644,"2017/03/31")</f>
        <v>90.019828796386719</v>
      </c>
      <c r="O644" s="20" t="str">
        <f>[1]!f_info_fundmanager(C644)</f>
        <v>茅炜</v>
      </c>
      <c r="P644" s="21">
        <v>1.1561643835616437</v>
      </c>
      <c r="Q644" s="34" t="s">
        <v>653</v>
      </c>
      <c r="R644" s="34" t="s">
        <v>654</v>
      </c>
      <c r="S644" s="34" t="s">
        <v>284</v>
      </c>
      <c r="T644" s="34">
        <v>20160203</v>
      </c>
      <c r="U644" s="45">
        <v>1.3229711907999999</v>
      </c>
      <c r="V644" s="46">
        <v>1.5751374064000001</v>
      </c>
      <c r="W644" s="34" t="s">
        <v>3776</v>
      </c>
      <c r="X644" s="34" t="s">
        <v>44</v>
      </c>
      <c r="Y644" s="34" t="s">
        <v>45</v>
      </c>
      <c r="Z644" s="34" t="s">
        <v>65</v>
      </c>
      <c r="AA644" s="34"/>
      <c r="AB644" s="34"/>
      <c r="AC644" s="22">
        <v>0.77061210632324217</v>
      </c>
      <c r="AD644" s="23" t="s">
        <v>655</v>
      </c>
      <c r="AE644" s="24">
        <v>0.92602739726027394</v>
      </c>
      <c r="AF644" s="25">
        <v>5.3833333512593118E-2</v>
      </c>
      <c r="AG644" s="26">
        <v>0</v>
      </c>
      <c r="AH644" s="26">
        <v>0</v>
      </c>
      <c r="AI644" s="27">
        <v>0.77010269421235855</v>
      </c>
      <c r="AJ644" s="27">
        <v>0.77010269421235855</v>
      </c>
      <c r="AK644" s="27">
        <v>0.77010269421235855</v>
      </c>
      <c r="AL644" s="28" t="s">
        <v>656</v>
      </c>
      <c r="AM644" s="29" t="s">
        <v>48</v>
      </c>
      <c r="AN644" s="29" t="s">
        <v>48</v>
      </c>
      <c r="AO644" s="29" t="s">
        <v>48</v>
      </c>
      <c r="AP644" s="47" t="s">
        <v>287</v>
      </c>
      <c r="AQ644" s="28">
        <v>0</v>
      </c>
      <c r="AR644" s="26">
        <v>1.4999999999999999E-2</v>
      </c>
      <c r="AS644" s="26">
        <v>0</v>
      </c>
    </row>
    <row r="645" spans="1:45" x14ac:dyDescent="0.15">
      <c r="A645" s="64">
        <v>553</v>
      </c>
      <c r="B645" s="64">
        <v>507</v>
      </c>
      <c r="C645" s="11">
        <v>70032</v>
      </c>
      <c r="D645" s="61">
        <v>227</v>
      </c>
      <c r="E645" s="61">
        <v>6.24057377856214E-4</v>
      </c>
      <c r="F645" s="61">
        <v>25</v>
      </c>
      <c r="G645" s="61">
        <v>0.79347937161568205</v>
      </c>
      <c r="H645" s="66">
        <v>159</v>
      </c>
      <c r="I645" s="66" t="str">
        <f>H645&amp;"/"&amp;451</f>
        <v>159/451</v>
      </c>
      <c r="J645" s="68">
        <f>H645/451</f>
        <v>0.35254988913525498</v>
      </c>
      <c r="K645" s="18" t="s">
        <v>44</v>
      </c>
      <c r="L645" s="18" t="s">
        <v>87</v>
      </c>
      <c r="M645" s="58" t="s">
        <v>65</v>
      </c>
      <c r="N645" s="18">
        <f>[1]!f_prt_stocktonav(C645,"2017/03/31")</f>
        <v>85.161567687988281</v>
      </c>
      <c r="O645" s="20" t="str">
        <f>[1]!f_info_fundmanager(C645)</f>
        <v>季文华</v>
      </c>
      <c r="P645" s="21">
        <v>0.47123287671232877</v>
      </c>
      <c r="Q645" s="34" t="s">
        <v>2290</v>
      </c>
      <c r="R645" s="34" t="s">
        <v>2291</v>
      </c>
      <c r="S645" s="34" t="s">
        <v>92</v>
      </c>
      <c r="T645" s="34">
        <v>20120626</v>
      </c>
      <c r="U645" s="45">
        <v>5.1221814471</v>
      </c>
      <c r="V645" s="46">
        <v>6.6711769761999999</v>
      </c>
      <c r="W645" s="34" t="s">
        <v>3776</v>
      </c>
      <c r="X645" s="34" t="s">
        <v>41</v>
      </c>
      <c r="Y645" s="17" t="s">
        <v>42</v>
      </c>
      <c r="Z645" s="17" t="s">
        <v>181</v>
      </c>
      <c r="AA645" s="34"/>
      <c r="AB645" s="34"/>
      <c r="AC645" s="22">
        <v>0.64301116943359371</v>
      </c>
      <c r="AD645" s="23" t="s">
        <v>1774</v>
      </c>
      <c r="AE645" s="24">
        <v>0.24109589041095891</v>
      </c>
      <c r="AF645" s="25">
        <v>0.15352002666101572</v>
      </c>
      <c r="AG645" s="26">
        <v>0.23805665052996061</v>
      </c>
      <c r="AH645" s="26">
        <v>0</v>
      </c>
      <c r="AI645" s="27">
        <v>0.67930219559248706</v>
      </c>
      <c r="AJ645" s="27">
        <v>0.9527609720670388</v>
      </c>
      <c r="AK645" s="27">
        <v>0.67930219559248706</v>
      </c>
      <c r="AL645" s="28" t="s">
        <v>2292</v>
      </c>
      <c r="AM645" s="29">
        <v>5</v>
      </c>
      <c r="AN645" s="29">
        <v>4</v>
      </c>
      <c r="AO645" s="29" t="s">
        <v>48</v>
      </c>
      <c r="AP645" s="47" t="s">
        <v>249</v>
      </c>
      <c r="AQ645" s="28" t="s">
        <v>2293</v>
      </c>
      <c r="AR645" s="26">
        <v>1.4999999999999999E-2</v>
      </c>
      <c r="AS645" s="26">
        <v>0</v>
      </c>
    </row>
    <row r="646" spans="1:45" x14ac:dyDescent="0.15">
      <c r="A646" s="64">
        <v>94</v>
      </c>
      <c r="B646" s="64">
        <v>801</v>
      </c>
      <c r="C646" s="11">
        <v>2562</v>
      </c>
      <c r="D646" s="61">
        <v>230</v>
      </c>
      <c r="E646" s="61">
        <v>6.0588902784502498E-4</v>
      </c>
      <c r="F646" s="61">
        <v>47</v>
      </c>
      <c r="G646" s="61">
        <v>0.53095433089078503</v>
      </c>
      <c r="H646" s="66">
        <v>160</v>
      </c>
      <c r="I646" s="66" t="str">
        <f>H646&amp;"/"&amp;451</f>
        <v>160/451</v>
      </c>
      <c r="J646" s="68">
        <f>H646/451</f>
        <v>0.35476718403547675</v>
      </c>
      <c r="K646" s="18" t="s">
        <v>44</v>
      </c>
      <c r="L646" s="18" t="s">
        <v>64</v>
      </c>
      <c r="M646" s="58" t="s">
        <v>65</v>
      </c>
      <c r="N646" s="18">
        <f>[1]!f_prt_stocktonav(C646,"2017/03/31")</f>
        <v>76.619064331054687</v>
      </c>
      <c r="O646" s="20" t="str">
        <f>[1]!f_info_fundmanager(C646)</f>
        <v>郭堃,苏昌景</v>
      </c>
      <c r="P646" s="21">
        <v>0.92876712328767119</v>
      </c>
      <c r="Q646" s="34" t="s">
        <v>515</v>
      </c>
      <c r="R646" s="34" t="s">
        <v>516</v>
      </c>
      <c r="S646" s="34" t="s">
        <v>517</v>
      </c>
      <c r="T646" s="34">
        <v>20160426</v>
      </c>
      <c r="U646" s="45">
        <v>4.1836119506999996</v>
      </c>
      <c r="V646" s="46">
        <v>3.4826419780000002</v>
      </c>
      <c r="W646" s="34" t="s">
        <v>3778</v>
      </c>
      <c r="X646" s="34" t="s">
        <v>44</v>
      </c>
      <c r="Y646" s="34" t="s">
        <v>45</v>
      </c>
      <c r="Z646" s="34" t="s">
        <v>65</v>
      </c>
      <c r="AA646" s="34"/>
      <c r="AB646" s="34"/>
      <c r="AC646" s="22">
        <v>0.75078010559082031</v>
      </c>
      <c r="AD646" s="23" t="s">
        <v>518</v>
      </c>
      <c r="AE646" s="24">
        <v>0.69863013698630139</v>
      </c>
      <c r="AF646" s="25">
        <v>0.12194560262857458</v>
      </c>
      <c r="AG646" s="26">
        <v>0</v>
      </c>
      <c r="AH646" s="26">
        <v>0</v>
      </c>
      <c r="AI646" s="27">
        <v>1.2373325151450598</v>
      </c>
      <c r="AJ646" s="27">
        <v>1.2373325151450598</v>
      </c>
      <c r="AK646" s="27">
        <v>1.2373325151450598</v>
      </c>
      <c r="AL646" s="28" t="s">
        <v>519</v>
      </c>
      <c r="AM646" s="29" t="s">
        <v>48</v>
      </c>
      <c r="AN646" s="29" t="s">
        <v>48</v>
      </c>
      <c r="AO646" s="29" t="s">
        <v>48</v>
      </c>
      <c r="AP646" s="47" t="s">
        <v>520</v>
      </c>
      <c r="AQ646" s="28">
        <v>0</v>
      </c>
      <c r="AR646" s="26">
        <v>1.4999999999999999E-2</v>
      </c>
      <c r="AS646" s="26">
        <v>0</v>
      </c>
    </row>
    <row r="647" spans="1:45" x14ac:dyDescent="0.15">
      <c r="A647" s="64">
        <v>882</v>
      </c>
      <c r="B647" s="64">
        <v>452</v>
      </c>
      <c r="C647" s="11">
        <v>163402</v>
      </c>
      <c r="D647" s="61">
        <v>231</v>
      </c>
      <c r="E647" s="61">
        <v>6.0423666358951696E-4</v>
      </c>
      <c r="F647" s="61">
        <v>179</v>
      </c>
      <c r="G647" s="61">
        <v>0.42990040236147697</v>
      </c>
      <c r="H647" s="66">
        <v>161</v>
      </c>
      <c r="I647" s="66" t="str">
        <f>H647&amp;"/"&amp;451</f>
        <v>161/451</v>
      </c>
      <c r="J647" s="68">
        <f>H647/451</f>
        <v>0.35698447893569846</v>
      </c>
      <c r="K647" s="18" t="s">
        <v>44</v>
      </c>
      <c r="L647" s="18" t="s">
        <v>45</v>
      </c>
      <c r="M647" s="58" t="s">
        <v>65</v>
      </c>
      <c r="N647" s="18">
        <f>[1]!f_prt_stocktonav(C647,"2017/03/31")</f>
        <v>86.21929931640625</v>
      </c>
      <c r="O647" s="20" t="str">
        <f>[1]!f_info_fundmanager(C647)</f>
        <v>董承非,邹欣</v>
      </c>
      <c r="P647" s="21">
        <v>3.4246575342465753</v>
      </c>
      <c r="Q647" s="34" t="s">
        <v>3425</v>
      </c>
      <c r="R647" s="34" t="s">
        <v>3426</v>
      </c>
      <c r="S647" s="34" t="s">
        <v>2217</v>
      </c>
      <c r="T647" s="34">
        <v>20051103</v>
      </c>
      <c r="U647" s="45">
        <v>69.238483624099999</v>
      </c>
      <c r="V647" s="46">
        <v>70.644358054700007</v>
      </c>
      <c r="W647" s="34" t="s">
        <v>231</v>
      </c>
      <c r="X647" s="34" t="s">
        <v>44</v>
      </c>
      <c r="Y647" s="34" t="s">
        <v>45</v>
      </c>
      <c r="Z647" s="34" t="s">
        <v>65</v>
      </c>
      <c r="AA647" s="34"/>
      <c r="AB647" s="34"/>
      <c r="AC647" s="22">
        <v>0.79116271972656249</v>
      </c>
      <c r="AD647" s="23" t="s">
        <v>3427</v>
      </c>
      <c r="AE647" s="24">
        <v>3.1945205479452055</v>
      </c>
      <c r="AF647" s="25">
        <v>0.24632835417427135</v>
      </c>
      <c r="AG647" s="26">
        <v>0.24220255689518111</v>
      </c>
      <c r="AH647" s="26">
        <v>0.16902474058183947</v>
      </c>
      <c r="AI647" s="27">
        <v>1.125750819156355</v>
      </c>
      <c r="AJ647" s="27">
        <v>1.1867449381038397</v>
      </c>
      <c r="AK647" s="27">
        <v>0.91131275982969906</v>
      </c>
      <c r="AL647" s="28" t="s">
        <v>2909</v>
      </c>
      <c r="AM647" s="29">
        <v>5</v>
      </c>
      <c r="AN647" s="29">
        <v>5</v>
      </c>
      <c r="AO647" s="29" t="s">
        <v>48</v>
      </c>
      <c r="AP647" s="47" t="s">
        <v>3428</v>
      </c>
      <c r="AQ647" s="28" t="s">
        <v>3429</v>
      </c>
      <c r="AR647" s="26">
        <v>1.4999999999999999E-2</v>
      </c>
      <c r="AS647" s="26">
        <v>0</v>
      </c>
    </row>
    <row r="648" spans="1:45" x14ac:dyDescent="0.15">
      <c r="A648" s="64">
        <v>584</v>
      </c>
      <c r="B648" s="64">
        <v>216</v>
      </c>
      <c r="C648" s="11">
        <v>260116</v>
      </c>
      <c r="D648" s="61">
        <v>236</v>
      </c>
      <c r="E648" s="61">
        <v>5.4577341660429202E-4</v>
      </c>
      <c r="F648" s="61">
        <v>270</v>
      </c>
      <c r="G648" s="61">
        <v>0.55923661643116696</v>
      </c>
      <c r="H648" s="66">
        <v>162</v>
      </c>
      <c r="I648" s="66" t="str">
        <f>H648&amp;"/"&amp;451</f>
        <v>162/451</v>
      </c>
      <c r="J648" s="68">
        <f>H648/451</f>
        <v>0.35920177383592017</v>
      </c>
      <c r="K648" s="18" t="s">
        <v>44</v>
      </c>
      <c r="L648" s="18" t="s">
        <v>45</v>
      </c>
      <c r="M648" s="58" t="s">
        <v>65</v>
      </c>
      <c r="N648" s="18">
        <f>[1]!f_prt_stocktonav(C648,"2017/03/31")</f>
        <v>91.48992919921875</v>
      </c>
      <c r="O648" s="20" t="str">
        <f>[1]!f_info_fundmanager(C648)</f>
        <v>余广</v>
      </c>
      <c r="P648" s="21">
        <v>5.2821917808219174</v>
      </c>
      <c r="Q648" s="34" t="s">
        <v>2401</v>
      </c>
      <c r="R648" s="34" t="s">
        <v>2402</v>
      </c>
      <c r="S648" s="34" t="s">
        <v>353</v>
      </c>
      <c r="T648" s="34">
        <v>20111220</v>
      </c>
      <c r="U648" s="45">
        <v>16.585838007900001</v>
      </c>
      <c r="V648" s="46">
        <v>22.101374744600001</v>
      </c>
      <c r="W648" s="34" t="s">
        <v>1235</v>
      </c>
      <c r="X648" s="34" t="s">
        <v>44</v>
      </c>
      <c r="Y648" s="34" t="s">
        <v>45</v>
      </c>
      <c r="Z648" s="34" t="s">
        <v>65</v>
      </c>
      <c r="AA648" s="34"/>
      <c r="AB648" s="34"/>
      <c r="AC648" s="22">
        <v>0.92109107971191406</v>
      </c>
      <c r="AD648" s="23" t="s">
        <v>2403</v>
      </c>
      <c r="AE648" s="24">
        <v>5.0520547945205481</v>
      </c>
      <c r="AF648" s="25">
        <v>0.1969237649397455</v>
      </c>
      <c r="AG648" s="26">
        <v>0.15692762079073841</v>
      </c>
      <c r="AH648" s="26">
        <v>0.19833581865472616</v>
      </c>
      <c r="AI648" s="27">
        <v>0.76951491524109294</v>
      </c>
      <c r="AJ648" s="27">
        <v>0.60269945033903272</v>
      </c>
      <c r="AK648" s="27">
        <v>0.77044530231321096</v>
      </c>
      <c r="AL648" s="28" t="s">
        <v>957</v>
      </c>
      <c r="AM648" s="29">
        <v>3</v>
      </c>
      <c r="AN648" s="29">
        <v>2</v>
      </c>
      <c r="AO648" s="29" t="s">
        <v>48</v>
      </c>
      <c r="AP648" s="47" t="s">
        <v>2404</v>
      </c>
      <c r="AQ648" s="28">
        <v>0</v>
      </c>
      <c r="AR648" s="26">
        <v>1.4999999999999999E-2</v>
      </c>
      <c r="AS648" s="26">
        <v>0</v>
      </c>
    </row>
    <row r="649" spans="1:45" x14ac:dyDescent="0.15">
      <c r="A649" s="64">
        <v>942</v>
      </c>
      <c r="B649" s="64">
        <v>900</v>
      </c>
      <c r="C649" s="11">
        <v>50001</v>
      </c>
      <c r="D649" s="61">
        <v>237</v>
      </c>
      <c r="E649" s="61">
        <v>5.3777611872715995E-4</v>
      </c>
      <c r="F649" s="61">
        <v>23</v>
      </c>
      <c r="G649" s="61">
        <v>0.77109357852396099</v>
      </c>
      <c r="H649" s="66">
        <v>163</v>
      </c>
      <c r="I649" s="66" t="str">
        <f>H649&amp;"/"&amp;451</f>
        <v>163/451</v>
      </c>
      <c r="J649" s="68">
        <f>H649/451</f>
        <v>0.36141906873614188</v>
      </c>
      <c r="K649" s="18" t="s">
        <v>44</v>
      </c>
      <c r="L649" s="18" t="s">
        <v>45</v>
      </c>
      <c r="M649" s="58" t="s">
        <v>65</v>
      </c>
      <c r="N649" s="18">
        <f>[1]!f_prt_stocktonav(C649,"2017/03/31")</f>
        <v>72.582138061523438</v>
      </c>
      <c r="O649" s="20" t="str">
        <f>[1]!f_info_fundmanager(C649)</f>
        <v>周志超</v>
      </c>
      <c r="P649" s="21">
        <v>0.43287671232876712</v>
      </c>
      <c r="Q649" s="34" t="s">
        <v>3660</v>
      </c>
      <c r="R649" s="34" t="s">
        <v>3661</v>
      </c>
      <c r="S649" s="34" t="s">
        <v>413</v>
      </c>
      <c r="T649" s="34">
        <v>20021009</v>
      </c>
      <c r="U649" s="45">
        <v>48.522579173899999</v>
      </c>
      <c r="V649" s="46">
        <v>50.835665536199997</v>
      </c>
      <c r="W649" s="34" t="s">
        <v>231</v>
      </c>
      <c r="X649" s="34" t="s">
        <v>44</v>
      </c>
      <c r="Y649" s="34" t="s">
        <v>45</v>
      </c>
      <c r="Z649" s="34" t="s">
        <v>65</v>
      </c>
      <c r="AA649" s="34"/>
      <c r="AB649" s="34"/>
      <c r="AC649" s="22">
        <v>0.71322738647460937</v>
      </c>
      <c r="AD649" s="23" t="s">
        <v>3298</v>
      </c>
      <c r="AE649" s="24">
        <v>0.20273972602739726</v>
      </c>
      <c r="AF649" s="25">
        <v>0.10831847259112815</v>
      </c>
      <c r="AG649" s="26">
        <v>5.9174417715832872E-2</v>
      </c>
      <c r="AH649" s="26">
        <v>2.3614652792002921E-2</v>
      </c>
      <c r="AI649" s="27">
        <v>0.54512284010197731</v>
      </c>
      <c r="AJ649" s="27">
        <v>0.32537459003542996</v>
      </c>
      <c r="AK649" s="27">
        <v>0.13876926937409689</v>
      </c>
      <c r="AL649" s="28" t="s">
        <v>1659</v>
      </c>
      <c r="AM649" s="29">
        <v>1</v>
      </c>
      <c r="AN649" s="29">
        <v>2</v>
      </c>
      <c r="AO649" s="29" t="s">
        <v>48</v>
      </c>
      <c r="AP649" s="47" t="s">
        <v>3662</v>
      </c>
      <c r="AQ649" s="28" t="s">
        <v>3663</v>
      </c>
      <c r="AR649" s="26">
        <v>1.4999999999999999E-2</v>
      </c>
      <c r="AS649" s="26">
        <v>0</v>
      </c>
    </row>
    <row r="650" spans="1:45" x14ac:dyDescent="0.15">
      <c r="A650" s="64">
        <v>224</v>
      </c>
      <c r="B650" s="64">
        <v>879</v>
      </c>
      <c r="C650" s="11">
        <v>1449</v>
      </c>
      <c r="D650" s="61">
        <v>239</v>
      </c>
      <c r="E650" s="61">
        <v>5.08897046459894E-4</v>
      </c>
      <c r="F650" s="61">
        <v>88</v>
      </c>
      <c r="G650" s="61">
        <v>0.75842818720282701</v>
      </c>
      <c r="H650" s="66">
        <v>164</v>
      </c>
      <c r="I650" s="66" t="str">
        <f>H650&amp;"/"&amp;451</f>
        <v>164/451</v>
      </c>
      <c r="J650" s="68">
        <f>H650/451</f>
        <v>0.36363636363636365</v>
      </c>
      <c r="K650" s="18" t="s">
        <v>44</v>
      </c>
      <c r="L650" s="18" t="s">
        <v>45</v>
      </c>
      <c r="M650" s="58" t="s">
        <v>65</v>
      </c>
      <c r="N650" s="18">
        <f>[1]!f_prt_stocktonav(C650,"2017/03/31")</f>
        <v>73.580879211425781</v>
      </c>
      <c r="O650" s="20" t="str">
        <f>[1]!f_info_fundmanager(C650)</f>
        <v>李双全</v>
      </c>
      <c r="P650" s="21">
        <v>1.7315068493150685</v>
      </c>
      <c r="Q650" s="34" t="s">
        <v>1045</v>
      </c>
      <c r="R650" s="34" t="s">
        <v>1046</v>
      </c>
      <c r="S650" s="34" t="s">
        <v>387</v>
      </c>
      <c r="T650" s="34">
        <v>20150708</v>
      </c>
      <c r="U650" s="45">
        <v>10.3711749201</v>
      </c>
      <c r="V650" s="46">
        <v>5.6429823750999999</v>
      </c>
      <c r="W650" s="34" t="s">
        <v>201</v>
      </c>
      <c r="X650" s="34" t="s">
        <v>44</v>
      </c>
      <c r="Y650" s="17" t="s">
        <v>45</v>
      </c>
      <c r="Z650" s="17" t="s">
        <v>65</v>
      </c>
      <c r="AA650" s="34"/>
      <c r="AB650" s="34"/>
      <c r="AC650" s="22">
        <v>0.79015007019042971</v>
      </c>
      <c r="AD650" s="23" t="s">
        <v>1047</v>
      </c>
      <c r="AE650" s="24">
        <v>1.5013698630136987</v>
      </c>
      <c r="AF650" s="25">
        <v>0.17553442310377254</v>
      </c>
      <c r="AG650" s="26">
        <v>0</v>
      </c>
      <c r="AH650" s="26">
        <v>0</v>
      </c>
      <c r="AI650" s="27">
        <v>0.69858017762619773</v>
      </c>
      <c r="AJ650" s="27">
        <v>0.69858017762619773</v>
      </c>
      <c r="AK650" s="27">
        <v>0.69858017762619773</v>
      </c>
      <c r="AL650" s="28" t="s">
        <v>1048</v>
      </c>
      <c r="AM650" s="29" t="s">
        <v>48</v>
      </c>
      <c r="AN650" s="29" t="s">
        <v>48</v>
      </c>
      <c r="AO650" s="29" t="s">
        <v>48</v>
      </c>
      <c r="AP650" s="47" t="s">
        <v>1049</v>
      </c>
      <c r="AQ650" s="28">
        <v>0</v>
      </c>
      <c r="AR650" s="26">
        <v>1.4999999999999999E-2</v>
      </c>
      <c r="AS650" s="26">
        <v>0</v>
      </c>
    </row>
    <row r="651" spans="1:45" x14ac:dyDescent="0.15">
      <c r="A651" s="64">
        <v>67</v>
      </c>
      <c r="B651" s="64">
        <v>727</v>
      </c>
      <c r="C651" s="11">
        <v>2666</v>
      </c>
      <c r="D651" s="61">
        <v>241</v>
      </c>
      <c r="E651" s="61">
        <v>4.8429561635777101E-4</v>
      </c>
      <c r="F651" s="61">
        <v>39</v>
      </c>
      <c r="G651" s="61">
        <v>0.81035436404863104</v>
      </c>
      <c r="H651" s="66">
        <v>165</v>
      </c>
      <c r="I651" s="66" t="str">
        <f>H651&amp;"/"&amp;451</f>
        <v>165/451</v>
      </c>
      <c r="J651" s="68">
        <f>H651/451</f>
        <v>0.36585365853658536</v>
      </c>
      <c r="K651" s="18" t="s">
        <v>44</v>
      </c>
      <c r="L651" s="18" t="s">
        <v>45</v>
      </c>
      <c r="M651" s="58" t="s">
        <v>65</v>
      </c>
      <c r="N651" s="18">
        <f>[1]!f_prt_stocktonav(C651,"2017/03/31")</f>
        <v>79.229164123535156</v>
      </c>
      <c r="O651" s="20" t="str">
        <f>[1]!f_info_fundmanager(C651)</f>
        <v>倪枫</v>
      </c>
      <c r="P651" s="21">
        <v>0.76712328767123283</v>
      </c>
      <c r="Q651" s="34" t="s">
        <v>391</v>
      </c>
      <c r="R651" s="34" t="s">
        <v>392</v>
      </c>
      <c r="S651" s="34" t="s">
        <v>78</v>
      </c>
      <c r="T651" s="34">
        <v>20160624</v>
      </c>
      <c r="U651" s="45">
        <v>0.86890817809999998</v>
      </c>
      <c r="V651" s="46">
        <v>1.2941701818</v>
      </c>
      <c r="W651" s="34" t="s">
        <v>3776</v>
      </c>
      <c r="X651" s="34" t="s">
        <v>44</v>
      </c>
      <c r="Y651" s="34" t="s">
        <v>45</v>
      </c>
      <c r="Z651" s="34" t="s">
        <v>65</v>
      </c>
      <c r="AA651" s="34"/>
      <c r="AB651" s="34"/>
      <c r="AC651" s="22">
        <v>0.92838546752929685</v>
      </c>
      <c r="AD651" s="23" t="s">
        <v>393</v>
      </c>
      <c r="AE651" s="24">
        <v>0.53698630136986303</v>
      </c>
      <c r="AF651" s="25">
        <v>1.9118651916922857E-3</v>
      </c>
      <c r="AG651" s="26">
        <v>0</v>
      </c>
      <c r="AH651" s="26">
        <v>0</v>
      </c>
      <c r="AI651" s="27">
        <v>-0.12771769712821751</v>
      </c>
      <c r="AJ651" s="27">
        <v>-0.12771769712821751</v>
      </c>
      <c r="AK651" s="27">
        <v>-0.12771769712821751</v>
      </c>
      <c r="AL651" s="28" t="s">
        <v>196</v>
      </c>
      <c r="AM651" s="29" t="s">
        <v>48</v>
      </c>
      <c r="AN651" s="29" t="s">
        <v>48</v>
      </c>
      <c r="AO651" s="29" t="s">
        <v>48</v>
      </c>
      <c r="AP651" s="47" t="s">
        <v>270</v>
      </c>
      <c r="AQ651" s="28">
        <v>0</v>
      </c>
      <c r="AR651" s="26">
        <v>1.4999999999999999E-2</v>
      </c>
      <c r="AS651" s="26">
        <v>0</v>
      </c>
    </row>
    <row r="652" spans="1:45" x14ac:dyDescent="0.15">
      <c r="A652" s="64">
        <v>174</v>
      </c>
      <c r="B652" s="64">
        <v>133</v>
      </c>
      <c r="C652" s="11">
        <v>1574</v>
      </c>
      <c r="D652" s="61">
        <v>242</v>
      </c>
      <c r="E652" s="61">
        <v>4.82815986674785E-4</v>
      </c>
      <c r="F652" s="61">
        <v>70</v>
      </c>
      <c r="G652" s="61">
        <v>0.89725989491341795</v>
      </c>
      <c r="H652" s="66">
        <v>166</v>
      </c>
      <c r="I652" s="66" t="str">
        <f>H652&amp;"/"&amp;451</f>
        <v>166/451</v>
      </c>
      <c r="J652" s="68">
        <f>H652/451</f>
        <v>0.36807095343680707</v>
      </c>
      <c r="K652" s="18" t="s">
        <v>44</v>
      </c>
      <c r="L652" s="18" t="s">
        <v>87</v>
      </c>
      <c r="M652" s="58" t="s">
        <v>65</v>
      </c>
      <c r="N652" s="18">
        <f>[1]!f_prt_stocktonav(C652,"2017/03/31")</f>
        <v>93.039825439453125</v>
      </c>
      <c r="O652" s="20" t="str">
        <f>[1]!f_info_fundmanager(C652)</f>
        <v>邱红丽</v>
      </c>
      <c r="P652" s="21">
        <v>1.3863013698630138</v>
      </c>
      <c r="Q652" s="34" t="s">
        <v>859</v>
      </c>
      <c r="R652" s="34" t="s">
        <v>860</v>
      </c>
      <c r="S652" s="34" t="s">
        <v>505</v>
      </c>
      <c r="T652" s="34">
        <v>20151111</v>
      </c>
      <c r="U652" s="45">
        <v>0.77448239890000004</v>
      </c>
      <c r="V652" s="46">
        <v>0.90800891989999999</v>
      </c>
      <c r="W652" s="34" t="s">
        <v>3789</v>
      </c>
      <c r="X652" s="34" t="s">
        <v>44</v>
      </c>
      <c r="Y652" s="34" t="s">
        <v>87</v>
      </c>
      <c r="Z652" s="34" t="s">
        <v>65</v>
      </c>
      <c r="AA652" s="34" t="s">
        <v>3793</v>
      </c>
      <c r="AB652" s="34"/>
      <c r="AC652" s="22">
        <v>0.79998512268066402</v>
      </c>
      <c r="AD652" s="23" t="s">
        <v>862</v>
      </c>
      <c r="AE652" s="24">
        <v>1.1561643835616437</v>
      </c>
      <c r="AF652" s="25">
        <v>-0.19274694769001122</v>
      </c>
      <c r="AG652" s="26">
        <v>0</v>
      </c>
      <c r="AH652" s="26">
        <v>0</v>
      </c>
      <c r="AI652" s="27">
        <v>-0.72466134872911792</v>
      </c>
      <c r="AJ652" s="27">
        <v>-0.72466134872911792</v>
      </c>
      <c r="AK652" s="27">
        <v>-0.72466134872911792</v>
      </c>
      <c r="AL652" s="33" t="s">
        <v>720</v>
      </c>
      <c r="AM652" s="29" t="s">
        <v>48</v>
      </c>
      <c r="AN652" s="29" t="s">
        <v>48</v>
      </c>
      <c r="AO652" s="29" t="s">
        <v>48</v>
      </c>
      <c r="AP652" s="47" t="s">
        <v>863</v>
      </c>
      <c r="AQ652" s="28">
        <v>0</v>
      </c>
      <c r="AR652" s="26">
        <v>1.4999999999999999E-2</v>
      </c>
      <c r="AS652" s="26">
        <v>0</v>
      </c>
    </row>
    <row r="653" spans="1:45" x14ac:dyDescent="0.15">
      <c r="A653" s="64">
        <v>747</v>
      </c>
      <c r="B653" s="64">
        <v>925</v>
      </c>
      <c r="C653" s="11">
        <v>90007</v>
      </c>
      <c r="D653" s="61">
        <v>246</v>
      </c>
      <c r="E653" s="61">
        <v>4.3140483734747898E-4</v>
      </c>
      <c r="F653" s="61">
        <v>230</v>
      </c>
      <c r="G653" s="61">
        <v>0.62623722361998901</v>
      </c>
      <c r="H653" s="66">
        <v>167</v>
      </c>
      <c r="I653" s="66" t="str">
        <f>H653&amp;"/"&amp;451</f>
        <v>167/451</v>
      </c>
      <c r="J653" s="68">
        <f>H653/451</f>
        <v>0.37028824833702884</v>
      </c>
      <c r="K653" s="18" t="s">
        <v>44</v>
      </c>
      <c r="L653" s="18" t="s">
        <v>45</v>
      </c>
      <c r="M653" s="58" t="s">
        <v>65</v>
      </c>
      <c r="N653" s="18">
        <f>[1]!f_prt_stocktonav(C653,"2017/03/31")</f>
        <v>71.318557739257813</v>
      </c>
      <c r="O653" s="20" t="str">
        <f>[1]!f_info_fundmanager(C653)</f>
        <v>徐彦</v>
      </c>
      <c r="P653" s="21">
        <v>4.4164383561643836</v>
      </c>
      <c r="Q653" s="34" t="s">
        <v>2944</v>
      </c>
      <c r="R653" s="34" t="s">
        <v>2945</v>
      </c>
      <c r="S653" s="34" t="s">
        <v>486</v>
      </c>
      <c r="T653" s="34">
        <v>20081126</v>
      </c>
      <c r="U653" s="45">
        <v>9.8936645515000006</v>
      </c>
      <c r="V653" s="46">
        <v>6.7322599396999996</v>
      </c>
      <c r="W653" s="34" t="s">
        <v>231</v>
      </c>
      <c r="X653" s="34" t="s">
        <v>44</v>
      </c>
      <c r="Y653" s="34" t="s">
        <v>45</v>
      </c>
      <c r="Z653" s="34" t="s">
        <v>65</v>
      </c>
      <c r="AA653" s="34"/>
      <c r="AB653" s="34"/>
      <c r="AC653" s="22">
        <v>0.70305107116699217</v>
      </c>
      <c r="AD653" s="23" t="s">
        <v>2549</v>
      </c>
      <c r="AE653" s="24">
        <v>4.1863013698630134</v>
      </c>
      <c r="AF653" s="25">
        <v>0.17721410332817666</v>
      </c>
      <c r="AG653" s="26">
        <v>0.23525212987976515</v>
      </c>
      <c r="AH653" s="26">
        <v>0.19015110029306026</v>
      </c>
      <c r="AI653" s="27">
        <v>0.77424521936667334</v>
      </c>
      <c r="AJ653" s="27">
        <v>0.90275750556967405</v>
      </c>
      <c r="AK653" s="27">
        <v>0.81323606628723766</v>
      </c>
      <c r="AL653" s="28" t="s">
        <v>1707</v>
      </c>
      <c r="AM653" s="29">
        <v>5</v>
      </c>
      <c r="AN653" s="29">
        <v>4</v>
      </c>
      <c r="AO653" s="29" t="s">
        <v>48</v>
      </c>
      <c r="AP653" s="47" t="s">
        <v>1002</v>
      </c>
      <c r="AQ653" s="28">
        <v>0</v>
      </c>
      <c r="AR653" s="26">
        <v>1.4999999999999999E-2</v>
      </c>
      <c r="AS653" s="26">
        <v>0</v>
      </c>
    </row>
    <row r="654" spans="1:45" x14ac:dyDescent="0.15">
      <c r="A654" s="64">
        <v>821</v>
      </c>
      <c r="B654" s="64">
        <v>962</v>
      </c>
      <c r="C654" s="11">
        <v>162006</v>
      </c>
      <c r="D654" s="61">
        <v>247</v>
      </c>
      <c r="E654" s="61">
        <v>4.2715185575415598E-4</v>
      </c>
      <c r="F654" s="61">
        <v>30</v>
      </c>
      <c r="G654" s="61">
        <v>0.80368237693673805</v>
      </c>
      <c r="H654" s="66">
        <v>168</v>
      </c>
      <c r="I654" s="66" t="str">
        <f>H654&amp;"/"&amp;451</f>
        <v>168/451</v>
      </c>
      <c r="J654" s="68">
        <f>H654/451</f>
        <v>0.37250554323725055</v>
      </c>
      <c r="K654" s="18" t="s">
        <v>44</v>
      </c>
      <c r="L654" s="18" t="s">
        <v>45</v>
      </c>
      <c r="M654" s="58" t="s">
        <v>65</v>
      </c>
      <c r="N654" s="18">
        <f>[1]!f_prt_stocktonav(C654,"2017/03/31")</f>
        <v>70.073188781738281</v>
      </c>
      <c r="O654" s="20" t="str">
        <f>[1]!f_info_fundmanager(C654)</f>
        <v>何以广</v>
      </c>
      <c r="P654" s="21">
        <v>0.56438356164383563</v>
      </c>
      <c r="Q654" s="34" t="s">
        <v>3196</v>
      </c>
      <c r="R654" s="34" t="s">
        <v>3197</v>
      </c>
      <c r="S654" s="34" t="s">
        <v>1172</v>
      </c>
      <c r="T654" s="34">
        <v>20070212</v>
      </c>
      <c r="U654" s="45">
        <v>9.2603016461000003</v>
      </c>
      <c r="V654" s="46">
        <v>9.7799365714000004</v>
      </c>
      <c r="W654" s="34" t="s">
        <v>231</v>
      </c>
      <c r="X654" s="34" t="s">
        <v>44</v>
      </c>
      <c r="Y654" s="34" t="s">
        <v>45</v>
      </c>
      <c r="Z654" s="34" t="s">
        <v>65</v>
      </c>
      <c r="AA654" s="34"/>
      <c r="AB654" s="34"/>
      <c r="AC654" s="22">
        <v>0.77442764282226562</v>
      </c>
      <c r="AD654" s="23" t="s">
        <v>2577</v>
      </c>
      <c r="AE654" s="24">
        <v>0.33424657534246577</v>
      </c>
      <c r="AF654" s="25">
        <v>4.6163921954850196E-2</v>
      </c>
      <c r="AG654" s="26">
        <v>5.8963653491467927E-2</v>
      </c>
      <c r="AH654" s="26">
        <v>6.6315560353064074E-2</v>
      </c>
      <c r="AI654" s="27">
        <v>0.22810222561043131</v>
      </c>
      <c r="AJ654" s="27">
        <v>0.2929306060391777</v>
      </c>
      <c r="AK654" s="27">
        <v>0.3195790265305492</v>
      </c>
      <c r="AL654" s="28" t="s">
        <v>2966</v>
      </c>
      <c r="AM654" s="29">
        <v>1</v>
      </c>
      <c r="AN654" s="29">
        <v>3</v>
      </c>
      <c r="AO654" s="29" t="s">
        <v>48</v>
      </c>
      <c r="AP654" s="47" t="s">
        <v>3198</v>
      </c>
      <c r="AQ654" s="28">
        <v>0</v>
      </c>
      <c r="AR654" s="26">
        <v>1.4999999999999999E-2</v>
      </c>
      <c r="AS654" s="26">
        <v>0</v>
      </c>
    </row>
    <row r="655" spans="1:45" x14ac:dyDescent="0.15">
      <c r="A655" s="64">
        <v>625</v>
      </c>
      <c r="B655" s="64">
        <v>122</v>
      </c>
      <c r="C655" s="11">
        <v>165310</v>
      </c>
      <c r="D655" s="61">
        <v>248</v>
      </c>
      <c r="E655" s="61">
        <v>4.1418234452685298E-4</v>
      </c>
      <c r="F655" s="61">
        <v>105</v>
      </c>
      <c r="G655" s="61">
        <v>0.61324915587720097</v>
      </c>
      <c r="H655" s="66">
        <v>169</v>
      </c>
      <c r="I655" s="66" t="str">
        <f>H655&amp;"/"&amp;451</f>
        <v>169/451</v>
      </c>
      <c r="J655" s="68">
        <f>H655/451</f>
        <v>0.37472283813747226</v>
      </c>
      <c r="K655" s="18" t="s">
        <v>44</v>
      </c>
      <c r="L655" s="18" t="s">
        <v>87</v>
      </c>
      <c r="M655" s="58" t="s">
        <v>65</v>
      </c>
      <c r="N655" s="18">
        <f>[1]!f_prt_stocktonav(C655,"2017/03/31")</f>
        <v>93.201148986816406</v>
      </c>
      <c r="O655" s="20" t="str">
        <f>[1]!f_info_fundmanager(C655)</f>
        <v>梁洪昀</v>
      </c>
      <c r="P655" s="21">
        <v>2.0191780821917806</v>
      </c>
      <c r="Q655" s="34" t="s">
        <v>2534</v>
      </c>
      <c r="R655" s="34" t="s">
        <v>2535</v>
      </c>
      <c r="S655" s="34" t="s">
        <v>307</v>
      </c>
      <c r="T655" s="34">
        <v>20110506</v>
      </c>
      <c r="U655" s="45">
        <v>1.3670670342</v>
      </c>
      <c r="V655" s="46">
        <v>1.4394832098999999</v>
      </c>
      <c r="W655" s="34" t="s">
        <v>3776</v>
      </c>
      <c r="X655" s="34" t="s">
        <v>44</v>
      </c>
      <c r="Y655" s="34" t="s">
        <v>45</v>
      </c>
      <c r="Z655" s="34" t="s">
        <v>65</v>
      </c>
      <c r="AA655" s="34"/>
      <c r="AB655" s="34" t="s">
        <v>3835</v>
      </c>
      <c r="AC655" s="22">
        <v>0.93081863403320309</v>
      </c>
      <c r="AD655" s="23" t="s">
        <v>2536</v>
      </c>
      <c r="AE655" s="24">
        <v>1.789041095890411</v>
      </c>
      <c r="AF655" s="25">
        <v>7.1210073751272196E-2</v>
      </c>
      <c r="AG655" s="26">
        <v>0.11607599412189584</v>
      </c>
      <c r="AH655" s="26">
        <v>0.11805911503976298</v>
      </c>
      <c r="AI655" s="27">
        <v>0.35101186561378439</v>
      </c>
      <c r="AJ655" s="27">
        <v>0.50305555740841823</v>
      </c>
      <c r="AK655" s="27">
        <v>0.52730165917021132</v>
      </c>
      <c r="AL655" s="28" t="s">
        <v>2537</v>
      </c>
      <c r="AM655" s="29">
        <v>3</v>
      </c>
      <c r="AN655" s="29">
        <v>4</v>
      </c>
      <c r="AO655" s="29" t="s">
        <v>48</v>
      </c>
      <c r="AP655" s="47" t="s">
        <v>209</v>
      </c>
      <c r="AQ655" s="28">
        <v>0</v>
      </c>
      <c r="AR655" s="26">
        <v>1.4999999999999999E-2</v>
      </c>
      <c r="AS655" s="26">
        <v>0</v>
      </c>
    </row>
    <row r="656" spans="1:45" x14ac:dyDescent="0.15">
      <c r="A656" s="64">
        <v>533</v>
      </c>
      <c r="B656" s="64">
        <v>181</v>
      </c>
      <c r="C656" s="11">
        <v>163415</v>
      </c>
      <c r="D656" s="61">
        <v>249</v>
      </c>
      <c r="E656" s="61">
        <v>4.0304723617940602E-4</v>
      </c>
      <c r="F656" s="61">
        <v>220</v>
      </c>
      <c r="G656" s="61">
        <v>0.70180002396617303</v>
      </c>
      <c r="H656" s="66">
        <v>170</v>
      </c>
      <c r="I656" s="66" t="str">
        <f>H656&amp;"/"&amp;451</f>
        <v>170/451</v>
      </c>
      <c r="J656" s="68">
        <f>H656/451</f>
        <v>0.37694013303769403</v>
      </c>
      <c r="K656" s="18" t="s">
        <v>44</v>
      </c>
      <c r="L656" s="18" t="s">
        <v>45</v>
      </c>
      <c r="M656" s="58" t="s">
        <v>65</v>
      </c>
      <c r="N656" s="18">
        <f>[1]!f_prt_stocktonav(C656,"2017/03/31")</f>
        <v>92.078277587890625</v>
      </c>
      <c r="O656" s="20" t="str">
        <f>[1]!f_info_fundmanager(C656)</f>
        <v>吴圣涛</v>
      </c>
      <c r="P656" s="21">
        <v>4.2849315068493148</v>
      </c>
      <c r="Q656" s="34" t="s">
        <v>2215</v>
      </c>
      <c r="R656" s="34" t="s">
        <v>2216</v>
      </c>
      <c r="S656" s="34" t="s">
        <v>2217</v>
      </c>
      <c r="T656" s="34">
        <v>20121218</v>
      </c>
      <c r="U656" s="45">
        <v>24.8584336953</v>
      </c>
      <c r="V656" s="46">
        <v>17.531833923899999</v>
      </c>
      <c r="W656" s="34" t="s">
        <v>3776</v>
      </c>
      <c r="X656" s="34" t="s">
        <v>44</v>
      </c>
      <c r="Y656" s="34" t="s">
        <v>45</v>
      </c>
      <c r="Z656" s="34" t="s">
        <v>65</v>
      </c>
      <c r="AA656" s="34"/>
      <c r="AB656" s="34"/>
      <c r="AC656" s="22">
        <v>0.88410697937011717</v>
      </c>
      <c r="AD656" s="23" t="s">
        <v>2218</v>
      </c>
      <c r="AE656" s="24">
        <v>4.0547945205479454</v>
      </c>
      <c r="AF656" s="25">
        <v>0.23659897896903678</v>
      </c>
      <c r="AG656" s="26">
        <v>0.31262443531640538</v>
      </c>
      <c r="AH656" s="26">
        <v>0</v>
      </c>
      <c r="AI656" s="27">
        <v>0.91162191222926847</v>
      </c>
      <c r="AJ656" s="27">
        <v>1.0991431923857746</v>
      </c>
      <c r="AK656" s="27">
        <v>0.91162191222926847</v>
      </c>
      <c r="AL656" s="28" t="s">
        <v>2219</v>
      </c>
      <c r="AM656" s="29" t="s">
        <v>48</v>
      </c>
      <c r="AN656" s="29">
        <v>4</v>
      </c>
      <c r="AO656" s="29" t="s">
        <v>48</v>
      </c>
      <c r="AP656" s="47" t="s">
        <v>2220</v>
      </c>
      <c r="AQ656" s="28" t="s">
        <v>2221</v>
      </c>
      <c r="AR656" s="26">
        <v>1.4999999999999999E-2</v>
      </c>
      <c r="AS656" s="26">
        <v>0</v>
      </c>
    </row>
    <row r="657" spans="1:45" x14ac:dyDescent="0.15">
      <c r="A657" s="64">
        <v>587</v>
      </c>
      <c r="B657" s="64">
        <v>805</v>
      </c>
      <c r="C657" s="11">
        <v>720001</v>
      </c>
      <c r="D657" s="61">
        <v>251</v>
      </c>
      <c r="E657" s="61">
        <v>3.9302546270495001E-4</v>
      </c>
      <c r="F657" s="61">
        <v>123</v>
      </c>
      <c r="G657" s="61">
        <v>0.87900770298973796</v>
      </c>
      <c r="H657" s="66">
        <v>171</v>
      </c>
      <c r="I657" s="66" t="str">
        <f>H657&amp;"/"&amp;451</f>
        <v>171/451</v>
      </c>
      <c r="J657" s="68">
        <f>H657/451</f>
        <v>0.37915742793791574</v>
      </c>
      <c r="K657" s="18" t="s">
        <v>44</v>
      </c>
      <c r="L657" s="18" t="s">
        <v>45</v>
      </c>
      <c r="M657" s="58" t="s">
        <v>65</v>
      </c>
      <c r="N657" s="18">
        <f>[1]!f_prt_stocktonav(C657,"2017/03/31")</f>
        <v>76.446479797363281</v>
      </c>
      <c r="O657" s="20" t="str">
        <f>[1]!f_info_fundmanager(C657)</f>
        <v>金梓才</v>
      </c>
      <c r="P657" s="21">
        <v>2.3643835616438356</v>
      </c>
      <c r="Q657" s="34" t="s">
        <v>2410</v>
      </c>
      <c r="R657" s="34" t="s">
        <v>2411</v>
      </c>
      <c r="S657" s="34" t="s">
        <v>238</v>
      </c>
      <c r="T657" s="34">
        <v>20111201</v>
      </c>
      <c r="U657" s="45">
        <v>7.1739501394999996</v>
      </c>
      <c r="V657" s="46">
        <v>7.9664130918999998</v>
      </c>
      <c r="W657" s="34" t="s">
        <v>3789</v>
      </c>
      <c r="X657" s="34" t="s">
        <v>44</v>
      </c>
      <c r="Y657" s="34" t="s">
        <v>45</v>
      </c>
      <c r="Z657" s="34" t="s">
        <v>65</v>
      </c>
      <c r="AA657" s="34"/>
      <c r="AB657" s="34"/>
      <c r="AC657" s="22">
        <v>0.71144729614257818</v>
      </c>
      <c r="AD657" s="23" t="s">
        <v>1077</v>
      </c>
      <c r="AE657" s="24">
        <v>2.1342465753424658</v>
      </c>
      <c r="AF657" s="25">
        <v>0.15154458618283129</v>
      </c>
      <c r="AG657" s="26">
        <v>0.22239215040407667</v>
      </c>
      <c r="AH657" s="26">
        <v>0.15448647197287935</v>
      </c>
      <c r="AI657" s="27">
        <v>0.60920601028430554</v>
      </c>
      <c r="AJ657" s="27">
        <v>0.74852216520360793</v>
      </c>
      <c r="AK657" s="27">
        <v>0.61473272827867576</v>
      </c>
      <c r="AL657" s="28" t="s">
        <v>323</v>
      </c>
      <c r="AM657" s="29">
        <v>2</v>
      </c>
      <c r="AN657" s="29">
        <v>5</v>
      </c>
      <c r="AO657" s="29" t="s">
        <v>48</v>
      </c>
      <c r="AP657" s="47" t="s">
        <v>334</v>
      </c>
      <c r="AQ657" s="28">
        <v>0</v>
      </c>
      <c r="AR657" s="26">
        <v>1.4999999999999999E-2</v>
      </c>
      <c r="AS657" s="26">
        <v>0</v>
      </c>
    </row>
    <row r="658" spans="1:45" x14ac:dyDescent="0.15">
      <c r="A658" s="64">
        <v>919</v>
      </c>
      <c r="B658" s="64">
        <v>643</v>
      </c>
      <c r="C658" s="11">
        <v>510081</v>
      </c>
      <c r="D658" s="61">
        <v>253</v>
      </c>
      <c r="E658" s="61">
        <v>3.51501921643366E-4</v>
      </c>
      <c r="F658" s="61">
        <v>80</v>
      </c>
      <c r="G658" s="61">
        <v>0.77569783658321101</v>
      </c>
      <c r="H658" s="66">
        <v>172</v>
      </c>
      <c r="I658" s="66" t="str">
        <f>H658&amp;"/"&amp;451</f>
        <v>172/451</v>
      </c>
      <c r="J658" s="68">
        <f>H658/451</f>
        <v>0.38137472283813745</v>
      </c>
      <c r="K658" s="18" t="s">
        <v>44</v>
      </c>
      <c r="L658" s="18" t="s">
        <v>45</v>
      </c>
      <c r="M658" s="58" t="s">
        <v>65</v>
      </c>
      <c r="N658" s="18">
        <f>[1]!f_prt_stocktonav(C658,"2017/03/31")</f>
        <v>81.754646301269531</v>
      </c>
      <c r="O658" s="20" t="str">
        <f>[1]!f_info_fundmanager(C658)</f>
        <v>乔林建</v>
      </c>
      <c r="P658" s="21">
        <v>1.5205479452054795</v>
      </c>
      <c r="Q658" s="34" t="s">
        <v>3572</v>
      </c>
      <c r="R658" s="34" t="s">
        <v>3573</v>
      </c>
      <c r="S658" s="34" t="s">
        <v>364</v>
      </c>
      <c r="T658" s="34">
        <v>20040521</v>
      </c>
      <c r="U658" s="45">
        <v>5.9936192118999996</v>
      </c>
      <c r="V658" s="46">
        <v>6.3867928681999997</v>
      </c>
      <c r="W658" s="34" t="s">
        <v>231</v>
      </c>
      <c r="X658" s="34" t="s">
        <v>44</v>
      </c>
      <c r="Y658" s="34" t="s">
        <v>45</v>
      </c>
      <c r="Z658" s="34" t="s">
        <v>65</v>
      </c>
      <c r="AA658" s="34"/>
      <c r="AB658" s="34"/>
      <c r="AC658" s="22">
        <v>0.82144805908203122</v>
      </c>
      <c r="AD658" s="23" t="s">
        <v>3069</v>
      </c>
      <c r="AE658" s="24">
        <v>1.2904109589041095</v>
      </c>
      <c r="AF658" s="25">
        <v>0.14002293051201553</v>
      </c>
      <c r="AG658" s="26">
        <v>0.11685272759287102</v>
      </c>
      <c r="AH658" s="26">
        <v>9.7628053303178586E-2</v>
      </c>
      <c r="AI658" s="27">
        <v>0.58942467787677766</v>
      </c>
      <c r="AJ658" s="27">
        <v>0.4545128979144612</v>
      </c>
      <c r="AK658" s="27">
        <v>0.43396666953367058</v>
      </c>
      <c r="AL658" s="28" t="s">
        <v>3574</v>
      </c>
      <c r="AM658" s="29">
        <v>4</v>
      </c>
      <c r="AN658" s="29">
        <v>2</v>
      </c>
      <c r="AO658" s="29" t="s">
        <v>48</v>
      </c>
      <c r="AP658" s="47" t="s">
        <v>3575</v>
      </c>
      <c r="AQ658" s="28" t="s">
        <v>3429</v>
      </c>
      <c r="AR658" s="26">
        <v>1.4999999999999999E-2</v>
      </c>
      <c r="AS658" s="26">
        <v>0</v>
      </c>
    </row>
    <row r="659" spans="1:45" x14ac:dyDescent="0.15">
      <c r="A659" s="64">
        <v>280</v>
      </c>
      <c r="B659" s="64">
        <v>239</v>
      </c>
      <c r="C659" s="11">
        <v>1287</v>
      </c>
      <c r="D659" s="61">
        <v>258</v>
      </c>
      <c r="E659" s="61">
        <v>3.2032770877069499E-4</v>
      </c>
      <c r="F659" s="61">
        <v>58</v>
      </c>
      <c r="G659" s="61">
        <v>0.74416397093886399</v>
      </c>
      <c r="H659" s="66">
        <v>173</v>
      </c>
      <c r="I659" s="66" t="str">
        <f>H659&amp;"/"&amp;451</f>
        <v>173/451</v>
      </c>
      <c r="J659" s="68">
        <f>H659/451</f>
        <v>0.38359201773835921</v>
      </c>
      <c r="K659" s="18" t="s">
        <v>44</v>
      </c>
      <c r="L659" s="18" t="s">
        <v>45</v>
      </c>
      <c r="M659" s="58" t="s">
        <v>65</v>
      </c>
      <c r="N659" s="18">
        <f>[1]!f_prt_stocktonav(C659,"2017/03/31")</f>
        <v>90.823982238769531</v>
      </c>
      <c r="O659" s="20" t="str">
        <f>[1]!f_info_fundmanager(C659)</f>
        <v>聂世林</v>
      </c>
      <c r="P659" s="21">
        <v>1.1150684931506849</v>
      </c>
      <c r="Q659" s="34" t="s">
        <v>1287</v>
      </c>
      <c r="R659" s="34" t="s">
        <v>1288</v>
      </c>
      <c r="S659" s="34" t="s">
        <v>975</v>
      </c>
      <c r="T659" s="34">
        <v>20150520</v>
      </c>
      <c r="U659" s="45">
        <v>0.1466958807</v>
      </c>
      <c r="V659" s="46">
        <v>8.4388824094999997</v>
      </c>
      <c r="W659" s="34" t="s">
        <v>1235</v>
      </c>
      <c r="X659" s="34" t="s">
        <v>41</v>
      </c>
      <c r="Y659" s="17" t="s">
        <v>42</v>
      </c>
      <c r="Z659" s="17" t="s">
        <v>181</v>
      </c>
      <c r="AA659" s="34"/>
      <c r="AB659" s="34"/>
      <c r="AC659" s="22">
        <v>0.63061962127685545</v>
      </c>
      <c r="AD659" s="23" t="s">
        <v>1289</v>
      </c>
      <c r="AE659" s="24">
        <v>0.8849315068493151</v>
      </c>
      <c r="AF659" s="25">
        <v>5.098724640478447E-2</v>
      </c>
      <c r="AG659" s="26">
        <v>0</v>
      </c>
      <c r="AH659" s="26">
        <v>0</v>
      </c>
      <c r="AI659" s="27">
        <v>1.2394205279282096</v>
      </c>
      <c r="AJ659" s="27">
        <v>1.2394205279282096</v>
      </c>
      <c r="AK659" s="27">
        <v>1.2394205279282096</v>
      </c>
      <c r="AL659" s="28" t="s">
        <v>105</v>
      </c>
      <c r="AM659" s="29" t="s">
        <v>48</v>
      </c>
      <c r="AN659" s="29" t="s">
        <v>48</v>
      </c>
      <c r="AO659" s="29" t="s">
        <v>48</v>
      </c>
      <c r="AP659" s="47" t="s">
        <v>1290</v>
      </c>
      <c r="AQ659" s="28">
        <v>0</v>
      </c>
      <c r="AR659" s="26">
        <v>0.01</v>
      </c>
      <c r="AS659" s="26">
        <v>0</v>
      </c>
    </row>
    <row r="660" spans="1:45" x14ac:dyDescent="0.15">
      <c r="A660" s="64">
        <v>849</v>
      </c>
      <c r="B660" s="64">
        <v>888</v>
      </c>
      <c r="C660" s="11">
        <v>50201</v>
      </c>
      <c r="D660" s="61">
        <v>264</v>
      </c>
      <c r="E660" s="61">
        <v>2.43668131721189E-4</v>
      </c>
      <c r="F660" s="61">
        <v>23</v>
      </c>
      <c r="G660" s="61">
        <v>0.89629903566629798</v>
      </c>
      <c r="H660" s="66">
        <v>174</v>
      </c>
      <c r="I660" s="66" t="str">
        <f>H660&amp;"/"&amp;451</f>
        <v>174/451</v>
      </c>
      <c r="J660" s="68">
        <f>H660/451</f>
        <v>0.38580931263858093</v>
      </c>
      <c r="K660" s="18" t="s">
        <v>44</v>
      </c>
      <c r="L660" s="18" t="s">
        <v>45</v>
      </c>
      <c r="M660" s="58" t="s">
        <v>65</v>
      </c>
      <c r="N660" s="18">
        <f>[1]!f_prt_stocktonav(C660,"2017/03/31")</f>
        <v>73.173309326171875</v>
      </c>
      <c r="O660" s="20" t="str">
        <f>[1]!f_info_fundmanager(C660)</f>
        <v>周志超</v>
      </c>
      <c r="P660" s="21">
        <v>0.43287671232876712</v>
      </c>
      <c r="Q660" s="34" t="s">
        <v>3296</v>
      </c>
      <c r="R660" s="34" t="s">
        <v>3297</v>
      </c>
      <c r="S660" s="34" t="s">
        <v>413</v>
      </c>
      <c r="T660" s="34">
        <v>20060927</v>
      </c>
      <c r="U660" s="45">
        <v>18.5482320377</v>
      </c>
      <c r="V660" s="46">
        <v>18.738405912800001</v>
      </c>
      <c r="W660" s="34" t="s">
        <v>231</v>
      </c>
      <c r="X660" s="34" t="s">
        <v>44</v>
      </c>
      <c r="Y660" s="34" t="s">
        <v>45</v>
      </c>
      <c r="Z660" s="34" t="s">
        <v>65</v>
      </c>
      <c r="AA660" s="34"/>
      <c r="AB660" s="34"/>
      <c r="AC660" s="22">
        <v>0.71256523132324223</v>
      </c>
      <c r="AD660" s="23" t="s">
        <v>3298</v>
      </c>
      <c r="AE660" s="24">
        <v>0.20273972602739726</v>
      </c>
      <c r="AF660" s="25">
        <v>6.7613451713534278E-2</v>
      </c>
      <c r="AG660" s="26">
        <v>4.0806648501142906E-2</v>
      </c>
      <c r="AH660" s="26">
        <v>7.2014642532962636E-3</v>
      </c>
      <c r="AI660" s="27">
        <v>0.34571556000745068</v>
      </c>
      <c r="AJ660" s="27">
        <v>0.23895976838813149</v>
      </c>
      <c r="AK660" s="27">
        <v>5.4766440491193079E-2</v>
      </c>
      <c r="AL660" s="28" t="s">
        <v>1659</v>
      </c>
      <c r="AM660" s="29">
        <v>1</v>
      </c>
      <c r="AN660" s="29">
        <v>2</v>
      </c>
      <c r="AO660" s="29" t="s">
        <v>48</v>
      </c>
      <c r="AP660" s="47" t="s">
        <v>3299</v>
      </c>
      <c r="AQ660" s="28" t="s">
        <v>3300</v>
      </c>
      <c r="AR660" s="26">
        <v>1.4999999999999999E-2</v>
      </c>
      <c r="AS660" s="26">
        <v>0</v>
      </c>
    </row>
    <row r="661" spans="1:45" x14ac:dyDescent="0.15">
      <c r="A661" s="64">
        <v>29</v>
      </c>
      <c r="B661" s="64">
        <v>241</v>
      </c>
      <c r="C661" s="11">
        <v>3096</v>
      </c>
      <c r="D661" s="61">
        <v>267</v>
      </c>
      <c r="E661" s="61">
        <v>2.2256416708366501E-4</v>
      </c>
      <c r="F661" s="61">
        <v>25</v>
      </c>
      <c r="G661" s="61">
        <v>0.93128749306494496</v>
      </c>
      <c r="H661" s="66">
        <v>175</v>
      </c>
      <c r="I661" s="66" t="str">
        <f>H661&amp;"/"&amp;451</f>
        <v>175/451</v>
      </c>
      <c r="J661" s="68">
        <f>H661/451</f>
        <v>0.38802660753880264</v>
      </c>
      <c r="K661" s="18" t="s">
        <v>44</v>
      </c>
      <c r="L661" s="18" t="s">
        <v>86</v>
      </c>
      <c r="M661" s="58" t="s">
        <v>65</v>
      </c>
      <c r="N661" s="18">
        <f>[1]!f_prt_stocktonav(C661,"2017/03/31")</f>
        <v>90.804916381835938</v>
      </c>
      <c r="O661" s="20" t="str">
        <f>[1]!f_info_fundmanager(C661)</f>
        <v>葛兰</v>
      </c>
      <c r="P661" s="21">
        <v>0.50136986301369868</v>
      </c>
      <c r="Q661" s="34" t="s">
        <v>198</v>
      </c>
      <c r="R661" s="34" t="s">
        <v>199</v>
      </c>
      <c r="S661" s="34" t="s">
        <v>200</v>
      </c>
      <c r="T661" s="34">
        <v>20160929</v>
      </c>
      <c r="U661" s="45" t="s">
        <v>48</v>
      </c>
      <c r="V661" s="46">
        <v>0.46184357999999998</v>
      </c>
      <c r="W661" s="34" t="s">
        <v>201</v>
      </c>
      <c r="X661" s="16" t="s">
        <v>44</v>
      </c>
      <c r="Y661" s="16" t="s">
        <v>86</v>
      </c>
      <c r="Z661" s="16" t="s">
        <v>65</v>
      </c>
      <c r="AA661" s="34"/>
      <c r="AB661" s="34"/>
      <c r="AC661" s="22">
        <v>0.86642745971679691</v>
      </c>
      <c r="AD661" s="23" t="s">
        <v>202</v>
      </c>
      <c r="AE661" s="24">
        <v>0.27123287671232876</v>
      </c>
      <c r="AF661" s="25">
        <v>-0.25809009082286505</v>
      </c>
      <c r="AG661" s="26">
        <v>0</v>
      </c>
      <c r="AH661" s="26">
        <v>0</v>
      </c>
      <c r="AI661" s="27">
        <v>-3.0240296899518198</v>
      </c>
      <c r="AJ661" s="27">
        <v>-3.0240296899518198</v>
      </c>
      <c r="AK661" s="27">
        <v>-3.0240296899518198</v>
      </c>
      <c r="AL661" s="28" t="s">
        <v>203</v>
      </c>
      <c r="AM661" s="29" t="s">
        <v>48</v>
      </c>
      <c r="AN661" s="29" t="s">
        <v>48</v>
      </c>
      <c r="AO661" s="29" t="s">
        <v>48</v>
      </c>
      <c r="AP661" s="47">
        <v>0</v>
      </c>
      <c r="AQ661" s="28">
        <v>0</v>
      </c>
      <c r="AR661" s="26">
        <v>1.4999999999999999E-2</v>
      </c>
      <c r="AS661" s="26">
        <v>8.0000000000000002E-3</v>
      </c>
    </row>
    <row r="662" spans="1:45" x14ac:dyDescent="0.15">
      <c r="A662" s="64">
        <v>73</v>
      </c>
      <c r="B662" s="64">
        <v>217</v>
      </c>
      <c r="C662" s="11">
        <v>2189</v>
      </c>
      <c r="D662" s="61">
        <v>268</v>
      </c>
      <c r="E662" s="61">
        <v>2.0987094484887901E-4</v>
      </c>
      <c r="F662" s="61">
        <v>42</v>
      </c>
      <c r="G662" s="61">
        <v>0.90630528978331804</v>
      </c>
      <c r="H662" s="66">
        <v>176</v>
      </c>
      <c r="I662" s="66" t="str">
        <f>H662&amp;"/"&amp;451</f>
        <v>176/451</v>
      </c>
      <c r="J662" s="68">
        <f>H662/451</f>
        <v>0.3902439024390244</v>
      </c>
      <c r="K662" s="18" t="s">
        <v>44</v>
      </c>
      <c r="L662" s="18" t="s">
        <v>45</v>
      </c>
      <c r="M662" s="58" t="s">
        <v>65</v>
      </c>
      <c r="N662" s="18">
        <f>[1]!f_prt_stocktonav(C662,"2017/03/31")</f>
        <v>91.478225708007813</v>
      </c>
      <c r="O662" s="20" t="str">
        <f>[1]!f_info_fundmanager(C662)</f>
        <v>张峰</v>
      </c>
      <c r="P662" s="21">
        <v>0.8246575342465754</v>
      </c>
      <c r="Q662" s="34" t="s">
        <v>422</v>
      </c>
      <c r="R662" s="34" t="s">
        <v>423</v>
      </c>
      <c r="S662" s="34" t="s">
        <v>424</v>
      </c>
      <c r="T662" s="34">
        <v>20160603</v>
      </c>
      <c r="U662" s="45">
        <v>0.92325484130000002</v>
      </c>
      <c r="V662" s="46">
        <v>1.3788024789</v>
      </c>
      <c r="W662" s="34" t="s">
        <v>3776</v>
      </c>
      <c r="X662" s="34" t="s">
        <v>44</v>
      </c>
      <c r="Y662" s="17" t="s">
        <v>45</v>
      </c>
      <c r="Z662" s="17" t="s">
        <v>65</v>
      </c>
      <c r="AA662" s="34"/>
      <c r="AB662" s="34"/>
      <c r="AC662" s="22">
        <v>0.72286247253417968</v>
      </c>
      <c r="AD662" s="23" t="s">
        <v>425</v>
      </c>
      <c r="AE662" s="24">
        <v>0.59452054794520548</v>
      </c>
      <c r="AF662" s="25">
        <v>6.1547598652825997E-2</v>
      </c>
      <c r="AG662" s="26">
        <v>0</v>
      </c>
      <c r="AH662" s="26">
        <v>0</v>
      </c>
      <c r="AI662" s="27">
        <v>0.58882893909135414</v>
      </c>
      <c r="AJ662" s="27">
        <v>0.58882893909135414</v>
      </c>
      <c r="AK662" s="27">
        <v>0.58882893909135414</v>
      </c>
      <c r="AL662" s="28" t="s">
        <v>426</v>
      </c>
      <c r="AM662" s="29" t="s">
        <v>48</v>
      </c>
      <c r="AN662" s="29" t="s">
        <v>48</v>
      </c>
      <c r="AO662" s="29" t="s">
        <v>48</v>
      </c>
      <c r="AP662" s="47" t="s">
        <v>427</v>
      </c>
      <c r="AQ662" s="28">
        <v>0</v>
      </c>
      <c r="AR662" s="26">
        <v>1.4999999999999999E-2</v>
      </c>
      <c r="AS662" s="26">
        <v>0</v>
      </c>
    </row>
    <row r="663" spans="1:45" x14ac:dyDescent="0.15">
      <c r="A663" s="64">
        <v>442</v>
      </c>
      <c r="B663" s="64">
        <v>707</v>
      </c>
      <c r="C663" s="11">
        <v>601</v>
      </c>
      <c r="D663" s="61">
        <v>269</v>
      </c>
      <c r="E663" s="61">
        <v>2.0242044313685599E-4</v>
      </c>
      <c r="F663" s="61">
        <v>30</v>
      </c>
      <c r="G663" s="61">
        <v>0.90275366072543495</v>
      </c>
      <c r="H663" s="66">
        <v>177</v>
      </c>
      <c r="I663" s="66" t="str">
        <f>H663&amp;"/"&amp;451</f>
        <v>177/451</v>
      </c>
      <c r="J663" s="68">
        <f>H663/451</f>
        <v>0.39246119733924612</v>
      </c>
      <c r="K663" s="18" t="s">
        <v>44</v>
      </c>
      <c r="L663" s="18" t="s">
        <v>45</v>
      </c>
      <c r="M663" s="58" t="s">
        <v>65</v>
      </c>
      <c r="N663" s="18">
        <f>[1]!f_prt_stocktonav(C663,"2017/03/31")</f>
        <v>79.805351257324219</v>
      </c>
      <c r="O663" s="20" t="str">
        <f>[1]!f_info_fundmanager(C663)</f>
        <v>区伟良</v>
      </c>
      <c r="P663" s="21">
        <v>0.56164383561643838</v>
      </c>
      <c r="Q663" s="34" t="s">
        <v>1886</v>
      </c>
      <c r="R663" s="34" t="s">
        <v>1887</v>
      </c>
      <c r="S663" s="34" t="s">
        <v>737</v>
      </c>
      <c r="T663" s="34">
        <v>20140514</v>
      </c>
      <c r="U663" s="45">
        <v>1.1089612158</v>
      </c>
      <c r="V663" s="46">
        <v>1.2333974272999999</v>
      </c>
      <c r="W663" s="34" t="s">
        <v>3789</v>
      </c>
      <c r="X663" s="34" t="s">
        <v>44</v>
      </c>
      <c r="Y663" s="34" t="s">
        <v>45</v>
      </c>
      <c r="Z663" s="34" t="s">
        <v>65</v>
      </c>
      <c r="AA663" s="34"/>
      <c r="AB663" s="34"/>
      <c r="AC663" s="22">
        <v>0.79440719604492183</v>
      </c>
      <c r="AD663" s="23" t="s">
        <v>813</v>
      </c>
      <c r="AE663" s="24">
        <v>0.33150684931506852</v>
      </c>
      <c r="AF663" s="25">
        <v>1.1499023769119709E-2</v>
      </c>
      <c r="AG663" s="26">
        <v>0</v>
      </c>
      <c r="AH663" s="26">
        <v>0</v>
      </c>
      <c r="AI663" s="27">
        <v>0.18307300609527619</v>
      </c>
      <c r="AJ663" s="27">
        <v>0.18307300609527619</v>
      </c>
      <c r="AK663" s="27">
        <v>0.18307300609527619</v>
      </c>
      <c r="AL663" s="28" t="s">
        <v>1858</v>
      </c>
      <c r="AM663" s="29" t="s">
        <v>48</v>
      </c>
      <c r="AN663" s="29" t="s">
        <v>48</v>
      </c>
      <c r="AO663" s="29" t="s">
        <v>48</v>
      </c>
      <c r="AP663" s="47" t="s">
        <v>739</v>
      </c>
      <c r="AQ663" s="28">
        <v>0</v>
      </c>
      <c r="AR663" s="26">
        <v>1.4999999999999999E-2</v>
      </c>
      <c r="AS663" s="26">
        <v>0</v>
      </c>
    </row>
    <row r="664" spans="1:45" x14ac:dyDescent="0.15">
      <c r="A664" s="64">
        <v>85</v>
      </c>
      <c r="B664" s="64">
        <v>99</v>
      </c>
      <c r="C664" s="11">
        <v>519767</v>
      </c>
      <c r="D664" s="61">
        <v>271</v>
      </c>
      <c r="E664" s="61">
        <v>1.89007792681512E-4</v>
      </c>
      <c r="F664" s="61">
        <v>46</v>
      </c>
      <c r="G664" s="61">
        <v>0.91708546958613402</v>
      </c>
      <c r="H664" s="66">
        <v>178</v>
      </c>
      <c r="I664" s="66" t="str">
        <f>H664&amp;"/"&amp;451</f>
        <v>178/451</v>
      </c>
      <c r="J664" s="68">
        <f>H664/451</f>
        <v>0.39467849223946783</v>
      </c>
      <c r="K664" s="18" t="s">
        <v>44</v>
      </c>
      <c r="L664" s="18" t="s">
        <v>45</v>
      </c>
      <c r="M664" s="58" t="s">
        <v>65</v>
      </c>
      <c r="N664" s="18">
        <f>[1]!f_prt_stocktonav(C664,"2017/03/31")</f>
        <v>93.603729248046875</v>
      </c>
      <c r="O664" s="20" t="str">
        <f>[1]!f_info_fundmanager(C664)</f>
        <v>芮晨</v>
      </c>
      <c r="P664" s="21">
        <v>0.90410958904109584</v>
      </c>
      <c r="Q664" s="34" t="s">
        <v>472</v>
      </c>
      <c r="R664" s="34" t="s">
        <v>473</v>
      </c>
      <c r="S664" s="34" t="s">
        <v>138</v>
      </c>
      <c r="T664" s="34">
        <v>20160505</v>
      </c>
      <c r="U664" s="45">
        <v>2.0586336358000001</v>
      </c>
      <c r="V664" s="46">
        <v>1.8955500467999999</v>
      </c>
      <c r="W664" s="34" t="s">
        <v>3776</v>
      </c>
      <c r="X664" s="34" t="s">
        <v>41</v>
      </c>
      <c r="Y664" s="17" t="s">
        <v>42</v>
      </c>
      <c r="Z664" s="17" t="s">
        <v>181</v>
      </c>
      <c r="AA664" s="34"/>
      <c r="AB664" s="34"/>
      <c r="AC664" s="22">
        <v>0.62784713745117182</v>
      </c>
      <c r="AD664" s="23" t="s">
        <v>295</v>
      </c>
      <c r="AE664" s="24">
        <v>0.67397260273972603</v>
      </c>
      <c r="AF664" s="25">
        <v>7.2036826905992335E-2</v>
      </c>
      <c r="AG664" s="26">
        <v>0</v>
      </c>
      <c r="AH664" s="26">
        <v>0</v>
      </c>
      <c r="AI664" s="27">
        <v>0.56396628117338987</v>
      </c>
      <c r="AJ664" s="27">
        <v>0.56396628117338987</v>
      </c>
      <c r="AK664" s="27">
        <v>0.56396628117338987</v>
      </c>
      <c r="AL664" s="28" t="s">
        <v>474</v>
      </c>
      <c r="AM664" s="29" t="s">
        <v>48</v>
      </c>
      <c r="AN664" s="29" t="s">
        <v>48</v>
      </c>
      <c r="AO664" s="29" t="s">
        <v>48</v>
      </c>
      <c r="AP664" s="47" t="s">
        <v>475</v>
      </c>
      <c r="AQ664" s="28">
        <v>0</v>
      </c>
      <c r="AR664" s="26">
        <v>1.4999999999999999E-2</v>
      </c>
      <c r="AS664" s="26">
        <v>0</v>
      </c>
    </row>
    <row r="665" spans="1:45" x14ac:dyDescent="0.15">
      <c r="A665" s="64">
        <v>846</v>
      </c>
      <c r="B665" s="64">
        <v>868</v>
      </c>
      <c r="C665" s="11">
        <v>20009</v>
      </c>
      <c r="D665" s="61">
        <v>273</v>
      </c>
      <c r="E665" s="61">
        <v>1.65097393735409E-4</v>
      </c>
      <c r="F665" s="61">
        <v>39</v>
      </c>
      <c r="G665" s="61">
        <v>0.91273458032507904</v>
      </c>
      <c r="H665" s="66">
        <v>179</v>
      </c>
      <c r="I665" s="66" t="str">
        <f>H665&amp;"/"&amp;451</f>
        <v>179/451</v>
      </c>
      <c r="J665" s="68">
        <f>H665/451</f>
        <v>0.39689578713968959</v>
      </c>
      <c r="K665" s="18" t="s">
        <v>44</v>
      </c>
      <c r="L665" s="18" t="s">
        <v>45</v>
      </c>
      <c r="M665" s="58" t="s">
        <v>65</v>
      </c>
      <c r="N665" s="18">
        <f>[1]!f_prt_stocktonav(C665,"2017/03/31")</f>
        <v>73.865554809570313</v>
      </c>
      <c r="O665" s="20" t="str">
        <f>[1]!f_info_fundmanager(C665)</f>
        <v>饶玉涵</v>
      </c>
      <c r="P665" s="21">
        <v>0.73698630136986298</v>
      </c>
      <c r="Q665" s="34" t="s">
        <v>3285</v>
      </c>
      <c r="R665" s="34" t="s">
        <v>3286</v>
      </c>
      <c r="S665" s="34" t="s">
        <v>663</v>
      </c>
      <c r="T665" s="34">
        <v>20060929</v>
      </c>
      <c r="U665" s="45">
        <v>5.3459286595000002</v>
      </c>
      <c r="V665" s="46">
        <v>5.5276111345999999</v>
      </c>
      <c r="W665" s="34" t="s">
        <v>201</v>
      </c>
      <c r="X665" s="34" t="s">
        <v>44</v>
      </c>
      <c r="Y665" s="34" t="s">
        <v>45</v>
      </c>
      <c r="Z665" s="34" t="s">
        <v>65</v>
      </c>
      <c r="AA665" s="34"/>
      <c r="AB665" s="34"/>
      <c r="AC665" s="22">
        <v>0.72738685607910158</v>
      </c>
      <c r="AD665" s="23" t="s">
        <v>3287</v>
      </c>
      <c r="AE665" s="24">
        <v>0.50684931506849318</v>
      </c>
      <c r="AF665" s="25">
        <v>0.1259490377809398</v>
      </c>
      <c r="AG665" s="26">
        <v>0.17536174871227028</v>
      </c>
      <c r="AH665" s="26">
        <v>0.1279089990901805</v>
      </c>
      <c r="AI665" s="27">
        <v>0.54060147016582205</v>
      </c>
      <c r="AJ665" s="27">
        <v>0.74966090708706123</v>
      </c>
      <c r="AK665" s="27">
        <v>0.58386257842722566</v>
      </c>
      <c r="AL665" s="28" t="s">
        <v>3288</v>
      </c>
      <c r="AM665" s="29">
        <v>4</v>
      </c>
      <c r="AN665" s="29">
        <v>4</v>
      </c>
      <c r="AO665" s="29" t="s">
        <v>48</v>
      </c>
      <c r="AP665" s="47" t="s">
        <v>1002</v>
      </c>
      <c r="AQ665" s="28">
        <v>0</v>
      </c>
      <c r="AR665" s="26">
        <v>1.4999999999999999E-2</v>
      </c>
      <c r="AS665" s="26">
        <v>0</v>
      </c>
    </row>
    <row r="666" spans="1:45" x14ac:dyDescent="0.15">
      <c r="A666" s="64">
        <v>82</v>
      </c>
      <c r="B666" s="64">
        <v>957</v>
      </c>
      <c r="C666" s="11">
        <v>1942</v>
      </c>
      <c r="D666" s="61">
        <v>276</v>
      </c>
      <c r="E666" s="61">
        <v>1.48673417239596E-4</v>
      </c>
      <c r="F666" s="61">
        <v>44</v>
      </c>
      <c r="G666" s="61">
        <v>0.92937990063605402</v>
      </c>
      <c r="H666" s="66">
        <v>180</v>
      </c>
      <c r="I666" s="66" t="str">
        <f>H666&amp;"/"&amp;451</f>
        <v>180/451</v>
      </c>
      <c r="J666" s="68">
        <f>H666/451</f>
        <v>0.3991130820399113</v>
      </c>
      <c r="K666" s="18" t="s">
        <v>44</v>
      </c>
      <c r="L666" s="18" t="s">
        <v>45</v>
      </c>
      <c r="M666" s="58" t="s">
        <v>65</v>
      </c>
      <c r="N666" s="18">
        <f>[1]!f_prt_stocktonav(C666,"2017/03/31")</f>
        <v>70.200492858886719</v>
      </c>
      <c r="O666" s="20" t="str">
        <f>[1]!f_info_fundmanager(C666)</f>
        <v>谢屹</v>
      </c>
      <c r="P666" s="21">
        <v>0.86575342465753424</v>
      </c>
      <c r="Q666" s="34" t="s">
        <v>462</v>
      </c>
      <c r="R666" s="34" t="s">
        <v>463</v>
      </c>
      <c r="S666" s="34" t="s">
        <v>78</v>
      </c>
      <c r="T666" s="34">
        <v>20160519</v>
      </c>
      <c r="U666" s="45">
        <v>3.101986433</v>
      </c>
      <c r="V666" s="46">
        <v>3.0952032191000001</v>
      </c>
      <c r="W666" s="34" t="s">
        <v>3776</v>
      </c>
      <c r="X666" s="34" t="s">
        <v>41</v>
      </c>
      <c r="Y666" s="17" t="s">
        <v>42</v>
      </c>
      <c r="Z666" s="17" t="s">
        <v>181</v>
      </c>
      <c r="AA666" s="34"/>
      <c r="AB666" s="34"/>
      <c r="AC666" s="22">
        <v>0.45910446166992186</v>
      </c>
      <c r="AD666" s="23" t="s">
        <v>464</v>
      </c>
      <c r="AE666" s="24">
        <v>0.63561643835616444</v>
      </c>
      <c r="AF666" s="25">
        <v>0.12331768611927639</v>
      </c>
      <c r="AG666" s="26">
        <v>0</v>
      </c>
      <c r="AH666" s="26">
        <v>0</v>
      </c>
      <c r="AI666" s="27">
        <v>1.4541169090726547</v>
      </c>
      <c r="AJ666" s="27">
        <v>1.4541169090726547</v>
      </c>
      <c r="AK666" s="27">
        <v>1.4541169090726547</v>
      </c>
      <c r="AL666" s="28" t="s">
        <v>196</v>
      </c>
      <c r="AM666" s="29" t="s">
        <v>48</v>
      </c>
      <c r="AN666" s="29" t="s">
        <v>48</v>
      </c>
      <c r="AO666" s="29" t="s">
        <v>48</v>
      </c>
      <c r="AP666" s="47" t="s">
        <v>270</v>
      </c>
      <c r="AQ666" s="28">
        <v>0</v>
      </c>
      <c r="AR666" s="26">
        <v>6.0000002384185793E-3</v>
      </c>
      <c r="AS666" s="26">
        <v>0</v>
      </c>
    </row>
    <row r="667" spans="1:45" x14ac:dyDescent="0.15">
      <c r="A667" s="64">
        <v>783</v>
      </c>
      <c r="B667" s="64">
        <v>279</v>
      </c>
      <c r="C667" s="11">
        <v>70099</v>
      </c>
      <c r="D667" s="61">
        <v>277</v>
      </c>
      <c r="E667" s="61">
        <v>1.39480509491312E-4</v>
      </c>
      <c r="F667" s="61">
        <v>136</v>
      </c>
      <c r="G667" s="61">
        <v>0.92537265391991896</v>
      </c>
      <c r="H667" s="66">
        <v>181</v>
      </c>
      <c r="I667" s="66" t="str">
        <f>H667&amp;"/"&amp;451</f>
        <v>181/451</v>
      </c>
      <c r="J667" s="68">
        <f>H667/451</f>
        <v>0.40133037694013302</v>
      </c>
      <c r="K667" s="18" t="s">
        <v>44</v>
      </c>
      <c r="L667" s="18" t="s">
        <v>45</v>
      </c>
      <c r="M667" s="58" t="s">
        <v>65</v>
      </c>
      <c r="N667" s="18">
        <f>[1]!f_prt_stocktonav(C667,"2017/03/31")</f>
        <v>89.853408813476562</v>
      </c>
      <c r="O667" s="20" t="str">
        <f>[1]!f_info_fundmanager(C667)</f>
        <v>胡涛</v>
      </c>
      <c r="P667" s="21">
        <v>2.6136986301369864</v>
      </c>
      <c r="Q667" s="34" t="s">
        <v>3057</v>
      </c>
      <c r="R667" s="34" t="s">
        <v>3058</v>
      </c>
      <c r="S667" s="34" t="s">
        <v>92</v>
      </c>
      <c r="T667" s="34">
        <v>20071208</v>
      </c>
      <c r="U667" s="45">
        <v>23.195950479699999</v>
      </c>
      <c r="V667" s="46">
        <v>33.424779811299999</v>
      </c>
      <c r="W667" s="34" t="s">
        <v>231</v>
      </c>
      <c r="X667" s="34" t="s">
        <v>44</v>
      </c>
      <c r="Y667" s="34" t="s">
        <v>45</v>
      </c>
      <c r="Z667" s="34" t="s">
        <v>65</v>
      </c>
      <c r="AA667" s="34"/>
      <c r="AB667" s="34"/>
      <c r="AC667" s="22">
        <v>0.93929916381835943</v>
      </c>
      <c r="AD667" s="23" t="s">
        <v>3059</v>
      </c>
      <c r="AE667" s="24">
        <v>2.3835616438356166</v>
      </c>
      <c r="AF667" s="25">
        <v>5.1177056160052636E-2</v>
      </c>
      <c r="AG667" s="26">
        <v>0.14824463105271057</v>
      </c>
      <c r="AH667" s="26">
        <v>0.14408842088686535</v>
      </c>
      <c r="AI667" s="27">
        <v>0.27726221574655063</v>
      </c>
      <c r="AJ667" s="27">
        <v>0.54113521305756385</v>
      </c>
      <c r="AK667" s="27">
        <v>0.58139287704503084</v>
      </c>
      <c r="AL667" s="28" t="s">
        <v>2607</v>
      </c>
      <c r="AM667" s="29">
        <v>3</v>
      </c>
      <c r="AN667" s="29">
        <v>4</v>
      </c>
      <c r="AO667" s="29" t="s">
        <v>48</v>
      </c>
      <c r="AP667" s="47" t="s">
        <v>101</v>
      </c>
      <c r="AQ667" s="28" t="s">
        <v>2293</v>
      </c>
      <c r="AR667" s="26">
        <v>1.4999999999999999E-2</v>
      </c>
      <c r="AS667" s="26">
        <v>0</v>
      </c>
    </row>
    <row r="668" spans="1:45" x14ac:dyDescent="0.15">
      <c r="A668" s="64">
        <v>866</v>
      </c>
      <c r="B668" s="64">
        <v>754</v>
      </c>
      <c r="C668" s="11">
        <v>180010</v>
      </c>
      <c r="D668" s="61">
        <v>278</v>
      </c>
      <c r="E668" s="61">
        <v>1.3271417184930299E-4</v>
      </c>
      <c r="F668" s="61">
        <v>38</v>
      </c>
      <c r="G668" s="61">
        <v>0.89747007547593705</v>
      </c>
      <c r="H668" s="66">
        <v>182</v>
      </c>
      <c r="I668" s="66" t="str">
        <f>H668&amp;"/"&amp;451</f>
        <v>182/451</v>
      </c>
      <c r="J668" s="68">
        <f>H668/451</f>
        <v>0.40354767184035478</v>
      </c>
      <c r="K668" s="18" t="s">
        <v>44</v>
      </c>
      <c r="L668" s="18" t="s">
        <v>45</v>
      </c>
      <c r="M668" s="58" t="s">
        <v>65</v>
      </c>
      <c r="N668" s="18">
        <f>[1]!f_prt_stocktonav(C668,"2017/03/31")</f>
        <v>78.165451049804687</v>
      </c>
      <c r="O668" s="20" t="str">
        <f>[1]!f_info_fundmanager(C668)</f>
        <v>王华,贲兴振</v>
      </c>
      <c r="P668" s="21">
        <v>0.72876712328767124</v>
      </c>
      <c r="Q668" s="34" t="s">
        <v>3364</v>
      </c>
      <c r="R668" s="34" t="s">
        <v>3365</v>
      </c>
      <c r="S668" s="34" t="s">
        <v>57</v>
      </c>
      <c r="T668" s="34">
        <v>20060609</v>
      </c>
      <c r="U668" s="45">
        <v>27.404167323300001</v>
      </c>
      <c r="V668" s="46">
        <v>27.8248454951</v>
      </c>
      <c r="W668" s="34" t="s">
        <v>231</v>
      </c>
      <c r="X668" s="34" t="s">
        <v>44</v>
      </c>
      <c r="Y668" s="34" t="s">
        <v>45</v>
      </c>
      <c r="Z668" s="34" t="s">
        <v>65</v>
      </c>
      <c r="AA668" s="34"/>
      <c r="AB668" s="34"/>
      <c r="AC668" s="22">
        <v>0.72959014892578122</v>
      </c>
      <c r="AD668" s="23" t="s">
        <v>3366</v>
      </c>
      <c r="AE668" s="24">
        <v>0.49863013698630138</v>
      </c>
      <c r="AF668" s="25">
        <v>0.15402747947824702</v>
      </c>
      <c r="AG668" s="26">
        <v>0.1114470139288577</v>
      </c>
      <c r="AH668" s="26">
        <v>0.13168037833655166</v>
      </c>
      <c r="AI668" s="27">
        <v>0.63619553068043833</v>
      </c>
      <c r="AJ668" s="27">
        <v>0.48227256951975483</v>
      </c>
      <c r="AK668" s="27">
        <v>0.58831116601483591</v>
      </c>
      <c r="AL668" s="28" t="s">
        <v>110</v>
      </c>
      <c r="AM668" s="29">
        <v>4</v>
      </c>
      <c r="AN668" s="29">
        <v>3</v>
      </c>
      <c r="AO668" s="29" t="s">
        <v>48</v>
      </c>
      <c r="AP668" s="47" t="s">
        <v>2297</v>
      </c>
      <c r="AQ668" s="28">
        <v>0</v>
      </c>
      <c r="AR668" s="26">
        <v>1.4999999999999999E-2</v>
      </c>
      <c r="AS668" s="26">
        <v>0</v>
      </c>
    </row>
    <row r="669" spans="1:45" x14ac:dyDescent="0.15">
      <c r="A669" s="64">
        <v>782</v>
      </c>
      <c r="B669" s="64">
        <v>804</v>
      </c>
      <c r="C669" s="11">
        <v>519019</v>
      </c>
      <c r="D669" s="61">
        <v>280</v>
      </c>
      <c r="E669" s="61">
        <v>1.1177744386768899E-4</v>
      </c>
      <c r="F669" s="61">
        <v>81</v>
      </c>
      <c r="G669" s="61">
        <v>0.92936557755651605</v>
      </c>
      <c r="H669" s="66">
        <v>183</v>
      </c>
      <c r="I669" s="66" t="str">
        <f>H669&amp;"/"&amp;451</f>
        <v>183/451</v>
      </c>
      <c r="J669" s="68">
        <f>H669/451</f>
        <v>0.40576496674057649</v>
      </c>
      <c r="K669" s="18" t="s">
        <v>44</v>
      </c>
      <c r="L669" s="18" t="s">
        <v>45</v>
      </c>
      <c r="M669" s="58" t="s">
        <v>65</v>
      </c>
      <c r="N669" s="18">
        <f>[1]!f_prt_stocktonav(C669,"2017/03/31")</f>
        <v>76.461128234863281</v>
      </c>
      <c r="O669" s="20" t="str">
        <f>[1]!f_info_fundmanager(C669)</f>
        <v>徐彦</v>
      </c>
      <c r="P669" s="21">
        <v>1.5424657534246575</v>
      </c>
      <c r="Q669" s="34" t="s">
        <v>3055</v>
      </c>
      <c r="R669" s="34" t="s">
        <v>3056</v>
      </c>
      <c r="S669" s="34" t="s">
        <v>486</v>
      </c>
      <c r="T669" s="34">
        <v>20071211</v>
      </c>
      <c r="U669" s="45">
        <v>16.734910778500002</v>
      </c>
      <c r="V669" s="46">
        <v>17.045062398199999</v>
      </c>
      <c r="W669" s="34" t="s">
        <v>231</v>
      </c>
      <c r="X669" s="34" t="s">
        <v>44</v>
      </c>
      <c r="Y669" s="34" t="s">
        <v>45</v>
      </c>
      <c r="Z669" s="34" t="s">
        <v>65</v>
      </c>
      <c r="AA669" s="34"/>
      <c r="AB669" s="34"/>
      <c r="AC669" s="22">
        <v>0.89454689025878908</v>
      </c>
      <c r="AD669" s="23" t="s">
        <v>2549</v>
      </c>
      <c r="AE669" s="24">
        <v>1.3123287671232877</v>
      </c>
      <c r="AF669" s="25">
        <v>1.9922837713341357E-2</v>
      </c>
      <c r="AG669" s="26">
        <v>0.18490186856866142</v>
      </c>
      <c r="AH669" s="26">
        <v>0.10363711674684438</v>
      </c>
      <c r="AI669" s="27">
        <v>0.15268332878457055</v>
      </c>
      <c r="AJ669" s="27">
        <v>0.65221655283641722</v>
      </c>
      <c r="AK669" s="27">
        <v>0.45062312063947713</v>
      </c>
      <c r="AL669" s="28" t="s">
        <v>1707</v>
      </c>
      <c r="AM669" s="29">
        <v>1</v>
      </c>
      <c r="AN669" s="29">
        <v>2</v>
      </c>
      <c r="AO669" s="29" t="s">
        <v>48</v>
      </c>
      <c r="AP669" s="47" t="s">
        <v>1002</v>
      </c>
      <c r="AQ669" s="28">
        <v>0</v>
      </c>
      <c r="AR669" s="26">
        <v>1.4999999999999999E-2</v>
      </c>
      <c r="AS669" s="26">
        <v>0</v>
      </c>
    </row>
    <row r="670" spans="1:45" x14ac:dyDescent="0.15">
      <c r="A670" s="64">
        <v>473</v>
      </c>
      <c r="B670" s="64">
        <v>620</v>
      </c>
      <c r="C670" s="11">
        <v>457</v>
      </c>
      <c r="D670" s="61">
        <v>281</v>
      </c>
      <c r="E670" s="61">
        <v>1.05919935847302E-4</v>
      </c>
      <c r="F670" s="61">
        <v>117</v>
      </c>
      <c r="G670" s="61">
        <v>0.955509499019359</v>
      </c>
      <c r="H670" s="66">
        <v>184</v>
      </c>
      <c r="I670" s="66" t="str">
        <f>H670&amp;"/"&amp;451</f>
        <v>184/451</v>
      </c>
      <c r="J670" s="68">
        <f>H670/451</f>
        <v>0.4079822616407982</v>
      </c>
      <c r="K670" s="18" t="s">
        <v>44</v>
      </c>
      <c r="L670" s="19" t="s">
        <v>45</v>
      </c>
      <c r="M670" s="59" t="s">
        <v>65</v>
      </c>
      <c r="N670" s="18">
        <f>[1]!f_prt_stocktonav(C670,"2017/03/31")</f>
        <v>82.355758666992188</v>
      </c>
      <c r="O670" s="20" t="str">
        <f>[1]!f_info_fundmanager(C670)</f>
        <v>李博</v>
      </c>
      <c r="P670" s="21">
        <v>2.2493150684931509</v>
      </c>
      <c r="Q670" s="32" t="s">
        <v>2009</v>
      </c>
      <c r="R670" s="13" t="s">
        <v>2010</v>
      </c>
      <c r="S670" s="13" t="s">
        <v>511</v>
      </c>
      <c r="T670" s="13">
        <v>20140210</v>
      </c>
      <c r="U670" s="14">
        <v>5.1350246261999999</v>
      </c>
      <c r="V670" s="15" t="s">
        <v>3782</v>
      </c>
      <c r="W670" s="16" t="s">
        <v>40</v>
      </c>
      <c r="X670" s="17" t="s">
        <v>44</v>
      </c>
      <c r="Y670" s="17" t="s">
        <v>45</v>
      </c>
      <c r="Z670" s="17" t="s">
        <v>274</v>
      </c>
      <c r="AA670" s="13"/>
      <c r="AB670" s="13"/>
      <c r="AC670" s="22">
        <v>0.80915367126464843</v>
      </c>
      <c r="AD670" s="23" t="s">
        <v>1419</v>
      </c>
      <c r="AE670" s="24">
        <v>2.0191780821917806</v>
      </c>
      <c r="AF670" s="25">
        <v>0.22291738145726359</v>
      </c>
      <c r="AG670" s="26">
        <v>0</v>
      </c>
      <c r="AH670" s="26">
        <v>0</v>
      </c>
      <c r="AI670" s="27">
        <v>0.78360450374561674</v>
      </c>
      <c r="AJ670" s="27">
        <v>0.78360450374561674</v>
      </c>
      <c r="AK670" s="27">
        <v>0.78360450374561674</v>
      </c>
      <c r="AL670" s="28" t="s">
        <v>1980</v>
      </c>
      <c r="AM670" s="29" t="s">
        <v>48</v>
      </c>
      <c r="AN670" s="29" t="s">
        <v>48</v>
      </c>
      <c r="AO670" s="29" t="s">
        <v>48</v>
      </c>
      <c r="AP670" s="23" t="s">
        <v>417</v>
      </c>
      <c r="AQ670" s="30">
        <v>0</v>
      </c>
      <c r="AR670" s="31">
        <v>1.4999999999999999E-2</v>
      </c>
      <c r="AS670" s="31">
        <v>0</v>
      </c>
    </row>
    <row r="671" spans="1:45" x14ac:dyDescent="0.15">
      <c r="A671" s="64">
        <v>906</v>
      </c>
      <c r="B671" s="64">
        <v>161</v>
      </c>
      <c r="C671" s="11">
        <v>160105</v>
      </c>
      <c r="D671" s="61">
        <v>283</v>
      </c>
      <c r="E671" s="61">
        <v>6.9495890710925004E-5</v>
      </c>
      <c r="F671" s="61">
        <v>116</v>
      </c>
      <c r="G671" s="61">
        <v>0.95494204810898997</v>
      </c>
      <c r="H671" s="66">
        <v>185</v>
      </c>
      <c r="I671" s="66" t="str">
        <f>H671&amp;"/"&amp;451</f>
        <v>185/451</v>
      </c>
      <c r="J671" s="68">
        <f>H671/451</f>
        <v>0.41019955654101997</v>
      </c>
      <c r="K671" s="18" t="s">
        <v>44</v>
      </c>
      <c r="L671" s="18" t="s">
        <v>45</v>
      </c>
      <c r="M671" s="58" t="s">
        <v>65</v>
      </c>
      <c r="N671" s="18">
        <f>[1]!f_prt_stocktonav(C671,"2017/03/31")</f>
        <v>92.550315856933594</v>
      </c>
      <c r="O671" s="20" t="str">
        <f>[1]!f_info_fundmanager(C671)</f>
        <v>蔡望鹏</v>
      </c>
      <c r="P671" s="21">
        <v>2.2136986301369861</v>
      </c>
      <c r="Q671" s="34" t="s">
        <v>3518</v>
      </c>
      <c r="R671" s="34" t="s">
        <v>3519</v>
      </c>
      <c r="S671" s="34" t="s">
        <v>284</v>
      </c>
      <c r="T671" s="34">
        <v>20041014</v>
      </c>
      <c r="U671" s="45">
        <v>9.0360248443</v>
      </c>
      <c r="V671" s="46">
        <v>11.5605691435</v>
      </c>
      <c r="W671" s="34" t="s">
        <v>201</v>
      </c>
      <c r="X671" s="34" t="s">
        <v>44</v>
      </c>
      <c r="Y671" s="34" t="s">
        <v>45</v>
      </c>
      <c r="Z671" s="34" t="s">
        <v>65</v>
      </c>
      <c r="AA671" s="34"/>
      <c r="AB671" s="34"/>
      <c r="AC671" s="22">
        <v>0.92642425537109374</v>
      </c>
      <c r="AD671" s="23" t="s">
        <v>1861</v>
      </c>
      <c r="AE671" s="24">
        <v>1.9835616438356165</v>
      </c>
      <c r="AF671" s="25">
        <v>0.14221638217621013</v>
      </c>
      <c r="AG671" s="26">
        <v>0.18066509739958536</v>
      </c>
      <c r="AH671" s="26">
        <v>0.12643514583694615</v>
      </c>
      <c r="AI671" s="27">
        <v>0.61801366421876303</v>
      </c>
      <c r="AJ671" s="27">
        <v>0.68726966619725749</v>
      </c>
      <c r="AK671" s="27">
        <v>0.55824438566375334</v>
      </c>
      <c r="AL671" s="28" t="s">
        <v>3520</v>
      </c>
      <c r="AM671" s="29">
        <v>3</v>
      </c>
      <c r="AN671" s="29">
        <v>4</v>
      </c>
      <c r="AO671" s="29" t="s">
        <v>48</v>
      </c>
      <c r="AP671" s="47" t="s">
        <v>3521</v>
      </c>
      <c r="AQ671" s="28">
        <v>0</v>
      </c>
      <c r="AR671" s="26">
        <v>1.4999999999999999E-2</v>
      </c>
      <c r="AS671" s="26">
        <v>0</v>
      </c>
    </row>
    <row r="672" spans="1:45" x14ac:dyDescent="0.15">
      <c r="A672" s="64">
        <v>235</v>
      </c>
      <c r="B672" s="64">
        <v>23</v>
      </c>
      <c r="C672" s="11">
        <v>1463</v>
      </c>
      <c r="D672" s="61">
        <v>287</v>
      </c>
      <c r="E672" s="61">
        <v>5.7861647567091001E-5</v>
      </c>
      <c r="F672" s="61">
        <v>90</v>
      </c>
      <c r="G672" s="61">
        <v>0.96702140544550796</v>
      </c>
      <c r="H672" s="66">
        <v>186</v>
      </c>
      <c r="I672" s="66" t="str">
        <f>H672&amp;"/"&amp;451</f>
        <v>186/451</v>
      </c>
      <c r="J672" s="68">
        <f>H672/451</f>
        <v>0.41241685144124168</v>
      </c>
      <c r="K672" s="18" t="s">
        <v>44</v>
      </c>
      <c r="L672" s="18" t="s">
        <v>87</v>
      </c>
      <c r="M672" s="58" t="s">
        <v>65</v>
      </c>
      <c r="N672" s="18">
        <f>[1]!f_prt_stocktonav(C672,"2017/03/31")</f>
        <v>94.696403503417969</v>
      </c>
      <c r="O672" s="20" t="str">
        <f>[1]!f_info_fundmanager(C672)</f>
        <v>黄兴亮</v>
      </c>
      <c r="P672" s="21">
        <v>1.7643835616438357</v>
      </c>
      <c r="Q672" s="34" t="s">
        <v>1089</v>
      </c>
      <c r="R672" s="34" t="s">
        <v>1090</v>
      </c>
      <c r="S672" s="34" t="s">
        <v>634</v>
      </c>
      <c r="T672" s="34">
        <v>20150626</v>
      </c>
      <c r="U672" s="45">
        <v>7.0783360681999996</v>
      </c>
      <c r="V672" s="46">
        <v>7.5907565680999998</v>
      </c>
      <c r="W672" s="34" t="s">
        <v>3789</v>
      </c>
      <c r="X672" s="34" t="s">
        <v>44</v>
      </c>
      <c r="Y672" s="34" t="s">
        <v>87</v>
      </c>
      <c r="Z672" s="34" t="s">
        <v>65</v>
      </c>
      <c r="AA672" s="34" t="s">
        <v>3796</v>
      </c>
      <c r="AB672" s="34"/>
      <c r="AC672" s="22">
        <v>0.94372871398925784</v>
      </c>
      <c r="AD672" s="23" t="s">
        <v>1092</v>
      </c>
      <c r="AE672" s="24">
        <v>1.5342465753424657</v>
      </c>
      <c r="AF672" s="25">
        <v>-0.11182915922180492</v>
      </c>
      <c r="AG672" s="26">
        <v>0</v>
      </c>
      <c r="AH672" s="26">
        <v>0</v>
      </c>
      <c r="AI672" s="27">
        <v>-0.37754649536406798</v>
      </c>
      <c r="AJ672" s="27">
        <v>-0.37754649536406798</v>
      </c>
      <c r="AK672" s="27">
        <v>-0.37754649536406798</v>
      </c>
      <c r="AL672" s="33" t="s">
        <v>1093</v>
      </c>
      <c r="AM672" s="29" t="s">
        <v>48</v>
      </c>
      <c r="AN672" s="29" t="s">
        <v>48</v>
      </c>
      <c r="AO672" s="29" t="s">
        <v>48</v>
      </c>
      <c r="AP672" s="47" t="s">
        <v>1094</v>
      </c>
      <c r="AQ672" s="28">
        <v>0</v>
      </c>
      <c r="AR672" s="26">
        <v>1.4999999999999999E-2</v>
      </c>
      <c r="AS672" s="26">
        <v>0</v>
      </c>
    </row>
    <row r="673" spans="1:45" x14ac:dyDescent="0.15">
      <c r="A673" s="64">
        <v>495</v>
      </c>
      <c r="B673" s="64">
        <v>316</v>
      </c>
      <c r="C673" s="11">
        <v>273</v>
      </c>
      <c r="D673" s="61">
        <v>288</v>
      </c>
      <c r="E673" s="61">
        <v>5.5652077907385799E-5</v>
      </c>
      <c r="F673" s="61">
        <v>81</v>
      </c>
      <c r="G673" s="61">
        <v>0.92268711531902603</v>
      </c>
      <c r="H673" s="66">
        <v>187</v>
      </c>
      <c r="I673" s="66" t="str">
        <f>H673&amp;"/"&amp;451</f>
        <v>187/451</v>
      </c>
      <c r="J673" s="68">
        <f>H673/451</f>
        <v>0.41463414634146339</v>
      </c>
      <c r="K673" s="18" t="s">
        <v>44</v>
      </c>
      <c r="L673" s="18" t="s">
        <v>45</v>
      </c>
      <c r="M673" s="58" t="s">
        <v>65</v>
      </c>
      <c r="N673" s="18">
        <f>[1]!f_prt_stocktonav(C673,"2017/03/31")</f>
        <v>89.18194580078125</v>
      </c>
      <c r="O673" s="20" t="str">
        <f>[1]!f_info_fundmanager(C673)</f>
        <v>袁华涛</v>
      </c>
      <c r="P673" s="21">
        <v>1.5397260273972602</v>
      </c>
      <c r="Q673" s="34" t="s">
        <v>2081</v>
      </c>
      <c r="R673" s="34" t="s">
        <v>2082</v>
      </c>
      <c r="S673" s="34" t="s">
        <v>1813</v>
      </c>
      <c r="T673" s="34">
        <v>20130911</v>
      </c>
      <c r="U673" s="45">
        <v>0.31416741009999999</v>
      </c>
      <c r="V673" s="46">
        <v>4.7297514634000004</v>
      </c>
      <c r="W673" s="34" t="s">
        <v>3776</v>
      </c>
      <c r="X673" s="34" t="s">
        <v>41</v>
      </c>
      <c r="Y673" s="34" t="s">
        <v>42</v>
      </c>
      <c r="Z673" s="34" t="s">
        <v>43</v>
      </c>
      <c r="AA673" s="34"/>
      <c r="AB673" s="34"/>
      <c r="AC673" s="22">
        <v>0</v>
      </c>
      <c r="AD673" s="23" t="s">
        <v>1952</v>
      </c>
      <c r="AE673" s="24">
        <v>1.3095890410958904</v>
      </c>
      <c r="AF673" s="25">
        <v>0.19354623668617532</v>
      </c>
      <c r="AG673" s="26">
        <v>0.21271557120910026</v>
      </c>
      <c r="AH673" s="26">
        <v>0</v>
      </c>
      <c r="AI673" s="27">
        <v>1.3536381659204715</v>
      </c>
      <c r="AJ673" s="27">
        <v>1.4175138265611456</v>
      </c>
      <c r="AK673" s="27">
        <v>1.3536381659204715</v>
      </c>
      <c r="AL673" s="28" t="s">
        <v>2083</v>
      </c>
      <c r="AM673" s="29" t="s">
        <v>48</v>
      </c>
      <c r="AN673" s="29" t="s">
        <v>48</v>
      </c>
      <c r="AO673" s="29" t="s">
        <v>48</v>
      </c>
      <c r="AP673" s="47" t="s">
        <v>2084</v>
      </c>
      <c r="AQ673" s="28">
        <v>0</v>
      </c>
      <c r="AR673" s="26">
        <v>1.399999976158142E-2</v>
      </c>
      <c r="AS673" s="26">
        <v>0</v>
      </c>
    </row>
    <row r="674" spans="1:45" x14ac:dyDescent="0.15">
      <c r="A674" s="64">
        <v>356</v>
      </c>
      <c r="B674" s="64">
        <v>429</v>
      </c>
      <c r="C674" s="11">
        <v>1005</v>
      </c>
      <c r="D674" s="61">
        <v>290</v>
      </c>
      <c r="E674" s="61">
        <v>5.4012232742531198E-5</v>
      </c>
      <c r="F674" s="61">
        <v>35</v>
      </c>
      <c r="G674" s="61">
        <v>0.98573162345413301</v>
      </c>
      <c r="H674" s="66">
        <v>188</v>
      </c>
      <c r="I674" s="66" t="str">
        <f>H674&amp;"/"&amp;451</f>
        <v>188/451</v>
      </c>
      <c r="J674" s="68">
        <f>H674/451</f>
        <v>0.41685144124168516</v>
      </c>
      <c r="K674" s="18" t="s">
        <v>44</v>
      </c>
      <c r="L674" s="18" t="s">
        <v>45</v>
      </c>
      <c r="M674" s="58" t="s">
        <v>65</v>
      </c>
      <c r="N674" s="18">
        <f>[1]!f_prt_stocktonav(C674,"2017/03/31")</f>
        <v>86.692367553710938</v>
      </c>
      <c r="O674" s="20" t="str">
        <f>[1]!f_info_fundmanager(C674)</f>
        <v>夏春晖</v>
      </c>
      <c r="P674" s="21">
        <v>0.67123287671232879</v>
      </c>
      <c r="Q674" s="34" t="s">
        <v>1566</v>
      </c>
      <c r="R674" s="34" t="s">
        <v>1567</v>
      </c>
      <c r="S674" s="34" t="s">
        <v>505</v>
      </c>
      <c r="T674" s="34">
        <v>20150211</v>
      </c>
      <c r="U674" s="45">
        <v>0.5553429486</v>
      </c>
      <c r="V674" s="46">
        <v>0.61750769090000002</v>
      </c>
      <c r="W674" s="34" t="s">
        <v>3776</v>
      </c>
      <c r="X674" s="34" t="s">
        <v>44</v>
      </c>
      <c r="Y674" s="34" t="s">
        <v>45</v>
      </c>
      <c r="Z674" s="34" t="s">
        <v>65</v>
      </c>
      <c r="AA674" s="34"/>
      <c r="AB674" s="34"/>
      <c r="AC674" s="22">
        <v>0.75072746276855473</v>
      </c>
      <c r="AD674" s="23" t="s">
        <v>1568</v>
      </c>
      <c r="AE674" s="24">
        <v>0.44109589041095892</v>
      </c>
      <c r="AF674" s="25">
        <v>-0.23477166649932468</v>
      </c>
      <c r="AG674" s="26">
        <v>0</v>
      </c>
      <c r="AH674" s="26">
        <v>0</v>
      </c>
      <c r="AI674" s="27">
        <v>-0.54102308235359875</v>
      </c>
      <c r="AJ674" s="27">
        <v>-0.54102308235359875</v>
      </c>
      <c r="AK674" s="27">
        <v>-0.54102308235359875</v>
      </c>
      <c r="AL674" s="28" t="s">
        <v>1569</v>
      </c>
      <c r="AM674" s="29" t="s">
        <v>48</v>
      </c>
      <c r="AN674" s="29" t="s">
        <v>48</v>
      </c>
      <c r="AO674" s="29" t="s">
        <v>48</v>
      </c>
      <c r="AP674" s="47" t="s">
        <v>1570</v>
      </c>
      <c r="AQ674" s="28">
        <v>0</v>
      </c>
      <c r="AR674" s="26">
        <v>1.4999999999999999E-2</v>
      </c>
      <c r="AS674" s="26">
        <v>0</v>
      </c>
    </row>
    <row r="675" spans="1:45" x14ac:dyDescent="0.15">
      <c r="A675" s="64">
        <v>853</v>
      </c>
      <c r="B675" s="64">
        <v>819</v>
      </c>
      <c r="C675" s="11">
        <v>530003</v>
      </c>
      <c r="D675" s="61">
        <v>291</v>
      </c>
      <c r="E675" s="61">
        <v>5.3938862103214497E-5</v>
      </c>
      <c r="F675" s="61">
        <v>267</v>
      </c>
      <c r="G675" s="61">
        <v>0.95127122071834402</v>
      </c>
      <c r="H675" s="66">
        <v>189</v>
      </c>
      <c r="I675" s="66" t="str">
        <f>H675&amp;"/"&amp;451</f>
        <v>189/451</v>
      </c>
      <c r="J675" s="68">
        <f>H675/451</f>
        <v>0.41906873614190687</v>
      </c>
      <c r="K675" s="18" t="s">
        <v>44</v>
      </c>
      <c r="L675" s="19" t="s">
        <v>45</v>
      </c>
      <c r="M675" s="59" t="s">
        <v>65</v>
      </c>
      <c r="N675" s="18">
        <f>[1]!f_prt_stocktonav(C675,"2017/03/31")</f>
        <v>75.92962646484375</v>
      </c>
      <c r="O675" s="20" t="str">
        <f>[1]!f_info_fundmanager(C675)</f>
        <v>姚锦</v>
      </c>
      <c r="P675" s="21">
        <v>5.1205479452054794</v>
      </c>
      <c r="Q675" s="32" t="s">
        <v>3314</v>
      </c>
      <c r="R675" s="13" t="s">
        <v>3315</v>
      </c>
      <c r="S675" s="13" t="s">
        <v>307</v>
      </c>
      <c r="T675" s="13">
        <v>20060908</v>
      </c>
      <c r="U675" s="14">
        <v>23.179484353300001</v>
      </c>
      <c r="V675" s="15" t="s">
        <v>58</v>
      </c>
      <c r="W675" s="16" t="s">
        <v>40</v>
      </c>
      <c r="X675" s="17" t="s">
        <v>44</v>
      </c>
      <c r="Y675" s="17" t="s">
        <v>45</v>
      </c>
      <c r="Z675" s="17" t="s">
        <v>65</v>
      </c>
      <c r="AA675" s="13"/>
      <c r="AB675" s="13"/>
      <c r="AC675" s="22">
        <v>0.81787979125976562</v>
      </c>
      <c r="AD675" s="23" t="s">
        <v>3316</v>
      </c>
      <c r="AE675" s="24">
        <v>4.8904109589041092</v>
      </c>
      <c r="AF675" s="25">
        <v>0.14014651934430034</v>
      </c>
      <c r="AG675" s="26">
        <v>0.24296313119749002</v>
      </c>
      <c r="AH675" s="26">
        <v>0.1752617038713471</v>
      </c>
      <c r="AI675" s="27">
        <v>0.58431150057869652</v>
      </c>
      <c r="AJ675" s="27">
        <v>0.89739160184149036</v>
      </c>
      <c r="AK675" s="27">
        <v>0.73954662690648376</v>
      </c>
      <c r="AL675" s="28" t="s">
        <v>3317</v>
      </c>
      <c r="AM675" s="29">
        <v>5</v>
      </c>
      <c r="AN675" s="29">
        <v>4</v>
      </c>
      <c r="AO675" s="29" t="s">
        <v>48</v>
      </c>
      <c r="AP675" s="23" t="s">
        <v>3318</v>
      </c>
      <c r="AQ675" s="30">
        <v>0</v>
      </c>
      <c r="AR675" s="31">
        <v>1.4999999999999999E-2</v>
      </c>
      <c r="AS675" s="31">
        <v>0</v>
      </c>
    </row>
    <row r="676" spans="1:45" x14ac:dyDescent="0.15">
      <c r="A676" s="64">
        <v>4</v>
      </c>
      <c r="B676" s="64">
        <v>713</v>
      </c>
      <c r="C676" s="11">
        <v>2179</v>
      </c>
      <c r="D676" s="61">
        <v>293</v>
      </c>
      <c r="E676" s="61">
        <v>2.6278787850530401E-5</v>
      </c>
      <c r="F676" s="61">
        <v>15</v>
      </c>
      <c r="G676" s="61">
        <v>0.989037125934359</v>
      </c>
      <c r="H676" s="66">
        <v>190</v>
      </c>
      <c r="I676" s="66" t="str">
        <f>H676&amp;"/"&amp;451</f>
        <v>190/451</v>
      </c>
      <c r="J676" s="68">
        <f>H676/451</f>
        <v>0.42128603104212858</v>
      </c>
      <c r="K676" s="18" t="s">
        <v>44</v>
      </c>
      <c r="L676" s="19" t="s">
        <v>64</v>
      </c>
      <c r="M676" s="59" t="s">
        <v>65</v>
      </c>
      <c r="N676" s="18">
        <f>[1]!f_prt_stocktonav(C676,"2017/03/31")</f>
        <v>79.605606079101563</v>
      </c>
      <c r="O676" s="20" t="str">
        <f>[1]!f_info_fundmanager(C676)</f>
        <v>牛勇,孙晨进</v>
      </c>
      <c r="P676" s="21">
        <v>0.29315068493150687</v>
      </c>
      <c r="Q676" s="32" t="s">
        <v>61</v>
      </c>
      <c r="R676" s="13" t="s">
        <v>62</v>
      </c>
      <c r="S676" s="13" t="s">
        <v>63</v>
      </c>
      <c r="T676" s="13">
        <v>20161214</v>
      </c>
      <c r="U676" s="14">
        <v>7.4166625800999997</v>
      </c>
      <c r="V676" s="15" t="s">
        <v>3772</v>
      </c>
      <c r="W676" s="16" t="s">
        <v>40</v>
      </c>
      <c r="X676" s="17" t="s">
        <v>44</v>
      </c>
      <c r="Y676" s="17" t="s">
        <v>64</v>
      </c>
      <c r="Z676" s="17" t="s">
        <v>65</v>
      </c>
      <c r="AA676" s="13"/>
      <c r="AB676" s="13"/>
      <c r="AC676" s="22">
        <v>0</v>
      </c>
      <c r="AD676" s="23" t="s">
        <v>66</v>
      </c>
      <c r="AE676" s="24">
        <v>6.3013698630136991E-2</v>
      </c>
      <c r="AF676" s="25">
        <v>2.0474429014387452E-2</v>
      </c>
      <c r="AG676" s="26">
        <v>0</v>
      </c>
      <c r="AH676" s="26">
        <v>0</v>
      </c>
      <c r="AI676" s="27">
        <v>2.1787043221480915</v>
      </c>
      <c r="AJ676" s="27">
        <v>2.1787043221480915</v>
      </c>
      <c r="AK676" s="27">
        <v>2.1787043221480915</v>
      </c>
      <c r="AL676" s="28" t="s">
        <v>67</v>
      </c>
      <c r="AM676" s="29" t="s">
        <v>48</v>
      </c>
      <c r="AN676" s="29" t="s">
        <v>48</v>
      </c>
      <c r="AO676" s="29" t="s">
        <v>48</v>
      </c>
      <c r="AP676" s="23" t="s">
        <v>68</v>
      </c>
      <c r="AQ676" s="30">
        <v>0</v>
      </c>
      <c r="AR676" s="31">
        <v>1.4999999999999999E-2</v>
      </c>
      <c r="AS676" s="31">
        <v>0</v>
      </c>
    </row>
    <row r="677" spans="1:45" x14ac:dyDescent="0.15">
      <c r="A677" s="64">
        <v>71</v>
      </c>
      <c r="B677" s="64">
        <v>597</v>
      </c>
      <c r="C677" s="11">
        <v>2595</v>
      </c>
      <c r="D677" s="61">
        <v>294</v>
      </c>
      <c r="E677" s="61">
        <v>2.5555370061016598E-5</v>
      </c>
      <c r="F677" s="61">
        <v>41</v>
      </c>
      <c r="G677" s="61">
        <v>0.98547778918515505</v>
      </c>
      <c r="H677" s="66">
        <v>191</v>
      </c>
      <c r="I677" s="66" t="str">
        <f>H677&amp;"/"&amp;451</f>
        <v>191/451</v>
      </c>
      <c r="J677" s="68">
        <f>H677/451</f>
        <v>0.42350332594235035</v>
      </c>
      <c r="K677" s="18" t="s">
        <v>44</v>
      </c>
      <c r="L677" s="18" t="s">
        <v>87</v>
      </c>
      <c r="M677" s="58" t="s">
        <v>65</v>
      </c>
      <c r="N677" s="18">
        <f>[1]!f_prt_stocktonav(C677,"2017/03/31")</f>
        <v>82.930229187011719</v>
      </c>
      <c r="O677" s="20" t="str">
        <f>[1]!f_info_fundmanager(C677)</f>
        <v>蔡滨,兰乔</v>
      </c>
      <c r="P677" s="21">
        <v>0.81095890410958904</v>
      </c>
      <c r="Q677" s="34" t="s">
        <v>411</v>
      </c>
      <c r="R677" s="34" t="s">
        <v>412</v>
      </c>
      <c r="S677" s="34" t="s">
        <v>413</v>
      </c>
      <c r="T677" s="34">
        <v>20160608</v>
      </c>
      <c r="U677" s="45">
        <v>0.56153099630000003</v>
      </c>
      <c r="V677" s="46">
        <v>0.82411436019999995</v>
      </c>
      <c r="W677" s="34" t="s">
        <v>3776</v>
      </c>
      <c r="X677" s="34" t="s">
        <v>44</v>
      </c>
      <c r="Y677" s="34" t="s">
        <v>87</v>
      </c>
      <c r="Z677" s="34" t="s">
        <v>65</v>
      </c>
      <c r="AA677" s="34" t="s">
        <v>3777</v>
      </c>
      <c r="AB677" s="34"/>
      <c r="AC677" s="22">
        <v>0.84794685363769529</v>
      </c>
      <c r="AD677" s="23" t="s">
        <v>415</v>
      </c>
      <c r="AE677" s="24">
        <v>0.58082191780821912</v>
      </c>
      <c r="AF677" s="25">
        <v>9.167092994897065E-2</v>
      </c>
      <c r="AG677" s="26">
        <v>0</v>
      </c>
      <c r="AH677" s="26">
        <v>0</v>
      </c>
      <c r="AI677" s="27">
        <v>0.84753814814180006</v>
      </c>
      <c r="AJ677" s="27">
        <v>0.84753814814180006</v>
      </c>
      <c r="AK677" s="27">
        <v>0.84753814814180006</v>
      </c>
      <c r="AL677" s="33" t="s">
        <v>416</v>
      </c>
      <c r="AM677" s="29" t="s">
        <v>48</v>
      </c>
      <c r="AN677" s="29" t="s">
        <v>48</v>
      </c>
      <c r="AO677" s="29" t="s">
        <v>48</v>
      </c>
      <c r="AP677" s="47" t="s">
        <v>417</v>
      </c>
      <c r="AQ677" s="28">
        <v>0</v>
      </c>
      <c r="AR677" s="26">
        <v>1.4999999999999999E-2</v>
      </c>
      <c r="AS677" s="26">
        <v>0</v>
      </c>
    </row>
    <row r="678" spans="1:45" x14ac:dyDescent="0.15">
      <c r="A678" s="64">
        <v>302</v>
      </c>
      <c r="B678" s="64">
        <v>64</v>
      </c>
      <c r="C678" s="11">
        <v>1162</v>
      </c>
      <c r="D678" s="61">
        <v>296</v>
      </c>
      <c r="E678" s="61">
        <v>1.39422607663309E-5</v>
      </c>
      <c r="F678" s="61">
        <v>98</v>
      </c>
      <c r="G678" s="61">
        <v>0.99528772062168103</v>
      </c>
      <c r="H678" s="66">
        <v>192</v>
      </c>
      <c r="I678" s="66" t="str">
        <f>H678&amp;"/"&amp;451</f>
        <v>192/451</v>
      </c>
      <c r="J678" s="68">
        <f>H678/451</f>
        <v>0.42572062084257206</v>
      </c>
      <c r="K678" s="18" t="s">
        <v>44</v>
      </c>
      <c r="L678" s="18" t="s">
        <v>45</v>
      </c>
      <c r="M678" s="58" t="s">
        <v>65</v>
      </c>
      <c r="N678" s="18">
        <f>[1]!f_prt_stocktonav(C678,"2017/03/31")</f>
        <v>94.126319885253906</v>
      </c>
      <c r="O678" s="20" t="str">
        <f>[1]!f_info_fundmanager(C678)</f>
        <v>曲扬</v>
      </c>
      <c r="P678" s="21">
        <v>1.9260273972602739</v>
      </c>
      <c r="Q678" s="34" t="s">
        <v>1367</v>
      </c>
      <c r="R678" s="34" t="s">
        <v>1368</v>
      </c>
      <c r="S678" s="34" t="s">
        <v>78</v>
      </c>
      <c r="T678" s="34">
        <v>20150428</v>
      </c>
      <c r="U678" s="45">
        <v>0.97188422519999995</v>
      </c>
      <c r="V678" s="46">
        <v>0.59281174140000004</v>
      </c>
      <c r="W678" s="34" t="s">
        <v>3776</v>
      </c>
      <c r="X678" s="34" t="s">
        <v>44</v>
      </c>
      <c r="Y678" s="34" t="s">
        <v>45</v>
      </c>
      <c r="Z678" s="34" t="s">
        <v>65</v>
      </c>
      <c r="AA678" s="34"/>
      <c r="AB678" s="34"/>
      <c r="AC678" s="22">
        <v>0.91654212951660152</v>
      </c>
      <c r="AD678" s="23" t="s">
        <v>119</v>
      </c>
      <c r="AE678" s="24">
        <v>1.6958904109589041</v>
      </c>
      <c r="AF678" s="25">
        <v>-5.2669853326309246E-2</v>
      </c>
      <c r="AG678" s="26">
        <v>0</v>
      </c>
      <c r="AH678" s="26">
        <v>0</v>
      </c>
      <c r="AI678" s="27">
        <v>-0.22616410812940746</v>
      </c>
      <c r="AJ678" s="27">
        <v>-0.22616410812940746</v>
      </c>
      <c r="AK678" s="27">
        <v>-0.22616410812940746</v>
      </c>
      <c r="AL678" s="28" t="s">
        <v>276</v>
      </c>
      <c r="AM678" s="29" t="s">
        <v>48</v>
      </c>
      <c r="AN678" s="29" t="s">
        <v>48</v>
      </c>
      <c r="AO678" s="29" t="s">
        <v>48</v>
      </c>
      <c r="AP678" s="47" t="s">
        <v>270</v>
      </c>
      <c r="AQ678" s="28">
        <v>0</v>
      </c>
      <c r="AR678" s="26">
        <v>0.01</v>
      </c>
      <c r="AS678" s="26">
        <v>0</v>
      </c>
    </row>
    <row r="679" spans="1:45" x14ac:dyDescent="0.15">
      <c r="A679" s="64">
        <v>99</v>
      </c>
      <c r="B679" s="64">
        <v>407</v>
      </c>
      <c r="C679" s="11">
        <v>2408</v>
      </c>
      <c r="D679" s="61">
        <v>297</v>
      </c>
      <c r="E679" s="61">
        <v>9.2306290020512295E-6</v>
      </c>
      <c r="F679" s="61">
        <v>50</v>
      </c>
      <c r="G679" s="61">
        <v>0.99049001937525705</v>
      </c>
      <c r="H679" s="66">
        <v>193</v>
      </c>
      <c r="I679" s="66" t="str">
        <f>H679&amp;"/"&amp;451</f>
        <v>193/451</v>
      </c>
      <c r="J679" s="68">
        <f>H679/451</f>
        <v>0.42793791574279377</v>
      </c>
      <c r="K679" s="18" t="s">
        <v>44</v>
      </c>
      <c r="L679" s="18" t="s">
        <v>45</v>
      </c>
      <c r="M679" s="58" t="s">
        <v>65</v>
      </c>
      <c r="N679" s="18">
        <f>[1]!f_prt_stocktonav(C679,"2017/03/31")</f>
        <v>87.336441040039063</v>
      </c>
      <c r="O679" s="20" t="str">
        <f>[1]!f_info_fundmanager(C679)</f>
        <v>刘宁</v>
      </c>
      <c r="P679" s="21">
        <v>0.98356164383561639</v>
      </c>
      <c r="Q679" s="34" t="s">
        <v>535</v>
      </c>
      <c r="R679" s="34" t="s">
        <v>536</v>
      </c>
      <c r="S679" s="34" t="s">
        <v>537</v>
      </c>
      <c r="T679" s="34">
        <v>20160406</v>
      </c>
      <c r="U679" s="45">
        <v>0.46210778730000002</v>
      </c>
      <c r="V679" s="46">
        <v>0.51257838850000004</v>
      </c>
      <c r="W679" s="34" t="s">
        <v>201</v>
      </c>
      <c r="X679" s="34" t="s">
        <v>41</v>
      </c>
      <c r="Y679" s="34" t="s">
        <v>42</v>
      </c>
      <c r="Z679" s="34" t="s">
        <v>388</v>
      </c>
      <c r="AA679" s="34"/>
      <c r="AB679" s="34"/>
      <c r="AC679" s="22">
        <v>1.873805284500122E-2</v>
      </c>
      <c r="AD679" s="23" t="s">
        <v>538</v>
      </c>
      <c r="AE679" s="24">
        <v>0.75342465753424659</v>
      </c>
      <c r="AF679" s="25">
        <v>1.761415434641056E-2</v>
      </c>
      <c r="AG679" s="26">
        <v>0</v>
      </c>
      <c r="AH679" s="26">
        <v>0</v>
      </c>
      <c r="AI679" s="27">
        <v>0.14152935729642607</v>
      </c>
      <c r="AJ679" s="27">
        <v>0.14152935729642607</v>
      </c>
      <c r="AK679" s="27">
        <v>0.14152935729642607</v>
      </c>
      <c r="AL679" s="28" t="s">
        <v>409</v>
      </c>
      <c r="AM679" s="29" t="s">
        <v>48</v>
      </c>
      <c r="AN679" s="29" t="s">
        <v>48</v>
      </c>
      <c r="AO679" s="29" t="s">
        <v>48</v>
      </c>
      <c r="AP679" s="47" t="s">
        <v>539</v>
      </c>
      <c r="AQ679" s="28">
        <v>0</v>
      </c>
      <c r="AR679" s="26">
        <v>1.4999999999999999E-2</v>
      </c>
      <c r="AS679" s="26">
        <v>0</v>
      </c>
    </row>
    <row r="680" spans="1:45" x14ac:dyDescent="0.15">
      <c r="A680" s="64">
        <v>34</v>
      </c>
      <c r="B680" s="64">
        <v>576</v>
      </c>
      <c r="C680" s="11">
        <v>3131</v>
      </c>
      <c r="D680" s="61">
        <v>298</v>
      </c>
      <c r="E680" s="61">
        <v>-4.6715411190112501E-6</v>
      </c>
      <c r="F680" s="61">
        <v>25</v>
      </c>
      <c r="G680" s="61">
        <v>0.99748638218919095</v>
      </c>
      <c r="H680" s="66">
        <v>194</v>
      </c>
      <c r="I680" s="66" t="str">
        <f>H680&amp;"/"&amp;451</f>
        <v>194/451</v>
      </c>
      <c r="J680" s="68">
        <f>H680/451</f>
        <v>0.43015521064301554</v>
      </c>
      <c r="K680" s="18" t="s">
        <v>44</v>
      </c>
      <c r="L680" s="18" t="s">
        <v>45</v>
      </c>
      <c r="M680" s="58" t="s">
        <v>65</v>
      </c>
      <c r="N680" s="18">
        <f>[1]!f_prt_stocktonav(C680,"2017/03/31")</f>
        <v>83.340164184570313</v>
      </c>
      <c r="O680" s="20" t="str">
        <f>[1]!f_info_fundmanager(C680)</f>
        <v>李捷,张琦</v>
      </c>
      <c r="P680" s="21">
        <v>0.50684931506849318</v>
      </c>
      <c r="Q680" s="34" t="s">
        <v>222</v>
      </c>
      <c r="R680" s="34" t="s">
        <v>223</v>
      </c>
      <c r="S680" s="34" t="s">
        <v>224</v>
      </c>
      <c r="T680" s="34">
        <v>20160927</v>
      </c>
      <c r="U680" s="45">
        <v>3.9238629819000002</v>
      </c>
      <c r="V680" s="46">
        <v>4.9664000413</v>
      </c>
      <c r="W680" s="34" t="s">
        <v>201</v>
      </c>
      <c r="X680" s="34" t="s">
        <v>41</v>
      </c>
      <c r="Y680" s="34" t="s">
        <v>42</v>
      </c>
      <c r="Z680" s="34" t="s">
        <v>43</v>
      </c>
      <c r="AA680" s="34"/>
      <c r="AB680" s="34"/>
      <c r="AC680" s="22">
        <v>0.53227416992187504</v>
      </c>
      <c r="AD680" s="23" t="s">
        <v>225</v>
      </c>
      <c r="AE680" s="24">
        <v>0.27671232876712326</v>
      </c>
      <c r="AF680" s="25">
        <v>-2.1873510783418149E-2</v>
      </c>
      <c r="AG680" s="26">
        <v>0</v>
      </c>
      <c r="AH680" s="26">
        <v>0</v>
      </c>
      <c r="AI680" s="27">
        <v>-0.80476018642925728</v>
      </c>
      <c r="AJ680" s="27">
        <v>-0.80476018642925728</v>
      </c>
      <c r="AK680" s="27">
        <v>-0.80476018642925728</v>
      </c>
      <c r="AL680" s="28" t="s">
        <v>226</v>
      </c>
      <c r="AM680" s="29" t="s">
        <v>48</v>
      </c>
      <c r="AN680" s="29" t="s">
        <v>48</v>
      </c>
      <c r="AO680" s="29" t="s">
        <v>48</v>
      </c>
      <c r="AP680" s="47" t="s">
        <v>227</v>
      </c>
      <c r="AQ680" s="28">
        <v>0</v>
      </c>
      <c r="AR680" s="26">
        <v>1.4999999999999999E-2</v>
      </c>
      <c r="AS680" s="26">
        <v>0</v>
      </c>
    </row>
    <row r="681" spans="1:45" x14ac:dyDescent="0.15">
      <c r="A681" s="64">
        <v>719</v>
      </c>
      <c r="B681" s="64">
        <v>876</v>
      </c>
      <c r="C681" s="11">
        <v>400011</v>
      </c>
      <c r="D681" s="61">
        <v>299</v>
      </c>
      <c r="E681" s="61">
        <v>-1.3911908732065199E-5</v>
      </c>
      <c r="F681" s="61">
        <v>100</v>
      </c>
      <c r="G681" s="61">
        <v>0.99180041201782798</v>
      </c>
      <c r="H681" s="66">
        <v>195</v>
      </c>
      <c r="I681" s="66" t="str">
        <f>H681&amp;"/"&amp;451</f>
        <v>195/451</v>
      </c>
      <c r="J681" s="68">
        <f>H681/451</f>
        <v>0.43237250554323725</v>
      </c>
      <c r="K681" s="18" t="s">
        <v>44</v>
      </c>
      <c r="L681" s="18" t="s">
        <v>45</v>
      </c>
      <c r="M681" s="58" t="s">
        <v>65</v>
      </c>
      <c r="N681" s="18">
        <f>[1]!f_prt_stocktonav(C681,"2017/03/31")</f>
        <v>73.667121887207031</v>
      </c>
      <c r="O681" s="20" t="str">
        <f>[1]!f_info_fundmanager(C681)</f>
        <v>薛子徵,朱晓栋</v>
      </c>
      <c r="P681" s="21">
        <v>1.9205479452054794</v>
      </c>
      <c r="Q681" s="34" t="s">
        <v>2843</v>
      </c>
      <c r="R681" s="34" t="s">
        <v>2844</v>
      </c>
      <c r="S681" s="34" t="s">
        <v>252</v>
      </c>
      <c r="T681" s="34">
        <v>20090624</v>
      </c>
      <c r="U681" s="45">
        <v>0.50823265009999996</v>
      </c>
      <c r="V681" s="46">
        <v>0.61279865529999999</v>
      </c>
      <c r="W681" s="34" t="s">
        <v>1235</v>
      </c>
      <c r="X681" s="34" t="s">
        <v>41</v>
      </c>
      <c r="Y681" s="34" t="s">
        <v>42</v>
      </c>
      <c r="Z681" s="34" t="s">
        <v>181</v>
      </c>
      <c r="AA681" s="34"/>
      <c r="AB681" s="34"/>
      <c r="AC681" s="22">
        <v>0.65258956909179688</v>
      </c>
      <c r="AD681" s="23" t="s">
        <v>253</v>
      </c>
      <c r="AE681" s="24">
        <v>1.6904109589041096</v>
      </c>
      <c r="AF681" s="25">
        <v>5.0975117390976932E-2</v>
      </c>
      <c r="AG681" s="26">
        <v>0.20187655535205984</v>
      </c>
      <c r="AH681" s="26">
        <v>0.14835105861643583</v>
      </c>
      <c r="AI681" s="27">
        <v>0.26793446421580946</v>
      </c>
      <c r="AJ681" s="27">
        <v>0.76435268115164601</v>
      </c>
      <c r="AK681" s="27">
        <v>0.63747892487817615</v>
      </c>
      <c r="AL681" s="28" t="s">
        <v>276</v>
      </c>
      <c r="AM681" s="29">
        <v>4</v>
      </c>
      <c r="AN681" s="29">
        <v>3</v>
      </c>
      <c r="AO681" s="29" t="s">
        <v>48</v>
      </c>
      <c r="AP681" s="47" t="s">
        <v>410</v>
      </c>
      <c r="AQ681" s="28" t="s">
        <v>2845</v>
      </c>
      <c r="AR681" s="26">
        <v>1.4999999999999999E-2</v>
      </c>
      <c r="AS681" s="26">
        <v>0</v>
      </c>
    </row>
    <row r="682" spans="1:45" x14ac:dyDescent="0.15">
      <c r="A682" s="64">
        <v>40</v>
      </c>
      <c r="B682" s="64">
        <v>646</v>
      </c>
      <c r="C682" s="11">
        <v>2980</v>
      </c>
      <c r="D682" s="61">
        <v>300</v>
      </c>
      <c r="E682" s="61">
        <v>-2.94614503676149E-5</v>
      </c>
      <c r="F682" s="61">
        <v>28</v>
      </c>
      <c r="G682" s="61">
        <v>0.98522302804587203</v>
      </c>
      <c r="H682" s="66">
        <v>196</v>
      </c>
      <c r="I682" s="66" t="str">
        <f>H682&amp;"/"&amp;451</f>
        <v>196/451</v>
      </c>
      <c r="J682" s="68">
        <f>H682/451</f>
        <v>0.43458980044345896</v>
      </c>
      <c r="K682" s="18" t="s">
        <v>44</v>
      </c>
      <c r="L682" s="18" t="s">
        <v>45</v>
      </c>
      <c r="M682" s="58" t="s">
        <v>65</v>
      </c>
      <c r="N682" s="18">
        <f>[1]!f_prt_stocktonav(C682,"2017/03/31")</f>
        <v>81.545616149902344</v>
      </c>
      <c r="O682" s="20" t="str">
        <f>[1]!f_info_fundmanager(C682)</f>
        <v>郑煜</v>
      </c>
      <c r="P682" s="21">
        <v>0.56164383561643838</v>
      </c>
      <c r="Q682" s="34" t="s">
        <v>256</v>
      </c>
      <c r="R682" s="34" t="s">
        <v>257</v>
      </c>
      <c r="S682" s="34" t="s">
        <v>143</v>
      </c>
      <c r="T682" s="34">
        <v>20160907</v>
      </c>
      <c r="U682" s="45">
        <v>9.8668696135000005</v>
      </c>
      <c r="V682" s="46">
        <v>13.244080350000001</v>
      </c>
      <c r="W682" s="34" t="s">
        <v>1235</v>
      </c>
      <c r="X682" s="34" t="s">
        <v>41</v>
      </c>
      <c r="Y682" s="34" t="s">
        <v>42</v>
      </c>
      <c r="Z682" s="34" t="s">
        <v>43</v>
      </c>
      <c r="AA682" s="34"/>
      <c r="AB682" s="34"/>
      <c r="AC682" s="22">
        <v>0.5219866180419922</v>
      </c>
      <c r="AD682" s="23" t="s">
        <v>258</v>
      </c>
      <c r="AE682" s="24">
        <v>0.33150684931506852</v>
      </c>
      <c r="AF682" s="25">
        <v>-5.8574189747987331E-2</v>
      </c>
      <c r="AG682" s="26">
        <v>0</v>
      </c>
      <c r="AH682" s="26">
        <v>0</v>
      </c>
      <c r="AI682" s="27">
        <v>-1.831154400400955</v>
      </c>
      <c r="AJ682" s="27">
        <v>-1.831154400400955</v>
      </c>
      <c r="AK682" s="27">
        <v>-1.831154400400955</v>
      </c>
      <c r="AL682" s="28" t="s">
        <v>259</v>
      </c>
      <c r="AM682" s="29" t="s">
        <v>48</v>
      </c>
      <c r="AN682" s="29" t="s">
        <v>48</v>
      </c>
      <c r="AO682" s="29" t="s">
        <v>48</v>
      </c>
      <c r="AP682" s="47" t="s">
        <v>260</v>
      </c>
      <c r="AQ682" s="28">
        <v>0</v>
      </c>
      <c r="AR682" s="26">
        <v>1.4999999999999999E-2</v>
      </c>
      <c r="AS682" s="26">
        <v>0</v>
      </c>
    </row>
    <row r="683" spans="1:45" x14ac:dyDescent="0.15">
      <c r="A683" s="64">
        <v>299</v>
      </c>
      <c r="B683" s="64">
        <v>850</v>
      </c>
      <c r="C683" s="11">
        <v>1209</v>
      </c>
      <c r="D683" s="61">
        <v>301</v>
      </c>
      <c r="E683" s="61">
        <v>-3.7221700449349199E-5</v>
      </c>
      <c r="F683" s="61">
        <v>98</v>
      </c>
      <c r="G683" s="61">
        <v>0.97291191288373902</v>
      </c>
      <c r="H683" s="66">
        <v>197</v>
      </c>
      <c r="I683" s="66" t="str">
        <f>H683&amp;"/"&amp;451</f>
        <v>197/451</v>
      </c>
      <c r="J683" s="68">
        <f>H683/451</f>
        <v>0.43680709534368073</v>
      </c>
      <c r="K683" s="18" t="s">
        <v>44</v>
      </c>
      <c r="L683" s="18" t="s">
        <v>87</v>
      </c>
      <c r="M683" s="58" t="s">
        <v>65</v>
      </c>
      <c r="N683" s="18">
        <f>[1]!f_prt_stocktonav(C683,"2017/03/31")</f>
        <v>74.354972839355469</v>
      </c>
      <c r="O683" s="20" t="str">
        <f>[1]!f_info_fundmanager(C683)</f>
        <v>薛小波,徐立平</v>
      </c>
      <c r="P683" s="21">
        <v>1.9232876712328768</v>
      </c>
      <c r="Q683" s="34" t="s">
        <v>1356</v>
      </c>
      <c r="R683" s="34" t="s">
        <v>1357</v>
      </c>
      <c r="S683" s="34" t="s">
        <v>78</v>
      </c>
      <c r="T683" s="34">
        <v>20150429</v>
      </c>
      <c r="U683" s="45">
        <v>3.4731217185999999</v>
      </c>
      <c r="V683" s="46">
        <v>4.3903914172</v>
      </c>
      <c r="W683" s="34" t="s">
        <v>1235</v>
      </c>
      <c r="X683" s="34" t="s">
        <v>44</v>
      </c>
      <c r="Y683" s="34" t="s">
        <v>87</v>
      </c>
      <c r="Z683" s="34" t="s">
        <v>817</v>
      </c>
      <c r="AA683" s="34" t="s">
        <v>3806</v>
      </c>
      <c r="AB683" s="34"/>
      <c r="AC683" s="22">
        <v>0.94796806335449224</v>
      </c>
      <c r="AD683" s="23" t="s">
        <v>1359</v>
      </c>
      <c r="AE683" s="24">
        <v>1.6931506849315068</v>
      </c>
      <c r="AF683" s="25">
        <v>3.5682698696568593E-3</v>
      </c>
      <c r="AG683" s="26">
        <v>0</v>
      </c>
      <c r="AH683" s="26">
        <v>0</v>
      </c>
      <c r="AI683" s="27">
        <v>-0.10276798003211914</v>
      </c>
      <c r="AJ683" s="27">
        <v>-0.10276798003211914</v>
      </c>
      <c r="AK683" s="27">
        <v>-0.10276798003211914</v>
      </c>
      <c r="AL683" s="33" t="s">
        <v>196</v>
      </c>
      <c r="AM683" s="29" t="s">
        <v>48</v>
      </c>
      <c r="AN683" s="29" t="s">
        <v>48</v>
      </c>
      <c r="AO683" s="29" t="s">
        <v>48</v>
      </c>
      <c r="AP683" s="47" t="s">
        <v>270</v>
      </c>
      <c r="AQ683" s="28">
        <v>0</v>
      </c>
      <c r="AR683" s="26">
        <v>1.4999999999999999E-2</v>
      </c>
      <c r="AS683" s="26">
        <v>0</v>
      </c>
    </row>
    <row r="684" spans="1:45" x14ac:dyDescent="0.15">
      <c r="A684" s="64">
        <v>61</v>
      </c>
      <c r="B684" s="64">
        <v>860</v>
      </c>
      <c r="C684" s="11">
        <v>2732</v>
      </c>
      <c r="D684" s="61">
        <v>305</v>
      </c>
      <c r="E684" s="61">
        <v>-6.8568805721326096E-5</v>
      </c>
      <c r="F684" s="61">
        <v>37</v>
      </c>
      <c r="G684" s="61">
        <v>0.96967117346084697</v>
      </c>
      <c r="H684" s="66">
        <v>198</v>
      </c>
      <c r="I684" s="66" t="str">
        <f>H684&amp;"/"&amp;451</f>
        <v>198/451</v>
      </c>
      <c r="J684" s="68">
        <f>H684/451</f>
        <v>0.43902439024390244</v>
      </c>
      <c r="K684" s="18" t="s">
        <v>44</v>
      </c>
      <c r="L684" s="18" t="s">
        <v>45</v>
      </c>
      <c r="M684" s="58" t="s">
        <v>65</v>
      </c>
      <c r="N684" s="18">
        <f>[1]!f_prt_stocktonav(C684,"2017/03/31")</f>
        <v>74.055755615234375</v>
      </c>
      <c r="O684" s="20" t="str">
        <f>[1]!f_info_fundmanager(C684)</f>
        <v>吴达</v>
      </c>
      <c r="P684" s="21">
        <v>0.73698630136986298</v>
      </c>
      <c r="Q684" s="34" t="s">
        <v>362</v>
      </c>
      <c r="R684" s="34" t="s">
        <v>363</v>
      </c>
      <c r="S684" s="34" t="s">
        <v>364</v>
      </c>
      <c r="T684" s="34">
        <v>20160705</v>
      </c>
      <c r="U684" s="45">
        <v>0.53581608059999997</v>
      </c>
      <c r="V684" s="46">
        <v>0.94559115120000004</v>
      </c>
      <c r="W684" s="34" t="s">
        <v>201</v>
      </c>
      <c r="X684" s="34" t="s">
        <v>44</v>
      </c>
      <c r="Y684" s="34" t="s">
        <v>45</v>
      </c>
      <c r="Z684" s="34" t="s">
        <v>65</v>
      </c>
      <c r="AA684" s="34"/>
      <c r="AB684" s="34"/>
      <c r="AC684" s="22">
        <v>0.72509643554687497</v>
      </c>
      <c r="AD684" s="23" t="s">
        <v>365</v>
      </c>
      <c r="AE684" s="24">
        <v>0.50684931506849318</v>
      </c>
      <c r="AF684" s="25">
        <v>-7.1649954162576579E-2</v>
      </c>
      <c r="AG684" s="26">
        <v>0</v>
      </c>
      <c r="AH684" s="26">
        <v>0</v>
      </c>
      <c r="AI684" s="27">
        <v>-1.3155906555580021</v>
      </c>
      <c r="AJ684" s="27">
        <v>-1.3155906555580021</v>
      </c>
      <c r="AK684" s="27">
        <v>-1.3155906555580021</v>
      </c>
      <c r="AL684" s="28" t="s">
        <v>366</v>
      </c>
      <c r="AM684" s="29" t="s">
        <v>48</v>
      </c>
      <c r="AN684" s="29" t="s">
        <v>48</v>
      </c>
      <c r="AO684" s="29" t="s">
        <v>48</v>
      </c>
      <c r="AP684" s="47" t="s">
        <v>367</v>
      </c>
      <c r="AQ684" s="28">
        <v>0</v>
      </c>
      <c r="AR684" s="26">
        <v>1.4999999999999999E-2</v>
      </c>
      <c r="AS684" s="26">
        <v>0</v>
      </c>
    </row>
    <row r="685" spans="1:45" x14ac:dyDescent="0.15">
      <c r="A685" s="64">
        <v>503</v>
      </c>
      <c r="B685" s="64">
        <v>894</v>
      </c>
      <c r="C685" s="11">
        <v>124</v>
      </c>
      <c r="D685" s="61">
        <v>307</v>
      </c>
      <c r="E685" s="61">
        <v>-8.1674139806746506E-5</v>
      </c>
      <c r="F685" s="61">
        <v>127</v>
      </c>
      <c r="G685" s="61">
        <v>0.96516138820839403</v>
      </c>
      <c r="H685" s="66">
        <v>199</v>
      </c>
      <c r="I685" s="66" t="str">
        <f>H685&amp;"/"&amp;451</f>
        <v>199/451</v>
      </c>
      <c r="J685" s="68">
        <f>H685/451</f>
        <v>0.44124168514412415</v>
      </c>
      <c r="K685" s="18" t="s">
        <v>44</v>
      </c>
      <c r="L685" s="18" t="s">
        <v>87</v>
      </c>
      <c r="M685" s="58" t="s">
        <v>65</v>
      </c>
      <c r="N685" s="18">
        <f>[1]!f_prt_stocktonav(C685,"2017/03/31")</f>
        <v>72.925132751464844</v>
      </c>
      <c r="O685" s="20" t="str">
        <f>[1]!f_info_fundmanager(C685)</f>
        <v>楼鸿强</v>
      </c>
      <c r="P685" s="21">
        <v>2.441095890410959</v>
      </c>
      <c r="Q685" s="34" t="s">
        <v>2111</v>
      </c>
      <c r="R685" s="34" t="s">
        <v>2112</v>
      </c>
      <c r="S685" s="34" t="s">
        <v>737</v>
      </c>
      <c r="T685" s="34">
        <v>20130627</v>
      </c>
      <c r="U685" s="45">
        <v>17.433765113900002</v>
      </c>
      <c r="V685" s="46">
        <v>20.773002546000001</v>
      </c>
      <c r="W685" s="34" t="s">
        <v>3789</v>
      </c>
      <c r="X685" s="34" t="s">
        <v>44</v>
      </c>
      <c r="Y685" s="34" t="s">
        <v>45</v>
      </c>
      <c r="Z685" s="34" t="s">
        <v>65</v>
      </c>
      <c r="AA685" s="34"/>
      <c r="AB685" s="34"/>
      <c r="AC685" s="22">
        <v>0.79697601318359379</v>
      </c>
      <c r="AD685" s="23" t="s">
        <v>1065</v>
      </c>
      <c r="AE685" s="24">
        <v>2.2109589041095892</v>
      </c>
      <c r="AF685" s="25">
        <v>0.19256923180268282</v>
      </c>
      <c r="AG685" s="26">
        <v>0.20839454372483512</v>
      </c>
      <c r="AH685" s="26">
        <v>0</v>
      </c>
      <c r="AI685" s="27">
        <v>0.63816531900878937</v>
      </c>
      <c r="AJ685" s="27">
        <v>0.63552638315527477</v>
      </c>
      <c r="AK685" s="27">
        <v>0.63816531900878937</v>
      </c>
      <c r="AL685" s="28" t="s">
        <v>2113</v>
      </c>
      <c r="AM685" s="29" t="s">
        <v>48</v>
      </c>
      <c r="AN685" s="29" t="s">
        <v>48</v>
      </c>
      <c r="AO685" s="29" t="s">
        <v>48</v>
      </c>
      <c r="AP685" s="47" t="s">
        <v>739</v>
      </c>
      <c r="AQ685" s="28">
        <v>0</v>
      </c>
      <c r="AR685" s="26">
        <v>1.4999999999999999E-2</v>
      </c>
      <c r="AS685" s="26">
        <v>0</v>
      </c>
    </row>
    <row r="686" spans="1:45" x14ac:dyDescent="0.15">
      <c r="A686" s="64">
        <v>48</v>
      </c>
      <c r="B686" s="64">
        <v>204</v>
      </c>
      <c r="C686" s="11">
        <v>2989</v>
      </c>
      <c r="D686" s="61">
        <v>308</v>
      </c>
      <c r="E686" s="61">
        <v>-8.9999443129586604E-5</v>
      </c>
      <c r="F686" s="61">
        <v>32</v>
      </c>
      <c r="G686" s="61">
        <v>0.95577649845430401</v>
      </c>
      <c r="H686" s="66">
        <v>200</v>
      </c>
      <c r="I686" s="66" t="str">
        <f>H686&amp;"/"&amp;451</f>
        <v>200/451</v>
      </c>
      <c r="J686" s="68">
        <f>H686/451</f>
        <v>0.44345898004434592</v>
      </c>
      <c r="K686" s="18" t="s">
        <v>44</v>
      </c>
      <c r="L686" s="18" t="s">
        <v>45</v>
      </c>
      <c r="M686" s="58" t="s">
        <v>65</v>
      </c>
      <c r="N686" s="18">
        <f>[1]!f_prt_stocktonav(C686,"2017/03/31")</f>
        <v>91.74163818359375</v>
      </c>
      <c r="O686" s="20" t="str">
        <f>[1]!f_info_fundmanager(C686)</f>
        <v>张延闽</v>
      </c>
      <c r="P686" s="21">
        <v>0.63287671232876708</v>
      </c>
      <c r="Q686" s="34" t="s">
        <v>297</v>
      </c>
      <c r="R686" s="34" t="s">
        <v>298</v>
      </c>
      <c r="S686" s="34" t="s">
        <v>230</v>
      </c>
      <c r="T686" s="34">
        <v>20160812</v>
      </c>
      <c r="U686" s="45">
        <v>8.8428399185999993</v>
      </c>
      <c r="V686" s="46">
        <v>13.346497361200001</v>
      </c>
      <c r="W686" s="34" t="s">
        <v>201</v>
      </c>
      <c r="X686" s="34" t="s">
        <v>44</v>
      </c>
      <c r="Y686" s="17" t="s">
        <v>45</v>
      </c>
      <c r="Z686" s="17" t="s">
        <v>65</v>
      </c>
      <c r="AA686" s="34"/>
      <c r="AB686" s="34"/>
      <c r="AC686" s="22">
        <v>0.90845405578613281</v>
      </c>
      <c r="AD686" s="23" t="s">
        <v>299</v>
      </c>
      <c r="AE686" s="24">
        <v>0.40273972602739727</v>
      </c>
      <c r="AF686" s="25">
        <v>-5.3487216715450196E-2</v>
      </c>
      <c r="AG686" s="26">
        <v>0</v>
      </c>
      <c r="AH686" s="26">
        <v>0</v>
      </c>
      <c r="AI686" s="27">
        <v>-0.81790252318266976</v>
      </c>
      <c r="AJ686" s="27">
        <v>-0.81790252318266976</v>
      </c>
      <c r="AK686" s="27">
        <v>-0.81790252318266976</v>
      </c>
      <c r="AL686" s="28" t="s">
        <v>291</v>
      </c>
      <c r="AM686" s="29">
        <v>1</v>
      </c>
      <c r="AN686" s="29">
        <v>3</v>
      </c>
      <c r="AO686" s="29" t="s">
        <v>48</v>
      </c>
      <c r="AP686" s="47" t="s">
        <v>300</v>
      </c>
      <c r="AQ686" s="28">
        <v>0</v>
      </c>
      <c r="AR686" s="26">
        <v>1.4999999999999999E-2</v>
      </c>
      <c r="AS686" s="26">
        <v>0</v>
      </c>
    </row>
    <row r="687" spans="1:45" x14ac:dyDescent="0.15">
      <c r="A687" s="64">
        <v>837</v>
      </c>
      <c r="B687" s="64">
        <v>76</v>
      </c>
      <c r="C687" s="11">
        <v>180012</v>
      </c>
      <c r="D687" s="61">
        <v>309</v>
      </c>
      <c r="E687" s="61">
        <v>-9.4859216019770398E-5</v>
      </c>
      <c r="F687" s="61">
        <v>179</v>
      </c>
      <c r="G687" s="61">
        <v>0.92998348621348204</v>
      </c>
      <c r="H687" s="66">
        <v>201</v>
      </c>
      <c r="I687" s="66" t="str">
        <f>H687&amp;"/"&amp;451</f>
        <v>201/451</v>
      </c>
      <c r="J687" s="68">
        <f>H687/451</f>
        <v>0.44567627494456763</v>
      </c>
      <c r="K687" s="18" t="s">
        <v>44</v>
      </c>
      <c r="L687" s="18" t="s">
        <v>87</v>
      </c>
      <c r="M687" s="58" t="s">
        <v>65</v>
      </c>
      <c r="N687" s="18">
        <f>[1]!f_prt_stocktonav(C687,"2017/03/31")</f>
        <v>93.977043151855469</v>
      </c>
      <c r="O687" s="20" t="str">
        <f>[1]!f_info_fundmanager(C687)</f>
        <v>周可彦</v>
      </c>
      <c r="P687" s="21">
        <v>3.441095890410959</v>
      </c>
      <c r="Q687" s="34" t="s">
        <v>3252</v>
      </c>
      <c r="R687" s="34" t="s">
        <v>3253</v>
      </c>
      <c r="S687" s="34" t="s">
        <v>57</v>
      </c>
      <c r="T687" s="34">
        <v>20061116</v>
      </c>
      <c r="U687" s="45">
        <v>32.816804014600002</v>
      </c>
      <c r="V687" s="46">
        <v>31.7887132599</v>
      </c>
      <c r="W687" s="34" t="s">
        <v>201</v>
      </c>
      <c r="X687" s="34" t="s">
        <v>44</v>
      </c>
      <c r="Y687" s="34" t="s">
        <v>87</v>
      </c>
      <c r="Z687" s="34" t="s">
        <v>65</v>
      </c>
      <c r="AA687" s="34" t="s">
        <v>3840</v>
      </c>
      <c r="AB687" s="34"/>
      <c r="AC687" s="22">
        <v>0.84400772094726562</v>
      </c>
      <c r="AD687" s="23" t="s">
        <v>303</v>
      </c>
      <c r="AE687" s="24">
        <v>3.2109589041095892</v>
      </c>
      <c r="AF687" s="25">
        <v>0.14074133913921028</v>
      </c>
      <c r="AG687" s="26">
        <v>0.20456778775819884</v>
      </c>
      <c r="AH687" s="26">
        <v>0.13824579509452439</v>
      </c>
      <c r="AI687" s="27">
        <v>0.59407544214879604</v>
      </c>
      <c r="AJ687" s="27">
        <v>0.83728602692517484</v>
      </c>
      <c r="AK687" s="27">
        <v>0.62942312065572026</v>
      </c>
      <c r="AL687" s="33" t="s">
        <v>110</v>
      </c>
      <c r="AM687" s="29">
        <v>3</v>
      </c>
      <c r="AN687" s="29">
        <v>3</v>
      </c>
      <c r="AO687" s="29" t="s">
        <v>48</v>
      </c>
      <c r="AP687" s="47" t="s">
        <v>3255</v>
      </c>
      <c r="AQ687" s="28">
        <v>0</v>
      </c>
      <c r="AR687" s="26">
        <v>1.4999999999999999E-2</v>
      </c>
      <c r="AS687" s="26">
        <v>0</v>
      </c>
    </row>
    <row r="688" spans="1:45" x14ac:dyDescent="0.15">
      <c r="A688" s="64">
        <v>142</v>
      </c>
      <c r="B688" s="64">
        <v>453</v>
      </c>
      <c r="C688" s="11">
        <v>1972</v>
      </c>
      <c r="D688" s="61">
        <v>311</v>
      </c>
      <c r="E688" s="61">
        <v>-1.05269697596987E-4</v>
      </c>
      <c r="F688" s="61">
        <v>59</v>
      </c>
      <c r="G688" s="61">
        <v>0.94804006298557297</v>
      </c>
      <c r="H688" s="66">
        <v>202</v>
      </c>
      <c r="I688" s="66" t="str">
        <f>H688&amp;"/"&amp;451</f>
        <v>202/451</v>
      </c>
      <c r="J688" s="68">
        <f>H688/451</f>
        <v>0.44789356984478934</v>
      </c>
      <c r="K688" s="18" t="s">
        <v>44</v>
      </c>
      <c r="L688" s="18" t="s">
        <v>45</v>
      </c>
      <c r="M688" s="58" t="s">
        <v>65</v>
      </c>
      <c r="N688" s="18">
        <f>[1]!f_prt_stocktonav(C688,"2017/03/31")</f>
        <v>86.197074890136719</v>
      </c>
      <c r="O688" s="20" t="str">
        <f>[1]!f_info_fundmanager(C688)</f>
        <v>赵雪芹</v>
      </c>
      <c r="P688" s="21">
        <v>1.178082191780822</v>
      </c>
      <c r="Q688" s="34" t="s">
        <v>728</v>
      </c>
      <c r="R688" s="34" t="s">
        <v>729</v>
      </c>
      <c r="S688" s="34" t="s">
        <v>78</v>
      </c>
      <c r="T688" s="34">
        <v>20160126</v>
      </c>
      <c r="U688" s="45">
        <v>1.0408708909</v>
      </c>
      <c r="V688" s="46">
        <v>1.0725020048</v>
      </c>
      <c r="W688" s="34" t="s">
        <v>3776</v>
      </c>
      <c r="X688" s="34" t="s">
        <v>44</v>
      </c>
      <c r="Y688" s="17" t="s">
        <v>45</v>
      </c>
      <c r="Z688" s="17" t="s">
        <v>65</v>
      </c>
      <c r="AA688" s="34"/>
      <c r="AB688" s="34"/>
      <c r="AC688" s="22">
        <v>0.77507133483886714</v>
      </c>
      <c r="AD688" s="23" t="s">
        <v>730</v>
      </c>
      <c r="AE688" s="24">
        <v>0.94794520547945205</v>
      </c>
      <c r="AF688" s="25">
        <v>0.12789016099427553</v>
      </c>
      <c r="AG688" s="26">
        <v>0</v>
      </c>
      <c r="AH688" s="26">
        <v>0</v>
      </c>
      <c r="AI688" s="27">
        <v>0.95134901557194684</v>
      </c>
      <c r="AJ688" s="27">
        <v>0.95134901557194684</v>
      </c>
      <c r="AK688" s="27">
        <v>0.95134901557194684</v>
      </c>
      <c r="AL688" s="28" t="s">
        <v>196</v>
      </c>
      <c r="AM688" s="29" t="s">
        <v>48</v>
      </c>
      <c r="AN688" s="29" t="s">
        <v>48</v>
      </c>
      <c r="AO688" s="29" t="s">
        <v>48</v>
      </c>
      <c r="AP688" s="47" t="s">
        <v>270</v>
      </c>
      <c r="AQ688" s="28">
        <v>0</v>
      </c>
      <c r="AR688" s="26">
        <v>1.4999999999999999E-2</v>
      </c>
      <c r="AS688" s="26">
        <v>0</v>
      </c>
    </row>
    <row r="689" spans="1:45" x14ac:dyDescent="0.15">
      <c r="A689" s="64">
        <v>654</v>
      </c>
      <c r="B689" s="64">
        <v>816</v>
      </c>
      <c r="C689" s="11">
        <v>320012</v>
      </c>
      <c r="D689" s="61">
        <v>312</v>
      </c>
      <c r="E689" s="61">
        <v>-1.17006720969118E-4</v>
      </c>
      <c r="F689" s="61">
        <v>79</v>
      </c>
      <c r="G689" s="61">
        <v>0.93947623130024605</v>
      </c>
      <c r="H689" s="66">
        <v>203</v>
      </c>
      <c r="I689" s="66" t="str">
        <f>H689&amp;"/"&amp;451</f>
        <v>203/451</v>
      </c>
      <c r="J689" s="68">
        <f>H689/451</f>
        <v>0.45011086474501111</v>
      </c>
      <c r="K689" s="18" t="s">
        <v>44</v>
      </c>
      <c r="L689" s="18" t="s">
        <v>87</v>
      </c>
      <c r="M689" s="58" t="s">
        <v>65</v>
      </c>
      <c r="N689" s="18">
        <f>[1]!f_prt_stocktonav(C689,"2017/03/31")</f>
        <v>76.01318359375</v>
      </c>
      <c r="O689" s="20" t="str">
        <f>[1]!f_info_fundmanager(C689)</f>
        <v>罗春蕾</v>
      </c>
      <c r="P689" s="21">
        <v>1.5123287671232877</v>
      </c>
      <c r="Q689" s="34" t="s">
        <v>2635</v>
      </c>
      <c r="R689" s="34" t="s">
        <v>2636</v>
      </c>
      <c r="S689" s="34" t="s">
        <v>955</v>
      </c>
      <c r="T689" s="34">
        <v>20100915</v>
      </c>
      <c r="U689" s="45">
        <v>1.9753945075999999</v>
      </c>
      <c r="V689" s="46">
        <v>2.0793939876</v>
      </c>
      <c r="W689" s="34" t="s">
        <v>201</v>
      </c>
      <c r="X689" s="34" t="s">
        <v>41</v>
      </c>
      <c r="Y689" s="17" t="s">
        <v>42</v>
      </c>
      <c r="Z689" s="17" t="s">
        <v>181</v>
      </c>
      <c r="AA689" s="34"/>
      <c r="AB689" s="34"/>
      <c r="AC689" s="22">
        <v>0.6726110076904297</v>
      </c>
      <c r="AD689" s="23" t="s">
        <v>2637</v>
      </c>
      <c r="AE689" s="24">
        <v>1.2821917808219179</v>
      </c>
      <c r="AF689" s="25">
        <v>8.78380750920984E-2</v>
      </c>
      <c r="AG689" s="26">
        <v>0.19304531535499556</v>
      </c>
      <c r="AH689" s="26">
        <v>0.1650268728312756</v>
      </c>
      <c r="AI689" s="27">
        <v>0.43151290077869148</v>
      </c>
      <c r="AJ689" s="27">
        <v>0.77320040864326434</v>
      </c>
      <c r="AK689" s="27">
        <v>0.72472342056683581</v>
      </c>
      <c r="AL689" s="28" t="s">
        <v>2119</v>
      </c>
      <c r="AM689" s="29">
        <v>5</v>
      </c>
      <c r="AN689" s="29">
        <v>4</v>
      </c>
      <c r="AO689" s="29" t="s">
        <v>48</v>
      </c>
      <c r="AP689" s="47" t="s">
        <v>583</v>
      </c>
      <c r="AQ689" s="28">
        <v>0</v>
      </c>
      <c r="AR689" s="26">
        <v>1.4999999999999999E-2</v>
      </c>
      <c r="AS689" s="26">
        <v>0</v>
      </c>
    </row>
    <row r="690" spans="1:45" x14ac:dyDescent="0.15">
      <c r="A690" s="64">
        <v>510</v>
      </c>
      <c r="B690" s="64">
        <v>533</v>
      </c>
      <c r="C690" s="11">
        <v>82</v>
      </c>
      <c r="D690" s="61">
        <v>316</v>
      </c>
      <c r="E690" s="61">
        <v>-1.4937463902575399E-4</v>
      </c>
      <c r="F690" s="61">
        <v>36</v>
      </c>
      <c r="G690" s="61">
        <v>0.89103756363622</v>
      </c>
      <c r="H690" s="66">
        <v>204</v>
      </c>
      <c r="I690" s="66" t="str">
        <f>H690&amp;"/"&amp;451</f>
        <v>204/451</v>
      </c>
      <c r="J690" s="68">
        <f>H690/451</f>
        <v>0.45232815964523282</v>
      </c>
      <c r="K690" s="18" t="s">
        <v>44</v>
      </c>
      <c r="L690" s="18" t="s">
        <v>64</v>
      </c>
      <c r="M690" s="58" t="s">
        <v>65</v>
      </c>
      <c r="N690" s="18">
        <f>[1]!f_prt_stocktonav(C690,"2017/03/31")</f>
        <v>84.565086364746094</v>
      </c>
      <c r="O690" s="20" t="str">
        <f>[1]!f_info_fundmanager(C690)</f>
        <v>赵宇</v>
      </c>
      <c r="P690" s="21">
        <v>0.67671232876712328</v>
      </c>
      <c r="Q690" s="34" t="s">
        <v>2135</v>
      </c>
      <c r="R690" s="34" t="s">
        <v>2136</v>
      </c>
      <c r="S690" s="34" t="s">
        <v>92</v>
      </c>
      <c r="T690" s="34">
        <v>20130528</v>
      </c>
      <c r="U690" s="45">
        <v>4.7869581658999998</v>
      </c>
      <c r="V690" s="46">
        <v>5.0362908632999996</v>
      </c>
      <c r="W690" s="34" t="s">
        <v>3776</v>
      </c>
      <c r="X690" s="34" t="s">
        <v>44</v>
      </c>
      <c r="Y690" s="34" t="s">
        <v>45</v>
      </c>
      <c r="Z690" s="34" t="s">
        <v>65</v>
      </c>
      <c r="AA690" s="34"/>
      <c r="AB690" s="34"/>
      <c r="AC690" s="22">
        <v>0.86974693298339845</v>
      </c>
      <c r="AD690" s="23" t="s">
        <v>2137</v>
      </c>
      <c r="AE690" s="24">
        <v>0.44657534246575342</v>
      </c>
      <c r="AF690" s="25">
        <v>0.16462908128263209</v>
      </c>
      <c r="AG690" s="26">
        <v>0.1963036780473533</v>
      </c>
      <c r="AH690" s="26">
        <v>0</v>
      </c>
      <c r="AI690" s="27">
        <v>0.69560681834859794</v>
      </c>
      <c r="AJ690" s="27">
        <v>0.78356961421528037</v>
      </c>
      <c r="AK690" s="27">
        <v>0.69560681834859794</v>
      </c>
      <c r="AL690" s="28" t="s">
        <v>2138</v>
      </c>
      <c r="AM690" s="29" t="s">
        <v>48</v>
      </c>
      <c r="AN690" s="29" t="s">
        <v>48</v>
      </c>
      <c r="AO690" s="29" t="s">
        <v>48</v>
      </c>
      <c r="AP690" s="47" t="s">
        <v>249</v>
      </c>
      <c r="AQ690" s="28">
        <v>0</v>
      </c>
      <c r="AR690" s="26">
        <v>1.4999999999999999E-2</v>
      </c>
      <c r="AS690" s="26">
        <v>0</v>
      </c>
    </row>
    <row r="691" spans="1:45" x14ac:dyDescent="0.15">
      <c r="A691" s="64">
        <v>617</v>
      </c>
      <c r="B691" s="64">
        <v>43</v>
      </c>
      <c r="C691" s="11">
        <v>210007</v>
      </c>
      <c r="D691" s="61">
        <v>321</v>
      </c>
      <c r="E691" s="61">
        <v>-2.1570891418844901E-4</v>
      </c>
      <c r="F691" s="61">
        <v>85</v>
      </c>
      <c r="G691" s="61">
        <v>0.83298288030004997</v>
      </c>
      <c r="H691" s="66">
        <v>205</v>
      </c>
      <c r="I691" s="66" t="str">
        <f>H691&amp;"/"&amp;451</f>
        <v>205/451</v>
      </c>
      <c r="J691" s="68">
        <f>H691/451</f>
        <v>0.45454545454545453</v>
      </c>
      <c r="K691" s="18" t="s">
        <v>44</v>
      </c>
      <c r="L691" s="18" t="s">
        <v>45</v>
      </c>
      <c r="M691" s="58" t="s">
        <v>65</v>
      </c>
      <c r="N691" s="18">
        <f>[1]!f_prt_stocktonav(C691,"2017/03/31")</f>
        <v>94.375503540039063</v>
      </c>
      <c r="O691" s="20" t="str">
        <f>[1]!f_info_fundmanager(C691)</f>
        <v>王喆,吴德瑄</v>
      </c>
      <c r="P691" s="21">
        <v>1.6328767123287671</v>
      </c>
      <c r="Q691" s="34" t="s">
        <v>2508</v>
      </c>
      <c r="R691" s="34" t="s">
        <v>2509</v>
      </c>
      <c r="S691" s="34" t="s">
        <v>273</v>
      </c>
      <c r="T691" s="34">
        <v>20110601</v>
      </c>
      <c r="U691" s="45">
        <v>0.1993593313</v>
      </c>
      <c r="V691" s="46">
        <v>0.20857158179999999</v>
      </c>
      <c r="W691" s="34" t="s">
        <v>1235</v>
      </c>
      <c r="X691" s="34" t="s">
        <v>41</v>
      </c>
      <c r="Y691" s="34" t="s">
        <v>42</v>
      </c>
      <c r="Z691" s="34" t="s">
        <v>43</v>
      </c>
      <c r="AA691" s="34"/>
      <c r="AB691" s="34"/>
      <c r="AC691" s="22">
        <v>0.40225357055664063</v>
      </c>
      <c r="AD691" s="23" t="s">
        <v>2510</v>
      </c>
      <c r="AE691" s="24">
        <v>1.4027397260273973</v>
      </c>
      <c r="AF691" s="25">
        <v>9.1068250488662419E-2</v>
      </c>
      <c r="AG691" s="26">
        <v>0</v>
      </c>
      <c r="AH691" s="26">
        <v>0</v>
      </c>
      <c r="AI691" s="27">
        <v>0.83624630867698868</v>
      </c>
      <c r="AJ691" s="27">
        <v>0.83624630867698868</v>
      </c>
      <c r="AK691" s="27">
        <v>0.83624630867698868</v>
      </c>
      <c r="AL691" s="28" t="s">
        <v>720</v>
      </c>
      <c r="AM691" s="29" t="s">
        <v>48</v>
      </c>
      <c r="AN691" s="29" t="s">
        <v>48</v>
      </c>
      <c r="AO691" s="29" t="s">
        <v>48</v>
      </c>
      <c r="AP691" s="47" t="s">
        <v>2511</v>
      </c>
      <c r="AQ691" s="28">
        <v>0</v>
      </c>
      <c r="AR691" s="26">
        <v>1.4999999999999999E-2</v>
      </c>
      <c r="AS691" s="26">
        <v>0</v>
      </c>
    </row>
    <row r="692" spans="1:45" x14ac:dyDescent="0.15">
      <c r="A692" s="64">
        <v>298</v>
      </c>
      <c r="B692" s="64">
        <v>486</v>
      </c>
      <c r="C692" s="11">
        <v>1163</v>
      </c>
      <c r="D692" s="61">
        <v>323</v>
      </c>
      <c r="E692" s="61">
        <v>-2.22408363815661E-4</v>
      </c>
      <c r="F692" s="61">
        <v>98</v>
      </c>
      <c r="G692" s="61">
        <v>0.89949918391379102</v>
      </c>
      <c r="H692" s="66">
        <v>206</v>
      </c>
      <c r="I692" s="66" t="str">
        <f>H692&amp;"/"&amp;451</f>
        <v>206/451</v>
      </c>
      <c r="J692" s="68">
        <f>H692/451</f>
        <v>0.4567627494456763</v>
      </c>
      <c r="K692" s="18" t="s">
        <v>44</v>
      </c>
      <c r="L692" s="18" t="s">
        <v>45</v>
      </c>
      <c r="M692" s="58" t="s">
        <v>65</v>
      </c>
      <c r="N692" s="18">
        <f>[1]!f_prt_stocktonav(C692,"2017/03/31")</f>
        <v>85.586517333984375</v>
      </c>
      <c r="O692" s="20" t="str">
        <f>[1]!f_info_fundmanager(C692)</f>
        <v>薄官辉</v>
      </c>
      <c r="P692" s="21">
        <v>1.9232876712328768</v>
      </c>
      <c r="Q692" s="34" t="s">
        <v>1351</v>
      </c>
      <c r="R692" s="34" t="s">
        <v>1352</v>
      </c>
      <c r="S692" s="34" t="s">
        <v>57</v>
      </c>
      <c r="T692" s="34">
        <v>20150429</v>
      </c>
      <c r="U692" s="45">
        <v>14.279689937000001</v>
      </c>
      <c r="V692" s="46">
        <v>15.416490663199999</v>
      </c>
      <c r="W692" s="34" t="s">
        <v>3789</v>
      </c>
      <c r="X692" s="34" t="s">
        <v>44</v>
      </c>
      <c r="Y692" s="34" t="s">
        <v>45</v>
      </c>
      <c r="Z692" s="34" t="s">
        <v>65</v>
      </c>
      <c r="AA692" s="34"/>
      <c r="AB692" s="34"/>
      <c r="AC692" s="22">
        <v>0.8890023803710938</v>
      </c>
      <c r="AD692" s="23" t="s">
        <v>1353</v>
      </c>
      <c r="AE692" s="24">
        <v>1.6931506849315068</v>
      </c>
      <c r="AF692" s="25">
        <v>-9.2234342378615053E-2</v>
      </c>
      <c r="AG692" s="26">
        <v>0</v>
      </c>
      <c r="AH692" s="26">
        <v>0</v>
      </c>
      <c r="AI692" s="27">
        <v>-0.25582062212724116</v>
      </c>
      <c r="AJ692" s="27">
        <v>-0.25582062212724116</v>
      </c>
      <c r="AK692" s="27">
        <v>-0.25582062212724116</v>
      </c>
      <c r="AL692" s="28" t="s">
        <v>1354</v>
      </c>
      <c r="AM692" s="29" t="s">
        <v>48</v>
      </c>
      <c r="AN692" s="29" t="s">
        <v>48</v>
      </c>
      <c r="AO692" s="29" t="s">
        <v>48</v>
      </c>
      <c r="AP692" s="47" t="s">
        <v>1355</v>
      </c>
      <c r="AQ692" s="28">
        <v>0</v>
      </c>
      <c r="AR692" s="26">
        <v>1.4999999999999999E-2</v>
      </c>
      <c r="AS692" s="26">
        <v>0</v>
      </c>
    </row>
    <row r="693" spans="1:45" x14ac:dyDescent="0.15">
      <c r="A693" s="64">
        <v>370</v>
      </c>
      <c r="B693" s="64">
        <v>350</v>
      </c>
      <c r="C693" s="11">
        <v>1000</v>
      </c>
      <c r="D693" s="61">
        <v>324</v>
      </c>
      <c r="E693" s="61">
        <v>-2.23053088067364E-4</v>
      </c>
      <c r="F693" s="61">
        <v>18</v>
      </c>
      <c r="G693" s="61">
        <v>0.88973202204281199</v>
      </c>
      <c r="H693" s="66">
        <v>207</v>
      </c>
      <c r="I693" s="66" t="str">
        <f>H693&amp;"/"&amp;451</f>
        <v>207/451</v>
      </c>
      <c r="J693" s="68">
        <f>H693/451</f>
        <v>0.45898004434589801</v>
      </c>
      <c r="K693" s="18" t="s">
        <v>44</v>
      </c>
      <c r="L693" s="18" t="s">
        <v>45</v>
      </c>
      <c r="M693" s="58" t="s">
        <v>65</v>
      </c>
      <c r="N693" s="18">
        <f>[1]!f_prt_stocktonav(C693,"2017/03/31")</f>
        <v>88.541816711425781</v>
      </c>
      <c r="O693" s="20" t="str">
        <f>[1]!f_info_fundmanager(C693)</f>
        <v>周晶</v>
      </c>
      <c r="P693" s="21">
        <v>0.32876712328767121</v>
      </c>
      <c r="Q693" s="34" t="s">
        <v>1620</v>
      </c>
      <c r="R693" s="34" t="s">
        <v>1621</v>
      </c>
      <c r="S693" s="34" t="s">
        <v>200</v>
      </c>
      <c r="T693" s="34">
        <v>20150129</v>
      </c>
      <c r="U693" s="45">
        <v>25.5563180722</v>
      </c>
      <c r="V693" s="46">
        <v>35.869284606299999</v>
      </c>
      <c r="W693" s="34" t="s">
        <v>1235</v>
      </c>
      <c r="X693" s="34" t="s">
        <v>44</v>
      </c>
      <c r="Y693" s="34" t="s">
        <v>45</v>
      </c>
      <c r="Z693" s="34" t="s">
        <v>65</v>
      </c>
      <c r="AA693" s="34"/>
      <c r="AB693" s="34"/>
      <c r="AC693" s="22">
        <v>0.89010673522949224</v>
      </c>
      <c r="AD693" s="23" t="s">
        <v>339</v>
      </c>
      <c r="AE693" s="24">
        <v>9.8630136986301367E-2</v>
      </c>
      <c r="AF693" s="25">
        <v>-4.2908876786485466E-2</v>
      </c>
      <c r="AG693" s="26">
        <v>0</v>
      </c>
      <c r="AH693" s="26">
        <v>0</v>
      </c>
      <c r="AI693" s="27">
        <v>0.11389873534627358</v>
      </c>
      <c r="AJ693" s="27">
        <v>0.11389873534627358</v>
      </c>
      <c r="AK693" s="27">
        <v>0.11389873534627358</v>
      </c>
      <c r="AL693" s="28" t="s">
        <v>167</v>
      </c>
      <c r="AM693" s="29" t="s">
        <v>48</v>
      </c>
      <c r="AN693" s="29" t="s">
        <v>48</v>
      </c>
      <c r="AO693" s="29" t="s">
        <v>48</v>
      </c>
      <c r="AP693" s="47" t="s">
        <v>1622</v>
      </c>
      <c r="AQ693" s="28">
        <v>0</v>
      </c>
      <c r="AR693" s="26">
        <v>1.4999999999999999E-2</v>
      </c>
      <c r="AS693" s="26">
        <v>0</v>
      </c>
    </row>
    <row r="694" spans="1:45" x14ac:dyDescent="0.15">
      <c r="A694" s="64">
        <v>28</v>
      </c>
      <c r="B694" s="64">
        <v>195</v>
      </c>
      <c r="C694" s="11">
        <v>2662</v>
      </c>
      <c r="D694" s="61">
        <v>325</v>
      </c>
      <c r="E694" s="61">
        <v>-2.3127649353730899E-4</v>
      </c>
      <c r="F694" s="61">
        <v>25</v>
      </c>
      <c r="G694" s="61">
        <v>0.91123284279431904</v>
      </c>
      <c r="H694" s="66">
        <v>208</v>
      </c>
      <c r="I694" s="66" t="str">
        <f>H694&amp;"/"&amp;451</f>
        <v>208/451</v>
      </c>
      <c r="J694" s="68">
        <f>H694/451</f>
        <v>0.46119733924611972</v>
      </c>
      <c r="K694" s="18" t="s">
        <v>44</v>
      </c>
      <c r="L694" s="19" t="s">
        <v>87</v>
      </c>
      <c r="M694" s="59" t="s">
        <v>65</v>
      </c>
      <c r="N694" s="18">
        <f>[1]!f_prt_stocktonav(C694,"2017/03/31")</f>
        <v>91.914566040039062</v>
      </c>
      <c r="O694" s="20" t="str">
        <f>[1]!f_info_fundmanager(C694)</f>
        <v>赵雪芹</v>
      </c>
      <c r="P694" s="21">
        <v>0.50136986301369868</v>
      </c>
      <c r="Q694" s="35" t="s">
        <v>193</v>
      </c>
      <c r="R694" s="36" t="s">
        <v>194</v>
      </c>
      <c r="S694" s="36" t="s">
        <v>78</v>
      </c>
      <c r="T694" s="36">
        <v>20160929</v>
      </c>
      <c r="U694" s="37">
        <v>3.4419205066999998</v>
      </c>
      <c r="V694" s="15" t="s">
        <v>58</v>
      </c>
      <c r="W694" s="38" t="s">
        <v>40</v>
      </c>
      <c r="X694" s="39" t="s">
        <v>44</v>
      </c>
      <c r="Y694" s="39" t="s">
        <v>87</v>
      </c>
      <c r="Z694" s="17" t="s">
        <v>65</v>
      </c>
      <c r="AA694" s="13"/>
      <c r="AB694" s="13"/>
      <c r="AC694" s="22">
        <v>0.77589973449707028</v>
      </c>
      <c r="AD694" s="23" t="s">
        <v>195</v>
      </c>
      <c r="AE694" s="24">
        <v>0.27123287671232876</v>
      </c>
      <c r="AF694" s="25">
        <v>-0.17723575256430624</v>
      </c>
      <c r="AG694" s="26">
        <v>0</v>
      </c>
      <c r="AH694" s="26">
        <v>0</v>
      </c>
      <c r="AI694" s="27">
        <v>-2.3886539144179291</v>
      </c>
      <c r="AJ694" s="27">
        <v>-2.3886539144179291</v>
      </c>
      <c r="AK694" s="27">
        <v>-2.3886539144179291</v>
      </c>
      <c r="AL694" s="40" t="s">
        <v>196</v>
      </c>
      <c r="AM694" s="41" t="s">
        <v>48</v>
      </c>
      <c r="AN694" s="41" t="s">
        <v>48</v>
      </c>
      <c r="AO694" s="41" t="s">
        <v>48</v>
      </c>
      <c r="AP694" s="42" t="s">
        <v>197</v>
      </c>
      <c r="AQ694" s="43">
        <v>0</v>
      </c>
      <c r="AR694" s="44">
        <v>1.4999999999999999E-2</v>
      </c>
      <c r="AS694" s="44">
        <v>0</v>
      </c>
    </row>
    <row r="695" spans="1:45" x14ac:dyDescent="0.15">
      <c r="A695" s="64">
        <v>618</v>
      </c>
      <c r="B695" s="64">
        <v>605</v>
      </c>
      <c r="C695" s="11">
        <v>70022</v>
      </c>
      <c r="D695" s="61">
        <v>326</v>
      </c>
      <c r="E695" s="61">
        <v>-2.4200399554155899E-4</v>
      </c>
      <c r="F695" s="61">
        <v>298</v>
      </c>
      <c r="G695" s="61">
        <v>0.82929566598020199</v>
      </c>
      <c r="H695" s="66">
        <v>209</v>
      </c>
      <c r="I695" s="66" t="str">
        <f>H695&amp;"/"&amp;451</f>
        <v>209/451</v>
      </c>
      <c r="J695" s="68">
        <f>H695/451</f>
        <v>0.46341463414634149</v>
      </c>
      <c r="K695" s="18" t="s">
        <v>44</v>
      </c>
      <c r="L695" s="18" t="s">
        <v>45</v>
      </c>
      <c r="M695" s="58" t="s">
        <v>65</v>
      </c>
      <c r="N695" s="18">
        <f>[1]!f_prt_stocktonav(C695,"2017/03/31")</f>
        <v>82.822105407714844</v>
      </c>
      <c r="O695" s="20" t="str">
        <f>[1]!f_info_fundmanager(C695)</f>
        <v>邵秋涛</v>
      </c>
      <c r="P695" s="21">
        <v>5.838356164383562</v>
      </c>
      <c r="Q695" s="34" t="s">
        <v>2512</v>
      </c>
      <c r="R695" s="34" t="s">
        <v>2513</v>
      </c>
      <c r="S695" s="34" t="s">
        <v>92</v>
      </c>
      <c r="T695" s="34">
        <v>20110531</v>
      </c>
      <c r="U695" s="45">
        <v>27.054173458099999</v>
      </c>
      <c r="V695" s="46">
        <v>23.012778559800001</v>
      </c>
      <c r="W695" s="34" t="s">
        <v>3776</v>
      </c>
      <c r="X695" s="34" t="s">
        <v>44</v>
      </c>
      <c r="Y695" s="34" t="s">
        <v>45</v>
      </c>
      <c r="Z695" s="34" t="s">
        <v>65</v>
      </c>
      <c r="AA695" s="34"/>
      <c r="AB695" s="34"/>
      <c r="AC695" s="22">
        <v>0.80006935119628908</v>
      </c>
      <c r="AD695" s="23" t="s">
        <v>2514</v>
      </c>
      <c r="AE695" s="24">
        <v>5.6082191780821917</v>
      </c>
      <c r="AF695" s="25">
        <v>0.1517377116172054</v>
      </c>
      <c r="AG695" s="26">
        <v>0.22297886722130555</v>
      </c>
      <c r="AH695" s="26">
        <v>0.19619030740968024</v>
      </c>
      <c r="AI695" s="27">
        <v>0.59327647918996773</v>
      </c>
      <c r="AJ695" s="27">
        <v>0.71089597935224402</v>
      </c>
      <c r="AK695" s="27">
        <v>0.70601809292856998</v>
      </c>
      <c r="AL695" s="28" t="s">
        <v>2409</v>
      </c>
      <c r="AM695" s="29">
        <v>4</v>
      </c>
      <c r="AN695" s="29">
        <v>4</v>
      </c>
      <c r="AO695" s="29" t="s">
        <v>48</v>
      </c>
      <c r="AP695" s="47" t="s">
        <v>249</v>
      </c>
      <c r="AQ695" s="28" t="s">
        <v>2293</v>
      </c>
      <c r="AR695" s="26">
        <v>1.4999999999999999E-2</v>
      </c>
      <c r="AS695" s="26">
        <v>0</v>
      </c>
    </row>
    <row r="696" spans="1:45" x14ac:dyDescent="0.15">
      <c r="A696" s="64">
        <v>941</v>
      </c>
      <c r="B696" s="64">
        <v>948</v>
      </c>
      <c r="C696" s="11">
        <v>70001</v>
      </c>
      <c r="D696" s="61">
        <v>327</v>
      </c>
      <c r="E696" s="61">
        <v>-2.5019673854078398E-4</v>
      </c>
      <c r="F696" s="61">
        <v>199</v>
      </c>
      <c r="G696" s="61">
        <v>0.80800007860123602</v>
      </c>
      <c r="H696" s="66">
        <v>210</v>
      </c>
      <c r="I696" s="66" t="str">
        <f>H696&amp;"/"&amp;451</f>
        <v>210/451</v>
      </c>
      <c r="J696" s="68">
        <f>H696/451</f>
        <v>0.4656319290465632</v>
      </c>
      <c r="K696" s="18" t="s">
        <v>44</v>
      </c>
      <c r="L696" s="19" t="s">
        <v>45</v>
      </c>
      <c r="M696" s="59" t="s">
        <v>65</v>
      </c>
      <c r="N696" s="18">
        <f>[1]!f_prt_stocktonav(C696,"2017/03/31")</f>
        <v>70.549507141113281</v>
      </c>
      <c r="O696" s="20" t="str">
        <f>[1]!f_info_fundmanager(C696)</f>
        <v>邵秋涛,谢泽林</v>
      </c>
      <c r="P696" s="21">
        <v>3.8164383561643835</v>
      </c>
      <c r="Q696" s="32" t="s">
        <v>3657</v>
      </c>
      <c r="R696" s="13" t="s">
        <v>3658</v>
      </c>
      <c r="S696" s="13" t="s">
        <v>92</v>
      </c>
      <c r="T696" s="13">
        <v>20021105</v>
      </c>
      <c r="U696" s="14">
        <v>52.468937915300003</v>
      </c>
      <c r="V696" s="15" t="s">
        <v>58</v>
      </c>
      <c r="W696" s="16" t="s">
        <v>40</v>
      </c>
      <c r="X696" s="34" t="s">
        <v>41</v>
      </c>
      <c r="Y696" s="17" t="s">
        <v>42</v>
      </c>
      <c r="Z696" s="17" t="s">
        <v>181</v>
      </c>
      <c r="AA696" s="13"/>
      <c r="AB696" s="13"/>
      <c r="AC696" s="22">
        <v>0.61974395751953126</v>
      </c>
      <c r="AD696" s="23" t="s">
        <v>3659</v>
      </c>
      <c r="AE696" s="24">
        <v>3.5863013698630137</v>
      </c>
      <c r="AF696" s="25">
        <v>0.17769833021371717</v>
      </c>
      <c r="AG696" s="26">
        <v>0.21733526435531303</v>
      </c>
      <c r="AH696" s="26">
        <v>0.20494374606548593</v>
      </c>
      <c r="AI696" s="27">
        <v>0.83398587722548734</v>
      </c>
      <c r="AJ696" s="27">
        <v>0.79876696706177541</v>
      </c>
      <c r="AK696" s="27">
        <v>0.85176537858021473</v>
      </c>
      <c r="AL696" s="28" t="s">
        <v>3532</v>
      </c>
      <c r="AM696" s="29">
        <v>5</v>
      </c>
      <c r="AN696" s="29">
        <v>5</v>
      </c>
      <c r="AO696" s="29" t="s">
        <v>48</v>
      </c>
      <c r="AP696" s="23" t="s">
        <v>3536</v>
      </c>
      <c r="AQ696" s="30">
        <v>0</v>
      </c>
      <c r="AR696" s="31">
        <v>1.4999999999999999E-2</v>
      </c>
      <c r="AS696" s="31">
        <v>0</v>
      </c>
    </row>
    <row r="697" spans="1:45" x14ac:dyDescent="0.15">
      <c r="A697" s="64">
        <v>724</v>
      </c>
      <c r="B697" s="64">
        <v>46</v>
      </c>
      <c r="C697" s="11">
        <v>519113</v>
      </c>
      <c r="D697" s="61">
        <v>328</v>
      </c>
      <c r="E697" s="61">
        <v>-2.5571389491525699E-4</v>
      </c>
      <c r="F697" s="61">
        <v>308</v>
      </c>
      <c r="G697" s="61">
        <v>0.81948169200226695</v>
      </c>
      <c r="H697" s="66">
        <v>211</v>
      </c>
      <c r="I697" s="66" t="str">
        <f>H697&amp;"/"&amp;451</f>
        <v>211/451</v>
      </c>
      <c r="J697" s="68">
        <f>H697/451</f>
        <v>0.46784922394678491</v>
      </c>
      <c r="K697" s="18" t="s">
        <v>44</v>
      </c>
      <c r="L697" s="18" t="s">
        <v>45</v>
      </c>
      <c r="M697" s="58" t="s">
        <v>65</v>
      </c>
      <c r="N697" s="18">
        <f>[1]!f_prt_stocktonav(C697,"2017/03/31")</f>
        <v>94.342231750488281</v>
      </c>
      <c r="O697" s="20" t="str">
        <f>[1]!f_info_fundmanager(C697)</f>
        <v>吴勇</v>
      </c>
      <c r="P697" s="21">
        <v>5.9095890410958907</v>
      </c>
      <c r="Q697" s="34" t="s">
        <v>2863</v>
      </c>
      <c r="R697" s="34" t="s">
        <v>2864</v>
      </c>
      <c r="S697" s="34" t="s">
        <v>649</v>
      </c>
      <c r="T697" s="34">
        <v>20090604</v>
      </c>
      <c r="U697" s="45">
        <v>7.5183835051000001</v>
      </c>
      <c r="V697" s="46">
        <v>9.3429215418999991</v>
      </c>
      <c r="W697" s="34" t="s">
        <v>201</v>
      </c>
      <c r="X697" s="34" t="s">
        <v>44</v>
      </c>
      <c r="Y697" s="34" t="s">
        <v>45</v>
      </c>
      <c r="Z697" s="34" t="s">
        <v>65</v>
      </c>
      <c r="AA697" s="34"/>
      <c r="AB697" s="34"/>
      <c r="AC697" s="22">
        <v>0.94056755065917974</v>
      </c>
      <c r="AD697" s="23" t="s">
        <v>650</v>
      </c>
      <c r="AE697" s="24">
        <v>5.6794520547945204</v>
      </c>
      <c r="AF697" s="25">
        <v>0.10494367046098452</v>
      </c>
      <c r="AG697" s="26">
        <v>0.26558227891782127</v>
      </c>
      <c r="AH697" s="26">
        <v>0.20154089210511539</v>
      </c>
      <c r="AI697" s="27">
        <v>0.45274662807954685</v>
      </c>
      <c r="AJ697" s="27">
        <v>0.77368459470730488</v>
      </c>
      <c r="AK697" s="27">
        <v>0.70756769395935415</v>
      </c>
      <c r="AL697" s="28" t="s">
        <v>2865</v>
      </c>
      <c r="AM697" s="29">
        <v>4</v>
      </c>
      <c r="AN697" s="29">
        <v>2</v>
      </c>
      <c r="AO697" s="29" t="s">
        <v>48</v>
      </c>
      <c r="AP697" s="47" t="s">
        <v>334</v>
      </c>
      <c r="AQ697" s="28">
        <v>0</v>
      </c>
      <c r="AR697" s="26">
        <v>1.4999999999999999E-2</v>
      </c>
      <c r="AS697" s="26">
        <v>0</v>
      </c>
    </row>
    <row r="698" spans="1:45" x14ac:dyDescent="0.15">
      <c r="A698" s="64">
        <v>482</v>
      </c>
      <c r="B698" s="64">
        <v>213</v>
      </c>
      <c r="C698" s="11">
        <v>423</v>
      </c>
      <c r="D698" s="61">
        <v>329</v>
      </c>
      <c r="E698" s="61">
        <v>-2.62468483454938E-4</v>
      </c>
      <c r="F698" s="61">
        <v>118</v>
      </c>
      <c r="G698" s="61">
        <v>0.88437284840323604</v>
      </c>
      <c r="H698" s="66">
        <v>212</v>
      </c>
      <c r="I698" s="66" t="str">
        <f>H698&amp;"/"&amp;451</f>
        <v>212/451</v>
      </c>
      <c r="J698" s="68">
        <f>H698/451</f>
        <v>0.47006651884700668</v>
      </c>
      <c r="K698" s="18" t="s">
        <v>44</v>
      </c>
      <c r="L698" s="18" t="s">
        <v>45</v>
      </c>
      <c r="M698" s="58" t="s">
        <v>65</v>
      </c>
      <c r="N698" s="18">
        <f>[1]!f_prt_stocktonav(C698,"2017/03/31")</f>
        <v>91.546424865722656</v>
      </c>
      <c r="O698" s="20" t="str">
        <f>[1]!f_info_fundmanager(C698)</f>
        <v>王霞</v>
      </c>
      <c r="P698" s="21">
        <v>2.2657534246575342</v>
      </c>
      <c r="Q698" s="34" t="s">
        <v>2038</v>
      </c>
      <c r="R698" s="34" t="s">
        <v>2039</v>
      </c>
      <c r="S698" s="34" t="s">
        <v>78</v>
      </c>
      <c r="T698" s="34">
        <v>20131219</v>
      </c>
      <c r="U698" s="45">
        <v>2.1386124345000002</v>
      </c>
      <c r="V698" s="46">
        <v>1.7942551900000001</v>
      </c>
      <c r="W698" s="34" t="s">
        <v>3776</v>
      </c>
      <c r="X698" s="34" t="s">
        <v>44</v>
      </c>
      <c r="Y698" s="34" t="s">
        <v>45</v>
      </c>
      <c r="Z698" s="34" t="s">
        <v>817</v>
      </c>
      <c r="AA698" s="34"/>
      <c r="AB698" s="34"/>
      <c r="AC698" s="22">
        <v>0.92098243713378902</v>
      </c>
      <c r="AD698" s="23" t="s">
        <v>2040</v>
      </c>
      <c r="AE698" s="24">
        <v>2.0356164383561643</v>
      </c>
      <c r="AF698" s="25">
        <v>2.0627280354950761E-2</v>
      </c>
      <c r="AG698" s="26">
        <v>2.0553673174465326E-2</v>
      </c>
      <c r="AH698" s="26">
        <v>0</v>
      </c>
      <c r="AI698" s="27">
        <v>0.10853910163550942</v>
      </c>
      <c r="AJ698" s="27">
        <v>0.10819967700444742</v>
      </c>
      <c r="AK698" s="27">
        <v>0.10853910163550942</v>
      </c>
      <c r="AL698" s="28" t="s">
        <v>196</v>
      </c>
      <c r="AM698" s="29" t="s">
        <v>48</v>
      </c>
      <c r="AN698" s="29" t="s">
        <v>48</v>
      </c>
      <c r="AO698" s="29" t="s">
        <v>48</v>
      </c>
      <c r="AP698" s="47" t="s">
        <v>2041</v>
      </c>
      <c r="AQ698" s="28">
        <v>0</v>
      </c>
      <c r="AR698" s="26">
        <v>8.999999761581421E-3</v>
      </c>
      <c r="AS698" s="26">
        <v>0</v>
      </c>
    </row>
    <row r="699" spans="1:45" x14ac:dyDescent="0.15">
      <c r="A699" s="64">
        <v>72</v>
      </c>
      <c r="B699" s="64">
        <v>691</v>
      </c>
      <c r="C699" s="11">
        <v>2653</v>
      </c>
      <c r="D699" s="61">
        <v>331</v>
      </c>
      <c r="E699" s="61">
        <v>-2.9229748263500998E-4</v>
      </c>
      <c r="F699" s="61">
        <v>41</v>
      </c>
      <c r="G699" s="61">
        <v>0.90907218116433397</v>
      </c>
      <c r="H699" s="66">
        <v>213</v>
      </c>
      <c r="I699" s="66" t="str">
        <f>H699&amp;"/"&amp;451</f>
        <v>213/451</v>
      </c>
      <c r="J699" s="68">
        <f>H699/451</f>
        <v>0.47228381374722839</v>
      </c>
      <c r="K699" s="18" t="s">
        <v>44</v>
      </c>
      <c r="L699" s="18" t="s">
        <v>45</v>
      </c>
      <c r="M699" s="58" t="s">
        <v>65</v>
      </c>
      <c r="N699" s="18">
        <f>[1]!f_prt_stocktonav(C699,"2017/03/31")</f>
        <v>80.320899963378906</v>
      </c>
      <c r="O699" s="20" t="str">
        <f>[1]!f_info_fundmanager(C699)</f>
        <v>彭一博,刘伟</v>
      </c>
      <c r="P699" s="21">
        <v>0.81643835616438354</v>
      </c>
      <c r="Q699" s="34" t="s">
        <v>418</v>
      </c>
      <c r="R699" s="34" t="s">
        <v>419</v>
      </c>
      <c r="S699" s="34" t="s">
        <v>52</v>
      </c>
      <c r="T699" s="34">
        <v>20160606</v>
      </c>
      <c r="U699" s="45">
        <v>7.8761903584999997</v>
      </c>
      <c r="V699" s="46">
        <v>4.5453986742000003</v>
      </c>
      <c r="W699" s="34" t="s">
        <v>3776</v>
      </c>
      <c r="X699" s="34" t="s">
        <v>44</v>
      </c>
      <c r="Y699" s="17" t="s">
        <v>45</v>
      </c>
      <c r="Z699" s="17" t="s">
        <v>65</v>
      </c>
      <c r="AA699" s="34"/>
      <c r="AB699" s="34"/>
      <c r="AC699" s="22">
        <v>0.89172645568847653</v>
      </c>
      <c r="AD699" s="23" t="s">
        <v>53</v>
      </c>
      <c r="AE699" s="24">
        <v>0.58630136986301373</v>
      </c>
      <c r="AF699" s="25">
        <v>0.10894406704107729</v>
      </c>
      <c r="AG699" s="26">
        <v>0</v>
      </c>
      <c r="AH699" s="26">
        <v>0</v>
      </c>
      <c r="AI699" s="27">
        <v>0.74369884961172494</v>
      </c>
      <c r="AJ699" s="27">
        <v>0.74369884961172494</v>
      </c>
      <c r="AK699" s="27">
        <v>0.74369884961172494</v>
      </c>
      <c r="AL699" s="28" t="s">
        <v>420</v>
      </c>
      <c r="AM699" s="29" t="s">
        <v>48</v>
      </c>
      <c r="AN699" s="29" t="s">
        <v>48</v>
      </c>
      <c r="AO699" s="29" t="s">
        <v>48</v>
      </c>
      <c r="AP699" s="47" t="s">
        <v>421</v>
      </c>
      <c r="AQ699" s="28">
        <v>0</v>
      </c>
      <c r="AR699" s="26">
        <v>1.4999999999999999E-2</v>
      </c>
      <c r="AS699" s="26">
        <v>0</v>
      </c>
    </row>
    <row r="700" spans="1:45" x14ac:dyDescent="0.15">
      <c r="A700" s="64">
        <v>628</v>
      </c>
      <c r="B700" s="64">
        <v>757</v>
      </c>
      <c r="C700" s="11">
        <v>481013</v>
      </c>
      <c r="D700" s="61">
        <v>332</v>
      </c>
      <c r="E700" s="61">
        <v>-2.93417242664422E-4</v>
      </c>
      <c r="F700" s="61">
        <v>118</v>
      </c>
      <c r="G700" s="61">
        <v>0.80283864327698395</v>
      </c>
      <c r="H700" s="66">
        <v>214</v>
      </c>
      <c r="I700" s="66" t="str">
        <f>H700&amp;"/"&amp;451</f>
        <v>214/451</v>
      </c>
      <c r="J700" s="68">
        <f>H700/451</f>
        <v>0.4745011086474501</v>
      </c>
      <c r="K700" s="18" t="s">
        <v>44</v>
      </c>
      <c r="L700" s="18" t="s">
        <v>45</v>
      </c>
      <c r="M700" s="58" t="s">
        <v>65</v>
      </c>
      <c r="N700" s="18">
        <f>[1]!f_prt_stocktonav(C700,"2017/03/31")</f>
        <v>78.072319030761719</v>
      </c>
      <c r="O700" s="20" t="str">
        <f>[1]!f_info_fundmanager(C700)</f>
        <v>王筱苓</v>
      </c>
      <c r="P700" s="21">
        <v>2.2520547945205478</v>
      </c>
      <c r="Q700" s="39" t="s">
        <v>2544</v>
      </c>
      <c r="R700" s="39" t="s">
        <v>2545</v>
      </c>
      <c r="S700" s="39" t="s">
        <v>523</v>
      </c>
      <c r="T700" s="39">
        <v>20110421</v>
      </c>
      <c r="U700" s="48">
        <v>3.4123955553999998</v>
      </c>
      <c r="V700" s="46">
        <v>3.5247141446999999</v>
      </c>
      <c r="W700" s="39" t="s">
        <v>3776</v>
      </c>
      <c r="X700" s="39" t="s">
        <v>44</v>
      </c>
      <c r="Y700" s="39" t="s">
        <v>87</v>
      </c>
      <c r="Z700" s="55" t="s">
        <v>65</v>
      </c>
      <c r="AA700" s="34" t="s">
        <v>3837</v>
      </c>
      <c r="AB700" s="34"/>
      <c r="AC700" s="22">
        <v>0.82689315795898433</v>
      </c>
      <c r="AD700" s="23" t="s">
        <v>987</v>
      </c>
      <c r="AE700" s="24">
        <v>2.021917808219178</v>
      </c>
      <c r="AF700" s="25">
        <v>7.4296879763636969E-2</v>
      </c>
      <c r="AG700" s="26">
        <v>0.15688470224446771</v>
      </c>
      <c r="AH700" s="26">
        <v>0.12263560156870579</v>
      </c>
      <c r="AI700" s="27">
        <v>0.38194598930736479</v>
      </c>
      <c r="AJ700" s="27">
        <v>0.70010298891497547</v>
      </c>
      <c r="AK700" s="27">
        <v>0.58997184491336629</v>
      </c>
      <c r="AL700" s="40" t="s">
        <v>1459</v>
      </c>
      <c r="AM700" s="41">
        <v>4</v>
      </c>
      <c r="AN700" s="41">
        <v>2</v>
      </c>
      <c r="AO700" s="41" t="s">
        <v>48</v>
      </c>
      <c r="AP700" s="50" t="s">
        <v>255</v>
      </c>
      <c r="AQ700" s="51">
        <v>0</v>
      </c>
      <c r="AR700" s="52">
        <v>1.4999999999999999E-2</v>
      </c>
      <c r="AS700" s="52">
        <v>0</v>
      </c>
    </row>
    <row r="701" spans="1:45" x14ac:dyDescent="0.15">
      <c r="A701" s="64">
        <v>409</v>
      </c>
      <c r="B701" s="64">
        <v>376</v>
      </c>
      <c r="C701" s="11">
        <v>780</v>
      </c>
      <c r="D701" s="61">
        <v>333</v>
      </c>
      <c r="E701" s="61">
        <v>-2.9903887050941201E-4</v>
      </c>
      <c r="F701" s="61">
        <v>24</v>
      </c>
      <c r="G701" s="61">
        <v>0.91595358426616302</v>
      </c>
      <c r="H701" s="66">
        <v>215</v>
      </c>
      <c r="I701" s="66" t="str">
        <f>H701&amp;"/"&amp;451</f>
        <v>215/451</v>
      </c>
      <c r="J701" s="68">
        <f>H701/451</f>
        <v>0.47671840354767187</v>
      </c>
      <c r="K701" s="18" t="s">
        <v>44</v>
      </c>
      <c r="L701" s="18" t="s">
        <v>86</v>
      </c>
      <c r="M701" s="58" t="s">
        <v>65</v>
      </c>
      <c r="N701" s="18">
        <f>[1]!f_prt_stocktonav(C701,"2017/03/31")</f>
        <v>87.990951538085938</v>
      </c>
      <c r="O701" s="20" t="str">
        <f>[1]!f_info_fundmanager(C701)</f>
        <v>陈鹏</v>
      </c>
      <c r="P701" s="21">
        <v>0.46027397260273972</v>
      </c>
      <c r="Q701" s="34" t="s">
        <v>1765</v>
      </c>
      <c r="R701" s="34" t="s">
        <v>1766</v>
      </c>
      <c r="S701" s="34" t="s">
        <v>705</v>
      </c>
      <c r="T701" s="34">
        <v>20140923</v>
      </c>
      <c r="U701" s="45">
        <v>19.152807593599999</v>
      </c>
      <c r="V701" s="46">
        <v>22.668347348099999</v>
      </c>
      <c r="W701" s="34" t="s">
        <v>3776</v>
      </c>
      <c r="X701" s="34" t="s">
        <v>44</v>
      </c>
      <c r="Y701" s="34" t="s">
        <v>45</v>
      </c>
      <c r="Z701" s="34" t="s">
        <v>65</v>
      </c>
      <c r="AA701" s="34"/>
      <c r="AB701" s="34"/>
      <c r="AC701" s="22">
        <v>0.86417175292968751</v>
      </c>
      <c r="AD701" s="23" t="s">
        <v>1767</v>
      </c>
      <c r="AE701" s="24">
        <v>0.23013698630136986</v>
      </c>
      <c r="AF701" s="25">
        <v>0.1183411393104301</v>
      </c>
      <c r="AG701" s="26">
        <v>0</v>
      </c>
      <c r="AH701" s="26">
        <v>0</v>
      </c>
      <c r="AI701" s="27">
        <v>0.4501747297385657</v>
      </c>
      <c r="AJ701" s="27">
        <v>0.4501747297385657</v>
      </c>
      <c r="AK701" s="27">
        <v>0.4501747297385657</v>
      </c>
      <c r="AL701" s="28" t="s">
        <v>1211</v>
      </c>
      <c r="AM701" s="29" t="s">
        <v>48</v>
      </c>
      <c r="AN701" s="29" t="s">
        <v>48</v>
      </c>
      <c r="AO701" s="29" t="s">
        <v>48</v>
      </c>
      <c r="AP701" s="47" t="s">
        <v>1768</v>
      </c>
      <c r="AQ701" s="28">
        <v>0</v>
      </c>
      <c r="AR701" s="26">
        <v>1.4999999999999999E-2</v>
      </c>
      <c r="AS701" s="26">
        <v>0</v>
      </c>
    </row>
    <row r="702" spans="1:45" x14ac:dyDescent="0.15">
      <c r="A702" s="64">
        <v>488</v>
      </c>
      <c r="B702" s="64">
        <v>295</v>
      </c>
      <c r="C702" s="11">
        <v>328</v>
      </c>
      <c r="D702" s="61">
        <v>338</v>
      </c>
      <c r="E702" s="61">
        <v>-3.30161143061651E-4</v>
      </c>
      <c r="F702" s="61">
        <v>23</v>
      </c>
      <c r="G702" s="61">
        <v>0.930575002753675</v>
      </c>
      <c r="H702" s="66">
        <v>216</v>
      </c>
      <c r="I702" s="66" t="str">
        <f>H702&amp;"/"&amp;451</f>
        <v>216/451</v>
      </c>
      <c r="J702" s="68">
        <f>H702/451</f>
        <v>0.47893569844789358</v>
      </c>
      <c r="K702" s="18" t="s">
        <v>44</v>
      </c>
      <c r="L702" s="19" t="s">
        <v>45</v>
      </c>
      <c r="M702" s="59" t="s">
        <v>65</v>
      </c>
      <c r="N702" s="18">
        <f>[1]!f_prt_stocktonav(C702,"2017/03/31")</f>
        <v>89.522506713867188</v>
      </c>
      <c r="O702" s="20" t="str">
        <f>[1]!f_info_fundmanager(C702)</f>
        <v>孟亮</v>
      </c>
      <c r="P702" s="21">
        <v>0.44109589041095892</v>
      </c>
      <c r="Q702" s="32" t="s">
        <v>2059</v>
      </c>
      <c r="R702" s="13" t="s">
        <v>2060</v>
      </c>
      <c r="S702" s="13" t="s">
        <v>511</v>
      </c>
      <c r="T702" s="13">
        <v>20131125</v>
      </c>
      <c r="U702" s="14">
        <v>7.7578058894000002</v>
      </c>
      <c r="V702" s="15" t="s">
        <v>3782</v>
      </c>
      <c r="W702" s="16" t="s">
        <v>40</v>
      </c>
      <c r="X702" s="17" t="s">
        <v>44</v>
      </c>
      <c r="Y702" s="17" t="s">
        <v>45</v>
      </c>
      <c r="Z702" s="17" t="s">
        <v>65</v>
      </c>
      <c r="AA702" s="13"/>
      <c r="AB702" s="13"/>
      <c r="AC702" s="22">
        <v>0.9123077392578125</v>
      </c>
      <c r="AD702" s="23" t="s">
        <v>2061</v>
      </c>
      <c r="AE702" s="24">
        <v>0.21095890410958903</v>
      </c>
      <c r="AF702" s="25">
        <v>0.10255794522590689</v>
      </c>
      <c r="AG702" s="26">
        <v>0.10482879289269276</v>
      </c>
      <c r="AH702" s="26">
        <v>0</v>
      </c>
      <c r="AI702" s="27">
        <v>0.41874995814995991</v>
      </c>
      <c r="AJ702" s="27">
        <v>0.42135230168542004</v>
      </c>
      <c r="AK702" s="27">
        <v>0.41874995814995991</v>
      </c>
      <c r="AL702" s="28" t="s">
        <v>1934</v>
      </c>
      <c r="AM702" s="29" t="s">
        <v>48</v>
      </c>
      <c r="AN702" s="29" t="s">
        <v>48</v>
      </c>
      <c r="AO702" s="29" t="s">
        <v>48</v>
      </c>
      <c r="AP702" s="23" t="s">
        <v>49</v>
      </c>
      <c r="AQ702" s="30">
        <v>0</v>
      </c>
      <c r="AR702" s="31">
        <v>1.4999999999999999E-2</v>
      </c>
      <c r="AS702" s="31">
        <v>0</v>
      </c>
    </row>
    <row r="703" spans="1:45" x14ac:dyDescent="0.15">
      <c r="A703" s="64">
        <v>880</v>
      </c>
      <c r="B703" s="64">
        <v>618</v>
      </c>
      <c r="C703" s="11">
        <v>288002</v>
      </c>
      <c r="D703" s="61">
        <v>339</v>
      </c>
      <c r="E703" s="61">
        <v>-3.3292221477554699E-4</v>
      </c>
      <c r="F703" s="61">
        <v>425</v>
      </c>
      <c r="G703" s="61">
        <v>0.46332033958569602</v>
      </c>
      <c r="H703" s="66">
        <v>217</v>
      </c>
      <c r="I703" s="66" t="str">
        <f>H703&amp;"/"&amp;451</f>
        <v>217/451</v>
      </c>
      <c r="J703" s="68">
        <f>H703/451</f>
        <v>0.48115299334811529</v>
      </c>
      <c r="K703" s="18" t="s">
        <v>44</v>
      </c>
      <c r="L703" s="18" t="s">
        <v>45</v>
      </c>
      <c r="M703" s="58" t="s">
        <v>65</v>
      </c>
      <c r="N703" s="18">
        <f>[1]!f_prt_stocktonav(C703,"2017/03/31")</f>
        <v>82.402236938476562</v>
      </c>
      <c r="O703" s="20" t="str">
        <f>[1]!f_info_fundmanager(C703)</f>
        <v>郑煜</v>
      </c>
      <c r="P703" s="21">
        <v>8.1561643835616433</v>
      </c>
      <c r="Q703" s="34" t="s">
        <v>3416</v>
      </c>
      <c r="R703" s="34" t="s">
        <v>3417</v>
      </c>
      <c r="S703" s="34" t="s">
        <v>143</v>
      </c>
      <c r="T703" s="34">
        <v>20051117</v>
      </c>
      <c r="U703" s="45">
        <v>30.774011697700001</v>
      </c>
      <c r="V703" s="46">
        <v>33.165217446100002</v>
      </c>
      <c r="W703" s="34" t="s">
        <v>231</v>
      </c>
      <c r="X703" s="34" t="s">
        <v>44</v>
      </c>
      <c r="Y703" s="34" t="s">
        <v>45</v>
      </c>
      <c r="Z703" s="34" t="s">
        <v>65</v>
      </c>
      <c r="AA703" s="34"/>
      <c r="AB703" s="34"/>
      <c r="AC703" s="22">
        <v>0.8178993225097656</v>
      </c>
      <c r="AD703" s="23" t="s">
        <v>258</v>
      </c>
      <c r="AE703" s="24">
        <v>7.9260273972602739</v>
      </c>
      <c r="AF703" s="25">
        <v>0.23066564588566263</v>
      </c>
      <c r="AG703" s="26">
        <v>0.1993275225433542</v>
      </c>
      <c r="AH703" s="26">
        <v>0.15401614762175142</v>
      </c>
      <c r="AI703" s="27">
        <v>0.93813976120205633</v>
      </c>
      <c r="AJ703" s="27">
        <v>0.79062080058484829</v>
      </c>
      <c r="AK703" s="27">
        <v>0.68823881352281213</v>
      </c>
      <c r="AL703" s="28" t="s">
        <v>3418</v>
      </c>
      <c r="AM703" s="29">
        <v>4</v>
      </c>
      <c r="AN703" s="29">
        <v>4</v>
      </c>
      <c r="AO703" s="29" t="s">
        <v>48</v>
      </c>
      <c r="AP703" s="47" t="s">
        <v>3419</v>
      </c>
      <c r="AQ703" s="28">
        <v>0</v>
      </c>
      <c r="AR703" s="26">
        <v>1.4999999999999999E-2</v>
      </c>
      <c r="AS703" s="26">
        <v>0</v>
      </c>
    </row>
    <row r="704" spans="1:45" x14ac:dyDescent="0.15">
      <c r="A704" s="64">
        <v>225</v>
      </c>
      <c r="B704" s="64">
        <v>390</v>
      </c>
      <c r="C704" s="11">
        <v>501000</v>
      </c>
      <c r="D704" s="61">
        <v>341</v>
      </c>
      <c r="E704" s="61">
        <v>-3.6599662080163302E-4</v>
      </c>
      <c r="F704" s="61">
        <v>89</v>
      </c>
      <c r="G704" s="61">
        <v>0.27264705339445999</v>
      </c>
      <c r="H704" s="66">
        <v>218</v>
      </c>
      <c r="I704" s="66" t="str">
        <f>H704&amp;"/"&amp;451</f>
        <v>218/451</v>
      </c>
      <c r="J704" s="68">
        <f>H704/451</f>
        <v>0.48337028824833705</v>
      </c>
      <c r="K704" s="18" t="s">
        <v>44</v>
      </c>
      <c r="L704" s="18" t="s">
        <v>45</v>
      </c>
      <c r="M704" s="58" t="s">
        <v>65</v>
      </c>
      <c r="N704" s="18">
        <f>[1]!f_prt_stocktonav(C704,"2017/03/31")</f>
        <v>87.679061889648438</v>
      </c>
      <c r="O704" s="20" t="str">
        <f>[1]!f_info_fundmanager(C704)</f>
        <v>宫雪</v>
      </c>
      <c r="P704" s="21">
        <v>1.7452054794520548</v>
      </c>
      <c r="Q704" s="34" t="s">
        <v>1050</v>
      </c>
      <c r="R704" s="34" t="s">
        <v>1051</v>
      </c>
      <c r="S704" s="34" t="s">
        <v>1052</v>
      </c>
      <c r="T704" s="34">
        <v>20150703</v>
      </c>
      <c r="U704" s="45">
        <v>4.7054496299999998E-2</v>
      </c>
      <c r="V704" s="46">
        <v>1.0419792472</v>
      </c>
      <c r="W704" s="34" t="s">
        <v>3789</v>
      </c>
      <c r="X704" s="34" t="s">
        <v>41</v>
      </c>
      <c r="Y704" s="34" t="s">
        <v>42</v>
      </c>
      <c r="Z704" s="34" t="s">
        <v>43</v>
      </c>
      <c r="AA704" s="34"/>
      <c r="AB704" s="34"/>
      <c r="AC704" s="22">
        <v>0</v>
      </c>
      <c r="AD704" s="23" t="s">
        <v>1053</v>
      </c>
      <c r="AE704" s="24">
        <v>1.515068493150685</v>
      </c>
      <c r="AF704" s="25">
        <v>1.0628664633708595E-2</v>
      </c>
      <c r="AG704" s="26">
        <v>0</v>
      </c>
      <c r="AH704" s="26">
        <v>0</v>
      </c>
      <c r="AI704" s="27">
        <v>-0.38702166364647494</v>
      </c>
      <c r="AJ704" s="27">
        <v>-0.38702166364647494</v>
      </c>
      <c r="AK704" s="27">
        <v>-0.38702166364647494</v>
      </c>
      <c r="AL704" s="28" t="s">
        <v>1054</v>
      </c>
      <c r="AM704" s="29" t="s">
        <v>48</v>
      </c>
      <c r="AN704" s="29" t="s">
        <v>48</v>
      </c>
      <c r="AO704" s="29" t="s">
        <v>48</v>
      </c>
      <c r="AP704" s="47" t="s">
        <v>367</v>
      </c>
      <c r="AQ704" s="28">
        <v>0</v>
      </c>
      <c r="AR704" s="26">
        <v>1.2000000476837159E-2</v>
      </c>
      <c r="AS704" s="26">
        <v>0</v>
      </c>
    </row>
    <row r="705" spans="1:45" x14ac:dyDescent="0.15">
      <c r="A705" s="64">
        <v>97</v>
      </c>
      <c r="B705" s="64">
        <v>700</v>
      </c>
      <c r="C705" s="11">
        <v>160518</v>
      </c>
      <c r="D705" s="61">
        <v>342</v>
      </c>
      <c r="E705" s="61">
        <v>-3.72485896001998E-4</v>
      </c>
      <c r="F705" s="61">
        <v>49</v>
      </c>
      <c r="G705" s="61">
        <v>0.67756681054865298</v>
      </c>
      <c r="H705" s="66">
        <v>219</v>
      </c>
      <c r="I705" s="66" t="str">
        <f>H705&amp;"/"&amp;451</f>
        <v>219/451</v>
      </c>
      <c r="J705" s="68">
        <f>H705/451</f>
        <v>0.48558758314855877</v>
      </c>
      <c r="K705" s="18" t="s">
        <v>44</v>
      </c>
      <c r="L705" s="18" t="s">
        <v>45</v>
      </c>
      <c r="M705" s="58" t="s">
        <v>65</v>
      </c>
      <c r="N705" s="18">
        <f>[1]!f_prt_stocktonav(C705,"2017/03/31")</f>
        <v>80.030799865722656</v>
      </c>
      <c r="O705" s="20" t="str">
        <f>[1]!f_info_fundmanager(C705)</f>
        <v>陈鹏扬</v>
      </c>
      <c r="P705" s="21">
        <v>0.95890410958904104</v>
      </c>
      <c r="Q705" s="34" t="s">
        <v>529</v>
      </c>
      <c r="R705" s="34" t="s">
        <v>530</v>
      </c>
      <c r="S705" s="34" t="s">
        <v>413</v>
      </c>
      <c r="T705" s="34">
        <v>20160415</v>
      </c>
      <c r="U705" s="45">
        <v>22.858816707300001</v>
      </c>
      <c r="V705" s="46">
        <v>23.097691363999999</v>
      </c>
      <c r="W705" s="34" t="s">
        <v>201</v>
      </c>
      <c r="X705" s="34" t="s">
        <v>44</v>
      </c>
      <c r="Y705" s="34" t="s">
        <v>45</v>
      </c>
      <c r="Z705" s="34" t="s">
        <v>65</v>
      </c>
      <c r="AA705" s="34"/>
      <c r="AB705" s="34"/>
      <c r="AC705" s="22">
        <v>0.79461044311523432</v>
      </c>
      <c r="AD705" s="23" t="s">
        <v>435</v>
      </c>
      <c r="AE705" s="24">
        <v>0.72876712328767124</v>
      </c>
      <c r="AF705" s="25">
        <v>-5.5894082007686974E-3</v>
      </c>
      <c r="AG705" s="26">
        <v>0</v>
      </c>
      <c r="AH705" s="26">
        <v>0</v>
      </c>
      <c r="AI705" s="27">
        <v>-0.66347285981791559</v>
      </c>
      <c r="AJ705" s="27">
        <v>-0.66347285981791559</v>
      </c>
      <c r="AK705" s="27">
        <v>-0.66347285981791559</v>
      </c>
      <c r="AL705" s="28" t="s">
        <v>436</v>
      </c>
      <c r="AM705" s="29" t="s">
        <v>48</v>
      </c>
      <c r="AN705" s="29" t="s">
        <v>48</v>
      </c>
      <c r="AO705" s="29" t="s">
        <v>48</v>
      </c>
      <c r="AP705" s="47">
        <v>0</v>
      </c>
      <c r="AQ705" s="28">
        <v>0</v>
      </c>
      <c r="AR705" s="26">
        <v>1.4999999999999999E-2</v>
      </c>
      <c r="AS705" s="26">
        <v>0</v>
      </c>
    </row>
    <row r="706" spans="1:45" x14ac:dyDescent="0.15">
      <c r="A706" s="64">
        <v>36</v>
      </c>
      <c r="B706" s="64">
        <v>772</v>
      </c>
      <c r="C706" s="11">
        <v>501026</v>
      </c>
      <c r="D706" s="61">
        <v>343</v>
      </c>
      <c r="E706" s="61">
        <v>-3.8856257962784898E-4</v>
      </c>
      <c r="F706" s="61">
        <v>26</v>
      </c>
      <c r="G706" s="61">
        <v>0.51129194296744596</v>
      </c>
      <c r="H706" s="66">
        <v>220</v>
      </c>
      <c r="I706" s="66" t="str">
        <f>H706&amp;"/"&amp;451</f>
        <v>220/451</v>
      </c>
      <c r="J706" s="68">
        <f>H706/451</f>
        <v>0.48780487804878048</v>
      </c>
      <c r="K706" s="18" t="s">
        <v>44</v>
      </c>
      <c r="L706" s="18" t="s">
        <v>64</v>
      </c>
      <c r="M706" s="58" t="s">
        <v>65</v>
      </c>
      <c r="N706" s="18">
        <f>[1]!f_prt_stocktonav(C706,"2017/03/31")</f>
        <v>77.510047912597656</v>
      </c>
      <c r="O706" s="20" t="str">
        <f>[1]!f_info_fundmanager(C706)</f>
        <v>姚思劼</v>
      </c>
      <c r="P706" s="21">
        <v>0.53150684931506853</v>
      </c>
      <c r="Q706" s="34" t="s">
        <v>236</v>
      </c>
      <c r="R706" s="34" t="s">
        <v>237</v>
      </c>
      <c r="S706" s="34" t="s">
        <v>238</v>
      </c>
      <c r="T706" s="34">
        <v>20160918</v>
      </c>
      <c r="U706" s="45">
        <v>45.282197789000001</v>
      </c>
      <c r="V706" s="46">
        <v>45.826440528399999</v>
      </c>
      <c r="W706" s="34" t="s">
        <v>201</v>
      </c>
      <c r="X706" s="34" t="s">
        <v>41</v>
      </c>
      <c r="Y706" s="34" t="s">
        <v>42</v>
      </c>
      <c r="Z706" s="34" t="s">
        <v>43</v>
      </c>
      <c r="AA706" s="34"/>
      <c r="AB706" s="34"/>
      <c r="AC706" s="22">
        <v>0.34859497070312501</v>
      </c>
      <c r="AD706" s="23" t="s">
        <v>239</v>
      </c>
      <c r="AE706" s="24">
        <v>0.30136986301369861</v>
      </c>
      <c r="AF706" s="25">
        <v>-4.1435523716913621E-2</v>
      </c>
      <c r="AG706" s="26">
        <v>0</v>
      </c>
      <c r="AH706" s="26">
        <v>0</v>
      </c>
      <c r="AI706" s="27">
        <v>-4.4671861541801228</v>
      </c>
      <c r="AJ706" s="27">
        <v>-4.4671861541801228</v>
      </c>
      <c r="AK706" s="27">
        <v>-4.4671861541801228</v>
      </c>
      <c r="AL706" s="28" t="s">
        <v>240</v>
      </c>
      <c r="AM706" s="29" t="s">
        <v>48</v>
      </c>
      <c r="AN706" s="29" t="s">
        <v>48</v>
      </c>
      <c r="AO706" s="29" t="s">
        <v>48</v>
      </c>
      <c r="AP706" s="47">
        <v>0</v>
      </c>
      <c r="AQ706" s="28">
        <v>0</v>
      </c>
      <c r="AR706" s="26">
        <v>1.4999999999999999E-2</v>
      </c>
      <c r="AS706" s="26">
        <v>0</v>
      </c>
    </row>
    <row r="707" spans="1:45" x14ac:dyDescent="0.15">
      <c r="A707" s="64">
        <v>781</v>
      </c>
      <c r="B707" s="64">
        <v>145</v>
      </c>
      <c r="C707" s="11">
        <v>110029</v>
      </c>
      <c r="D707" s="61">
        <v>344</v>
      </c>
      <c r="E707" s="61">
        <v>-3.9438376910808602E-4</v>
      </c>
      <c r="F707" s="61">
        <v>341</v>
      </c>
      <c r="G707" s="61">
        <v>0.70084682380709495</v>
      </c>
      <c r="H707" s="66">
        <v>221</v>
      </c>
      <c r="I707" s="66" t="str">
        <f>H707&amp;"/"&amp;451</f>
        <v>221/451</v>
      </c>
      <c r="J707" s="68">
        <f>H707/451</f>
        <v>0.49002217294900224</v>
      </c>
      <c r="K707" s="18" t="s">
        <v>44</v>
      </c>
      <c r="L707" s="18" t="s">
        <v>45</v>
      </c>
      <c r="M707" s="58" t="s">
        <v>65</v>
      </c>
      <c r="N707" s="18">
        <f>[1]!f_prt_stocktonav(C707,"2017/03/31")</f>
        <v>92.861801147460938</v>
      </c>
      <c r="O707" s="20" t="str">
        <f>[1]!f_info_fundmanager(C707)</f>
        <v>宋昆</v>
      </c>
      <c r="P707" s="21">
        <v>6.5561643835616437</v>
      </c>
      <c r="Q707" s="34" t="s">
        <v>3053</v>
      </c>
      <c r="R707" s="34" t="s">
        <v>3054</v>
      </c>
      <c r="S707" s="34" t="s">
        <v>218</v>
      </c>
      <c r="T707" s="34">
        <v>20071218</v>
      </c>
      <c r="U707" s="45">
        <v>60.068636235600003</v>
      </c>
      <c r="V707" s="46">
        <v>68.417992368699998</v>
      </c>
      <c r="W707" s="34" t="s">
        <v>231</v>
      </c>
      <c r="X707" s="34" t="s">
        <v>44</v>
      </c>
      <c r="Y707" s="34" t="s">
        <v>45</v>
      </c>
      <c r="Z707" s="34" t="s">
        <v>65</v>
      </c>
      <c r="AA707" s="34"/>
      <c r="AB707" s="34"/>
      <c r="AC707" s="22">
        <v>0.93673049926757812</v>
      </c>
      <c r="AD707" s="23" t="s">
        <v>2053</v>
      </c>
      <c r="AE707" s="24">
        <v>6.3260273972602743</v>
      </c>
      <c r="AF707" s="25">
        <v>3.5864647005814598E-2</v>
      </c>
      <c r="AG707" s="26">
        <v>9.4170984644661448E-2</v>
      </c>
      <c r="AH707" s="26">
        <v>0.15973530200944963</v>
      </c>
      <c r="AI707" s="27">
        <v>0.20581718255296041</v>
      </c>
      <c r="AJ707" s="27">
        <v>0.36773532905580547</v>
      </c>
      <c r="AK707" s="27">
        <v>0.57122794121757314</v>
      </c>
      <c r="AL707" s="28" t="s">
        <v>1934</v>
      </c>
      <c r="AM707" s="29">
        <v>4</v>
      </c>
      <c r="AN707" s="29">
        <v>4</v>
      </c>
      <c r="AO707" s="29" t="s">
        <v>48</v>
      </c>
      <c r="AP707" s="47" t="s">
        <v>2457</v>
      </c>
      <c r="AQ707" s="28">
        <v>0</v>
      </c>
      <c r="AR707" s="26">
        <v>1.4999999999999999E-2</v>
      </c>
      <c r="AS707" s="26">
        <v>0</v>
      </c>
    </row>
    <row r="708" spans="1:45" x14ac:dyDescent="0.15">
      <c r="A708" s="64">
        <v>124</v>
      </c>
      <c r="B708" s="64">
        <v>437</v>
      </c>
      <c r="C708" s="11">
        <v>168102</v>
      </c>
      <c r="D708" s="61">
        <v>345</v>
      </c>
      <c r="E708" s="61">
        <v>-4.0229034761973597E-4</v>
      </c>
      <c r="F708" s="61">
        <v>58</v>
      </c>
      <c r="G708" s="61">
        <v>0.57990082233334705</v>
      </c>
      <c r="H708" s="66">
        <v>222</v>
      </c>
      <c r="I708" s="66" t="str">
        <f>H708&amp;"/"&amp;451</f>
        <v>222/451</v>
      </c>
      <c r="J708" s="68">
        <f>H708/451</f>
        <v>0.49223946784922396</v>
      </c>
      <c r="K708" s="18" t="s">
        <v>44</v>
      </c>
      <c r="L708" s="18" t="s">
        <v>45</v>
      </c>
      <c r="M708" s="58" t="s">
        <v>65</v>
      </c>
      <c r="N708" s="18">
        <f>[1]!f_prt_stocktonav(C708,"2017/03/31")</f>
        <v>86.519493103027344</v>
      </c>
      <c r="O708" s="20" t="str">
        <f>[1]!f_info_fundmanager(C708)</f>
        <v>刘开运</v>
      </c>
      <c r="P708" s="21">
        <v>1.1534246575342466</v>
      </c>
      <c r="Q708" s="34" t="s">
        <v>638</v>
      </c>
      <c r="R708" s="34" t="s">
        <v>639</v>
      </c>
      <c r="S708" s="34" t="s">
        <v>640</v>
      </c>
      <c r="T708" s="34">
        <v>20160204</v>
      </c>
      <c r="U708" s="45">
        <v>6.4102802025000001</v>
      </c>
      <c r="V708" s="46">
        <v>6.4286183462000004</v>
      </c>
      <c r="W708" s="34" t="s">
        <v>3776</v>
      </c>
      <c r="X708" s="34" t="s">
        <v>41</v>
      </c>
      <c r="Y708" s="34" t="s">
        <v>42</v>
      </c>
      <c r="Z708" s="34" t="s">
        <v>181</v>
      </c>
      <c r="AA708" s="34"/>
      <c r="AB708" s="34"/>
      <c r="AC708" s="22">
        <v>0.66375137329101563</v>
      </c>
      <c r="AD708" s="23" t="s">
        <v>641</v>
      </c>
      <c r="AE708" s="24">
        <v>0.92328767123287669</v>
      </c>
      <c r="AF708" s="25">
        <v>2.6416789881295921E-2</v>
      </c>
      <c r="AG708" s="26">
        <v>0</v>
      </c>
      <c r="AH708" s="26">
        <v>0</v>
      </c>
      <c r="AI708" s="27">
        <v>0.43717507621163482</v>
      </c>
      <c r="AJ708" s="27">
        <v>0.43717507621163482</v>
      </c>
      <c r="AK708" s="27">
        <v>0.43717507621163482</v>
      </c>
      <c r="AL708" s="28" t="s">
        <v>642</v>
      </c>
      <c r="AM708" s="29" t="s">
        <v>48</v>
      </c>
      <c r="AN708" s="29" t="s">
        <v>48</v>
      </c>
      <c r="AO708" s="29" t="s">
        <v>48</v>
      </c>
      <c r="AP708" s="47" t="s">
        <v>643</v>
      </c>
      <c r="AQ708" s="28">
        <v>0</v>
      </c>
      <c r="AR708" s="26">
        <v>1.4999999999999999E-2</v>
      </c>
      <c r="AS708" s="26">
        <v>0</v>
      </c>
    </row>
    <row r="709" spans="1:45" x14ac:dyDescent="0.15">
      <c r="A709" s="64">
        <v>243</v>
      </c>
      <c r="B709" s="64">
        <v>495</v>
      </c>
      <c r="C709" s="11">
        <v>1476</v>
      </c>
      <c r="D709" s="61">
        <v>346</v>
      </c>
      <c r="E709" s="61">
        <v>-4.04143202032678E-4</v>
      </c>
      <c r="F709" s="61">
        <v>91</v>
      </c>
      <c r="G709" s="61">
        <v>0.86976528099172101</v>
      </c>
      <c r="H709" s="66">
        <v>223</v>
      </c>
      <c r="I709" s="66" t="str">
        <f>H709&amp;"/"&amp;451</f>
        <v>223/451</v>
      </c>
      <c r="J709" s="68">
        <f>H709/451</f>
        <v>0.49445676274944567</v>
      </c>
      <c r="K709" s="18" t="s">
        <v>44</v>
      </c>
      <c r="L709" s="18" t="s">
        <v>87</v>
      </c>
      <c r="M709" s="58" t="s">
        <v>65</v>
      </c>
      <c r="N709" s="18">
        <f>[1]!f_prt_stocktonav(C709,"2017/03/31")</f>
        <v>85.449562072753906</v>
      </c>
      <c r="O709" s="20" t="str">
        <f>[1]!f_info_fundmanager(C709)</f>
        <v>王伟</v>
      </c>
      <c r="P709" s="21">
        <v>1.7835616438356163</v>
      </c>
      <c r="Q709" s="34" t="s">
        <v>1127</v>
      </c>
      <c r="R709" s="34" t="s">
        <v>1128</v>
      </c>
      <c r="S709" s="34" t="s">
        <v>71</v>
      </c>
      <c r="T709" s="34">
        <v>20150619</v>
      </c>
      <c r="U709" s="45">
        <v>25.497915401499998</v>
      </c>
      <c r="V709" s="46">
        <v>28.1822260661</v>
      </c>
      <c r="W709" s="34" t="s">
        <v>3789</v>
      </c>
      <c r="X709" s="34" t="s">
        <v>44</v>
      </c>
      <c r="Y709" s="34" t="s">
        <v>45</v>
      </c>
      <c r="Z709" s="34" t="s">
        <v>65</v>
      </c>
      <c r="AA709" s="34"/>
      <c r="AB709" s="34"/>
      <c r="AC709" s="22">
        <v>0.88843383789062502</v>
      </c>
      <c r="AD709" s="23" t="s">
        <v>1129</v>
      </c>
      <c r="AE709" s="24">
        <v>1.5534246575342465</v>
      </c>
      <c r="AF709" s="25">
        <v>-0.1906717640652088</v>
      </c>
      <c r="AG709" s="26">
        <v>0</v>
      </c>
      <c r="AH709" s="26">
        <v>0</v>
      </c>
      <c r="AI709" s="27">
        <v>-0.78925160500197056</v>
      </c>
      <c r="AJ709" s="27">
        <v>-0.78925160500197056</v>
      </c>
      <c r="AK709" s="27">
        <v>-0.78925160500197056</v>
      </c>
      <c r="AL709" s="28" t="s">
        <v>1130</v>
      </c>
      <c r="AM709" s="29" t="s">
        <v>48</v>
      </c>
      <c r="AN709" s="29" t="s">
        <v>48</v>
      </c>
      <c r="AO709" s="29" t="s">
        <v>48</v>
      </c>
      <c r="AP709" s="47" t="s">
        <v>845</v>
      </c>
      <c r="AQ709" s="28">
        <v>0</v>
      </c>
      <c r="AR709" s="26">
        <v>1.4999999999999999E-2</v>
      </c>
      <c r="AS709" s="26">
        <v>0</v>
      </c>
    </row>
    <row r="710" spans="1:45" x14ac:dyDescent="0.15">
      <c r="A710" s="64">
        <v>8</v>
      </c>
      <c r="B710" s="64">
        <v>399</v>
      </c>
      <c r="C710" s="11">
        <v>3634</v>
      </c>
      <c r="D710" s="61">
        <v>347</v>
      </c>
      <c r="E710" s="61">
        <v>-4.07335553302267E-4</v>
      </c>
      <c r="F710" s="61">
        <v>16</v>
      </c>
      <c r="G710" s="61">
        <v>0.87795019361781701</v>
      </c>
      <c r="H710" s="66">
        <v>224</v>
      </c>
      <c r="I710" s="66" t="str">
        <f>H710&amp;"/"&amp;451</f>
        <v>224/451</v>
      </c>
      <c r="J710" s="68">
        <f>H710/451</f>
        <v>0.49667405764966743</v>
      </c>
      <c r="K710" s="18" t="s">
        <v>44</v>
      </c>
      <c r="L710" s="19" t="s">
        <v>86</v>
      </c>
      <c r="M710" s="59" t="s">
        <v>65</v>
      </c>
      <c r="N710" s="18">
        <f>[1]!f_prt_stocktonav(C710,"2017/03/31")</f>
        <v>87.545936584472656</v>
      </c>
      <c r="O710" s="20" t="str">
        <f>[1]!f_info_fundmanager(C710)</f>
        <v>姚爽</v>
      </c>
      <c r="P710" s="21">
        <v>0.31232876712328766</v>
      </c>
      <c r="Q710" s="32" t="s">
        <v>90</v>
      </c>
      <c r="R710" s="13" t="s">
        <v>91</v>
      </c>
      <c r="S710" s="13" t="s">
        <v>92</v>
      </c>
      <c r="T710" s="13">
        <v>20161207</v>
      </c>
      <c r="U710" s="14">
        <v>12.6865965662</v>
      </c>
      <c r="V710" s="15" t="s">
        <v>72</v>
      </c>
      <c r="W710" s="16" t="s">
        <v>40</v>
      </c>
      <c r="X710" s="17" t="s">
        <v>44</v>
      </c>
      <c r="Y710" s="17" t="s">
        <v>86</v>
      </c>
      <c r="Z710" s="17" t="s">
        <v>65</v>
      </c>
      <c r="AA710" s="13"/>
      <c r="AB710" s="13"/>
      <c r="AC710" s="22">
        <v>0</v>
      </c>
      <c r="AD710" s="23" t="s">
        <v>93</v>
      </c>
      <c r="AE710" s="24">
        <v>8.2191780821917804E-2</v>
      </c>
      <c r="AF710" s="25">
        <v>-0.11065470164254233</v>
      </c>
      <c r="AG710" s="26">
        <v>0</v>
      </c>
      <c r="AH710" s="26">
        <v>0</v>
      </c>
      <c r="AI710" s="27">
        <v>-13.295543042566932</v>
      </c>
      <c r="AJ710" s="27">
        <v>-13.295543042566932</v>
      </c>
      <c r="AK710" s="27">
        <v>-13.295543042566932</v>
      </c>
      <c r="AL710" s="33" t="s">
        <v>94</v>
      </c>
      <c r="AM710" s="29" t="s">
        <v>48</v>
      </c>
      <c r="AN710" s="29" t="s">
        <v>48</v>
      </c>
      <c r="AO710" s="29" t="s">
        <v>48</v>
      </c>
      <c r="AP710" s="23" t="s">
        <v>95</v>
      </c>
      <c r="AQ710" s="30">
        <v>0</v>
      </c>
      <c r="AR710" s="31">
        <v>1.4999999999999999E-2</v>
      </c>
      <c r="AS710" s="31">
        <v>0</v>
      </c>
    </row>
    <row r="711" spans="1:45" x14ac:dyDescent="0.15">
      <c r="A711" s="64">
        <v>656</v>
      </c>
      <c r="B711" s="64">
        <v>776</v>
      </c>
      <c r="C711" s="11">
        <v>660006</v>
      </c>
      <c r="D711" s="61">
        <v>349</v>
      </c>
      <c r="E711" s="61">
        <v>-4.0813546673580702E-4</v>
      </c>
      <c r="F711" s="61">
        <v>70</v>
      </c>
      <c r="G711" s="61">
        <v>0.74406307832900898</v>
      </c>
      <c r="H711" s="66">
        <v>225</v>
      </c>
      <c r="I711" s="66" t="str">
        <f>H711&amp;"/"&amp;451</f>
        <v>225/451</v>
      </c>
      <c r="J711" s="68">
        <f>H711/451</f>
        <v>0.49889135254988914</v>
      </c>
      <c r="K711" s="18" t="s">
        <v>44</v>
      </c>
      <c r="L711" s="18" t="s">
        <v>45</v>
      </c>
      <c r="M711" s="58" t="s">
        <v>65</v>
      </c>
      <c r="N711" s="18">
        <f>[1]!f_prt_stocktonav(C711,"2017/03/31")</f>
        <v>77.419563293457031</v>
      </c>
      <c r="O711" s="20" t="str">
        <f>[1]!f_info_fundmanager(C711)</f>
        <v>宋永安</v>
      </c>
      <c r="P711" s="21">
        <v>1.3287671232876712</v>
      </c>
      <c r="Q711" s="34" t="s">
        <v>2641</v>
      </c>
      <c r="R711" s="34" t="s">
        <v>2642</v>
      </c>
      <c r="S711" s="34" t="s">
        <v>424</v>
      </c>
      <c r="T711" s="34">
        <v>20100901</v>
      </c>
      <c r="U711" s="45">
        <v>2.7450141541000002</v>
      </c>
      <c r="V711" s="46">
        <v>2.7505982805000002</v>
      </c>
      <c r="W711" s="34" t="s">
        <v>3789</v>
      </c>
      <c r="X711" s="34" t="s">
        <v>44</v>
      </c>
      <c r="Y711" s="34" t="s">
        <v>45</v>
      </c>
      <c r="Z711" s="34" t="s">
        <v>817</v>
      </c>
      <c r="AA711" s="34"/>
      <c r="AB711" s="34"/>
      <c r="AC711" s="22">
        <v>0.79454910278320312</v>
      </c>
      <c r="AD711" s="23" t="s">
        <v>2643</v>
      </c>
      <c r="AE711" s="24">
        <v>1.0986301369863014</v>
      </c>
      <c r="AF711" s="25">
        <v>-7.1380968813568035E-3</v>
      </c>
      <c r="AG711" s="26">
        <v>4.5407169707112338E-3</v>
      </c>
      <c r="AH711" s="26">
        <v>4.2650768782146464E-2</v>
      </c>
      <c r="AI711" s="27">
        <v>9.642067240872184E-3</v>
      </c>
      <c r="AJ711" s="27">
        <v>9.2349146187419143E-2</v>
      </c>
      <c r="AK711" s="27">
        <v>0.23304559311286843</v>
      </c>
      <c r="AL711" s="28" t="s">
        <v>2119</v>
      </c>
      <c r="AM711" s="29">
        <v>1</v>
      </c>
      <c r="AN711" s="29">
        <v>2</v>
      </c>
      <c r="AO711" s="29" t="s">
        <v>48</v>
      </c>
      <c r="AP711" s="47" t="s">
        <v>702</v>
      </c>
      <c r="AQ711" s="28">
        <v>0</v>
      </c>
      <c r="AR711" s="26">
        <v>1.4999999999999999E-2</v>
      </c>
      <c r="AS711" s="26">
        <v>0</v>
      </c>
    </row>
    <row r="712" spans="1:45" x14ac:dyDescent="0.15">
      <c r="A712" s="64">
        <v>863</v>
      </c>
      <c r="B712" s="64">
        <v>531</v>
      </c>
      <c r="C712" s="11">
        <v>519690</v>
      </c>
      <c r="D712" s="61">
        <v>350</v>
      </c>
      <c r="E712" s="61">
        <v>-4.1311946155726901E-4</v>
      </c>
      <c r="F712" s="61">
        <v>172</v>
      </c>
      <c r="G712" s="61">
        <v>0.79030966461255703</v>
      </c>
      <c r="H712" s="66">
        <v>226</v>
      </c>
      <c r="I712" s="66" t="str">
        <f>H712&amp;"/"&amp;451</f>
        <v>226/451</v>
      </c>
      <c r="J712" s="68">
        <f>H712/451</f>
        <v>0.50110864745011086</v>
      </c>
      <c r="K712" s="18" t="s">
        <v>44</v>
      </c>
      <c r="L712" s="19" t="s">
        <v>45</v>
      </c>
      <c r="M712" s="59" t="s">
        <v>65</v>
      </c>
      <c r="N712" s="18">
        <f>[1]!f_prt_stocktonav(C712,"2017/03/31")</f>
        <v>84.575927734375</v>
      </c>
      <c r="O712" s="20" t="str">
        <f>[1]!f_info_fundmanager(C712)</f>
        <v>唐倩</v>
      </c>
      <c r="P712" s="21">
        <v>3.3013698630136985</v>
      </c>
      <c r="Q712" s="32" t="s">
        <v>3354</v>
      </c>
      <c r="R712" s="13" t="s">
        <v>3355</v>
      </c>
      <c r="S712" s="13" t="s">
        <v>138</v>
      </c>
      <c r="T712" s="13">
        <v>20060614</v>
      </c>
      <c r="U712" s="14">
        <v>20.442384926399999</v>
      </c>
      <c r="V712" s="15" t="s">
        <v>39</v>
      </c>
      <c r="W712" s="16" t="s">
        <v>40</v>
      </c>
      <c r="X712" s="17" t="s">
        <v>44</v>
      </c>
      <c r="Y712" s="17" t="s">
        <v>45</v>
      </c>
      <c r="Z712" s="17" t="s">
        <v>65</v>
      </c>
      <c r="AA712" s="13"/>
      <c r="AB712" s="13"/>
      <c r="AC712" s="22">
        <v>0.77201675415039062</v>
      </c>
      <c r="AD712" s="23" t="s">
        <v>3356</v>
      </c>
      <c r="AE712" s="24">
        <v>3.0712328767123287</v>
      </c>
      <c r="AF712" s="25">
        <v>0.14405507353219194</v>
      </c>
      <c r="AG712" s="26">
        <v>0.13239571465572841</v>
      </c>
      <c r="AH712" s="26">
        <v>0.10215809217355654</v>
      </c>
      <c r="AI712" s="27">
        <v>0.58709236740205739</v>
      </c>
      <c r="AJ712" s="27">
        <v>0.51312049417165417</v>
      </c>
      <c r="AK712" s="27">
        <v>0.45367703043943564</v>
      </c>
      <c r="AL712" s="28" t="s">
        <v>3357</v>
      </c>
      <c r="AM712" s="29">
        <v>3</v>
      </c>
      <c r="AN712" s="29">
        <v>3</v>
      </c>
      <c r="AO712" s="29" t="s">
        <v>48</v>
      </c>
      <c r="AP712" s="23">
        <v>0</v>
      </c>
      <c r="AQ712" s="30">
        <v>0</v>
      </c>
      <c r="AR712" s="31">
        <v>1.4999999999999999E-2</v>
      </c>
      <c r="AS712" s="31">
        <v>0</v>
      </c>
    </row>
    <row r="713" spans="1:45" x14ac:dyDescent="0.15">
      <c r="A713" s="64">
        <v>774</v>
      </c>
      <c r="B713" s="64">
        <v>69</v>
      </c>
      <c r="C713" s="11">
        <v>340007</v>
      </c>
      <c r="D713" s="61">
        <v>352</v>
      </c>
      <c r="E713" s="61">
        <v>-4.3040898572126602E-4</v>
      </c>
      <c r="F713" s="61">
        <v>427</v>
      </c>
      <c r="G713" s="61">
        <v>0.573860754267836</v>
      </c>
      <c r="H713" s="66">
        <v>227</v>
      </c>
      <c r="I713" s="66" t="str">
        <f>H713&amp;"/"&amp;451</f>
        <v>227/451</v>
      </c>
      <c r="J713" s="68">
        <f>H713/451</f>
        <v>0.50332594235033257</v>
      </c>
      <c r="K713" s="18" t="s">
        <v>44</v>
      </c>
      <c r="L713" s="18" t="s">
        <v>45</v>
      </c>
      <c r="M713" s="58" t="s">
        <v>65</v>
      </c>
      <c r="N713" s="18">
        <f>[1]!f_prt_stocktonav(C713,"2017/03/31")</f>
        <v>94.075302124023437</v>
      </c>
      <c r="O713" s="20" t="str">
        <f>[1]!f_info_fundmanager(C713)</f>
        <v>傅鹏博</v>
      </c>
      <c r="P713" s="21">
        <v>8.2082191780821923</v>
      </c>
      <c r="Q713" s="34" t="s">
        <v>3030</v>
      </c>
      <c r="R713" s="34" t="s">
        <v>3031</v>
      </c>
      <c r="S713" s="34" t="s">
        <v>2217</v>
      </c>
      <c r="T713" s="34">
        <v>20080430</v>
      </c>
      <c r="U713" s="45">
        <v>57.342276261800002</v>
      </c>
      <c r="V713" s="46">
        <v>66.974021056400005</v>
      </c>
      <c r="W713" s="34" t="s">
        <v>231</v>
      </c>
      <c r="X713" s="34" t="s">
        <v>44</v>
      </c>
      <c r="Y713" s="34" t="s">
        <v>45</v>
      </c>
      <c r="Z713" s="34" t="s">
        <v>65</v>
      </c>
      <c r="AA713" s="34"/>
      <c r="AB713" s="34"/>
      <c r="AC713" s="22">
        <v>0.93985359191894535</v>
      </c>
      <c r="AD713" s="23" t="s">
        <v>3032</v>
      </c>
      <c r="AE713" s="24">
        <v>7.978082191780822</v>
      </c>
      <c r="AF713" s="25">
        <v>0.13692259957713726</v>
      </c>
      <c r="AG713" s="26">
        <v>0.21535015394252288</v>
      </c>
      <c r="AH713" s="26">
        <v>0.18770140648289549</v>
      </c>
      <c r="AI713" s="27">
        <v>0.58216778751971399</v>
      </c>
      <c r="AJ713" s="27">
        <v>0.71619600098335701</v>
      </c>
      <c r="AK713" s="27">
        <v>0.72506751308099526</v>
      </c>
      <c r="AL713" s="28" t="s">
        <v>2219</v>
      </c>
      <c r="AM713" s="29">
        <v>4</v>
      </c>
      <c r="AN713" s="29">
        <v>2</v>
      </c>
      <c r="AO713" s="29" t="s">
        <v>48</v>
      </c>
      <c r="AP713" s="47" t="s">
        <v>1002</v>
      </c>
      <c r="AQ713" s="28">
        <v>0</v>
      </c>
      <c r="AR713" s="26">
        <v>1.4999999999999999E-2</v>
      </c>
      <c r="AS713" s="26">
        <v>0</v>
      </c>
    </row>
    <row r="714" spans="1:45" x14ac:dyDescent="0.15">
      <c r="A714" s="64">
        <v>793</v>
      </c>
      <c r="B714" s="64">
        <v>313</v>
      </c>
      <c r="C714" s="11">
        <v>40008</v>
      </c>
      <c r="D714" s="61">
        <v>354</v>
      </c>
      <c r="E714" s="61">
        <v>-4.3510495308441002E-4</v>
      </c>
      <c r="F714" s="61">
        <v>199</v>
      </c>
      <c r="G714" s="61">
        <v>0.70968763216671105</v>
      </c>
      <c r="H714" s="66">
        <v>228</v>
      </c>
      <c r="I714" s="66" t="str">
        <f>H714&amp;"/"&amp;451</f>
        <v>228/451</v>
      </c>
      <c r="J714" s="68">
        <f>H714/451</f>
        <v>0.50554323725055428</v>
      </c>
      <c r="K714" s="18" t="s">
        <v>44</v>
      </c>
      <c r="L714" s="18" t="s">
        <v>45</v>
      </c>
      <c r="M714" s="58" t="s">
        <v>65</v>
      </c>
      <c r="N714" s="18">
        <f>[1]!f_prt_stocktonav(C714,"2017/03/31")</f>
        <v>89.223587036132812</v>
      </c>
      <c r="O714" s="20" t="str">
        <f>[1]!f_info_fundmanager(C714)</f>
        <v>杨明</v>
      </c>
      <c r="P714" s="21">
        <v>3.8219178082191783</v>
      </c>
      <c r="Q714" s="34" t="s">
        <v>3094</v>
      </c>
      <c r="R714" s="34" t="s">
        <v>3095</v>
      </c>
      <c r="S714" s="34" t="s">
        <v>63</v>
      </c>
      <c r="T714" s="34">
        <v>20070802</v>
      </c>
      <c r="U714" s="45">
        <v>34.687703579000001</v>
      </c>
      <c r="V714" s="46">
        <v>37.904880652300001</v>
      </c>
      <c r="W714" s="34" t="s">
        <v>231</v>
      </c>
      <c r="X714" s="34" t="s">
        <v>44</v>
      </c>
      <c r="Y714" s="34" t="s">
        <v>45</v>
      </c>
      <c r="Z714" s="34" t="s">
        <v>65</v>
      </c>
      <c r="AA714" s="34"/>
      <c r="AB714" s="34"/>
      <c r="AC714" s="22">
        <v>0.89056739807128904</v>
      </c>
      <c r="AD714" s="23" t="s">
        <v>3096</v>
      </c>
      <c r="AE714" s="24">
        <v>3.591780821917808</v>
      </c>
      <c r="AF714" s="25">
        <v>1.1057498466698679E-2</v>
      </c>
      <c r="AG714" s="26">
        <v>0.18512261415766296</v>
      </c>
      <c r="AH714" s="26">
        <v>0.12179781350742026</v>
      </c>
      <c r="AI714" s="27">
        <v>0.10324575311079875</v>
      </c>
      <c r="AJ714" s="27">
        <v>0.7251491113134706</v>
      </c>
      <c r="AK714" s="27">
        <v>0.5471167907883594</v>
      </c>
      <c r="AL714" s="28" t="s">
        <v>3097</v>
      </c>
      <c r="AM714" s="29">
        <v>4</v>
      </c>
      <c r="AN714" s="29">
        <v>3</v>
      </c>
      <c r="AO714" s="29" t="s">
        <v>48</v>
      </c>
      <c r="AP714" s="47" t="s">
        <v>3098</v>
      </c>
      <c r="AQ714" s="28" t="s">
        <v>3099</v>
      </c>
      <c r="AR714" s="26">
        <v>1.4999999999999999E-2</v>
      </c>
      <c r="AS714" s="26">
        <v>0</v>
      </c>
    </row>
    <row r="715" spans="1:45" x14ac:dyDescent="0.15">
      <c r="A715" s="64">
        <v>167</v>
      </c>
      <c r="B715" s="64">
        <v>86</v>
      </c>
      <c r="C715" s="11">
        <v>1915</v>
      </c>
      <c r="D715" s="61">
        <v>355</v>
      </c>
      <c r="E715" s="61">
        <v>-4.3847084902922902E-4</v>
      </c>
      <c r="F715" s="61">
        <v>67</v>
      </c>
      <c r="G715" s="61">
        <v>0.79568893633318005</v>
      </c>
      <c r="H715" s="66">
        <v>229</v>
      </c>
      <c r="I715" s="66" t="str">
        <f>H715&amp;"/"&amp;451</f>
        <v>229/451</v>
      </c>
      <c r="J715" s="68">
        <f>H715/451</f>
        <v>0.5077605321507761</v>
      </c>
      <c r="K715" s="18" t="s">
        <v>44</v>
      </c>
      <c r="L715" s="18" t="s">
        <v>45</v>
      </c>
      <c r="M715" s="58" t="s">
        <v>65</v>
      </c>
      <c r="N715" s="18">
        <f>[1]!f_prt_stocktonav(C715,"2017/03/31")</f>
        <v>93.838798522949219</v>
      </c>
      <c r="O715" s="20" t="str">
        <f>[1]!f_info_fundmanager(C715)</f>
        <v>段鹏程</v>
      </c>
      <c r="P715" s="21">
        <v>1.3287671232876712</v>
      </c>
      <c r="Q715" s="34" t="s">
        <v>830</v>
      </c>
      <c r="R715" s="34" t="s">
        <v>831</v>
      </c>
      <c r="S715" s="34" t="s">
        <v>402</v>
      </c>
      <c r="T715" s="34">
        <v>20151202</v>
      </c>
      <c r="U715" s="45">
        <v>3.0239353055999998</v>
      </c>
      <c r="V715" s="46">
        <v>3.3532983035999999</v>
      </c>
      <c r="W715" s="34" t="s">
        <v>1235</v>
      </c>
      <c r="X715" s="34" t="s">
        <v>44</v>
      </c>
      <c r="Y715" s="34" t="s">
        <v>45</v>
      </c>
      <c r="Z715" s="34" t="s">
        <v>274</v>
      </c>
      <c r="AA715" s="34"/>
      <c r="AB715" s="34"/>
      <c r="AC715" s="22">
        <v>0.92348464965820309</v>
      </c>
      <c r="AD715" s="23" t="s">
        <v>832</v>
      </c>
      <c r="AE715" s="24">
        <v>1.0986301369863014</v>
      </c>
      <c r="AF715" s="25">
        <v>-0.12139538361090117</v>
      </c>
      <c r="AG715" s="26">
        <v>0</v>
      </c>
      <c r="AH715" s="26">
        <v>0</v>
      </c>
      <c r="AI715" s="27">
        <v>-0.43437244238009293</v>
      </c>
      <c r="AJ715" s="27">
        <v>-0.43437244238009293</v>
      </c>
      <c r="AK715" s="27">
        <v>-0.43437244238009293</v>
      </c>
      <c r="AL715" s="28" t="s">
        <v>833</v>
      </c>
      <c r="AM715" s="29" t="s">
        <v>48</v>
      </c>
      <c r="AN715" s="29" t="s">
        <v>48</v>
      </c>
      <c r="AO715" s="29" t="s">
        <v>48</v>
      </c>
      <c r="AP715" s="47" t="s">
        <v>405</v>
      </c>
      <c r="AQ715" s="28">
        <v>0</v>
      </c>
      <c r="AR715" s="26">
        <v>1.4999999999999999E-2</v>
      </c>
      <c r="AS715" s="26">
        <v>0</v>
      </c>
    </row>
    <row r="716" spans="1:45" x14ac:dyDescent="0.15">
      <c r="A716" s="64">
        <v>137</v>
      </c>
      <c r="B716" s="64">
        <v>918</v>
      </c>
      <c r="C716" s="11">
        <v>1940</v>
      </c>
      <c r="D716" s="61">
        <v>356</v>
      </c>
      <c r="E716" s="61">
        <v>-4.3964483025217999E-4</v>
      </c>
      <c r="F716" s="61">
        <v>59</v>
      </c>
      <c r="G716" s="61">
        <v>0.77362914094016</v>
      </c>
      <c r="H716" s="66">
        <v>230</v>
      </c>
      <c r="I716" s="66" t="str">
        <f>H716&amp;"/"&amp;451</f>
        <v>230/451</v>
      </c>
      <c r="J716" s="68">
        <f>H716/451</f>
        <v>0.50997782705099781</v>
      </c>
      <c r="K716" s="18" t="s">
        <v>44</v>
      </c>
      <c r="L716" s="18" t="s">
        <v>45</v>
      </c>
      <c r="M716" s="58" t="s">
        <v>65</v>
      </c>
      <c r="N716" s="18">
        <f>[1]!f_prt_stocktonav(C716,"2017/03/31")</f>
        <v>71.676483154296875</v>
      </c>
      <c r="O716" s="20" t="str">
        <f>[1]!f_info_fundmanager(C716)</f>
        <v>郭世凯</v>
      </c>
      <c r="P716" s="21">
        <v>1.1698630136986301</v>
      </c>
      <c r="Q716" s="34" t="s">
        <v>698</v>
      </c>
      <c r="R716" s="34" t="s">
        <v>699</v>
      </c>
      <c r="S716" s="34" t="s">
        <v>424</v>
      </c>
      <c r="T716" s="34">
        <v>20160129</v>
      </c>
      <c r="U716" s="45">
        <v>2.4591034039999999</v>
      </c>
      <c r="V716" s="46">
        <v>3.3271462933999998</v>
      </c>
      <c r="W716" s="34" t="s">
        <v>3776</v>
      </c>
      <c r="X716" s="34" t="s">
        <v>41</v>
      </c>
      <c r="Y716" s="34" t="s">
        <v>42</v>
      </c>
      <c r="Z716" s="34" t="s">
        <v>181</v>
      </c>
      <c r="AA716" s="34"/>
      <c r="AB716" s="34"/>
      <c r="AC716" s="22">
        <v>0.63142250061035154</v>
      </c>
      <c r="AD716" s="23" t="s">
        <v>700</v>
      </c>
      <c r="AE716" s="24">
        <v>0.9397260273972603</v>
      </c>
      <c r="AF716" s="25">
        <v>1.0046619246983246E-2</v>
      </c>
      <c r="AG716" s="26">
        <v>0</v>
      </c>
      <c r="AH716" s="26">
        <v>0</v>
      </c>
      <c r="AI716" s="27">
        <v>-4.4410875486872989E-2</v>
      </c>
      <c r="AJ716" s="27">
        <v>-4.4410875486872989E-2</v>
      </c>
      <c r="AK716" s="27">
        <v>-4.4410875486872989E-2</v>
      </c>
      <c r="AL716" s="28" t="s">
        <v>701</v>
      </c>
      <c r="AM716" s="29" t="s">
        <v>48</v>
      </c>
      <c r="AN716" s="29" t="s">
        <v>48</v>
      </c>
      <c r="AO716" s="29" t="s">
        <v>48</v>
      </c>
      <c r="AP716" s="47" t="s">
        <v>702</v>
      </c>
      <c r="AQ716" s="28">
        <v>0</v>
      </c>
      <c r="AR716" s="26">
        <v>1.4999999999999999E-2</v>
      </c>
      <c r="AS716" s="26">
        <v>0</v>
      </c>
    </row>
    <row r="717" spans="1:45" x14ac:dyDescent="0.15">
      <c r="A717" s="64">
        <v>798</v>
      </c>
      <c r="B717" s="64">
        <v>833</v>
      </c>
      <c r="C717" s="11">
        <v>270007</v>
      </c>
      <c r="D717" s="61">
        <v>358</v>
      </c>
      <c r="E717" s="61">
        <v>-4.5439143919120999E-4</v>
      </c>
      <c r="F717" s="61">
        <v>216</v>
      </c>
      <c r="G717" s="61">
        <v>0.68938618265466001</v>
      </c>
      <c r="H717" s="66">
        <v>231</v>
      </c>
      <c r="I717" s="66" t="str">
        <f>H717&amp;"/"&amp;451</f>
        <v>231/451</v>
      </c>
      <c r="J717" s="68">
        <f>H717/451</f>
        <v>0.51219512195121952</v>
      </c>
      <c r="K717" s="18" t="s">
        <v>44</v>
      </c>
      <c r="L717" s="18" t="s">
        <v>45</v>
      </c>
      <c r="M717" s="58" t="s">
        <v>65</v>
      </c>
      <c r="N717" s="18">
        <f>[1]!f_prt_stocktonav(C717,"2017/03/31")</f>
        <v>75.572212219238281</v>
      </c>
      <c r="O717" s="20" t="str">
        <f>[1]!f_info_fundmanager(C717)</f>
        <v>程琨,李琛</v>
      </c>
      <c r="P717" s="21">
        <v>4.1506849315068495</v>
      </c>
      <c r="Q717" s="34" t="s">
        <v>3112</v>
      </c>
      <c r="R717" s="34" t="s">
        <v>3113</v>
      </c>
      <c r="S717" s="34" t="s">
        <v>132</v>
      </c>
      <c r="T717" s="34">
        <v>20070613</v>
      </c>
      <c r="U717" s="45">
        <v>30.3301140646</v>
      </c>
      <c r="V717" s="46">
        <v>32.756253695200002</v>
      </c>
      <c r="W717" s="34" t="s">
        <v>231</v>
      </c>
      <c r="X717" s="34" t="s">
        <v>41</v>
      </c>
      <c r="Y717" s="34" t="s">
        <v>42</v>
      </c>
      <c r="Z717" s="34" t="s">
        <v>181</v>
      </c>
      <c r="AA717" s="34"/>
      <c r="AB717" s="34"/>
      <c r="AC717" s="22">
        <v>0.50840217590332026</v>
      </c>
      <c r="AD717" s="23" t="s">
        <v>3114</v>
      </c>
      <c r="AE717" s="24">
        <v>3.9205479452054797</v>
      </c>
      <c r="AF717" s="25">
        <v>6.0331915166620398E-3</v>
      </c>
      <c r="AG717" s="26">
        <v>0.1497475757257769</v>
      </c>
      <c r="AH717" s="26">
        <v>0.12236988853092567</v>
      </c>
      <c r="AI717" s="27">
        <v>8.2090846634430115E-2</v>
      </c>
      <c r="AJ717" s="27">
        <v>0.69831733161817222</v>
      </c>
      <c r="AK717" s="27">
        <v>0.59327976729799525</v>
      </c>
      <c r="AL717" s="28" t="s">
        <v>2463</v>
      </c>
      <c r="AM717" s="29">
        <v>5</v>
      </c>
      <c r="AN717" s="29">
        <v>4</v>
      </c>
      <c r="AO717" s="29" t="s">
        <v>48</v>
      </c>
      <c r="AP717" s="47" t="s">
        <v>287</v>
      </c>
      <c r="AQ717" s="28" t="s">
        <v>3115</v>
      </c>
      <c r="AR717" s="26">
        <v>1.4999999999999999E-2</v>
      </c>
      <c r="AS717" s="26">
        <v>0</v>
      </c>
    </row>
    <row r="718" spans="1:45" x14ac:dyDescent="0.15">
      <c r="A718" s="64">
        <v>189</v>
      </c>
      <c r="B718" s="64">
        <v>52</v>
      </c>
      <c r="C718" s="11">
        <v>1679</v>
      </c>
      <c r="D718" s="61">
        <v>361</v>
      </c>
      <c r="E718" s="61">
        <v>-4.6950486604404798E-4</v>
      </c>
      <c r="F718" s="61">
        <v>79</v>
      </c>
      <c r="G718" s="61">
        <v>0.750958484449334</v>
      </c>
      <c r="H718" s="66">
        <v>232</v>
      </c>
      <c r="I718" s="66" t="str">
        <f>H718&amp;"/"&amp;451</f>
        <v>232/451</v>
      </c>
      <c r="J718" s="68">
        <f>H718/451</f>
        <v>0.51441241685144123</v>
      </c>
      <c r="K718" s="18" t="s">
        <v>44</v>
      </c>
      <c r="L718" s="18" t="s">
        <v>45</v>
      </c>
      <c r="M718" s="58" t="s">
        <v>65</v>
      </c>
      <c r="N718" s="18">
        <f>[1]!f_prt_stocktonav(C718,"2017/03/31")</f>
        <v>94.314987182617188</v>
      </c>
      <c r="O718" s="20" t="str">
        <f>[1]!f_info_fundmanager(C718)</f>
        <v>曲扬</v>
      </c>
      <c r="P718" s="21">
        <v>1.5561643835616439</v>
      </c>
      <c r="Q718" s="34" t="s">
        <v>920</v>
      </c>
      <c r="R718" s="34" t="s">
        <v>921</v>
      </c>
      <c r="S718" s="34" t="s">
        <v>78</v>
      </c>
      <c r="T718" s="34">
        <v>20150910</v>
      </c>
      <c r="U718" s="45">
        <v>0.1356592542</v>
      </c>
      <c r="V718" s="46">
        <v>15.433219039400001</v>
      </c>
      <c r="W718" s="34" t="s">
        <v>201</v>
      </c>
      <c r="X718" s="34" t="s">
        <v>44</v>
      </c>
      <c r="Y718" s="34" t="s">
        <v>45</v>
      </c>
      <c r="Z718" s="34" t="s">
        <v>65</v>
      </c>
      <c r="AA718" s="34"/>
      <c r="AB718" s="34"/>
      <c r="AC718" s="22">
        <v>0.80363471984863277</v>
      </c>
      <c r="AD718" s="23" t="s">
        <v>119</v>
      </c>
      <c r="AE718" s="24">
        <v>1.3260273972602741</v>
      </c>
      <c r="AF718" s="25">
        <v>-3.8122924900066968E-3</v>
      </c>
      <c r="AG718" s="26">
        <v>0</v>
      </c>
      <c r="AH718" s="26">
        <v>0</v>
      </c>
      <c r="AI718" s="27">
        <v>-0.15761062809083962</v>
      </c>
      <c r="AJ718" s="27">
        <v>-0.15761062809083962</v>
      </c>
      <c r="AK718" s="27">
        <v>-0.15761062809083962</v>
      </c>
      <c r="AL718" s="28" t="s">
        <v>196</v>
      </c>
      <c r="AM718" s="29" t="s">
        <v>48</v>
      </c>
      <c r="AN718" s="29" t="s">
        <v>48</v>
      </c>
      <c r="AO718" s="29" t="s">
        <v>48</v>
      </c>
      <c r="AP718" s="47" t="s">
        <v>270</v>
      </c>
      <c r="AQ718" s="28">
        <v>0</v>
      </c>
      <c r="AR718" s="26">
        <v>1.4999999999999999E-2</v>
      </c>
      <c r="AS718" s="26">
        <v>0</v>
      </c>
    </row>
    <row r="719" spans="1:45" x14ac:dyDescent="0.15">
      <c r="A719" s="64">
        <v>876</v>
      </c>
      <c r="B719" s="64">
        <v>198</v>
      </c>
      <c r="C719" s="11">
        <v>257020</v>
      </c>
      <c r="D719" s="61">
        <v>362</v>
      </c>
      <c r="E719" s="61">
        <v>-4.7657776932198801E-4</v>
      </c>
      <c r="F719" s="61">
        <v>391</v>
      </c>
      <c r="G719" s="61">
        <v>0.51160387856915102</v>
      </c>
      <c r="H719" s="66">
        <v>233</v>
      </c>
      <c r="I719" s="66" t="str">
        <f>H719&amp;"/"&amp;451</f>
        <v>233/451</v>
      </c>
      <c r="J719" s="68">
        <f>H719/451</f>
        <v>0.51662971175166295</v>
      </c>
      <c r="K719" s="18" t="s">
        <v>44</v>
      </c>
      <c r="L719" s="18" t="s">
        <v>45</v>
      </c>
      <c r="M719" s="58" t="s">
        <v>65</v>
      </c>
      <c r="N719" s="18">
        <f>[1]!f_prt_stocktonav(C719,"2017/03/31")</f>
        <v>91.853553771972656</v>
      </c>
      <c r="O719" s="20" t="str">
        <f>[1]!f_info_fundmanager(C719)</f>
        <v>魏东</v>
      </c>
      <c r="P719" s="21">
        <v>7.5041095890410956</v>
      </c>
      <c r="Q719" s="34" t="s">
        <v>3403</v>
      </c>
      <c r="R719" s="34" t="s">
        <v>3404</v>
      </c>
      <c r="S719" s="34" t="s">
        <v>724</v>
      </c>
      <c r="T719" s="34">
        <v>20051228</v>
      </c>
      <c r="U719" s="45">
        <v>14.4048219612</v>
      </c>
      <c r="V719" s="46">
        <v>25.276802916299999</v>
      </c>
      <c r="W719" s="34" t="s">
        <v>231</v>
      </c>
      <c r="X719" s="34" t="s">
        <v>44</v>
      </c>
      <c r="Y719" s="34" t="s">
        <v>45</v>
      </c>
      <c r="Z719" s="34" t="s">
        <v>65</v>
      </c>
      <c r="AA719" s="34"/>
      <c r="AB719" s="34"/>
      <c r="AC719" s="22">
        <v>0.97771408081054689</v>
      </c>
      <c r="AD719" s="23" t="s">
        <v>3405</v>
      </c>
      <c r="AE719" s="24">
        <v>7.2739726027397262</v>
      </c>
      <c r="AF719" s="25">
        <v>0.1818854642654717</v>
      </c>
      <c r="AG719" s="26">
        <v>0.17927956741937945</v>
      </c>
      <c r="AH719" s="26">
        <v>0.18585438530871534</v>
      </c>
      <c r="AI719" s="27">
        <v>0.67815322791051902</v>
      </c>
      <c r="AJ719" s="27">
        <v>0.66171365020699502</v>
      </c>
      <c r="AK719" s="27">
        <v>0.74333354118951933</v>
      </c>
      <c r="AL719" s="28" t="s">
        <v>3066</v>
      </c>
      <c r="AM719" s="29">
        <v>4</v>
      </c>
      <c r="AN719" s="29">
        <v>4</v>
      </c>
      <c r="AO719" s="29" t="s">
        <v>48</v>
      </c>
      <c r="AP719" s="47" t="s">
        <v>2809</v>
      </c>
      <c r="AQ719" s="28" t="s">
        <v>2963</v>
      </c>
      <c r="AR719" s="26">
        <v>1.4999999999999999E-2</v>
      </c>
      <c r="AS719" s="26">
        <v>0</v>
      </c>
    </row>
    <row r="720" spans="1:45" x14ac:dyDescent="0.15">
      <c r="A720" s="64">
        <v>864</v>
      </c>
      <c r="B720" s="64">
        <v>446</v>
      </c>
      <c r="C720" s="11">
        <v>450002</v>
      </c>
      <c r="D720" s="61">
        <v>363</v>
      </c>
      <c r="E720" s="61">
        <v>-4.8357953663019399E-4</v>
      </c>
      <c r="F720" s="61">
        <v>119</v>
      </c>
      <c r="G720" s="61">
        <v>0.69921938435610798</v>
      </c>
      <c r="H720" s="66">
        <v>234</v>
      </c>
      <c r="I720" s="66" t="str">
        <f>H720&amp;"/"&amp;451</f>
        <v>234/451</v>
      </c>
      <c r="J720" s="68">
        <f>H720/451</f>
        <v>0.51884700665188466</v>
      </c>
      <c r="K720" s="18" t="s">
        <v>44</v>
      </c>
      <c r="L720" s="18" t="s">
        <v>45</v>
      </c>
      <c r="M720" s="58" t="s">
        <v>65</v>
      </c>
      <c r="N720" s="18">
        <f>[1]!f_prt_stocktonav(C720,"2017/03/31")</f>
        <v>86.394119262695313</v>
      </c>
      <c r="O720" s="20" t="str">
        <f>[1]!f_info_fundmanager(C720)</f>
        <v>赵晓东</v>
      </c>
      <c r="P720" s="21">
        <v>2.2821917808219179</v>
      </c>
      <c r="Q720" s="34" t="s">
        <v>3358</v>
      </c>
      <c r="R720" s="34" t="s">
        <v>3359</v>
      </c>
      <c r="S720" s="34" t="s">
        <v>742</v>
      </c>
      <c r="T720" s="34">
        <v>20060614</v>
      </c>
      <c r="U720" s="45">
        <v>22.8361538815</v>
      </c>
      <c r="V720" s="46">
        <v>24.375911933299999</v>
      </c>
      <c r="W720" s="34" t="s">
        <v>231</v>
      </c>
      <c r="X720" s="34" t="s">
        <v>44</v>
      </c>
      <c r="Y720" s="34" t="s">
        <v>45</v>
      </c>
      <c r="Z720" s="34" t="s">
        <v>65</v>
      </c>
      <c r="AA720" s="34"/>
      <c r="AB720" s="34"/>
      <c r="AC720" s="22">
        <v>0.85086227416992188</v>
      </c>
      <c r="AD720" s="23" t="s">
        <v>2617</v>
      </c>
      <c r="AE720" s="24">
        <v>2.0520547945205481</v>
      </c>
      <c r="AF720" s="25">
        <v>0.17462256225438888</v>
      </c>
      <c r="AG720" s="26">
        <v>0.16211765770084785</v>
      </c>
      <c r="AH720" s="26">
        <v>0.13096591976217575</v>
      </c>
      <c r="AI720" s="27">
        <v>0.72959925187364538</v>
      </c>
      <c r="AJ720" s="27">
        <v>0.63383577110948364</v>
      </c>
      <c r="AK720" s="27">
        <v>0.58046578250459768</v>
      </c>
      <c r="AL720" s="28" t="s">
        <v>3360</v>
      </c>
      <c r="AM720" s="29">
        <v>3</v>
      </c>
      <c r="AN720" s="29">
        <v>4</v>
      </c>
      <c r="AO720" s="29" t="s">
        <v>48</v>
      </c>
      <c r="AP720" s="47" t="s">
        <v>2905</v>
      </c>
      <c r="AQ720" s="28">
        <v>0</v>
      </c>
      <c r="AR720" s="26">
        <v>1.4999999999999999E-2</v>
      </c>
      <c r="AS720" s="26">
        <v>0</v>
      </c>
    </row>
    <row r="721" spans="1:45" x14ac:dyDescent="0.15">
      <c r="A721" s="64">
        <v>70</v>
      </c>
      <c r="B721" s="64">
        <v>609</v>
      </c>
      <c r="C721" s="11">
        <v>2465</v>
      </c>
      <c r="D721" s="61">
        <v>364</v>
      </c>
      <c r="E721" s="61">
        <v>-4.8482583325372002E-4</v>
      </c>
      <c r="F721" s="61">
        <v>40</v>
      </c>
      <c r="G721" s="61">
        <v>0.74770180965880995</v>
      </c>
      <c r="H721" s="66">
        <v>235</v>
      </c>
      <c r="I721" s="66" t="str">
        <f>H721&amp;"/"&amp;451</f>
        <v>235/451</v>
      </c>
      <c r="J721" s="68">
        <f>H721/451</f>
        <v>0.52106430155210648</v>
      </c>
      <c r="K721" s="18" t="s">
        <v>44</v>
      </c>
      <c r="L721" s="18" t="s">
        <v>45</v>
      </c>
      <c r="M721" s="58" t="s">
        <v>65</v>
      </c>
      <c r="N721" s="18">
        <f>[1]!f_prt_stocktonav(C721,"2017/03/31")</f>
        <v>82.691398620605469</v>
      </c>
      <c r="O721" s="20" t="str">
        <f>[1]!f_info_fundmanager(C721)</f>
        <v>程远,李晨辉,李兵伟</v>
      </c>
      <c r="P721" s="21">
        <v>0.79726027397260268</v>
      </c>
      <c r="Q721" s="34" t="s">
        <v>406</v>
      </c>
      <c r="R721" s="34" t="s">
        <v>407</v>
      </c>
      <c r="S721" s="34" t="s">
        <v>180</v>
      </c>
      <c r="T721" s="34">
        <v>20160613</v>
      </c>
      <c r="U721" s="45">
        <v>0.4929506535</v>
      </c>
      <c r="V721" s="46">
        <v>0.5269567315</v>
      </c>
      <c r="W721" s="34" t="s">
        <v>3776</v>
      </c>
      <c r="X721" s="34" t="s">
        <v>41</v>
      </c>
      <c r="Y721" s="17" t="s">
        <v>42</v>
      </c>
      <c r="Z721" s="17" t="s">
        <v>388</v>
      </c>
      <c r="AA721" s="34"/>
      <c r="AB721" s="34"/>
      <c r="AC721" s="22">
        <v>0.28257490158081056</v>
      </c>
      <c r="AD721" s="23" t="s">
        <v>408</v>
      </c>
      <c r="AE721" s="24">
        <v>0.56712328767123288</v>
      </c>
      <c r="AF721" s="25">
        <v>-2.8724065306200752E-2</v>
      </c>
      <c r="AG721" s="26">
        <v>0</v>
      </c>
      <c r="AH721" s="26">
        <v>0</v>
      </c>
      <c r="AI721" s="27">
        <v>-0.63257504237534312</v>
      </c>
      <c r="AJ721" s="27">
        <v>-0.63257504237534312</v>
      </c>
      <c r="AK721" s="27">
        <v>-0.63257504237534312</v>
      </c>
      <c r="AL721" s="28" t="s">
        <v>409</v>
      </c>
      <c r="AM721" s="29" t="s">
        <v>48</v>
      </c>
      <c r="AN721" s="29" t="s">
        <v>48</v>
      </c>
      <c r="AO721" s="29" t="s">
        <v>48</v>
      </c>
      <c r="AP721" s="47" t="s">
        <v>410</v>
      </c>
      <c r="AQ721" s="28">
        <v>0</v>
      </c>
      <c r="AR721" s="26">
        <v>1.4999999999999999E-2</v>
      </c>
      <c r="AS721" s="26">
        <v>0</v>
      </c>
    </row>
    <row r="722" spans="1:45" x14ac:dyDescent="0.15">
      <c r="A722" s="64">
        <v>924</v>
      </c>
      <c r="B722" s="64">
        <v>822</v>
      </c>
      <c r="C722" s="11">
        <v>257010</v>
      </c>
      <c r="D722" s="61">
        <v>365</v>
      </c>
      <c r="E722" s="61">
        <v>-4.9362349081215199E-4</v>
      </c>
      <c r="F722" s="61">
        <v>368</v>
      </c>
      <c r="G722" s="61">
        <v>0.38593065694215001</v>
      </c>
      <c r="H722" s="66">
        <v>236</v>
      </c>
      <c r="I722" s="66" t="str">
        <f>H722&amp;"/"&amp;451</f>
        <v>236/451</v>
      </c>
      <c r="J722" s="68">
        <f>H722/451</f>
        <v>0.52328159645232819</v>
      </c>
      <c r="K722" s="18" t="s">
        <v>44</v>
      </c>
      <c r="L722" s="18" t="s">
        <v>45</v>
      </c>
      <c r="M722" s="58" t="s">
        <v>65</v>
      </c>
      <c r="N722" s="18">
        <f>[1]!f_prt_stocktonav(C722,"2017/03/31")</f>
        <v>75.84967041015625</v>
      </c>
      <c r="O722" s="20" t="str">
        <f>[1]!f_info_fundmanager(C722)</f>
        <v>邹新进</v>
      </c>
      <c r="P722" s="21">
        <v>7.0739726027397261</v>
      </c>
      <c r="Q722" s="34" t="s">
        <v>3591</v>
      </c>
      <c r="R722" s="34" t="s">
        <v>3592</v>
      </c>
      <c r="S722" s="34" t="s">
        <v>724</v>
      </c>
      <c r="T722" s="34">
        <v>20040412</v>
      </c>
      <c r="U722" s="45">
        <v>14.2103233186</v>
      </c>
      <c r="V722" s="46">
        <v>17.203086798499999</v>
      </c>
      <c r="W722" s="34" t="s">
        <v>231</v>
      </c>
      <c r="X722" s="34" t="s">
        <v>44</v>
      </c>
      <c r="Y722" s="34" t="s">
        <v>45</v>
      </c>
      <c r="Z722" s="34" t="s">
        <v>65</v>
      </c>
      <c r="AA722" s="34"/>
      <c r="AB722" s="34"/>
      <c r="AC722" s="22">
        <v>0.74964424133300778</v>
      </c>
      <c r="AD722" s="23" t="s">
        <v>3593</v>
      </c>
      <c r="AE722" s="24">
        <v>6.8438356164383558</v>
      </c>
      <c r="AF722" s="25">
        <v>0.13853179397259185</v>
      </c>
      <c r="AG722" s="26">
        <v>0.24891364746838929</v>
      </c>
      <c r="AH722" s="26">
        <v>0.18475107493607701</v>
      </c>
      <c r="AI722" s="27">
        <v>0.63545135121278151</v>
      </c>
      <c r="AJ722" s="27">
        <v>0.96090784358117276</v>
      </c>
      <c r="AK722" s="27">
        <v>0.81533797013550591</v>
      </c>
      <c r="AL722" s="28" t="s">
        <v>3594</v>
      </c>
      <c r="AM722" s="29">
        <v>4</v>
      </c>
      <c r="AN722" s="29">
        <v>4</v>
      </c>
      <c r="AO722" s="29" t="s">
        <v>48</v>
      </c>
      <c r="AP722" s="47" t="s">
        <v>3595</v>
      </c>
      <c r="AQ722" s="28">
        <v>0</v>
      </c>
      <c r="AR722" s="26">
        <v>1.4999999999999999E-2</v>
      </c>
      <c r="AS722" s="26">
        <v>0</v>
      </c>
    </row>
    <row r="723" spans="1:45" x14ac:dyDescent="0.15">
      <c r="A723" s="64">
        <v>629</v>
      </c>
      <c r="B723" s="64">
        <v>870</v>
      </c>
      <c r="C723" s="11">
        <v>90013</v>
      </c>
      <c r="D723" s="61">
        <v>367</v>
      </c>
      <c r="E723" s="61">
        <v>-4.9980304984577405E-4</v>
      </c>
      <c r="F723" s="61">
        <v>151</v>
      </c>
      <c r="G723" s="61">
        <v>0.66604847374976395</v>
      </c>
      <c r="H723" s="66">
        <v>237</v>
      </c>
      <c r="I723" s="66" t="str">
        <f>H723&amp;"/"&amp;451</f>
        <v>237/451</v>
      </c>
      <c r="J723" s="68">
        <f>H723/451</f>
        <v>0.5254988913525499</v>
      </c>
      <c r="K723" s="18" t="s">
        <v>44</v>
      </c>
      <c r="L723" s="18" t="s">
        <v>45</v>
      </c>
      <c r="M723" s="58" t="s">
        <v>65</v>
      </c>
      <c r="N723" s="18">
        <f>[1]!f_prt_stocktonav(C723,"2017/03/31")</f>
        <v>73.803596496582031</v>
      </c>
      <c r="O723" s="20" t="str">
        <f>[1]!f_info_fundmanager(C723)</f>
        <v>徐彦</v>
      </c>
      <c r="P723" s="21">
        <v>2.9342465753424656</v>
      </c>
      <c r="Q723" s="34" t="s">
        <v>2547</v>
      </c>
      <c r="R723" s="34" t="s">
        <v>2548</v>
      </c>
      <c r="S723" s="34" t="s">
        <v>486</v>
      </c>
      <c r="T723" s="34">
        <v>20110420</v>
      </c>
      <c r="U723" s="45">
        <v>16.168057457700002</v>
      </c>
      <c r="V723" s="46">
        <v>0.90441104400000005</v>
      </c>
      <c r="W723" s="34" t="s">
        <v>3776</v>
      </c>
      <c r="X723" s="34" t="s">
        <v>41</v>
      </c>
      <c r="Y723" s="17" t="s">
        <v>42</v>
      </c>
      <c r="Z723" s="17" t="s">
        <v>43</v>
      </c>
      <c r="AA723" s="34"/>
      <c r="AB723" s="34"/>
      <c r="AC723" s="22">
        <v>5.2897329330444338E-2</v>
      </c>
      <c r="AD723" s="23" t="s">
        <v>2549</v>
      </c>
      <c r="AE723" s="24">
        <v>2.7041095890410958</v>
      </c>
      <c r="AF723" s="25">
        <v>0.27105690252261172</v>
      </c>
      <c r="AG723" s="26">
        <v>0</v>
      </c>
      <c r="AH723" s="26">
        <v>0</v>
      </c>
      <c r="AI723" s="27">
        <v>0.96807685900940033</v>
      </c>
      <c r="AJ723" s="27">
        <v>0.96807685900940033</v>
      </c>
      <c r="AK723" s="27">
        <v>0.96807685900940033</v>
      </c>
      <c r="AL723" s="28" t="s">
        <v>2550</v>
      </c>
      <c r="AM723" s="29" t="s">
        <v>48</v>
      </c>
      <c r="AN723" s="29" t="s">
        <v>48</v>
      </c>
      <c r="AO723" s="29" t="s">
        <v>48</v>
      </c>
      <c r="AP723" s="47" t="s">
        <v>310</v>
      </c>
      <c r="AQ723" s="28">
        <v>0</v>
      </c>
      <c r="AR723" s="26">
        <v>1.4999999999999999E-2</v>
      </c>
      <c r="AS723" s="26">
        <v>0</v>
      </c>
    </row>
    <row r="724" spans="1:45" x14ac:dyDescent="0.15">
      <c r="A724" s="64">
        <v>597</v>
      </c>
      <c r="B724" s="64">
        <v>205</v>
      </c>
      <c r="C724" s="11">
        <v>270028</v>
      </c>
      <c r="D724" s="61">
        <v>369</v>
      </c>
      <c r="E724" s="61">
        <v>-5.3603796553407495E-4</v>
      </c>
      <c r="F724" s="61">
        <v>282</v>
      </c>
      <c r="G724" s="61">
        <v>0.66089562264562596</v>
      </c>
      <c r="H724" s="66">
        <v>238</v>
      </c>
      <c r="I724" s="66" t="str">
        <f>H724&amp;"/"&amp;451</f>
        <v>238/451</v>
      </c>
      <c r="J724" s="68">
        <f>H724/451</f>
        <v>0.52771618625277161</v>
      </c>
      <c r="K724" s="18" t="s">
        <v>44</v>
      </c>
      <c r="L724" s="18" t="s">
        <v>87</v>
      </c>
      <c r="M724" s="58" t="s">
        <v>65</v>
      </c>
      <c r="N724" s="18">
        <f>[1]!f_prt_stocktonav(C724,"2017/03/31")</f>
        <v>91.707466125488281</v>
      </c>
      <c r="O724" s="20" t="str">
        <f>[1]!f_info_fundmanager(C724)</f>
        <v>李巍</v>
      </c>
      <c r="P724" s="21">
        <v>5.5315068493150683</v>
      </c>
      <c r="Q724" s="34" t="s">
        <v>2439</v>
      </c>
      <c r="R724" s="34" t="s">
        <v>2440</v>
      </c>
      <c r="S724" s="34" t="s">
        <v>132</v>
      </c>
      <c r="T724" s="34">
        <v>20110920</v>
      </c>
      <c r="U724" s="45">
        <v>8.1305188584000003</v>
      </c>
      <c r="V724" s="46">
        <v>9.1156540630999991</v>
      </c>
      <c r="W724" s="34" t="s">
        <v>3776</v>
      </c>
      <c r="X724" s="34" t="s">
        <v>44</v>
      </c>
      <c r="Y724" s="34" t="s">
        <v>45</v>
      </c>
      <c r="Z724" s="34" t="s">
        <v>65</v>
      </c>
      <c r="AA724" s="34"/>
      <c r="AB724" s="34"/>
      <c r="AC724" s="22">
        <v>0.90920028686523435</v>
      </c>
      <c r="AD724" s="23" t="s">
        <v>1829</v>
      </c>
      <c r="AE724" s="24">
        <v>5.3013698630136989</v>
      </c>
      <c r="AF724" s="25">
        <v>0.1709878397597675</v>
      </c>
      <c r="AG724" s="26">
        <v>0.21898526092374701</v>
      </c>
      <c r="AH724" s="26">
        <v>0.18889129749940836</v>
      </c>
      <c r="AI724" s="27">
        <v>0.62673586284043659</v>
      </c>
      <c r="AJ724" s="27">
        <v>0.66301599722622095</v>
      </c>
      <c r="AK724" s="27">
        <v>0.6655840728478577</v>
      </c>
      <c r="AL724" s="28" t="s">
        <v>2441</v>
      </c>
      <c r="AM724" s="29">
        <v>4</v>
      </c>
      <c r="AN724" s="29">
        <v>3</v>
      </c>
      <c r="AO724" s="29" t="s">
        <v>48</v>
      </c>
      <c r="AP724" s="47" t="s">
        <v>287</v>
      </c>
      <c r="AQ724" s="28">
        <v>0</v>
      </c>
      <c r="AR724" s="26">
        <v>1.4999999999999999E-2</v>
      </c>
      <c r="AS724" s="26">
        <v>0</v>
      </c>
    </row>
    <row r="725" spans="1:45" x14ac:dyDescent="0.15">
      <c r="A725" s="64">
        <v>101</v>
      </c>
      <c r="B725" s="64">
        <v>24</v>
      </c>
      <c r="C725" s="11">
        <v>2256</v>
      </c>
      <c r="D725" s="61">
        <v>371</v>
      </c>
      <c r="E725" s="61">
        <v>-5.4191670811232803E-4</v>
      </c>
      <c r="F725" s="61">
        <v>51</v>
      </c>
      <c r="G725" s="61">
        <v>0.68904541861128199</v>
      </c>
      <c r="H725" s="66">
        <v>239</v>
      </c>
      <c r="I725" s="66" t="str">
        <f>H725&amp;"/"&amp;451</f>
        <v>239/451</v>
      </c>
      <c r="J725" s="68">
        <f>H725/451</f>
        <v>0.52993348115299332</v>
      </c>
      <c r="K725" s="18" t="s">
        <v>44</v>
      </c>
      <c r="L725" s="18" t="s">
        <v>87</v>
      </c>
      <c r="M725" s="58" t="s">
        <v>65</v>
      </c>
      <c r="N725" s="18">
        <f>[1]!f_prt_stocktonav(C725,"2017/03/31")</f>
        <v>94.683097839355469</v>
      </c>
      <c r="O725" s="20" t="str">
        <f>[1]!f_info_fundmanager(C725)</f>
        <v>刘榕俊</v>
      </c>
      <c r="P725" s="21">
        <v>0.99726027397260275</v>
      </c>
      <c r="Q725" s="34" t="s">
        <v>543</v>
      </c>
      <c r="R725" s="34" t="s">
        <v>544</v>
      </c>
      <c r="S725" s="34" t="s">
        <v>372</v>
      </c>
      <c r="T725" s="34">
        <v>20160401</v>
      </c>
      <c r="U725" s="45">
        <v>0.2970371678</v>
      </c>
      <c r="V725" s="46">
        <v>0.31549810439999998</v>
      </c>
      <c r="W725" s="34" t="s">
        <v>3778</v>
      </c>
      <c r="X725" s="34" t="s">
        <v>44</v>
      </c>
      <c r="Y725" s="34" t="s">
        <v>45</v>
      </c>
      <c r="Z725" s="34" t="s">
        <v>65</v>
      </c>
      <c r="AA725" s="34"/>
      <c r="AB725" s="34"/>
      <c r="AC725" s="22">
        <v>0.94513282775878904</v>
      </c>
      <c r="AD725" s="23" t="s">
        <v>373</v>
      </c>
      <c r="AE725" s="24">
        <v>0.76712328767123283</v>
      </c>
      <c r="AF725" s="25">
        <v>-1.9860057727678959E-2</v>
      </c>
      <c r="AG725" s="26">
        <v>0</v>
      </c>
      <c r="AH725" s="26">
        <v>0</v>
      </c>
      <c r="AI725" s="27">
        <v>-0.23210424878522234</v>
      </c>
      <c r="AJ725" s="27">
        <v>-0.23210424878522234</v>
      </c>
      <c r="AK725" s="27">
        <v>-0.23210424878522234</v>
      </c>
      <c r="AL725" s="28" t="s">
        <v>545</v>
      </c>
      <c r="AM725" s="29" t="s">
        <v>48</v>
      </c>
      <c r="AN725" s="29" t="s">
        <v>48</v>
      </c>
      <c r="AO725" s="29" t="s">
        <v>48</v>
      </c>
      <c r="AP725" s="47" t="s">
        <v>546</v>
      </c>
      <c r="AQ725" s="28">
        <v>0</v>
      </c>
      <c r="AR725" s="26">
        <v>1.4999999999999999E-2</v>
      </c>
      <c r="AS725" s="26">
        <v>0</v>
      </c>
    </row>
    <row r="726" spans="1:45" x14ac:dyDescent="0.15">
      <c r="A726" s="64">
        <v>633</v>
      </c>
      <c r="B726" s="64">
        <v>604</v>
      </c>
      <c r="C726" s="11">
        <v>166009</v>
      </c>
      <c r="D726" s="61">
        <v>372</v>
      </c>
      <c r="E726" s="61">
        <v>-5.4361352410489303E-4</v>
      </c>
      <c r="F726" s="61">
        <v>96</v>
      </c>
      <c r="G726" s="61">
        <v>0.66554969725911906</v>
      </c>
      <c r="H726" s="66">
        <v>240</v>
      </c>
      <c r="I726" s="66" t="str">
        <f>H726&amp;"/"&amp;451</f>
        <v>240/451</v>
      </c>
      <c r="J726" s="68">
        <f>H726/451</f>
        <v>0.53215077605321504</v>
      </c>
      <c r="K726" s="18" t="s">
        <v>44</v>
      </c>
      <c r="L726" s="18" t="s">
        <v>45</v>
      </c>
      <c r="M726" s="58" t="s">
        <v>65</v>
      </c>
      <c r="N726" s="18">
        <f>[1]!f_prt_stocktonav(C726,"2017/03/31")</f>
        <v>82.8370361328125</v>
      </c>
      <c r="O726" s="20" t="str">
        <f>[1]!f_info_fundmanager(C726)</f>
        <v>袁争光,王健</v>
      </c>
      <c r="P726" s="21">
        <v>1.8410958904109589</v>
      </c>
      <c r="Q726" s="34" t="s">
        <v>2561</v>
      </c>
      <c r="R726" s="34" t="s">
        <v>2562</v>
      </c>
      <c r="S726" s="34" t="s">
        <v>200</v>
      </c>
      <c r="T726" s="34">
        <v>20110210</v>
      </c>
      <c r="U726" s="45">
        <v>25.0397625841</v>
      </c>
      <c r="V726" s="46">
        <v>20.1801846603</v>
      </c>
      <c r="W726" s="34" t="s">
        <v>201</v>
      </c>
      <c r="X726" s="34" t="s">
        <v>44</v>
      </c>
      <c r="Y726" s="34" t="s">
        <v>45</v>
      </c>
      <c r="Z726" s="34" t="s">
        <v>65</v>
      </c>
      <c r="AA726" s="34"/>
      <c r="AB726" s="34"/>
      <c r="AC726" s="22">
        <v>0.90709831237792971</v>
      </c>
      <c r="AD726" s="23" t="s">
        <v>467</v>
      </c>
      <c r="AE726" s="24">
        <v>1.6109589041095891</v>
      </c>
      <c r="AF726" s="25">
        <v>0.16675143020091721</v>
      </c>
      <c r="AG726" s="26">
        <v>0.28905419326382664</v>
      </c>
      <c r="AH726" s="26">
        <v>0.24709467758308357</v>
      </c>
      <c r="AI726" s="27">
        <v>0.71020860495438232</v>
      </c>
      <c r="AJ726" s="27">
        <v>0.9911438772575607</v>
      </c>
      <c r="AK726" s="27">
        <v>0.97342232366475789</v>
      </c>
      <c r="AL726" s="28" t="s">
        <v>1868</v>
      </c>
      <c r="AM726" s="29">
        <v>5</v>
      </c>
      <c r="AN726" s="29">
        <v>2</v>
      </c>
      <c r="AO726" s="29" t="s">
        <v>48</v>
      </c>
      <c r="AP726" s="47" t="s">
        <v>2563</v>
      </c>
      <c r="AQ726" s="28">
        <v>0</v>
      </c>
      <c r="AR726" s="26">
        <v>1.4999999999999999E-2</v>
      </c>
      <c r="AS726" s="26">
        <v>0</v>
      </c>
    </row>
    <row r="727" spans="1:45" x14ac:dyDescent="0.15">
      <c r="A727" s="64">
        <v>232</v>
      </c>
      <c r="B727" s="64">
        <v>934</v>
      </c>
      <c r="C727" s="11">
        <v>1471</v>
      </c>
      <c r="D727" s="61">
        <v>373</v>
      </c>
      <c r="E727" s="61">
        <v>-5.4466834913592405E-4</v>
      </c>
      <c r="F727" s="61">
        <v>89</v>
      </c>
      <c r="G727" s="61">
        <v>0.80305422289091799</v>
      </c>
      <c r="H727" s="66">
        <v>241</v>
      </c>
      <c r="I727" s="66" t="str">
        <f>H727&amp;"/"&amp;451</f>
        <v>241/451</v>
      </c>
      <c r="J727" s="68">
        <f>H727/451</f>
        <v>0.53436807095343686</v>
      </c>
      <c r="K727" s="18" t="s">
        <v>44</v>
      </c>
      <c r="L727" s="18" t="s">
        <v>45</v>
      </c>
      <c r="M727" s="58" t="s">
        <v>65</v>
      </c>
      <c r="N727" s="18">
        <f>[1]!f_prt_stocktonav(C727,"2017/03/31")</f>
        <v>70.916633605957031</v>
      </c>
      <c r="O727" s="20" t="str">
        <f>[1]!f_info_fundmanager(C727)</f>
        <v>付伟琦</v>
      </c>
      <c r="P727" s="21">
        <v>1.7561643835616438</v>
      </c>
      <c r="Q727" s="34" t="s">
        <v>1078</v>
      </c>
      <c r="R727" s="34" t="s">
        <v>1079</v>
      </c>
      <c r="S727" s="34" t="s">
        <v>230</v>
      </c>
      <c r="T727" s="34">
        <v>20150629</v>
      </c>
      <c r="U727" s="45">
        <v>13.472863782299999</v>
      </c>
      <c r="V727" s="46">
        <v>16.2984897768</v>
      </c>
      <c r="W727" s="34" t="s">
        <v>1235</v>
      </c>
      <c r="X727" s="34" t="s">
        <v>44</v>
      </c>
      <c r="Y727" s="17" t="s">
        <v>45</v>
      </c>
      <c r="Z727" s="17" t="s">
        <v>65</v>
      </c>
      <c r="AA727" s="34"/>
      <c r="AB727" s="34"/>
      <c r="AC727" s="22">
        <v>0.87056846618652339</v>
      </c>
      <c r="AD727" s="23" t="s">
        <v>1080</v>
      </c>
      <c r="AE727" s="24">
        <v>1.526027397260274</v>
      </c>
      <c r="AF727" s="25">
        <v>6.2487936399702848E-2</v>
      </c>
      <c r="AG727" s="26">
        <v>0</v>
      </c>
      <c r="AH727" s="26">
        <v>0</v>
      </c>
      <c r="AI727" s="27">
        <v>0.34624064432388768</v>
      </c>
      <c r="AJ727" s="27">
        <v>0.34624064432388768</v>
      </c>
      <c r="AK727" s="27">
        <v>0.34624064432388768</v>
      </c>
      <c r="AL727" s="28" t="s">
        <v>1081</v>
      </c>
      <c r="AM727" s="29" t="s">
        <v>48</v>
      </c>
      <c r="AN727" s="29" t="s">
        <v>48</v>
      </c>
      <c r="AO727" s="29" t="s">
        <v>48</v>
      </c>
      <c r="AP727" s="47" t="s">
        <v>445</v>
      </c>
      <c r="AQ727" s="28" t="s">
        <v>235</v>
      </c>
      <c r="AR727" s="26">
        <v>1.4999999999999999E-2</v>
      </c>
      <c r="AS727" s="26">
        <v>0</v>
      </c>
    </row>
    <row r="728" spans="1:45" x14ac:dyDescent="0.15">
      <c r="A728" s="64">
        <v>671</v>
      </c>
      <c r="B728" s="64">
        <v>909</v>
      </c>
      <c r="C728" s="11">
        <v>233007</v>
      </c>
      <c r="D728" s="61">
        <v>374</v>
      </c>
      <c r="E728" s="61">
        <v>-5.4869872988106197E-4</v>
      </c>
      <c r="F728" s="61">
        <v>37</v>
      </c>
      <c r="G728" s="61">
        <v>0.74790952729351401</v>
      </c>
      <c r="H728" s="66">
        <v>242</v>
      </c>
      <c r="I728" s="66" t="str">
        <f>H728&amp;"/"&amp;451</f>
        <v>242/451</v>
      </c>
      <c r="J728" s="68">
        <f>H728/451</f>
        <v>0.53658536585365857</v>
      </c>
      <c r="K728" s="18" t="s">
        <v>44</v>
      </c>
      <c r="L728" s="18" t="s">
        <v>45</v>
      </c>
      <c r="M728" s="58" t="s">
        <v>65</v>
      </c>
      <c r="N728" s="18">
        <f>[1]!f_prt_stocktonav(C728,"2017/03/31")</f>
        <v>72.105384826660156</v>
      </c>
      <c r="O728" s="20" t="str">
        <f>[1]!f_info_fundmanager(C728)</f>
        <v>袁斌</v>
      </c>
      <c r="P728" s="21">
        <v>0.70684931506849313</v>
      </c>
      <c r="Q728" s="34" t="s">
        <v>2692</v>
      </c>
      <c r="R728" s="34" t="s">
        <v>2693</v>
      </c>
      <c r="S728" s="34" t="s">
        <v>378</v>
      </c>
      <c r="T728" s="34">
        <v>20100518</v>
      </c>
      <c r="U728" s="45">
        <v>7.3512036625999997</v>
      </c>
      <c r="V728" s="46">
        <v>7.4746349402999996</v>
      </c>
      <c r="W728" s="34" t="s">
        <v>3776</v>
      </c>
      <c r="X728" s="34" t="s">
        <v>44</v>
      </c>
      <c r="Y728" s="34" t="s">
        <v>45</v>
      </c>
      <c r="Z728" s="34" t="s">
        <v>65</v>
      </c>
      <c r="AA728" s="34"/>
      <c r="AB728" s="34"/>
      <c r="AC728" s="22">
        <v>0.91053344726562502</v>
      </c>
      <c r="AD728" s="23" t="s">
        <v>2070</v>
      </c>
      <c r="AE728" s="24">
        <v>0.47671232876712327</v>
      </c>
      <c r="AF728" s="25">
        <v>0.14336215257539098</v>
      </c>
      <c r="AG728" s="26">
        <v>0.22351723292441439</v>
      </c>
      <c r="AH728" s="26">
        <v>0.21841384393561292</v>
      </c>
      <c r="AI728" s="27">
        <v>0.56576927546897182</v>
      </c>
      <c r="AJ728" s="27">
        <v>0.6903939575161101</v>
      </c>
      <c r="AK728" s="27">
        <v>0.74247747512716944</v>
      </c>
      <c r="AL728" s="28" t="s">
        <v>2357</v>
      </c>
      <c r="AM728" s="29">
        <v>5</v>
      </c>
      <c r="AN728" s="29">
        <v>4</v>
      </c>
      <c r="AO728" s="29" t="s">
        <v>48</v>
      </c>
      <c r="AP728" s="47" t="s">
        <v>2368</v>
      </c>
      <c r="AQ728" s="28">
        <v>0</v>
      </c>
      <c r="AR728" s="26">
        <v>1.4999999999999999E-2</v>
      </c>
      <c r="AS728" s="26">
        <v>0</v>
      </c>
    </row>
    <row r="729" spans="1:45" x14ac:dyDescent="0.15">
      <c r="A729" s="64">
        <v>531</v>
      </c>
      <c r="B729" s="64">
        <v>774</v>
      </c>
      <c r="C729" s="11">
        <v>690011</v>
      </c>
      <c r="D729" s="61">
        <v>375</v>
      </c>
      <c r="E729" s="61">
        <v>-5.5137758569867199E-4</v>
      </c>
      <c r="F729" s="61">
        <v>54</v>
      </c>
      <c r="G729" s="61">
        <v>0.653329634068606</v>
      </c>
      <c r="H729" s="66">
        <v>243</v>
      </c>
      <c r="I729" s="66" t="str">
        <f>H729&amp;"/"&amp;451</f>
        <v>243/451</v>
      </c>
      <c r="J729" s="68">
        <f>H729/451</f>
        <v>0.53880266075388028</v>
      </c>
      <c r="K729" s="18" t="s">
        <v>44</v>
      </c>
      <c r="L729" s="18" t="s">
        <v>45</v>
      </c>
      <c r="M729" s="58" t="s">
        <v>65</v>
      </c>
      <c r="N729" s="18">
        <f>[1]!f_prt_stocktonav(C729,"2017/03/31")</f>
        <v>77.46453857421875</v>
      </c>
      <c r="O729" s="20" t="str">
        <f>[1]!f_info_fundmanager(C729)</f>
        <v>宋磊</v>
      </c>
      <c r="P729" s="21">
        <v>1.0246575342465754</v>
      </c>
      <c r="Q729" s="34" t="s">
        <v>2208</v>
      </c>
      <c r="R729" s="34" t="s">
        <v>2209</v>
      </c>
      <c r="S729" s="34" t="s">
        <v>1234</v>
      </c>
      <c r="T729" s="34">
        <v>20130131</v>
      </c>
      <c r="U729" s="45">
        <v>0.74393919119999996</v>
      </c>
      <c r="V729" s="46">
        <v>0.79741784380000003</v>
      </c>
      <c r="W729" s="34" t="s">
        <v>3776</v>
      </c>
      <c r="X729" s="34" t="s">
        <v>44</v>
      </c>
      <c r="Y729" s="34" t="s">
        <v>45</v>
      </c>
      <c r="Z729" s="34" t="s">
        <v>65</v>
      </c>
      <c r="AA729" s="34"/>
      <c r="AB729" s="34"/>
      <c r="AC729" s="22">
        <v>0.70323722839355474</v>
      </c>
      <c r="AD729" s="23" t="s">
        <v>1236</v>
      </c>
      <c r="AE729" s="24">
        <v>0.79452054794520544</v>
      </c>
      <c r="AF729" s="25">
        <v>6.3288581274631106E-2</v>
      </c>
      <c r="AG729" s="26">
        <v>9.5687933910928211E-2</v>
      </c>
      <c r="AH729" s="26">
        <v>0</v>
      </c>
      <c r="AI729" s="27">
        <v>0.30965513290015234</v>
      </c>
      <c r="AJ729" s="27">
        <v>0.39649402055908628</v>
      </c>
      <c r="AK729" s="27">
        <v>0.30965513290015234</v>
      </c>
      <c r="AL729" s="28" t="s">
        <v>2210</v>
      </c>
      <c r="AM729" s="29" t="s">
        <v>48</v>
      </c>
      <c r="AN729" s="29" t="s">
        <v>48</v>
      </c>
      <c r="AO729" s="29" t="s">
        <v>48</v>
      </c>
      <c r="AP729" s="47" t="s">
        <v>82</v>
      </c>
      <c r="AQ729" s="28">
        <v>0</v>
      </c>
      <c r="AR729" s="26">
        <v>1.4999999999999999E-2</v>
      </c>
      <c r="AS729" s="26">
        <v>0</v>
      </c>
    </row>
    <row r="730" spans="1:45" x14ac:dyDescent="0.15">
      <c r="A730" s="64">
        <v>822</v>
      </c>
      <c r="B730" s="64">
        <v>781</v>
      </c>
      <c r="C730" s="11">
        <v>166001</v>
      </c>
      <c r="D730" s="61">
        <v>376</v>
      </c>
      <c r="E730" s="61">
        <v>-5.5420829847359202E-4</v>
      </c>
      <c r="F730" s="61">
        <v>293</v>
      </c>
      <c r="G730" s="61">
        <v>0.45267073415654002</v>
      </c>
      <c r="H730" s="66">
        <v>244</v>
      </c>
      <c r="I730" s="66" t="str">
        <f>H730&amp;"/"&amp;451</f>
        <v>244/451</v>
      </c>
      <c r="J730" s="68">
        <f>H730/451</f>
        <v>0.54101995565410199</v>
      </c>
      <c r="K730" s="18" t="s">
        <v>44</v>
      </c>
      <c r="L730" s="18" t="s">
        <v>86</v>
      </c>
      <c r="M730" s="58" t="s">
        <v>65</v>
      </c>
      <c r="N730" s="18">
        <f>[1]!f_prt_stocktonav(C730,"2017/03/31")</f>
        <v>77.256942749023438</v>
      </c>
      <c r="O730" s="20" t="str">
        <f>[1]!f_info_fundmanager(C730)</f>
        <v>周蔚文</v>
      </c>
      <c r="P730" s="21">
        <v>5.6273972602739724</v>
      </c>
      <c r="Q730" s="34" t="s">
        <v>3199</v>
      </c>
      <c r="R730" s="34" t="s">
        <v>3200</v>
      </c>
      <c r="S730" s="34" t="s">
        <v>200</v>
      </c>
      <c r="T730" s="34">
        <v>20070129</v>
      </c>
      <c r="U730" s="45">
        <v>38.861233470199998</v>
      </c>
      <c r="V730" s="46">
        <v>41.989394507100002</v>
      </c>
      <c r="W730" s="34" t="s">
        <v>201</v>
      </c>
      <c r="X730" s="34" t="s">
        <v>44</v>
      </c>
      <c r="Y730" s="34" t="s">
        <v>45</v>
      </c>
      <c r="Z730" s="34" t="s">
        <v>65</v>
      </c>
      <c r="AA730" s="34"/>
      <c r="AB730" s="34"/>
      <c r="AC730" s="22">
        <v>0.85416664123535158</v>
      </c>
      <c r="AD730" s="23" t="s">
        <v>1512</v>
      </c>
      <c r="AE730" s="24">
        <v>5.397260273972603</v>
      </c>
      <c r="AF730" s="25">
        <v>5.9508458588723778E-2</v>
      </c>
      <c r="AG730" s="26">
        <v>0.26104344114334888</v>
      </c>
      <c r="AH730" s="26">
        <v>0.18836327295215582</v>
      </c>
      <c r="AI730" s="27">
        <v>0.29696312609703784</v>
      </c>
      <c r="AJ730" s="27">
        <v>0.93739197679001229</v>
      </c>
      <c r="AK730" s="27">
        <v>0.77794134836905315</v>
      </c>
      <c r="AL730" s="28" t="s">
        <v>3201</v>
      </c>
      <c r="AM730" s="29">
        <v>5</v>
      </c>
      <c r="AN730" s="29">
        <v>3</v>
      </c>
      <c r="AO730" s="29" t="s">
        <v>48</v>
      </c>
      <c r="AP730" s="47" t="s">
        <v>3202</v>
      </c>
      <c r="AQ730" s="28">
        <v>0</v>
      </c>
      <c r="AR730" s="26">
        <v>1.4999999999999999E-2</v>
      </c>
      <c r="AS730" s="26">
        <v>0</v>
      </c>
    </row>
    <row r="731" spans="1:45" x14ac:dyDescent="0.15">
      <c r="A731" s="64">
        <v>806</v>
      </c>
      <c r="B731" s="64">
        <v>415</v>
      </c>
      <c r="C731" s="11">
        <v>160311</v>
      </c>
      <c r="D731" s="61">
        <v>378</v>
      </c>
      <c r="E731" s="61">
        <v>-5.6673196362234295E-4</v>
      </c>
      <c r="F731" s="61">
        <v>318</v>
      </c>
      <c r="G731" s="61">
        <v>0.205709522035981</v>
      </c>
      <c r="H731" s="66">
        <v>245</v>
      </c>
      <c r="I731" s="66" t="str">
        <f>H731&amp;"/"&amp;451</f>
        <v>245/451</v>
      </c>
      <c r="J731" s="68">
        <f>H731/451</f>
        <v>0.5432372505543237</v>
      </c>
      <c r="K731" s="18" t="s">
        <v>44</v>
      </c>
      <c r="L731" s="18" t="s">
        <v>45</v>
      </c>
      <c r="M731" s="58" t="s">
        <v>65</v>
      </c>
      <c r="N731" s="18">
        <f>[1]!f_prt_stocktonav(C731,"2017/03/31")</f>
        <v>87.0411376953125</v>
      </c>
      <c r="O731" s="20" t="str">
        <f>[1]!f_info_fundmanager(C731)</f>
        <v>王怡欢</v>
      </c>
      <c r="P731" s="21">
        <v>6.1068493150684935</v>
      </c>
      <c r="Q731" s="34" t="s">
        <v>3141</v>
      </c>
      <c r="R731" s="34" t="s">
        <v>3142</v>
      </c>
      <c r="S731" s="34" t="s">
        <v>143</v>
      </c>
      <c r="T731" s="34">
        <v>20070424</v>
      </c>
      <c r="U731" s="45">
        <v>41.039872733999999</v>
      </c>
      <c r="V731" s="46">
        <v>43.276726083600003</v>
      </c>
      <c r="W731" s="34" t="s">
        <v>231</v>
      </c>
      <c r="X731" s="34" t="s">
        <v>44</v>
      </c>
      <c r="Y731" s="34" t="s">
        <v>45</v>
      </c>
      <c r="Z731" s="34" t="s">
        <v>65</v>
      </c>
      <c r="AA731" s="34"/>
      <c r="AB731" s="34"/>
      <c r="AC731" s="22">
        <v>0.84317977905273434</v>
      </c>
      <c r="AD731" s="23" t="s">
        <v>3143</v>
      </c>
      <c r="AE731" s="24">
        <v>5.8767123287671232</v>
      </c>
      <c r="AF731" s="25">
        <v>6.4364526982325643E-2</v>
      </c>
      <c r="AG731" s="26">
        <v>0.1355884533225955</v>
      </c>
      <c r="AH731" s="26">
        <v>0.12709085759813754</v>
      </c>
      <c r="AI731" s="27">
        <v>0.32457505332091069</v>
      </c>
      <c r="AJ731" s="27">
        <v>0.6165686838607175</v>
      </c>
      <c r="AK731" s="27">
        <v>0.62198221808091747</v>
      </c>
      <c r="AL731" s="28" t="s">
        <v>323</v>
      </c>
      <c r="AM731" s="29">
        <v>3</v>
      </c>
      <c r="AN731" s="29">
        <v>4</v>
      </c>
      <c r="AO731" s="29" t="s">
        <v>48</v>
      </c>
      <c r="AP731" s="47" t="s">
        <v>592</v>
      </c>
      <c r="AQ731" s="28">
        <v>0</v>
      </c>
      <c r="AR731" s="26">
        <v>1.4999999999999999E-2</v>
      </c>
      <c r="AS731" s="26">
        <v>0</v>
      </c>
    </row>
    <row r="732" spans="1:45" x14ac:dyDescent="0.15">
      <c r="A732" s="64">
        <v>12</v>
      </c>
      <c r="B732" s="64">
        <v>252</v>
      </c>
      <c r="C732" s="11">
        <v>3446</v>
      </c>
      <c r="D732" s="61">
        <v>379</v>
      </c>
      <c r="E732" s="61">
        <v>-5.6810023701539102E-4</v>
      </c>
      <c r="F732" s="61">
        <v>18</v>
      </c>
      <c r="G732" s="61">
        <v>0.77873379563919498</v>
      </c>
      <c r="H732" s="66">
        <v>246</v>
      </c>
      <c r="I732" s="66" t="str">
        <f>H732&amp;"/"&amp;451</f>
        <v>246/451</v>
      </c>
      <c r="J732" s="68">
        <f>H732/451</f>
        <v>0.54545454545454541</v>
      </c>
      <c r="K732" s="18" t="s">
        <v>44</v>
      </c>
      <c r="L732" s="19" t="s">
        <v>45</v>
      </c>
      <c r="M732" s="59" t="s">
        <v>65</v>
      </c>
      <c r="N732" s="18">
        <f>[1]!f_prt_stocktonav(C732,"2017/03/31")</f>
        <v>90.500236511230469</v>
      </c>
      <c r="O732" s="20" t="str">
        <f>[1]!f_info_fundmanager(C732)</f>
        <v>袁忠伟,管瑞龙</v>
      </c>
      <c r="P732" s="21">
        <v>0.35068493150684932</v>
      </c>
      <c r="Q732" s="12" t="s">
        <v>111</v>
      </c>
      <c r="R732" s="13" t="s">
        <v>112</v>
      </c>
      <c r="S732" s="13" t="s">
        <v>113</v>
      </c>
      <c r="T732" s="13">
        <v>20161123</v>
      </c>
      <c r="U732" s="14">
        <v>0.77369439309999999</v>
      </c>
      <c r="V732" s="15" t="s">
        <v>58</v>
      </c>
      <c r="W732" s="16" t="s">
        <v>40</v>
      </c>
      <c r="X732" s="17" t="s">
        <v>41</v>
      </c>
      <c r="Y732" s="17" t="s">
        <v>42</v>
      </c>
      <c r="Z732" s="17" t="s">
        <v>43</v>
      </c>
      <c r="AA732" s="13"/>
      <c r="AB732" s="13"/>
      <c r="AC732" s="22">
        <v>0</v>
      </c>
      <c r="AD732" s="23" t="s">
        <v>114</v>
      </c>
      <c r="AE732" s="24">
        <v>0.12054794520547946</v>
      </c>
      <c r="AF732" s="25">
        <v>-0.2904592077209166</v>
      </c>
      <c r="AG732" s="26">
        <v>0</v>
      </c>
      <c r="AH732" s="26">
        <v>0</v>
      </c>
      <c r="AI732" s="27">
        <v>-2.7719913120438191</v>
      </c>
      <c r="AJ732" s="27">
        <v>-2.7719913120438191</v>
      </c>
      <c r="AK732" s="27">
        <v>-2.7719913120438191</v>
      </c>
      <c r="AL732" s="28" t="s">
        <v>115</v>
      </c>
      <c r="AM732" s="29" t="s">
        <v>48</v>
      </c>
      <c r="AN732" s="29" t="s">
        <v>48</v>
      </c>
      <c r="AO732" s="29" t="s">
        <v>48</v>
      </c>
      <c r="AP732" s="23" t="s">
        <v>116</v>
      </c>
      <c r="AQ732" s="30">
        <v>0</v>
      </c>
      <c r="AR732" s="31">
        <v>7.4999999999999997E-3</v>
      </c>
      <c r="AS732" s="31">
        <v>0</v>
      </c>
    </row>
    <row r="733" spans="1:45" x14ac:dyDescent="0.15">
      <c r="A733" s="64">
        <v>7</v>
      </c>
      <c r="B733" s="64">
        <v>753</v>
      </c>
      <c r="C733" s="11">
        <v>3284</v>
      </c>
      <c r="D733" s="61">
        <v>380</v>
      </c>
      <c r="E733" s="61">
        <v>-5.7197651725208998E-4</v>
      </c>
      <c r="F733" s="61">
        <v>15</v>
      </c>
      <c r="G733" s="61">
        <v>0.82157794804173401</v>
      </c>
      <c r="H733" s="66">
        <v>247</v>
      </c>
      <c r="I733" s="66" t="str">
        <f>H733&amp;"/"&amp;451</f>
        <v>247/451</v>
      </c>
      <c r="J733" s="68">
        <f>H733/451</f>
        <v>0.54767184035476724</v>
      </c>
      <c r="K733" s="18" t="s">
        <v>44</v>
      </c>
      <c r="L733" s="19" t="s">
        <v>87</v>
      </c>
      <c r="M733" s="59" t="s">
        <v>65</v>
      </c>
      <c r="N733" s="18">
        <f>[1]!f_prt_stocktonav(C733,"2017/03/31")</f>
        <v>78.219024658203125</v>
      </c>
      <c r="O733" s="20" t="str">
        <f>[1]!f_info_fundmanager(C733)</f>
        <v>王曼</v>
      </c>
      <c r="P733" s="21">
        <v>0.29589041095890412</v>
      </c>
      <c r="Q733" s="32" t="s">
        <v>83</v>
      </c>
      <c r="R733" s="13" t="s">
        <v>84</v>
      </c>
      <c r="S733" s="13" t="s">
        <v>85</v>
      </c>
      <c r="T733" s="13">
        <v>20161213</v>
      </c>
      <c r="U733" s="14">
        <v>6.7612327177999996</v>
      </c>
      <c r="V733" s="15" t="s">
        <v>58</v>
      </c>
      <c r="W733" s="16" t="s">
        <v>40</v>
      </c>
      <c r="X733" s="17" t="s">
        <v>44</v>
      </c>
      <c r="Y733" s="17" t="s">
        <v>86</v>
      </c>
      <c r="Z733" s="17" t="s">
        <v>65</v>
      </c>
      <c r="AA733" s="13"/>
      <c r="AB733" s="13"/>
      <c r="AC733" s="22">
        <v>0</v>
      </c>
      <c r="AD733" s="23" t="s">
        <v>88</v>
      </c>
      <c r="AE733" s="24">
        <v>6.575342465753424E-2</v>
      </c>
      <c r="AF733" s="25">
        <v>1.9226103682947748E-3</v>
      </c>
      <c r="AG733" s="26">
        <v>0</v>
      </c>
      <c r="AH733" s="26">
        <v>0</v>
      </c>
      <c r="AI733" s="27">
        <v>-1.8227916473552361</v>
      </c>
      <c r="AJ733" s="27">
        <v>-1.8227916473552361</v>
      </c>
      <c r="AK733" s="27">
        <v>-1.8227916473552361</v>
      </c>
      <c r="AL733" s="33" t="s">
        <v>89</v>
      </c>
      <c r="AM733" s="29" t="s">
        <v>48</v>
      </c>
      <c r="AN733" s="29" t="s">
        <v>48</v>
      </c>
      <c r="AO733" s="29" t="s">
        <v>48</v>
      </c>
      <c r="AP733" s="23">
        <v>0</v>
      </c>
      <c r="AQ733" s="30">
        <v>0</v>
      </c>
      <c r="AR733" s="31">
        <v>1.4999999999999999E-2</v>
      </c>
      <c r="AS733" s="31">
        <v>0</v>
      </c>
    </row>
    <row r="734" spans="1:45" x14ac:dyDescent="0.15">
      <c r="A734" s="64">
        <v>197</v>
      </c>
      <c r="B734" s="64">
        <v>463</v>
      </c>
      <c r="C734" s="11">
        <v>1487</v>
      </c>
      <c r="D734" s="61">
        <v>381</v>
      </c>
      <c r="E734" s="61">
        <v>-5.8245071467628504E-4</v>
      </c>
      <c r="F734" s="61">
        <v>32</v>
      </c>
      <c r="G734" s="61">
        <v>0.76859396432210803</v>
      </c>
      <c r="H734" s="66">
        <v>248</v>
      </c>
      <c r="I734" s="66" t="str">
        <f>H734&amp;"/"&amp;451</f>
        <v>248/451</v>
      </c>
      <c r="J734" s="68">
        <f>H734/451</f>
        <v>0.54988913525498895</v>
      </c>
      <c r="K734" s="18" t="s">
        <v>44</v>
      </c>
      <c r="L734" s="18" t="s">
        <v>45</v>
      </c>
      <c r="M734" s="58" t="s">
        <v>65</v>
      </c>
      <c r="N734" s="18">
        <f>[1]!f_prt_stocktonav(C734,"2017/03/31")</f>
        <v>85.982841491699219</v>
      </c>
      <c r="O734" s="20" t="str">
        <f>[1]!f_info_fundmanager(C734)</f>
        <v>段鹏程,肖肖</v>
      </c>
      <c r="P734" s="21">
        <v>0.61095890410958908</v>
      </c>
      <c r="Q734" s="34" t="s">
        <v>947</v>
      </c>
      <c r="R734" s="34" t="s">
        <v>948</v>
      </c>
      <c r="S734" s="34" t="s">
        <v>402</v>
      </c>
      <c r="T734" s="34">
        <v>20150825</v>
      </c>
      <c r="U734" s="45">
        <v>1.0858723237000001</v>
      </c>
      <c r="V734" s="46">
        <v>1.3865314355</v>
      </c>
      <c r="W734" s="34" t="s">
        <v>1235</v>
      </c>
      <c r="X734" s="34" t="s">
        <v>44</v>
      </c>
      <c r="Y734" s="34" t="s">
        <v>45</v>
      </c>
      <c r="Z734" s="34" t="s">
        <v>65</v>
      </c>
      <c r="AA734" s="34"/>
      <c r="AB734" s="34"/>
      <c r="AC734" s="22">
        <v>0.92945549011230466</v>
      </c>
      <c r="AD734" s="23" t="s">
        <v>832</v>
      </c>
      <c r="AE734" s="24">
        <v>0.38082191780821917</v>
      </c>
      <c r="AF734" s="25">
        <v>3.006553953764235E-2</v>
      </c>
      <c r="AG734" s="26">
        <v>0</v>
      </c>
      <c r="AH734" s="26">
        <v>0</v>
      </c>
      <c r="AI734" s="27">
        <v>0.18333373725760388</v>
      </c>
      <c r="AJ734" s="27">
        <v>0.18333373725760388</v>
      </c>
      <c r="AK734" s="27">
        <v>0.18333373725760388</v>
      </c>
      <c r="AL734" s="28" t="s">
        <v>183</v>
      </c>
      <c r="AM734" s="29" t="s">
        <v>48</v>
      </c>
      <c r="AN734" s="29" t="s">
        <v>48</v>
      </c>
      <c r="AO734" s="29" t="s">
        <v>48</v>
      </c>
      <c r="AP734" s="47" t="s">
        <v>405</v>
      </c>
      <c r="AQ734" s="28">
        <v>0</v>
      </c>
      <c r="AR734" s="26">
        <v>1.4999999999999999E-2</v>
      </c>
      <c r="AS734" s="26">
        <v>0</v>
      </c>
    </row>
    <row r="735" spans="1:45" x14ac:dyDescent="0.15">
      <c r="A735" s="64">
        <v>11</v>
      </c>
      <c r="B735" s="64">
        <v>907</v>
      </c>
      <c r="C735" s="11">
        <v>3292</v>
      </c>
      <c r="D735" s="61">
        <v>383</v>
      </c>
      <c r="E735" s="61">
        <v>-6.0949851350112203E-4</v>
      </c>
      <c r="F735" s="61">
        <v>17</v>
      </c>
      <c r="G735" s="61">
        <v>0.79256181916992596</v>
      </c>
      <c r="H735" s="66">
        <v>249</v>
      </c>
      <c r="I735" s="66" t="str">
        <f>H735&amp;"/"&amp;451</f>
        <v>249/451</v>
      </c>
      <c r="J735" s="68">
        <f>H735/451</f>
        <v>0.55210643015521066</v>
      </c>
      <c r="K735" s="18" t="s">
        <v>44</v>
      </c>
      <c r="L735" s="19" t="s">
        <v>45</v>
      </c>
      <c r="M735" s="59" t="s">
        <v>65</v>
      </c>
      <c r="N735" s="18">
        <f>[1]!f_prt_stocktonav(C735,"2017/03/31")</f>
        <v>72.217605590820313</v>
      </c>
      <c r="O735" s="20" t="str">
        <f>[1]!f_info_fundmanager(C735)</f>
        <v>刘美玲</v>
      </c>
      <c r="P735" s="21">
        <v>0.32876712328767121</v>
      </c>
      <c r="Q735" s="32" t="s">
        <v>107</v>
      </c>
      <c r="R735" s="13" t="s">
        <v>108</v>
      </c>
      <c r="S735" s="13" t="s">
        <v>92</v>
      </c>
      <c r="T735" s="13">
        <v>20161201</v>
      </c>
      <c r="U735" s="14">
        <v>4.9461114543000004</v>
      </c>
      <c r="V735" s="15" t="s">
        <v>58</v>
      </c>
      <c r="W735" s="16" t="s">
        <v>40</v>
      </c>
      <c r="X735" s="17" t="s">
        <v>41</v>
      </c>
      <c r="Y735" s="17" t="s">
        <v>42</v>
      </c>
      <c r="Z735" s="17" t="s">
        <v>43</v>
      </c>
      <c r="AA735" s="13"/>
      <c r="AB735" s="13"/>
      <c r="AC735" s="22">
        <v>0</v>
      </c>
      <c r="AD735" s="23" t="s">
        <v>109</v>
      </c>
      <c r="AE735" s="24">
        <v>9.8630136986301367E-2</v>
      </c>
      <c r="AF735" s="25">
        <v>-0.15295670037036591</v>
      </c>
      <c r="AG735" s="26">
        <v>0</v>
      </c>
      <c r="AH735" s="26">
        <v>0</v>
      </c>
      <c r="AI735" s="27">
        <v>-3.7372485157669222</v>
      </c>
      <c r="AJ735" s="27">
        <v>-3.7372485157669222</v>
      </c>
      <c r="AK735" s="27">
        <v>-3.7372485157669222</v>
      </c>
      <c r="AL735" s="28" t="s">
        <v>110</v>
      </c>
      <c r="AM735" s="29" t="s">
        <v>48</v>
      </c>
      <c r="AN735" s="29" t="s">
        <v>48</v>
      </c>
      <c r="AO735" s="29" t="s">
        <v>48</v>
      </c>
      <c r="AP735" s="23" t="s">
        <v>49</v>
      </c>
      <c r="AQ735" s="30">
        <v>0</v>
      </c>
      <c r="AR735" s="31">
        <v>1.4999999999999999E-2</v>
      </c>
      <c r="AS735" s="31">
        <v>0</v>
      </c>
    </row>
    <row r="736" spans="1:45" x14ac:dyDescent="0.15">
      <c r="A736" s="64">
        <v>524</v>
      </c>
      <c r="B736" s="64">
        <v>675</v>
      </c>
      <c r="C736" s="11">
        <v>165313</v>
      </c>
      <c r="D736" s="61">
        <v>384</v>
      </c>
      <c r="E736" s="61">
        <v>-6.13720189938851E-4</v>
      </c>
      <c r="F736" s="61">
        <v>208</v>
      </c>
      <c r="G736" s="61">
        <v>0.50865500225032201</v>
      </c>
      <c r="H736" s="66">
        <v>250</v>
      </c>
      <c r="I736" s="66" t="str">
        <f>H736&amp;"/"&amp;451</f>
        <v>250/451</v>
      </c>
      <c r="J736" s="68">
        <f>H736/451</f>
        <v>0.55432372505543237</v>
      </c>
      <c r="K736" s="18" t="s">
        <v>44</v>
      </c>
      <c r="L736" s="18" t="s">
        <v>45</v>
      </c>
      <c r="M736" s="58" t="s">
        <v>65</v>
      </c>
      <c r="N736" s="18">
        <f>[1]!f_prt_stocktonav(C736,"2017/03/31")</f>
        <v>80.68389892578125</v>
      </c>
      <c r="O736" s="20" t="str">
        <f>[1]!f_info_fundmanager(C736)</f>
        <v>姜锋</v>
      </c>
      <c r="P736" s="21">
        <v>4.0356164383561648</v>
      </c>
      <c r="Q736" s="34" t="s">
        <v>2188</v>
      </c>
      <c r="R736" s="34" t="s">
        <v>2189</v>
      </c>
      <c r="S736" s="34" t="s">
        <v>307</v>
      </c>
      <c r="T736" s="34">
        <v>20130319</v>
      </c>
      <c r="U736" s="45">
        <v>5.3887804073999996</v>
      </c>
      <c r="V736" s="46">
        <v>5.6689264890000004</v>
      </c>
      <c r="W736" s="34" t="s">
        <v>3789</v>
      </c>
      <c r="X736" s="34" t="s">
        <v>41</v>
      </c>
      <c r="Y736" s="17" t="s">
        <v>42</v>
      </c>
      <c r="Z736" s="17" t="s">
        <v>181</v>
      </c>
      <c r="AA736" s="34"/>
      <c r="AB736" s="34"/>
      <c r="AC736" s="22">
        <v>0.64911727905273442</v>
      </c>
      <c r="AD736" s="23" t="s">
        <v>1406</v>
      </c>
      <c r="AE736" s="24">
        <v>3.8054794520547945</v>
      </c>
      <c r="AF736" s="25">
        <v>0.10160285171208905</v>
      </c>
      <c r="AG736" s="26">
        <v>0.13448572712817786</v>
      </c>
      <c r="AH736" s="26">
        <v>0</v>
      </c>
      <c r="AI736" s="27">
        <v>0.48507546661139644</v>
      </c>
      <c r="AJ736" s="27">
        <v>0.60714815259461619</v>
      </c>
      <c r="AK736" s="27">
        <v>0.48507546661139644</v>
      </c>
      <c r="AL736" s="28" t="s">
        <v>2074</v>
      </c>
      <c r="AM736" s="29" t="s">
        <v>48</v>
      </c>
      <c r="AN736" s="29" t="s">
        <v>48</v>
      </c>
      <c r="AO736" s="29" t="s">
        <v>48</v>
      </c>
      <c r="AP736" s="47" t="s">
        <v>209</v>
      </c>
      <c r="AQ736" s="28">
        <v>0</v>
      </c>
      <c r="AR736" s="26">
        <v>1.2500000000000001E-2</v>
      </c>
      <c r="AS736" s="26">
        <v>0</v>
      </c>
    </row>
    <row r="737" spans="1:45" x14ac:dyDescent="0.15">
      <c r="A737" s="64">
        <v>791</v>
      </c>
      <c r="B737" s="64">
        <v>585</v>
      </c>
      <c r="C737" s="11">
        <v>200008</v>
      </c>
      <c r="D737" s="61">
        <v>385</v>
      </c>
      <c r="E737" s="61">
        <v>-6.1924962597687601E-4</v>
      </c>
      <c r="F737" s="61">
        <v>197</v>
      </c>
      <c r="G737" s="61">
        <v>0.51730476043586904</v>
      </c>
      <c r="H737" s="66">
        <v>251</v>
      </c>
      <c r="I737" s="66" t="str">
        <f>H737&amp;"/"&amp;451</f>
        <v>251/451</v>
      </c>
      <c r="J737" s="68">
        <f>H737/451</f>
        <v>0.55654101995565408</v>
      </c>
      <c r="K737" s="18" t="s">
        <v>44</v>
      </c>
      <c r="L737" s="18" t="s">
        <v>45</v>
      </c>
      <c r="M737" s="58" t="s">
        <v>65</v>
      </c>
      <c r="N737" s="18">
        <f>[1]!f_prt_stocktonav(C737,"2017/03/31")</f>
        <v>83.1468505859375</v>
      </c>
      <c r="O737" s="20" t="str">
        <f>[1]!f_info_fundmanager(C737)</f>
        <v>杨建华</v>
      </c>
      <c r="P737" s="21">
        <v>3.7863013698630139</v>
      </c>
      <c r="Q737" s="34" t="s">
        <v>3086</v>
      </c>
      <c r="R737" s="34" t="s">
        <v>3087</v>
      </c>
      <c r="S737" s="34" t="s">
        <v>1172</v>
      </c>
      <c r="T737" s="34">
        <v>20070806</v>
      </c>
      <c r="U737" s="45">
        <v>36.264026291500002</v>
      </c>
      <c r="V737" s="46">
        <v>38.6286070946</v>
      </c>
      <c r="W737" s="34" t="s">
        <v>231</v>
      </c>
      <c r="X737" s="34" t="s">
        <v>44</v>
      </c>
      <c r="Y737" s="34" t="s">
        <v>45</v>
      </c>
      <c r="Z737" s="34" t="s">
        <v>65</v>
      </c>
      <c r="AA737" s="34"/>
      <c r="AB737" s="34"/>
      <c r="AC737" s="22">
        <v>0.87255027770996096</v>
      </c>
      <c r="AD737" s="23" t="s">
        <v>3088</v>
      </c>
      <c r="AE737" s="24">
        <v>3.5561643835616437</v>
      </c>
      <c r="AF737" s="25">
        <v>8.525855334894139E-3</v>
      </c>
      <c r="AG737" s="26">
        <v>0.14367694909151507</v>
      </c>
      <c r="AH737" s="26">
        <v>9.9797957537685278E-2</v>
      </c>
      <c r="AI737" s="27">
        <v>0.1005093776732971</v>
      </c>
      <c r="AJ737" s="27">
        <v>0.62227928644646824</v>
      </c>
      <c r="AK737" s="27">
        <v>0.46309296234477182</v>
      </c>
      <c r="AL737" s="28" t="s">
        <v>3089</v>
      </c>
      <c r="AM737" s="29">
        <v>2</v>
      </c>
      <c r="AN737" s="29">
        <v>4</v>
      </c>
      <c r="AO737" s="29" t="s">
        <v>48</v>
      </c>
      <c r="AP737" s="47" t="s">
        <v>2337</v>
      </c>
      <c r="AQ737" s="28">
        <v>0</v>
      </c>
      <c r="AR737" s="26">
        <v>1.4999999999999999E-2</v>
      </c>
      <c r="AS737" s="26">
        <v>0</v>
      </c>
    </row>
    <row r="738" spans="1:45" x14ac:dyDescent="0.15">
      <c r="A738" s="64">
        <v>269</v>
      </c>
      <c r="B738" s="64">
        <v>594</v>
      </c>
      <c r="C738" s="11">
        <v>1276</v>
      </c>
      <c r="D738" s="61">
        <v>387</v>
      </c>
      <c r="E738" s="61">
        <v>-6.4822216315226205E-4</v>
      </c>
      <c r="F738" s="61">
        <v>94</v>
      </c>
      <c r="G738" s="61">
        <v>0.70401615813653495</v>
      </c>
      <c r="H738" s="66">
        <v>252</v>
      </c>
      <c r="I738" s="66" t="str">
        <f>H738&amp;"/"&amp;451</f>
        <v>252/451</v>
      </c>
      <c r="J738" s="68">
        <f>H738/451</f>
        <v>0.55875831485587579</v>
      </c>
      <c r="K738" s="18" t="s">
        <v>44</v>
      </c>
      <c r="L738" s="18" t="s">
        <v>45</v>
      </c>
      <c r="M738" s="58" t="s">
        <v>65</v>
      </c>
      <c r="N738" s="18">
        <f>[1]!f_prt_stocktonav(C738,"2017/03/31")</f>
        <v>82.988243103027344</v>
      </c>
      <c r="O738" s="20" t="str">
        <f>[1]!f_info_fundmanager(C738)</f>
        <v>许杰</v>
      </c>
      <c r="P738" s="21">
        <v>1.8493150684931507</v>
      </c>
      <c r="Q738" s="34" t="s">
        <v>1239</v>
      </c>
      <c r="R738" s="34" t="s">
        <v>1240</v>
      </c>
      <c r="S738" s="34" t="s">
        <v>307</v>
      </c>
      <c r="T738" s="34">
        <v>20150526</v>
      </c>
      <c r="U738" s="45">
        <v>5.8976750904999999</v>
      </c>
      <c r="V738" s="46">
        <v>6.136674137</v>
      </c>
      <c r="W738" s="34" t="s">
        <v>1235</v>
      </c>
      <c r="X738" s="34" t="s">
        <v>44</v>
      </c>
      <c r="Y738" s="34" t="s">
        <v>45</v>
      </c>
      <c r="Z738" s="34" t="s">
        <v>274</v>
      </c>
      <c r="AA738" s="34"/>
      <c r="AB738" s="34"/>
      <c r="AC738" s="22">
        <v>0.73454246520996092</v>
      </c>
      <c r="AD738" s="23" t="s">
        <v>1241</v>
      </c>
      <c r="AE738" s="24">
        <v>1.6191780821917807</v>
      </c>
      <c r="AF738" s="25">
        <v>-0.15643523843377494</v>
      </c>
      <c r="AG738" s="26">
        <v>0</v>
      </c>
      <c r="AH738" s="26">
        <v>0</v>
      </c>
      <c r="AI738" s="27">
        <v>-0.37330960744704433</v>
      </c>
      <c r="AJ738" s="27">
        <v>-0.37330960744704433</v>
      </c>
      <c r="AK738" s="27">
        <v>-0.37330960744704433</v>
      </c>
      <c r="AL738" s="28" t="s">
        <v>1242</v>
      </c>
      <c r="AM738" s="29" t="s">
        <v>48</v>
      </c>
      <c r="AN738" s="29" t="s">
        <v>48</v>
      </c>
      <c r="AO738" s="29" t="s">
        <v>48</v>
      </c>
      <c r="AP738" s="47" t="s">
        <v>310</v>
      </c>
      <c r="AQ738" s="28">
        <v>0</v>
      </c>
      <c r="AR738" s="26">
        <v>1.4999999999999999E-2</v>
      </c>
      <c r="AS738" s="26">
        <v>0</v>
      </c>
    </row>
    <row r="739" spans="1:45" x14ac:dyDescent="0.15">
      <c r="A739" s="64">
        <v>746</v>
      </c>
      <c r="B739" s="64">
        <v>352</v>
      </c>
      <c r="C739" s="11">
        <v>420003</v>
      </c>
      <c r="D739" s="61">
        <v>389</v>
      </c>
      <c r="E739" s="61">
        <v>-6.5769628180481997E-4</v>
      </c>
      <c r="F739" s="61">
        <v>165</v>
      </c>
      <c r="G739" s="61">
        <v>0.63849237978721096</v>
      </c>
      <c r="H739" s="66">
        <v>253</v>
      </c>
      <c r="I739" s="66" t="str">
        <f>H739&amp;"/"&amp;451</f>
        <v>253/451</v>
      </c>
      <c r="J739" s="68">
        <f>H739/451</f>
        <v>0.56097560975609762</v>
      </c>
      <c r="K739" s="18" t="s">
        <v>44</v>
      </c>
      <c r="L739" s="18" t="s">
        <v>45</v>
      </c>
      <c r="M739" s="58" t="s">
        <v>65</v>
      </c>
      <c r="N739" s="18">
        <f>[1]!f_prt_stocktonav(C739,"2017/03/31")</f>
        <v>88.516700744628906</v>
      </c>
      <c r="O739" s="20" t="str">
        <f>[1]!f_info_fundmanager(C739)</f>
        <v>肖志刚</v>
      </c>
      <c r="P739" s="21">
        <v>3.1698630136986301</v>
      </c>
      <c r="Q739" s="34" t="s">
        <v>2940</v>
      </c>
      <c r="R739" s="34" t="s">
        <v>2941</v>
      </c>
      <c r="S739" s="34" t="s">
        <v>1215</v>
      </c>
      <c r="T739" s="34">
        <v>20081202</v>
      </c>
      <c r="U739" s="45">
        <v>8.7009606606999998</v>
      </c>
      <c r="V739" s="46">
        <v>5.3780070198000001</v>
      </c>
      <c r="W739" s="34" t="s">
        <v>231</v>
      </c>
      <c r="X739" s="34" t="s">
        <v>44</v>
      </c>
      <c r="Y739" s="34" t="s">
        <v>45</v>
      </c>
      <c r="Z739" s="34" t="s">
        <v>65</v>
      </c>
      <c r="AA739" s="34"/>
      <c r="AB739" s="34"/>
      <c r="AC739" s="22">
        <v>0.91261619567871088</v>
      </c>
      <c r="AD739" s="23" t="s">
        <v>2942</v>
      </c>
      <c r="AE739" s="24">
        <v>2.9397260273972603</v>
      </c>
      <c r="AF739" s="25">
        <v>0.11719393625062736</v>
      </c>
      <c r="AG739" s="26">
        <v>0.29838119190969059</v>
      </c>
      <c r="AH739" s="26">
        <v>0.18678182879718608</v>
      </c>
      <c r="AI739" s="27">
        <v>0.52170387890099745</v>
      </c>
      <c r="AJ739" s="27">
        <v>1.0831436400544427</v>
      </c>
      <c r="AK739" s="27">
        <v>0.76113953253625599</v>
      </c>
      <c r="AL739" s="28" t="s">
        <v>1459</v>
      </c>
      <c r="AM739" s="29">
        <v>3</v>
      </c>
      <c r="AN739" s="29">
        <v>3</v>
      </c>
      <c r="AO739" s="29" t="s">
        <v>48</v>
      </c>
      <c r="AP739" s="47" t="s">
        <v>2943</v>
      </c>
      <c r="AQ739" s="28">
        <v>0</v>
      </c>
      <c r="AR739" s="26">
        <v>1.4999999999999999E-2</v>
      </c>
      <c r="AS739" s="26">
        <v>0</v>
      </c>
    </row>
    <row r="740" spans="1:45" x14ac:dyDescent="0.15">
      <c r="A740" s="64">
        <v>125</v>
      </c>
      <c r="B740" s="64">
        <v>660</v>
      </c>
      <c r="C740" s="11">
        <v>2173</v>
      </c>
      <c r="D740" s="61">
        <v>392</v>
      </c>
      <c r="E740" s="61">
        <v>-6.7453688203630597E-4</v>
      </c>
      <c r="F740" s="61">
        <v>14</v>
      </c>
      <c r="G740" s="61">
        <v>0.738235325273218</v>
      </c>
      <c r="H740" s="66">
        <v>254</v>
      </c>
      <c r="I740" s="66" t="str">
        <f>H740&amp;"/"&amp;451</f>
        <v>254/451</v>
      </c>
      <c r="J740" s="68">
        <f>H740/451</f>
        <v>0.56319290465631933</v>
      </c>
      <c r="K740" s="18" t="s">
        <v>44</v>
      </c>
      <c r="L740" s="18" t="s">
        <v>45</v>
      </c>
      <c r="M740" s="58" t="s">
        <v>65</v>
      </c>
      <c r="N740" s="18">
        <f>[1]!f_prt_stocktonav(C740,"2017/03/31")</f>
        <v>81.164695739746094</v>
      </c>
      <c r="O740" s="20" t="str">
        <f>[1]!f_info_fundmanager(C740)</f>
        <v>薛子徵</v>
      </c>
      <c r="P740" s="21">
        <v>0.25753424657534246</v>
      </c>
      <c r="Q740" s="34" t="s">
        <v>644</v>
      </c>
      <c r="R740" s="34" t="s">
        <v>645</v>
      </c>
      <c r="S740" s="34" t="s">
        <v>252</v>
      </c>
      <c r="T740" s="34">
        <v>20160204</v>
      </c>
      <c r="U740" s="45">
        <v>0.18081259329999999</v>
      </c>
      <c r="V740" s="46">
        <v>0.25442030929999998</v>
      </c>
      <c r="W740" s="34" t="s">
        <v>3776</v>
      </c>
      <c r="X740" s="34" t="s">
        <v>41</v>
      </c>
      <c r="Y740" s="17" t="s">
        <v>42</v>
      </c>
      <c r="Z740" s="17" t="s">
        <v>181</v>
      </c>
      <c r="AA740" s="34"/>
      <c r="AB740" s="34"/>
      <c r="AC740" s="22">
        <v>0.61937774658203126</v>
      </c>
      <c r="AD740" s="23" t="s">
        <v>646</v>
      </c>
      <c r="AE740" s="24">
        <v>0.92328767123287669</v>
      </c>
      <c r="AF740" s="25">
        <v>-2.9314648021476208E-2</v>
      </c>
      <c r="AG740" s="26">
        <v>0</v>
      </c>
      <c r="AH740" s="26">
        <v>0</v>
      </c>
      <c r="AI740" s="27">
        <v>-0.22159493106602393</v>
      </c>
      <c r="AJ740" s="27">
        <v>-0.22159493106602393</v>
      </c>
      <c r="AK740" s="27">
        <v>-0.22159493106602393</v>
      </c>
      <c r="AL740" s="28" t="s">
        <v>254</v>
      </c>
      <c r="AM740" s="29" t="s">
        <v>48</v>
      </c>
      <c r="AN740" s="29" t="s">
        <v>48</v>
      </c>
      <c r="AO740" s="29" t="s">
        <v>48</v>
      </c>
      <c r="AP740" s="47" t="s">
        <v>255</v>
      </c>
      <c r="AQ740" s="28">
        <v>0</v>
      </c>
      <c r="AR740" s="26">
        <v>1.4999999999999999E-2</v>
      </c>
      <c r="AS740" s="26">
        <v>0</v>
      </c>
    </row>
    <row r="741" spans="1:45" x14ac:dyDescent="0.15">
      <c r="A741" s="64">
        <v>267</v>
      </c>
      <c r="B741" s="64">
        <v>544</v>
      </c>
      <c r="C741" s="11">
        <v>1373</v>
      </c>
      <c r="D741" s="61">
        <v>393</v>
      </c>
      <c r="E741" s="61">
        <v>-6.9289979707518002E-4</v>
      </c>
      <c r="F741" s="61">
        <v>94</v>
      </c>
      <c r="G741" s="61">
        <v>0.70647829914759097</v>
      </c>
      <c r="H741" s="66">
        <v>255</v>
      </c>
      <c r="I741" s="66" t="str">
        <f>H741&amp;"/"&amp;451</f>
        <v>255/451</v>
      </c>
      <c r="J741" s="68">
        <f>H741/451</f>
        <v>0.56541019955654104</v>
      </c>
      <c r="K741" s="18" t="s">
        <v>44</v>
      </c>
      <c r="L741" s="18" t="s">
        <v>45</v>
      </c>
      <c r="M741" s="58" t="s">
        <v>65</v>
      </c>
      <c r="N741" s="18">
        <f>[1]!f_prt_stocktonav(C741,"2017/03/31")</f>
        <v>84.15679931640625</v>
      </c>
      <c r="O741" s="20" t="str">
        <f>[1]!f_info_fundmanager(C741)</f>
        <v>樊正伟,郭杰,张坤</v>
      </c>
      <c r="P741" s="21">
        <v>1.8465753424657534</v>
      </c>
      <c r="Q741" s="34" t="s">
        <v>1227</v>
      </c>
      <c r="R741" s="34" t="s">
        <v>1228</v>
      </c>
      <c r="S741" s="34" t="s">
        <v>218</v>
      </c>
      <c r="T741" s="34">
        <v>20150527</v>
      </c>
      <c r="U741" s="45">
        <v>120.23992112019999</v>
      </c>
      <c r="V741" s="46">
        <v>131.7085482814</v>
      </c>
      <c r="W741" s="34" t="s">
        <v>3789</v>
      </c>
      <c r="X741" s="34" t="s">
        <v>44</v>
      </c>
      <c r="Y741" s="34" t="s">
        <v>45</v>
      </c>
      <c r="Z741" s="34" t="s">
        <v>274</v>
      </c>
      <c r="AA741" s="34"/>
      <c r="AB741" s="34"/>
      <c r="AC741" s="22">
        <v>0.80818153381347657</v>
      </c>
      <c r="AD741" s="23" t="s">
        <v>1229</v>
      </c>
      <c r="AE741" s="24">
        <v>1.6164383561643836</v>
      </c>
      <c r="AF741" s="25">
        <v>-0.22182399692239907</v>
      </c>
      <c r="AG741" s="26">
        <v>0</v>
      </c>
      <c r="AH741" s="26">
        <v>0</v>
      </c>
      <c r="AI741" s="27">
        <v>-0.66933514617366763</v>
      </c>
      <c r="AJ741" s="27">
        <v>-0.66933514617366763</v>
      </c>
      <c r="AK741" s="27">
        <v>-0.66933514617366763</v>
      </c>
      <c r="AL741" s="28" t="s">
        <v>1230</v>
      </c>
      <c r="AM741" s="29" t="s">
        <v>48</v>
      </c>
      <c r="AN741" s="29" t="s">
        <v>48</v>
      </c>
      <c r="AO741" s="29" t="s">
        <v>48</v>
      </c>
      <c r="AP741" s="47" t="s">
        <v>1231</v>
      </c>
      <c r="AQ741" s="28">
        <v>0</v>
      </c>
      <c r="AR741" s="26">
        <v>1.4999999999999999E-2</v>
      </c>
      <c r="AS741" s="26">
        <v>0</v>
      </c>
    </row>
    <row r="742" spans="1:45" x14ac:dyDescent="0.15">
      <c r="A742" s="64">
        <v>591</v>
      </c>
      <c r="B742" s="64">
        <v>325</v>
      </c>
      <c r="C742" s="11">
        <v>90016</v>
      </c>
      <c r="D742" s="61">
        <v>398</v>
      </c>
      <c r="E742" s="61">
        <v>-7.1964498924525697E-4</v>
      </c>
      <c r="F742" s="61">
        <v>11</v>
      </c>
      <c r="G742" s="61">
        <v>0.84702019861325295</v>
      </c>
      <c r="H742" s="66">
        <v>256</v>
      </c>
      <c r="I742" s="66" t="str">
        <f>H742&amp;"/"&amp;451</f>
        <v>256/451</v>
      </c>
      <c r="J742" s="68">
        <f>H742/451</f>
        <v>0.56762749445676275</v>
      </c>
      <c r="K742" s="18" t="s">
        <v>44</v>
      </c>
      <c r="L742" s="18" t="s">
        <v>87</v>
      </c>
      <c r="M742" s="58" t="s">
        <v>65</v>
      </c>
      <c r="N742" s="18">
        <f>[1]!f_prt_stocktonav(C742,"2017/03/31")</f>
        <v>88.952835083007812</v>
      </c>
      <c r="O742" s="20" t="str">
        <f>[1]!f_info_fundmanager(C742)</f>
        <v>侯春燕</v>
      </c>
      <c r="P742" s="21">
        <v>0.19726027397260273</v>
      </c>
      <c r="Q742" s="34" t="s">
        <v>2423</v>
      </c>
      <c r="R742" s="34" t="s">
        <v>2424</v>
      </c>
      <c r="S742" s="34" t="s">
        <v>486</v>
      </c>
      <c r="T742" s="34">
        <v>20111108</v>
      </c>
      <c r="U742" s="45">
        <v>0.4076592543</v>
      </c>
      <c r="V742" s="46">
        <v>0.47409011379999999</v>
      </c>
      <c r="W742" s="34" t="s">
        <v>201</v>
      </c>
      <c r="X742" s="34" t="s">
        <v>44</v>
      </c>
      <c r="Y742" s="34" t="s">
        <v>87</v>
      </c>
      <c r="Z742" s="34" t="s">
        <v>274</v>
      </c>
      <c r="AA742" s="34" t="s">
        <v>3818</v>
      </c>
      <c r="AB742" s="34"/>
      <c r="AC742" s="22">
        <v>0.93813011169433591</v>
      </c>
      <c r="AD742" s="23" t="s">
        <v>488</v>
      </c>
      <c r="AE742" s="24">
        <v>1.5397260273972602</v>
      </c>
      <c r="AF742" s="25">
        <v>1.1495201308346914E-2</v>
      </c>
      <c r="AG742" s="26">
        <v>-1.0347268494406037E-2</v>
      </c>
      <c r="AH742" s="26">
        <v>1.2458217828493989E-2</v>
      </c>
      <c r="AI742" s="27">
        <v>0.13702049761851168</v>
      </c>
      <c r="AJ742" s="27">
        <v>0.12317607087864578</v>
      </c>
      <c r="AK742" s="27">
        <v>0.14228221848404124</v>
      </c>
      <c r="AL742" s="33" t="s">
        <v>2425</v>
      </c>
      <c r="AM742" s="29" t="s">
        <v>48</v>
      </c>
      <c r="AN742" s="29">
        <v>3</v>
      </c>
      <c r="AO742" s="29" t="s">
        <v>48</v>
      </c>
      <c r="AP742" s="47" t="s">
        <v>643</v>
      </c>
      <c r="AQ742" s="28">
        <v>0</v>
      </c>
      <c r="AR742" s="26">
        <v>1.4999999999999999E-2</v>
      </c>
      <c r="AS742" s="26">
        <v>0</v>
      </c>
    </row>
    <row r="743" spans="1:45" x14ac:dyDescent="0.15">
      <c r="A743" s="64">
        <v>114</v>
      </c>
      <c r="B743" s="64">
        <v>155</v>
      </c>
      <c r="C743" s="11">
        <v>501015</v>
      </c>
      <c r="D743" s="61">
        <v>400</v>
      </c>
      <c r="E743" s="61">
        <v>-7.2802590439506403E-4</v>
      </c>
      <c r="F743" s="61">
        <v>54</v>
      </c>
      <c r="G743" s="61">
        <v>0.54556074677143496</v>
      </c>
      <c r="H743" s="66">
        <v>257</v>
      </c>
      <c r="I743" s="66" t="str">
        <f>H743&amp;"/"&amp;451</f>
        <v>257/451</v>
      </c>
      <c r="J743" s="68">
        <f>H743/451</f>
        <v>0.56984478935698446</v>
      </c>
      <c r="K743" s="18" t="s">
        <v>44</v>
      </c>
      <c r="L743" s="18" t="s">
        <v>64</v>
      </c>
      <c r="M743" s="58" t="s">
        <v>65</v>
      </c>
      <c r="N743" s="18">
        <f>[1]!f_prt_stocktonav(C743,"2017/03/31")</f>
        <v>92.640838623046875</v>
      </c>
      <c r="O743" s="20" t="str">
        <f>[1]!f_info_fundmanager(C743)</f>
        <v>姚思劼</v>
      </c>
      <c r="P743" s="21">
        <v>1.0602739726027397</v>
      </c>
      <c r="Q743" s="34" t="s">
        <v>597</v>
      </c>
      <c r="R743" s="34" t="s">
        <v>598</v>
      </c>
      <c r="S743" s="34" t="s">
        <v>238</v>
      </c>
      <c r="T743" s="34">
        <v>20160309</v>
      </c>
      <c r="U743" s="45">
        <v>48.238882885599999</v>
      </c>
      <c r="V743" s="46">
        <v>47.609786384000003</v>
      </c>
      <c r="W743" s="34" t="s">
        <v>201</v>
      </c>
      <c r="X743" s="34" t="s">
        <v>44</v>
      </c>
      <c r="Y743" s="17" t="s">
        <v>45</v>
      </c>
      <c r="Z743" s="17" t="s">
        <v>65</v>
      </c>
      <c r="AA743" s="34"/>
      <c r="AB743" s="34"/>
      <c r="AC743" s="22">
        <v>0.92914596557617191</v>
      </c>
      <c r="AD743" s="23" t="s">
        <v>239</v>
      </c>
      <c r="AE743" s="24">
        <v>0.83013698630136989</v>
      </c>
      <c r="AF743" s="25">
        <v>4.6740529794030872E-2</v>
      </c>
      <c r="AG743" s="26">
        <v>0</v>
      </c>
      <c r="AH743" s="26">
        <v>0</v>
      </c>
      <c r="AI743" s="27">
        <v>0.67479931085311962</v>
      </c>
      <c r="AJ743" s="27">
        <v>0.67479931085311962</v>
      </c>
      <c r="AK743" s="27">
        <v>0.67479931085311962</v>
      </c>
      <c r="AL743" s="28" t="s">
        <v>240</v>
      </c>
      <c r="AM743" s="29" t="s">
        <v>48</v>
      </c>
      <c r="AN743" s="29" t="s">
        <v>48</v>
      </c>
      <c r="AO743" s="29" t="s">
        <v>48</v>
      </c>
      <c r="AP743" s="47">
        <v>0</v>
      </c>
      <c r="AQ743" s="28">
        <v>0</v>
      </c>
      <c r="AR743" s="26">
        <v>1.4999999999999999E-2</v>
      </c>
      <c r="AS743" s="26">
        <v>0</v>
      </c>
    </row>
    <row r="744" spans="1:45" x14ac:dyDescent="0.15">
      <c r="A744" s="64">
        <v>80</v>
      </c>
      <c r="B744" s="64">
        <v>363</v>
      </c>
      <c r="C744" s="11">
        <v>165528</v>
      </c>
      <c r="D744" s="61">
        <v>401</v>
      </c>
      <c r="E744" s="61">
        <v>-7.3042280635378604E-4</v>
      </c>
      <c r="F744" s="61">
        <v>43</v>
      </c>
      <c r="G744" s="61">
        <v>0.48085628473967901</v>
      </c>
      <c r="H744" s="66">
        <v>258</v>
      </c>
      <c r="I744" s="66" t="str">
        <f>H744&amp;"/"&amp;451</f>
        <v>258/451</v>
      </c>
      <c r="J744" s="68">
        <f>H744/451</f>
        <v>0.57206208425720617</v>
      </c>
      <c r="K744" s="18" t="s">
        <v>44</v>
      </c>
      <c r="L744" s="18" t="s">
        <v>45</v>
      </c>
      <c r="M744" s="58" t="s">
        <v>65</v>
      </c>
      <c r="N744" s="18">
        <f>[1]!f_prt_stocktonav(C744,"2017/03/31")</f>
        <v>88.217216491699219</v>
      </c>
      <c r="O744" s="20" t="str">
        <f>[1]!f_info_fundmanager(C744)</f>
        <v>杨旭,殷孝东</v>
      </c>
      <c r="P744" s="21">
        <v>0.852054794520548</v>
      </c>
      <c r="Q744" s="34" t="s">
        <v>454</v>
      </c>
      <c r="R744" s="34" t="s">
        <v>455</v>
      </c>
      <c r="S744" s="34" t="s">
        <v>456</v>
      </c>
      <c r="T744" s="34">
        <v>20160524</v>
      </c>
      <c r="U744" s="45">
        <v>12.289517661</v>
      </c>
      <c r="V744" s="46">
        <v>12.1800340974</v>
      </c>
      <c r="W744" s="34" t="s">
        <v>3776</v>
      </c>
      <c r="X744" s="34" t="s">
        <v>44</v>
      </c>
      <c r="Y744" s="34" t="s">
        <v>45</v>
      </c>
      <c r="Z744" s="34" t="s">
        <v>65</v>
      </c>
      <c r="AA744" s="34"/>
      <c r="AB744" s="34"/>
      <c r="AC744" s="22">
        <v>0.88472557067871094</v>
      </c>
      <c r="AD744" s="23" t="s">
        <v>457</v>
      </c>
      <c r="AE744" s="24">
        <v>0.62191780821917808</v>
      </c>
      <c r="AF744" s="25">
        <v>1.6494332132021894E-2</v>
      </c>
      <c r="AG744" s="26">
        <v>0</v>
      </c>
      <c r="AH744" s="26">
        <v>0</v>
      </c>
      <c r="AI744" s="27">
        <v>8.5613088594646128E-2</v>
      </c>
      <c r="AJ744" s="27">
        <v>8.5613088594646128E-2</v>
      </c>
      <c r="AK744" s="27">
        <v>8.5613088594646128E-2</v>
      </c>
      <c r="AL744" s="28" t="s">
        <v>346</v>
      </c>
      <c r="AM744" s="29" t="s">
        <v>48</v>
      </c>
      <c r="AN744" s="29" t="s">
        <v>48</v>
      </c>
      <c r="AO744" s="29" t="s">
        <v>48</v>
      </c>
      <c r="AP744" s="47">
        <v>0</v>
      </c>
      <c r="AQ744" s="28">
        <v>0</v>
      </c>
      <c r="AR744" s="26">
        <v>1.4999999999999999E-2</v>
      </c>
      <c r="AS744" s="26">
        <v>0</v>
      </c>
    </row>
    <row r="745" spans="1:45" x14ac:dyDescent="0.15">
      <c r="A745" s="64">
        <v>813</v>
      </c>
      <c r="B745" s="64">
        <v>812</v>
      </c>
      <c r="C745" s="11">
        <v>519015</v>
      </c>
      <c r="D745" s="61">
        <v>405</v>
      </c>
      <c r="E745" s="61">
        <v>-7.8320658948253E-4</v>
      </c>
      <c r="F745" s="61">
        <v>51</v>
      </c>
      <c r="G745" s="61">
        <v>0.43206852272558799</v>
      </c>
      <c r="H745" s="66">
        <v>259</v>
      </c>
      <c r="I745" s="66" t="str">
        <f>H745&amp;"/"&amp;451</f>
        <v>259/451</v>
      </c>
      <c r="J745" s="68">
        <f>H745/451</f>
        <v>0.57427937915742788</v>
      </c>
      <c r="K745" s="18" t="s">
        <v>44</v>
      </c>
      <c r="L745" s="18" t="s">
        <v>45</v>
      </c>
      <c r="M745" s="58" t="s">
        <v>65</v>
      </c>
      <c r="N745" s="18">
        <f>[1]!f_prt_stocktonav(C745,"2017/03/31")</f>
        <v>76.171249389648438</v>
      </c>
      <c r="O745" s="20" t="str">
        <f>[1]!f_info_fundmanager(C745)</f>
        <v>王智慧</v>
      </c>
      <c r="P745" s="21">
        <v>0.96986301369863015</v>
      </c>
      <c r="Q745" s="34" t="s">
        <v>3164</v>
      </c>
      <c r="R745" s="34" t="s">
        <v>3165</v>
      </c>
      <c r="S745" s="34" t="s">
        <v>496</v>
      </c>
      <c r="T745" s="34">
        <v>20070409</v>
      </c>
      <c r="U745" s="45">
        <v>5.3765085464000002</v>
      </c>
      <c r="V745" s="46">
        <v>6.4765270999000002</v>
      </c>
      <c r="W745" s="34" t="s">
        <v>231</v>
      </c>
      <c r="X745" s="34" t="s">
        <v>44</v>
      </c>
      <c r="Y745" s="34" t="s">
        <v>45</v>
      </c>
      <c r="Z745" s="34" t="s">
        <v>65</v>
      </c>
      <c r="AA745" s="34"/>
      <c r="AB745" s="34"/>
      <c r="AC745" s="22">
        <v>0.72882690429687502</v>
      </c>
      <c r="AD745" s="23" t="s">
        <v>3166</v>
      </c>
      <c r="AE745" s="24">
        <v>0.73972602739726023</v>
      </c>
      <c r="AF745" s="25">
        <v>3.7447412079592457E-2</v>
      </c>
      <c r="AG745" s="26">
        <v>8.4696797500173768E-2</v>
      </c>
      <c r="AH745" s="26">
        <v>6.7934634713242348E-2</v>
      </c>
      <c r="AI745" s="27">
        <v>0.20626291531958985</v>
      </c>
      <c r="AJ745" s="27">
        <v>0.40289248033291503</v>
      </c>
      <c r="AK745" s="27">
        <v>0.35207902111952122</v>
      </c>
      <c r="AL745" s="28" t="s">
        <v>3167</v>
      </c>
      <c r="AM745" s="29">
        <v>2</v>
      </c>
      <c r="AN745" s="29">
        <v>2</v>
      </c>
      <c r="AO745" s="29" t="s">
        <v>48</v>
      </c>
      <c r="AP745" s="47" t="s">
        <v>3168</v>
      </c>
      <c r="AQ745" s="28">
        <v>0</v>
      </c>
      <c r="AR745" s="26">
        <v>1.4999999999999999E-2</v>
      </c>
      <c r="AS745" s="26">
        <v>0</v>
      </c>
    </row>
    <row r="746" spans="1:45" x14ac:dyDescent="0.15">
      <c r="A746" s="64">
        <v>754</v>
      </c>
      <c r="B746" s="64">
        <v>171</v>
      </c>
      <c r="C746" s="11">
        <v>160613</v>
      </c>
      <c r="D746" s="61">
        <v>406</v>
      </c>
      <c r="E746" s="61">
        <v>-7.8404041651810804E-4</v>
      </c>
      <c r="F746" s="61">
        <v>274</v>
      </c>
      <c r="G746" s="61">
        <v>0.226379282312999</v>
      </c>
      <c r="H746" s="66">
        <v>260</v>
      </c>
      <c r="I746" s="66" t="str">
        <f>H746&amp;"/"&amp;451</f>
        <v>260/451</v>
      </c>
      <c r="J746" s="68">
        <f>H746/451</f>
        <v>0.57649667405764971</v>
      </c>
      <c r="K746" s="18" t="s">
        <v>44</v>
      </c>
      <c r="L746" s="18" t="s">
        <v>45</v>
      </c>
      <c r="M746" s="58" t="s">
        <v>65</v>
      </c>
      <c r="N746" s="18">
        <f>[1]!f_prt_stocktonav(C746,"2017/03/31")</f>
        <v>92.319038391113281</v>
      </c>
      <c r="O746" s="20" t="str">
        <f>[1]!f_info_fundmanager(C746)</f>
        <v>伍旋</v>
      </c>
      <c r="P746" s="21">
        <v>5.2602739726027394</v>
      </c>
      <c r="Q746" s="34" t="s">
        <v>2964</v>
      </c>
      <c r="R746" s="34" t="s">
        <v>2965</v>
      </c>
      <c r="S746" s="34" t="s">
        <v>705</v>
      </c>
      <c r="T746" s="34">
        <v>20081010</v>
      </c>
      <c r="U746" s="45">
        <v>0.96103351189999997</v>
      </c>
      <c r="V746" s="46">
        <v>0.93634147219999997</v>
      </c>
      <c r="W746" s="34" t="s">
        <v>231</v>
      </c>
      <c r="X746" s="34" t="s">
        <v>44</v>
      </c>
      <c r="Y746" s="34" t="s">
        <v>45</v>
      </c>
      <c r="Z746" s="34" t="s">
        <v>65</v>
      </c>
      <c r="AA746" s="34"/>
      <c r="AB746" s="34"/>
      <c r="AC746" s="22">
        <v>0.89629699707031252</v>
      </c>
      <c r="AD746" s="23" t="s">
        <v>1371</v>
      </c>
      <c r="AE746" s="24">
        <v>5.0301369863013701</v>
      </c>
      <c r="AF746" s="25">
        <v>0.11814099702456371</v>
      </c>
      <c r="AG746" s="26">
        <v>0.21340092105300854</v>
      </c>
      <c r="AH746" s="26">
        <v>0.17910469021956454</v>
      </c>
      <c r="AI746" s="27">
        <v>0.52805247954157286</v>
      </c>
      <c r="AJ746" s="27">
        <v>0.81286299439270793</v>
      </c>
      <c r="AK746" s="27">
        <v>0.75536176978183145</v>
      </c>
      <c r="AL746" s="28" t="s">
        <v>2966</v>
      </c>
      <c r="AM746" s="29">
        <v>4</v>
      </c>
      <c r="AN746" s="29">
        <v>4</v>
      </c>
      <c r="AO746" s="29" t="s">
        <v>48</v>
      </c>
      <c r="AP746" s="47" t="s">
        <v>2041</v>
      </c>
      <c r="AQ746" s="28">
        <v>0</v>
      </c>
      <c r="AR746" s="26">
        <v>1.4999999999999999E-2</v>
      </c>
      <c r="AS746" s="26">
        <v>0</v>
      </c>
    </row>
    <row r="747" spans="1:45" x14ac:dyDescent="0.15">
      <c r="A747" s="64">
        <v>647</v>
      </c>
      <c r="B747" s="64">
        <v>799</v>
      </c>
      <c r="C747" s="11">
        <v>233008</v>
      </c>
      <c r="D747" s="61">
        <v>407</v>
      </c>
      <c r="E747" s="61">
        <v>-7.8803807331804295E-4</v>
      </c>
      <c r="F747" s="61">
        <v>114</v>
      </c>
      <c r="G747" s="61">
        <v>0.73867554671929003</v>
      </c>
      <c r="H747" s="66">
        <v>261</v>
      </c>
      <c r="I747" s="66" t="str">
        <f>H747&amp;"/"&amp;451</f>
        <v>261/451</v>
      </c>
      <c r="J747" s="68">
        <f>H747/451</f>
        <v>0.57871396895787142</v>
      </c>
      <c r="K747" s="18" t="s">
        <v>44</v>
      </c>
      <c r="L747" s="18" t="s">
        <v>45</v>
      </c>
      <c r="M747" s="58" t="s">
        <v>65</v>
      </c>
      <c r="N747" s="18">
        <f>[1]!f_prt_stocktonav(C747,"2017/03/31")</f>
        <v>76.712150573730469</v>
      </c>
      <c r="O747" s="20" t="str">
        <f>[1]!f_info_fundmanager(C747)</f>
        <v>司巍</v>
      </c>
      <c r="P747" s="21">
        <v>2.1890410958904107</v>
      </c>
      <c r="Q747" s="34" t="s">
        <v>2611</v>
      </c>
      <c r="R747" s="34" t="s">
        <v>2612</v>
      </c>
      <c r="S747" s="34" t="s">
        <v>378</v>
      </c>
      <c r="T747" s="34">
        <v>20101203</v>
      </c>
      <c r="U747" s="45">
        <v>1.9850296407000001</v>
      </c>
      <c r="V747" s="46">
        <v>2.3957095393999999</v>
      </c>
      <c r="W747" s="34" t="s">
        <v>201</v>
      </c>
      <c r="X747" s="34" t="s">
        <v>44</v>
      </c>
      <c r="Y747" s="34" t="s">
        <v>45</v>
      </c>
      <c r="Z747" s="34" t="s">
        <v>65</v>
      </c>
      <c r="AA747" s="34"/>
      <c r="AB747" s="34"/>
      <c r="AC747" s="22">
        <v>0.74518936157226567</v>
      </c>
      <c r="AD747" s="23" t="s">
        <v>2613</v>
      </c>
      <c r="AE747" s="24">
        <v>1.9589041095890412</v>
      </c>
      <c r="AF747" s="25">
        <v>-1.0793214681079188E-2</v>
      </c>
      <c r="AG747" s="26">
        <v>4.4186369747107879E-3</v>
      </c>
      <c r="AH747" s="26">
        <v>4.059738506667121E-2</v>
      </c>
      <c r="AI747" s="27">
        <v>-1.9680618054585546E-3</v>
      </c>
      <c r="AJ747" s="27">
        <v>8.0407220446898922E-2</v>
      </c>
      <c r="AK747" s="27">
        <v>0.22363967066955848</v>
      </c>
      <c r="AL747" s="28" t="s">
        <v>2614</v>
      </c>
      <c r="AM747" s="29">
        <v>2</v>
      </c>
      <c r="AN747" s="29">
        <v>4</v>
      </c>
      <c r="AO747" s="29" t="s">
        <v>48</v>
      </c>
      <c r="AP747" s="47" t="s">
        <v>2226</v>
      </c>
      <c r="AQ747" s="28">
        <v>0</v>
      </c>
      <c r="AR747" s="26">
        <v>1.4999999999999999E-2</v>
      </c>
      <c r="AS747" s="26">
        <v>0</v>
      </c>
    </row>
    <row r="748" spans="1:45" x14ac:dyDescent="0.15">
      <c r="A748" s="64">
        <v>836</v>
      </c>
      <c r="B748" s="64">
        <v>503</v>
      </c>
      <c r="C748" s="11">
        <v>202003</v>
      </c>
      <c r="D748" s="61">
        <v>408</v>
      </c>
      <c r="E748" s="61">
        <v>-7.8882189340003005E-4</v>
      </c>
      <c r="F748" s="61">
        <v>319</v>
      </c>
      <c r="G748" s="61">
        <v>0.306116295611645</v>
      </c>
      <c r="H748" s="66">
        <v>262</v>
      </c>
      <c r="I748" s="66" t="str">
        <f>H748&amp;"/"&amp;451</f>
        <v>262/451</v>
      </c>
      <c r="J748" s="68">
        <f>H748/451</f>
        <v>0.58093126385809313</v>
      </c>
      <c r="K748" s="18" t="s">
        <v>44</v>
      </c>
      <c r="L748" s="19" t="s">
        <v>45</v>
      </c>
      <c r="M748" s="59" t="s">
        <v>65</v>
      </c>
      <c r="N748" s="18">
        <f>[1]!f_prt_stocktonav(C748,"2017/03/31")</f>
        <v>85.217887878417969</v>
      </c>
      <c r="O748" s="20" t="str">
        <f>[1]!f_info_fundmanager(C748)</f>
        <v>史博,骆帅</v>
      </c>
      <c r="P748" s="21">
        <v>6.1205479452054794</v>
      </c>
      <c r="Q748" s="32" t="s">
        <v>3248</v>
      </c>
      <c r="R748" s="13" t="s">
        <v>3249</v>
      </c>
      <c r="S748" s="13" t="s">
        <v>284</v>
      </c>
      <c r="T748" s="13">
        <v>20061116</v>
      </c>
      <c r="U748" s="14">
        <v>40.068398647099997</v>
      </c>
      <c r="V748" s="15" t="s">
        <v>39</v>
      </c>
      <c r="W748" s="16" t="s">
        <v>40</v>
      </c>
      <c r="X748" s="17" t="s">
        <v>44</v>
      </c>
      <c r="Y748" s="17" t="s">
        <v>45</v>
      </c>
      <c r="Z748" s="17" t="s">
        <v>65</v>
      </c>
      <c r="AA748" s="13"/>
      <c r="AB748" s="13"/>
      <c r="AC748" s="22">
        <v>0.77768974304199223</v>
      </c>
      <c r="AD748" s="23" t="s">
        <v>3250</v>
      </c>
      <c r="AE748" s="24">
        <v>5.8904109589041092</v>
      </c>
      <c r="AF748" s="25">
        <v>0.13315372543508253</v>
      </c>
      <c r="AG748" s="26">
        <v>0.14674875583992741</v>
      </c>
      <c r="AH748" s="26">
        <v>0.13178789795828671</v>
      </c>
      <c r="AI748" s="27">
        <v>0.53482521820230189</v>
      </c>
      <c r="AJ748" s="27">
        <v>0.52960640016029503</v>
      </c>
      <c r="AK748" s="27">
        <v>0.53310358126044144</v>
      </c>
      <c r="AL748" s="28" t="s">
        <v>726</v>
      </c>
      <c r="AM748" s="29">
        <v>3</v>
      </c>
      <c r="AN748" s="29">
        <v>3</v>
      </c>
      <c r="AO748" s="29" t="s">
        <v>48</v>
      </c>
      <c r="AP748" s="23" t="s">
        <v>3251</v>
      </c>
      <c r="AQ748" s="30">
        <v>0</v>
      </c>
      <c r="AR748" s="31">
        <v>1.4999999999999999E-2</v>
      </c>
      <c r="AS748" s="31">
        <v>0</v>
      </c>
    </row>
    <row r="749" spans="1:45" x14ac:dyDescent="0.15">
      <c r="A749" s="64">
        <v>1</v>
      </c>
      <c r="B749" s="64">
        <v>947</v>
      </c>
      <c r="C749" s="11">
        <v>3581</v>
      </c>
      <c r="D749" s="61">
        <v>409</v>
      </c>
      <c r="E749" s="61">
        <v>-7.9271314820313998E-4</v>
      </c>
      <c r="F749" s="61">
        <v>13</v>
      </c>
      <c r="G749" s="61">
        <v>0.77691908540007104</v>
      </c>
      <c r="H749" s="66">
        <v>263</v>
      </c>
      <c r="I749" s="66" t="str">
        <f>H749&amp;"/"&amp;451</f>
        <v>263/451</v>
      </c>
      <c r="J749" s="68">
        <f>H749/451</f>
        <v>0.58314855875831484</v>
      </c>
      <c r="K749" s="18" t="s">
        <v>44</v>
      </c>
      <c r="L749" s="19" t="s">
        <v>45</v>
      </c>
      <c r="M749" s="59" t="s">
        <v>65</v>
      </c>
      <c r="N749" s="18">
        <f>[1]!f_prt_stocktonav(C749,"2017/03/31")</f>
        <v>70.614837646484375</v>
      </c>
      <c r="O749" s="20" t="str">
        <f>[1]!f_info_fundmanager(C749)</f>
        <v>林材</v>
      </c>
      <c r="P749" s="21">
        <v>0.25205479452054796</v>
      </c>
      <c r="Q749" s="12" t="s">
        <v>36</v>
      </c>
      <c r="R749" s="13" t="s">
        <v>37</v>
      </c>
      <c r="S749" s="13" t="s">
        <v>38</v>
      </c>
      <c r="T749" s="13">
        <v>20161229</v>
      </c>
      <c r="U749" s="14">
        <v>2.0948294130999998</v>
      </c>
      <c r="V749" s="15" t="s">
        <v>72</v>
      </c>
      <c r="W749" s="16" t="s">
        <v>40</v>
      </c>
      <c r="X749" s="17" t="s">
        <v>41</v>
      </c>
      <c r="Y749" s="17" t="s">
        <v>42</v>
      </c>
      <c r="Z749" s="17" t="s">
        <v>43</v>
      </c>
      <c r="AA749" s="13"/>
      <c r="AB749" s="13"/>
      <c r="AC749" s="22">
        <v>0</v>
      </c>
      <c r="AD749" s="23" t="s">
        <v>46</v>
      </c>
      <c r="AE749" s="24">
        <v>2.1917808219178082E-2</v>
      </c>
      <c r="AF749" s="25">
        <v>0</v>
      </c>
      <c r="AG749" s="26">
        <v>0</v>
      </c>
      <c r="AH749" s="26">
        <v>0</v>
      </c>
      <c r="AI749" s="27">
        <v>0</v>
      </c>
      <c r="AJ749" s="27">
        <v>0</v>
      </c>
      <c r="AK749" s="27">
        <v>0</v>
      </c>
      <c r="AL749" s="28" t="s">
        <v>47</v>
      </c>
      <c r="AM749" s="29" t="s">
        <v>48</v>
      </c>
      <c r="AN749" s="29" t="s">
        <v>48</v>
      </c>
      <c r="AO749" s="29" t="s">
        <v>48</v>
      </c>
      <c r="AP749" s="23" t="s">
        <v>49</v>
      </c>
      <c r="AQ749" s="30">
        <v>0</v>
      </c>
      <c r="AR749" s="31">
        <v>1.4999999999999999E-2</v>
      </c>
      <c r="AS749" s="31">
        <v>0</v>
      </c>
    </row>
    <row r="750" spans="1:45" x14ac:dyDescent="0.15">
      <c r="A750" s="64">
        <v>86</v>
      </c>
      <c r="B750" s="64">
        <v>485</v>
      </c>
      <c r="C750" s="11">
        <v>2191</v>
      </c>
      <c r="D750" s="61">
        <v>412</v>
      </c>
      <c r="E750" s="61">
        <v>-8.0420405711500499E-4</v>
      </c>
      <c r="F750" s="61">
        <v>46</v>
      </c>
      <c r="G750" s="61">
        <v>0.58065438913557299</v>
      </c>
      <c r="H750" s="66">
        <v>264</v>
      </c>
      <c r="I750" s="66" t="str">
        <f>H750&amp;"/"&amp;451</f>
        <v>264/451</v>
      </c>
      <c r="J750" s="68">
        <f>H750/451</f>
        <v>0.58536585365853655</v>
      </c>
      <c r="K750" s="18" t="s">
        <v>44</v>
      </c>
      <c r="L750" s="18" t="s">
        <v>87</v>
      </c>
      <c r="M750" s="58" t="s">
        <v>65</v>
      </c>
      <c r="N750" s="18">
        <f>[1]!f_prt_stocktonav(C750,"2017/03/31")</f>
        <v>85.587791442871094</v>
      </c>
      <c r="O750" s="20" t="str">
        <f>[1]!f_info_fundmanager(C750)</f>
        <v>韩林</v>
      </c>
      <c r="P750" s="21">
        <v>0.9068493150684932</v>
      </c>
      <c r="Q750" s="34" t="s">
        <v>476</v>
      </c>
      <c r="R750" s="34" t="s">
        <v>477</v>
      </c>
      <c r="S750" s="34" t="s">
        <v>424</v>
      </c>
      <c r="T750" s="34">
        <v>20160504</v>
      </c>
      <c r="U750" s="45">
        <v>1.9381602238</v>
      </c>
      <c r="V750" s="46">
        <v>2.3403228329000001</v>
      </c>
      <c r="W750" s="34" t="s">
        <v>3776</v>
      </c>
      <c r="X750" s="34" t="s">
        <v>41</v>
      </c>
      <c r="Y750" s="34" t="s">
        <v>42</v>
      </c>
      <c r="Z750" s="34" t="s">
        <v>181</v>
      </c>
      <c r="AA750" s="34" t="s">
        <v>3779</v>
      </c>
      <c r="AB750" s="34"/>
      <c r="AC750" s="22">
        <v>0.67579963684082034</v>
      </c>
      <c r="AD750" s="23" t="s">
        <v>479</v>
      </c>
      <c r="AE750" s="24">
        <v>0.67671232876712328</v>
      </c>
      <c r="AF750" s="25">
        <v>-7.3271160424460136E-2</v>
      </c>
      <c r="AG750" s="26">
        <v>0</v>
      </c>
      <c r="AH750" s="26">
        <v>0</v>
      </c>
      <c r="AI750" s="27">
        <v>-1.3743624537532444</v>
      </c>
      <c r="AJ750" s="27">
        <v>-1.3743624537532444</v>
      </c>
      <c r="AK750" s="27">
        <v>-1.3743624537532444</v>
      </c>
      <c r="AL750" s="33" t="s">
        <v>480</v>
      </c>
      <c r="AM750" s="29" t="s">
        <v>48</v>
      </c>
      <c r="AN750" s="29" t="s">
        <v>48</v>
      </c>
      <c r="AO750" s="29" t="s">
        <v>48</v>
      </c>
      <c r="AP750" s="47" t="s">
        <v>427</v>
      </c>
      <c r="AQ750" s="28">
        <v>0</v>
      </c>
      <c r="AR750" s="26">
        <v>1.4999999999999999E-2</v>
      </c>
      <c r="AS750" s="26">
        <v>0</v>
      </c>
    </row>
    <row r="751" spans="1:45" x14ac:dyDescent="0.15">
      <c r="A751" s="64">
        <v>807</v>
      </c>
      <c r="B751" s="64">
        <v>396</v>
      </c>
      <c r="C751" s="11">
        <v>570001</v>
      </c>
      <c r="D751" s="61">
        <v>413</v>
      </c>
      <c r="E751" s="61">
        <v>-8.1714096734995497E-4</v>
      </c>
      <c r="F751" s="61">
        <v>123</v>
      </c>
      <c r="G751" s="61">
        <v>0.443695479968087</v>
      </c>
      <c r="H751" s="66">
        <v>265</v>
      </c>
      <c r="I751" s="66" t="str">
        <f>H751&amp;"/"&amp;451</f>
        <v>265/451</v>
      </c>
      <c r="J751" s="68">
        <f>H751/451</f>
        <v>0.58758314855875826</v>
      </c>
      <c r="K751" s="18" t="s">
        <v>44</v>
      </c>
      <c r="L751" s="18" t="s">
        <v>45</v>
      </c>
      <c r="M751" s="58" t="s">
        <v>65</v>
      </c>
      <c r="N751" s="18">
        <f>[1]!f_prt_stocktonav(C751,"2017/03/31")</f>
        <v>87.590133666992188</v>
      </c>
      <c r="O751" s="20" t="str">
        <f>[1]!f_info_fundmanager(C751)</f>
        <v>罗世锋</v>
      </c>
      <c r="P751" s="21">
        <v>2.3479452054794518</v>
      </c>
      <c r="Q751" s="34" t="s">
        <v>3144</v>
      </c>
      <c r="R751" s="34" t="s">
        <v>3145</v>
      </c>
      <c r="S751" s="34" t="s">
        <v>2351</v>
      </c>
      <c r="T751" s="34">
        <v>20070419</v>
      </c>
      <c r="U751" s="45">
        <v>8.5069600116000004</v>
      </c>
      <c r="V751" s="46">
        <v>10.154422764</v>
      </c>
      <c r="W751" s="34" t="s">
        <v>231</v>
      </c>
      <c r="X751" s="34" t="s">
        <v>44</v>
      </c>
      <c r="Y751" s="34" t="s">
        <v>45</v>
      </c>
      <c r="Z751" s="34" t="s">
        <v>274</v>
      </c>
      <c r="AA751" s="34"/>
      <c r="AB751" s="34"/>
      <c r="AC751" s="22">
        <v>0.78405258178710935</v>
      </c>
      <c r="AD751" s="23" t="s">
        <v>3146</v>
      </c>
      <c r="AE751" s="24">
        <v>2.1369863013698631</v>
      </c>
      <c r="AF751" s="25">
        <v>2.8241086363402834E-2</v>
      </c>
      <c r="AG751" s="26">
        <v>0.15965295760496612</v>
      </c>
      <c r="AH751" s="26">
        <v>0.10752691023374661</v>
      </c>
      <c r="AI751" s="27">
        <v>0.17581760659024986</v>
      </c>
      <c r="AJ751" s="27">
        <v>0.65905697246949058</v>
      </c>
      <c r="AK751" s="27">
        <v>0.49739763142493798</v>
      </c>
      <c r="AL751" s="28" t="s">
        <v>726</v>
      </c>
      <c r="AM751" s="29">
        <v>3</v>
      </c>
      <c r="AN751" s="29">
        <v>5</v>
      </c>
      <c r="AO751" s="29" t="s">
        <v>48</v>
      </c>
      <c r="AP751" s="47" t="s">
        <v>2672</v>
      </c>
      <c r="AQ751" s="28">
        <v>0</v>
      </c>
      <c r="AR751" s="26">
        <v>1.4999999999999999E-2</v>
      </c>
      <c r="AS751" s="26">
        <v>0</v>
      </c>
    </row>
    <row r="752" spans="1:45" x14ac:dyDescent="0.15">
      <c r="A752" s="64">
        <v>825</v>
      </c>
      <c r="B752" s="64">
        <v>668</v>
      </c>
      <c r="C752" s="11">
        <v>519017</v>
      </c>
      <c r="D752" s="61">
        <v>416</v>
      </c>
      <c r="E752" s="61">
        <v>-8.6358226724069604E-4</v>
      </c>
      <c r="F752" s="61">
        <v>223</v>
      </c>
      <c r="G752" s="61">
        <v>0.39987844133099298</v>
      </c>
      <c r="H752" s="66">
        <v>266</v>
      </c>
      <c r="I752" s="66" t="str">
        <f>H752&amp;"/"&amp;451</f>
        <v>266/451</v>
      </c>
      <c r="J752" s="68">
        <f>H752/451</f>
        <v>0.58980044345898008</v>
      </c>
      <c r="K752" s="18" t="s">
        <v>44</v>
      </c>
      <c r="L752" s="18" t="s">
        <v>45</v>
      </c>
      <c r="M752" s="58" t="s">
        <v>65</v>
      </c>
      <c r="N752" s="18">
        <f>[1]!f_prt_stocktonav(C752,"2017/03/31")</f>
        <v>80.901634216308594</v>
      </c>
      <c r="O752" s="20" t="str">
        <f>[1]!f_info_fundmanager(C752)</f>
        <v>孙蓓琳</v>
      </c>
      <c r="P752" s="21">
        <v>4.2849315068493148</v>
      </c>
      <c r="Q752" s="34" t="s">
        <v>3211</v>
      </c>
      <c r="R752" s="34" t="s">
        <v>3212</v>
      </c>
      <c r="S752" s="34" t="s">
        <v>486</v>
      </c>
      <c r="T752" s="34">
        <v>20070116</v>
      </c>
      <c r="U752" s="45">
        <v>12.255865718500001</v>
      </c>
      <c r="V752" s="46">
        <v>12.0718241176</v>
      </c>
      <c r="W752" s="34" t="s">
        <v>231</v>
      </c>
      <c r="X752" s="34" t="s">
        <v>44</v>
      </c>
      <c r="Y752" s="34" t="s">
        <v>45</v>
      </c>
      <c r="Z752" s="34" t="s">
        <v>65</v>
      </c>
      <c r="AA752" s="34"/>
      <c r="AB752" s="34"/>
      <c r="AC752" s="22">
        <v>0.8114763641357422</v>
      </c>
      <c r="AD752" s="23" t="s">
        <v>1884</v>
      </c>
      <c r="AE752" s="24">
        <v>4.0547945205479454</v>
      </c>
      <c r="AF752" s="25">
        <v>0.10018544310531328</v>
      </c>
      <c r="AG752" s="26">
        <v>0.24040955724938207</v>
      </c>
      <c r="AH752" s="26">
        <v>0.15573865462472747</v>
      </c>
      <c r="AI752" s="27">
        <v>0.424399915471945</v>
      </c>
      <c r="AJ752" s="27">
        <v>0.81764742809643465</v>
      </c>
      <c r="AK752" s="27">
        <v>0.62955356786742067</v>
      </c>
      <c r="AL752" s="28" t="s">
        <v>2357</v>
      </c>
      <c r="AM752" s="29">
        <v>4</v>
      </c>
      <c r="AN752" s="29">
        <v>3</v>
      </c>
      <c r="AO752" s="29" t="s">
        <v>48</v>
      </c>
      <c r="AP752" s="47" t="s">
        <v>1002</v>
      </c>
      <c r="AQ752" s="28">
        <v>0</v>
      </c>
      <c r="AR752" s="26">
        <v>1.4999999999999999E-2</v>
      </c>
      <c r="AS752" s="26">
        <v>0</v>
      </c>
    </row>
    <row r="753" spans="1:45" x14ac:dyDescent="0.15">
      <c r="A753" s="64">
        <v>46</v>
      </c>
      <c r="B753" s="64">
        <v>692</v>
      </c>
      <c r="C753" s="11">
        <v>2955</v>
      </c>
      <c r="D753" s="61">
        <v>417</v>
      </c>
      <c r="E753" s="61">
        <v>-8.7244318863144096E-4</v>
      </c>
      <c r="F753" s="61">
        <v>31</v>
      </c>
      <c r="G753" s="61">
        <v>0.52966897884230302</v>
      </c>
      <c r="H753" s="66">
        <v>267</v>
      </c>
      <c r="I753" s="66" t="str">
        <f>H753&amp;"/"&amp;451</f>
        <v>267/451</v>
      </c>
      <c r="J753" s="68">
        <f>H753/451</f>
        <v>0.5920177383592018</v>
      </c>
      <c r="K753" s="18" t="s">
        <v>44</v>
      </c>
      <c r="L753" s="18" t="s">
        <v>45</v>
      </c>
      <c r="M753" s="58" t="s">
        <v>65</v>
      </c>
      <c r="N753" s="18">
        <f>[1]!f_prt_stocktonav(C753,"2017/03/31")</f>
        <v>80.209342956542969</v>
      </c>
      <c r="O753" s="20" t="str">
        <f>[1]!f_info_fundmanager(C753)</f>
        <v>何天翔</v>
      </c>
      <c r="P753" s="21">
        <v>0.61917808219178083</v>
      </c>
      <c r="Q753" s="34" t="s">
        <v>288</v>
      </c>
      <c r="R753" s="34" t="s">
        <v>289</v>
      </c>
      <c r="S753" s="34" t="s">
        <v>230</v>
      </c>
      <c r="T753" s="34">
        <v>20160817</v>
      </c>
      <c r="U753" s="45">
        <v>3.5392120876000002</v>
      </c>
      <c r="V753" s="46">
        <v>4.2076168113000003</v>
      </c>
      <c r="W753" s="34" t="s">
        <v>1235</v>
      </c>
      <c r="X753" s="34" t="s">
        <v>44</v>
      </c>
      <c r="Y753" s="34" t="s">
        <v>45</v>
      </c>
      <c r="Z753" s="34" t="s">
        <v>65</v>
      </c>
      <c r="AA753" s="34"/>
      <c r="AB753" s="34"/>
      <c r="AC753" s="22">
        <v>0.79855491638183596</v>
      </c>
      <c r="AD753" s="23" t="s">
        <v>290</v>
      </c>
      <c r="AE753" s="24">
        <v>0.38904109589041097</v>
      </c>
      <c r="AF753" s="25">
        <v>-0.10056233678972572</v>
      </c>
      <c r="AG753" s="26">
        <v>0</v>
      </c>
      <c r="AH753" s="26">
        <v>0</v>
      </c>
      <c r="AI753" s="27">
        <v>-1.7376452746012514</v>
      </c>
      <c r="AJ753" s="27">
        <v>-1.7376452746012514</v>
      </c>
      <c r="AK753" s="27">
        <v>-1.7376452746012514</v>
      </c>
      <c r="AL753" s="28" t="s">
        <v>291</v>
      </c>
      <c r="AM753" s="29" t="s">
        <v>48</v>
      </c>
      <c r="AN753" s="29" t="s">
        <v>48</v>
      </c>
      <c r="AO753" s="29" t="s">
        <v>48</v>
      </c>
      <c r="AP753" s="47" t="s">
        <v>292</v>
      </c>
      <c r="AQ753" s="28" t="s">
        <v>235</v>
      </c>
      <c r="AR753" s="26">
        <v>1.4999999999999999E-2</v>
      </c>
      <c r="AS753" s="26">
        <v>0</v>
      </c>
    </row>
    <row r="754" spans="1:45" x14ac:dyDescent="0.15">
      <c r="A754" s="64">
        <v>881</v>
      </c>
      <c r="B754" s="64">
        <v>54</v>
      </c>
      <c r="C754" s="11">
        <v>161005</v>
      </c>
      <c r="D754" s="61">
        <v>418</v>
      </c>
      <c r="E754" s="61">
        <v>-8.8218399572891396E-4</v>
      </c>
      <c r="F754" s="61">
        <v>448</v>
      </c>
      <c r="G754" s="61">
        <v>0.195495823205386</v>
      </c>
      <c r="H754" s="66">
        <v>268</v>
      </c>
      <c r="I754" s="66" t="str">
        <f>H754&amp;"/"&amp;451</f>
        <v>268/451</v>
      </c>
      <c r="J754" s="68">
        <f>H754/451</f>
        <v>0.59423503325942351</v>
      </c>
      <c r="K754" s="18" t="s">
        <v>44</v>
      </c>
      <c r="L754" s="18" t="s">
        <v>45</v>
      </c>
      <c r="M754" s="58" t="s">
        <v>65</v>
      </c>
      <c r="N754" s="18">
        <f>[1]!f_prt_stocktonav(C754,"2017/03/31")</f>
        <v>94.258323669433594</v>
      </c>
      <c r="O754" s="20" t="str">
        <f>[1]!f_info_fundmanager(C754)</f>
        <v>朱少醒</v>
      </c>
      <c r="P754" s="21">
        <v>11.378082191780821</v>
      </c>
      <c r="Q754" s="34" t="s">
        <v>3420</v>
      </c>
      <c r="R754" s="34" t="s">
        <v>3421</v>
      </c>
      <c r="S754" s="34" t="s">
        <v>396</v>
      </c>
      <c r="T754" s="34">
        <v>20051116</v>
      </c>
      <c r="U754" s="45">
        <v>36.280854793000003</v>
      </c>
      <c r="V754" s="46">
        <v>37.139525434500001</v>
      </c>
      <c r="W754" s="34" t="s">
        <v>231</v>
      </c>
      <c r="X754" s="34" t="s">
        <v>44</v>
      </c>
      <c r="Y754" s="34" t="s">
        <v>45</v>
      </c>
      <c r="Z754" s="34" t="s">
        <v>65</v>
      </c>
      <c r="AA754" s="34"/>
      <c r="AB754" s="34"/>
      <c r="AC754" s="22">
        <v>0.955418701171875</v>
      </c>
      <c r="AD754" s="23" t="s">
        <v>3422</v>
      </c>
      <c r="AE754" s="24">
        <v>11.147945205479452</v>
      </c>
      <c r="AF754" s="25">
        <v>0.21787121264567033</v>
      </c>
      <c r="AG754" s="26">
        <v>0.21483546205931714</v>
      </c>
      <c r="AH754" s="26">
        <v>0.1762410201993807</v>
      </c>
      <c r="AI754" s="27">
        <v>0.8244511301805707</v>
      </c>
      <c r="AJ754" s="27">
        <v>0.7346722610183648</v>
      </c>
      <c r="AK754" s="27">
        <v>0.68256328663388721</v>
      </c>
      <c r="AL754" s="28" t="s">
        <v>3423</v>
      </c>
      <c r="AM754" s="29">
        <v>5</v>
      </c>
      <c r="AN754" s="29">
        <v>3</v>
      </c>
      <c r="AO754" s="29" t="s">
        <v>48</v>
      </c>
      <c r="AP754" s="47" t="s">
        <v>3424</v>
      </c>
      <c r="AQ754" s="28" t="s">
        <v>608</v>
      </c>
      <c r="AR754" s="26">
        <v>1.4999999999999999E-2</v>
      </c>
      <c r="AS754" s="26">
        <v>0</v>
      </c>
    </row>
    <row r="755" spans="1:45" x14ac:dyDescent="0.15">
      <c r="A755" s="64">
        <v>933</v>
      </c>
      <c r="B755" s="64">
        <v>899</v>
      </c>
      <c r="C755" s="11">
        <v>519011</v>
      </c>
      <c r="D755" s="61">
        <v>420</v>
      </c>
      <c r="E755" s="61">
        <v>-8.8803916223992004E-4</v>
      </c>
      <c r="F755" s="61">
        <v>51</v>
      </c>
      <c r="G755" s="61">
        <v>0.35890321468231301</v>
      </c>
      <c r="H755" s="66">
        <v>269</v>
      </c>
      <c r="I755" s="66" t="str">
        <f>H755&amp;"/"&amp;451</f>
        <v>269/451</v>
      </c>
      <c r="J755" s="68">
        <f>H755/451</f>
        <v>0.59645232815964522</v>
      </c>
      <c r="K755" s="18" t="s">
        <v>44</v>
      </c>
      <c r="L755" s="18" t="s">
        <v>45</v>
      </c>
      <c r="M755" s="58" t="s">
        <v>65</v>
      </c>
      <c r="N755" s="18">
        <f>[1]!f_prt_stocktonav(C755,"2017/03/31")</f>
        <v>72.587333679199219</v>
      </c>
      <c r="O755" s="20" t="str">
        <f>[1]!f_info_fundmanager(C755)</f>
        <v>王智慧</v>
      </c>
      <c r="P755" s="21">
        <v>0.96986301369863015</v>
      </c>
      <c r="Q755" s="34" t="s">
        <v>3628</v>
      </c>
      <c r="R755" s="34" t="s">
        <v>3629</v>
      </c>
      <c r="S755" s="34" t="s">
        <v>496</v>
      </c>
      <c r="T755" s="34">
        <v>20030822</v>
      </c>
      <c r="U755" s="45">
        <v>26.8518112601</v>
      </c>
      <c r="V755" s="46">
        <v>28.941375236500001</v>
      </c>
      <c r="W755" s="34" t="s">
        <v>231</v>
      </c>
      <c r="X755" s="34" t="s">
        <v>44</v>
      </c>
      <c r="Y755" s="34" t="s">
        <v>45</v>
      </c>
      <c r="Z755" s="34" t="s">
        <v>65</v>
      </c>
      <c r="AA755" s="34"/>
      <c r="AB755" s="34"/>
      <c r="AC755" s="22">
        <v>0.71160575866699216</v>
      </c>
      <c r="AD755" s="23" t="s">
        <v>3166</v>
      </c>
      <c r="AE755" s="24">
        <v>0.73972602739726023</v>
      </c>
      <c r="AF755" s="25">
        <v>0.13871481006790276</v>
      </c>
      <c r="AG755" s="26">
        <v>8.6485533429914607E-2</v>
      </c>
      <c r="AH755" s="26">
        <v>7.0018858965605446E-2</v>
      </c>
      <c r="AI755" s="27">
        <v>0.66315245718747595</v>
      </c>
      <c r="AJ755" s="27">
        <v>0.40959558990029021</v>
      </c>
      <c r="AK755" s="27">
        <v>0.3620684332200555</v>
      </c>
      <c r="AL755" s="28" t="s">
        <v>3630</v>
      </c>
      <c r="AM755" s="29">
        <v>2</v>
      </c>
      <c r="AN755" s="29">
        <v>2</v>
      </c>
      <c r="AO755" s="29" t="s">
        <v>48</v>
      </c>
      <c r="AP755" s="47" t="s">
        <v>3631</v>
      </c>
      <c r="AQ755" s="28">
        <v>0</v>
      </c>
      <c r="AR755" s="26">
        <v>1.4999999999999999E-2</v>
      </c>
      <c r="AS755" s="26">
        <v>0</v>
      </c>
    </row>
    <row r="756" spans="1:45" x14ac:dyDescent="0.15">
      <c r="A756" s="64">
        <v>530</v>
      </c>
      <c r="B756" s="64">
        <v>807</v>
      </c>
      <c r="C756" s="11">
        <v>270050</v>
      </c>
      <c r="D756" s="61">
        <v>421</v>
      </c>
      <c r="E756" s="61">
        <v>-8.88677427984571E-4</v>
      </c>
      <c r="F756" s="61">
        <v>5</v>
      </c>
      <c r="G756" s="61">
        <v>0.91567852743665701</v>
      </c>
      <c r="H756" s="66">
        <v>270</v>
      </c>
      <c r="I756" s="66" t="str">
        <f>H756&amp;"/"&amp;451</f>
        <v>270/451</v>
      </c>
      <c r="J756" s="68">
        <f>H756/451</f>
        <v>0.59866962305986693</v>
      </c>
      <c r="K756" s="18" t="s">
        <v>44</v>
      </c>
      <c r="L756" s="18" t="s">
        <v>45</v>
      </c>
      <c r="M756" s="58" t="s">
        <v>65</v>
      </c>
      <c r="N756" s="18">
        <f>[1]!f_prt_stocktonav(C756,"2017/03/31")</f>
        <v>76.41705322265625</v>
      </c>
      <c r="O756" s="20" t="str">
        <f>[1]!f_info_fundmanager(C756)</f>
        <v>邱璟旻</v>
      </c>
      <c r="P756" s="21">
        <v>8.2191780821917804E-2</v>
      </c>
      <c r="Q756" s="34" t="s">
        <v>2205</v>
      </c>
      <c r="R756" s="34" t="s">
        <v>2206</v>
      </c>
      <c r="S756" s="34" t="s">
        <v>132</v>
      </c>
      <c r="T756" s="34">
        <v>20130206</v>
      </c>
      <c r="U756" s="45">
        <v>2.7626487567</v>
      </c>
      <c r="V756" s="46">
        <v>2.9538872791999999</v>
      </c>
      <c r="W756" s="34" t="s">
        <v>3789</v>
      </c>
      <c r="X756" s="34" t="s">
        <v>44</v>
      </c>
      <c r="Y756" s="34" t="s">
        <v>45</v>
      </c>
      <c r="Z756" s="34" t="s">
        <v>274</v>
      </c>
      <c r="AA756" s="34"/>
      <c r="AB756" s="34"/>
      <c r="AC756" s="22">
        <v>0.87934425354003909</v>
      </c>
      <c r="AD756" s="23" t="s">
        <v>2207</v>
      </c>
      <c r="AE756" s="24">
        <v>2.0383561643835617</v>
      </c>
      <c r="AF756" s="25">
        <v>0.14575743422572485</v>
      </c>
      <c r="AG756" s="26">
        <v>8.8203522729056724E-2</v>
      </c>
      <c r="AH756" s="26">
        <v>0</v>
      </c>
      <c r="AI756" s="27">
        <v>0.54225676199741102</v>
      </c>
      <c r="AJ756" s="27">
        <v>0.34566265956696635</v>
      </c>
      <c r="AK756" s="27">
        <v>0.54225676199741102</v>
      </c>
      <c r="AL756" s="28" t="s">
        <v>957</v>
      </c>
      <c r="AM756" s="29" t="s">
        <v>48</v>
      </c>
      <c r="AN756" s="29" t="s">
        <v>48</v>
      </c>
      <c r="AO756" s="29" t="s">
        <v>48</v>
      </c>
      <c r="AP756" s="47" t="s">
        <v>287</v>
      </c>
      <c r="AQ756" s="28">
        <v>0</v>
      </c>
      <c r="AR756" s="26">
        <v>1.4999999999999999E-2</v>
      </c>
      <c r="AS756" s="26">
        <v>0</v>
      </c>
    </row>
    <row r="757" spans="1:45" x14ac:dyDescent="0.15">
      <c r="A757" s="64">
        <v>375</v>
      </c>
      <c r="B757" s="64">
        <v>366</v>
      </c>
      <c r="C757" s="11">
        <v>963</v>
      </c>
      <c r="D757" s="61">
        <v>423</v>
      </c>
      <c r="E757" s="61">
        <v>-8.9445899588439101E-4</v>
      </c>
      <c r="F757" s="61">
        <v>112</v>
      </c>
      <c r="G757" s="61">
        <v>0.47736133692345001</v>
      </c>
      <c r="H757" s="66">
        <v>271</v>
      </c>
      <c r="I757" s="66" t="str">
        <f>H757&amp;"/"&amp;451</f>
        <v>271/451</v>
      </c>
      <c r="J757" s="68">
        <f>H757/451</f>
        <v>0.60088691796008864</v>
      </c>
      <c r="K757" s="18" t="s">
        <v>44</v>
      </c>
      <c r="L757" s="18" t="s">
        <v>64</v>
      </c>
      <c r="M757" s="58" t="s">
        <v>65</v>
      </c>
      <c r="N757" s="18">
        <f>[1]!f_prt_stocktonav(C757,"2017/03/31")</f>
        <v>88.1585693359375</v>
      </c>
      <c r="O757" s="20" t="str">
        <f>[1]!f_info_fundmanager(C757)</f>
        <v>吴卫东,冯烜</v>
      </c>
      <c r="P757" s="21">
        <v>2.1863013698630138</v>
      </c>
      <c r="Q757" s="34" t="s">
        <v>1637</v>
      </c>
      <c r="R757" s="34" t="s">
        <v>1638</v>
      </c>
      <c r="S757" s="34" t="s">
        <v>430</v>
      </c>
      <c r="T757" s="34">
        <v>20150123</v>
      </c>
      <c r="U757" s="45">
        <v>6.3979600831000001</v>
      </c>
      <c r="V757" s="46">
        <v>6.8620138400000004</v>
      </c>
      <c r="W757" s="34" t="s">
        <v>3789</v>
      </c>
      <c r="X757" s="34" t="s">
        <v>44</v>
      </c>
      <c r="Y757" s="17" t="s">
        <v>45</v>
      </c>
      <c r="Z757" s="17" t="s">
        <v>274</v>
      </c>
      <c r="AA757" s="34"/>
      <c r="AB757" s="34"/>
      <c r="AC757" s="22">
        <v>0.93261550903320312</v>
      </c>
      <c r="AD757" s="23" t="s">
        <v>1639</v>
      </c>
      <c r="AE757" s="24">
        <v>1.9561643835616438</v>
      </c>
      <c r="AF757" s="25">
        <v>0.14416084277963104</v>
      </c>
      <c r="AG757" s="26">
        <v>0</v>
      </c>
      <c r="AH757" s="26">
        <v>0</v>
      </c>
      <c r="AI757" s="27">
        <v>0.56622596038485085</v>
      </c>
      <c r="AJ757" s="27">
        <v>0.56622596038485085</v>
      </c>
      <c r="AK757" s="27">
        <v>0.56622596038485085</v>
      </c>
      <c r="AL757" s="28" t="s">
        <v>1640</v>
      </c>
      <c r="AM757" s="29" t="s">
        <v>48</v>
      </c>
      <c r="AN757" s="29" t="s">
        <v>48</v>
      </c>
      <c r="AO757" s="29" t="s">
        <v>48</v>
      </c>
      <c r="AP757" s="47" t="s">
        <v>417</v>
      </c>
      <c r="AQ757" s="28">
        <v>0</v>
      </c>
      <c r="AR757" s="26">
        <v>1.4999999999999999E-2</v>
      </c>
      <c r="AS757" s="26">
        <v>0</v>
      </c>
    </row>
    <row r="758" spans="1:45" x14ac:dyDescent="0.15">
      <c r="A758" s="64">
        <v>93</v>
      </c>
      <c r="B758" s="64">
        <v>721</v>
      </c>
      <c r="C758" s="11">
        <v>1984</v>
      </c>
      <c r="D758" s="61">
        <v>424</v>
      </c>
      <c r="E758" s="61">
        <v>-9.07727381461794E-4</v>
      </c>
      <c r="F758" s="61">
        <v>47</v>
      </c>
      <c r="G758" s="61">
        <v>0.55336292929116404</v>
      </c>
      <c r="H758" s="66">
        <v>272</v>
      </c>
      <c r="I758" s="66" t="str">
        <f>H758&amp;"/"&amp;451</f>
        <v>272/451</v>
      </c>
      <c r="J758" s="68">
        <f>H758/451</f>
        <v>0.60310421286031046</v>
      </c>
      <c r="K758" s="18" t="s">
        <v>44</v>
      </c>
      <c r="L758" s="19" t="s">
        <v>45</v>
      </c>
      <c r="M758" s="59" t="s">
        <v>65</v>
      </c>
      <c r="N758" s="18">
        <f>[1]!f_prt_stocktonav(C758,"2017/03/31")</f>
        <v>79.442543029785156</v>
      </c>
      <c r="O758" s="20" t="str">
        <f>[1]!f_info_fundmanager(C758)</f>
        <v>杨景喻</v>
      </c>
      <c r="P758" s="21">
        <v>0.92328767123287669</v>
      </c>
      <c r="Q758" s="12" t="s">
        <v>509</v>
      </c>
      <c r="R758" s="13" t="s">
        <v>510</v>
      </c>
      <c r="S758" s="13" t="s">
        <v>511</v>
      </c>
      <c r="T758" s="13">
        <v>20160428</v>
      </c>
      <c r="U758" s="14">
        <v>1.0749875919</v>
      </c>
      <c r="V758" s="15" t="s">
        <v>3782</v>
      </c>
      <c r="W758" s="16" t="s">
        <v>40</v>
      </c>
      <c r="X758" s="17" t="s">
        <v>44</v>
      </c>
      <c r="Y758" s="17" t="s">
        <v>45</v>
      </c>
      <c r="Z758" s="17" t="s">
        <v>65</v>
      </c>
      <c r="AA758" s="13"/>
      <c r="AB758" s="13"/>
      <c r="AC758" s="22">
        <v>0.71452507019042966</v>
      </c>
      <c r="AD758" s="23" t="s">
        <v>512</v>
      </c>
      <c r="AE758" s="24">
        <v>0.69315068493150689</v>
      </c>
      <c r="AF758" s="25">
        <v>-5.1084153846627345E-2</v>
      </c>
      <c r="AG758" s="26">
        <v>0</v>
      </c>
      <c r="AH758" s="26">
        <v>0</v>
      </c>
      <c r="AI758" s="27">
        <v>-0.92274960150735719</v>
      </c>
      <c r="AJ758" s="27">
        <v>-0.92274960150735719</v>
      </c>
      <c r="AK758" s="27">
        <v>-0.92274960150735719</v>
      </c>
      <c r="AL758" s="28" t="s">
        <v>513</v>
      </c>
      <c r="AM758" s="29" t="s">
        <v>48</v>
      </c>
      <c r="AN758" s="29" t="s">
        <v>48</v>
      </c>
      <c r="AO758" s="29" t="s">
        <v>48</v>
      </c>
      <c r="AP758" s="23" t="s">
        <v>514</v>
      </c>
      <c r="AQ758" s="30">
        <v>0</v>
      </c>
      <c r="AR758" s="31">
        <v>1.4999999999999999E-2</v>
      </c>
      <c r="AS758" s="31">
        <v>0</v>
      </c>
    </row>
    <row r="759" spans="1:45" x14ac:dyDescent="0.15">
      <c r="A759" s="64">
        <v>914</v>
      </c>
      <c r="B759" s="64">
        <v>952</v>
      </c>
      <c r="C759" s="11">
        <v>260104</v>
      </c>
      <c r="D759" s="61">
        <v>425</v>
      </c>
      <c r="E759" s="61">
        <v>-9.0798881938244902E-4</v>
      </c>
      <c r="F759" s="61">
        <v>344</v>
      </c>
      <c r="G759" s="61">
        <v>0.39973099119356797</v>
      </c>
      <c r="H759" s="66">
        <v>273</v>
      </c>
      <c r="I759" s="66" t="str">
        <f>H759&amp;"/"&amp;451</f>
        <v>273/451</v>
      </c>
      <c r="J759" s="68">
        <f>H759/451</f>
        <v>0.60532150776053217</v>
      </c>
      <c r="K759" s="18" t="s">
        <v>44</v>
      </c>
      <c r="L759" s="18" t="s">
        <v>45</v>
      </c>
      <c r="M759" s="58" t="s">
        <v>65</v>
      </c>
      <c r="N759" s="18">
        <f>[1]!f_prt_stocktonav(C759,"2017/03/31")</f>
        <v>70.291389465332031</v>
      </c>
      <c r="O759" s="20" t="str">
        <f>[1]!f_info_fundmanager(C759)</f>
        <v>杨鹏</v>
      </c>
      <c r="P759" s="21">
        <v>6.6136986301369864</v>
      </c>
      <c r="Q759" s="34" t="s">
        <v>3550</v>
      </c>
      <c r="R759" s="34" t="s">
        <v>3551</v>
      </c>
      <c r="S759" s="34" t="s">
        <v>353</v>
      </c>
      <c r="T759" s="34">
        <v>20040625</v>
      </c>
      <c r="U759" s="45">
        <v>11.0043037098</v>
      </c>
      <c r="V759" s="46">
        <v>11.602924444899999</v>
      </c>
      <c r="W759" s="34" t="s">
        <v>201</v>
      </c>
      <c r="X759" s="34" t="s">
        <v>44</v>
      </c>
      <c r="Y759" s="34" t="s">
        <v>45</v>
      </c>
      <c r="Z759" s="34" t="s">
        <v>65</v>
      </c>
      <c r="AA759" s="34"/>
      <c r="AB759" s="34"/>
      <c r="AC759" s="22">
        <v>0.73480491638183598</v>
      </c>
      <c r="AD759" s="23" t="s">
        <v>2559</v>
      </c>
      <c r="AE759" s="24">
        <v>6.3835616438356162</v>
      </c>
      <c r="AF759" s="25">
        <v>0.18894993937005602</v>
      </c>
      <c r="AG759" s="26">
        <v>8.6888808297544973E-3</v>
      </c>
      <c r="AH759" s="26">
        <v>0.12414137640395317</v>
      </c>
      <c r="AI759" s="27">
        <v>0.73261651525581628</v>
      </c>
      <c r="AJ759" s="27">
        <v>0.12225965115784926</v>
      </c>
      <c r="AK759" s="27">
        <v>0.5223538079042761</v>
      </c>
      <c r="AL759" s="28" t="s">
        <v>3284</v>
      </c>
      <c r="AM759" s="29">
        <v>3</v>
      </c>
      <c r="AN759" s="29">
        <v>3</v>
      </c>
      <c r="AO759" s="29" t="s">
        <v>48</v>
      </c>
      <c r="AP759" s="47" t="s">
        <v>2920</v>
      </c>
      <c r="AQ759" s="28">
        <v>0</v>
      </c>
      <c r="AR759" s="26">
        <v>1.4999999999999999E-2</v>
      </c>
      <c r="AS759" s="26">
        <v>0</v>
      </c>
    </row>
    <row r="760" spans="1:45" x14ac:dyDescent="0.15">
      <c r="A760" s="64">
        <v>75</v>
      </c>
      <c r="B760" s="64">
        <v>355</v>
      </c>
      <c r="C760" s="11">
        <v>160519</v>
      </c>
      <c r="D760" s="61">
        <v>427</v>
      </c>
      <c r="E760" s="61">
        <v>-9.1108550107227499E-4</v>
      </c>
      <c r="F760" s="61">
        <v>42</v>
      </c>
      <c r="G760" s="61">
        <v>0.38972796160824202</v>
      </c>
      <c r="H760" s="66">
        <v>274</v>
      </c>
      <c r="I760" s="66" t="str">
        <f>H760&amp;"/"&amp;451</f>
        <v>274/451</v>
      </c>
      <c r="J760" s="68">
        <f>H760/451</f>
        <v>0.60753880266075388</v>
      </c>
      <c r="K760" s="18" t="s">
        <v>44</v>
      </c>
      <c r="L760" s="18" t="s">
        <v>45</v>
      </c>
      <c r="M760" s="58" t="s">
        <v>65</v>
      </c>
      <c r="N760" s="18">
        <f>[1]!f_prt_stocktonav(C760,"2017/03/31")</f>
        <v>88.451736450195313</v>
      </c>
      <c r="O760" s="20" t="str">
        <f>[1]!f_info_fundmanager(C760)</f>
        <v>陈鹏扬,金晟哲</v>
      </c>
      <c r="P760" s="21">
        <v>0.83287671232876714</v>
      </c>
      <c r="Q760" s="34" t="s">
        <v>433</v>
      </c>
      <c r="R760" s="34" t="s">
        <v>434</v>
      </c>
      <c r="S760" s="34" t="s">
        <v>413</v>
      </c>
      <c r="T760" s="34">
        <v>20160531</v>
      </c>
      <c r="U760" s="45">
        <v>6.6598288193000004</v>
      </c>
      <c r="V760" s="46">
        <v>6.7230453075999996</v>
      </c>
      <c r="W760" s="34" t="s">
        <v>3778</v>
      </c>
      <c r="X760" s="34" t="s">
        <v>44</v>
      </c>
      <c r="Y760" s="34" t="s">
        <v>45</v>
      </c>
      <c r="Z760" s="34" t="s">
        <v>65</v>
      </c>
      <c r="AA760" s="34"/>
      <c r="AB760" s="34"/>
      <c r="AC760" s="22">
        <v>0.86864349365234372</v>
      </c>
      <c r="AD760" s="23" t="s">
        <v>435</v>
      </c>
      <c r="AE760" s="24">
        <v>0.60273972602739723</v>
      </c>
      <c r="AF760" s="25">
        <v>-1.1854682024774355E-2</v>
      </c>
      <c r="AG760" s="26">
        <v>0</v>
      </c>
      <c r="AH760" s="26">
        <v>0</v>
      </c>
      <c r="AI760" s="27">
        <v>-0.92924653619927466</v>
      </c>
      <c r="AJ760" s="27">
        <v>-0.92924653619927466</v>
      </c>
      <c r="AK760" s="27">
        <v>-0.92924653619927466</v>
      </c>
      <c r="AL760" s="28" t="s">
        <v>436</v>
      </c>
      <c r="AM760" s="29" t="s">
        <v>48</v>
      </c>
      <c r="AN760" s="29" t="s">
        <v>48</v>
      </c>
      <c r="AO760" s="29" t="s">
        <v>48</v>
      </c>
      <c r="AP760" s="47">
        <v>0</v>
      </c>
      <c r="AQ760" s="28">
        <v>0</v>
      </c>
      <c r="AR760" s="26">
        <v>1.4999999999999999E-2</v>
      </c>
      <c r="AS760" s="26">
        <v>0</v>
      </c>
    </row>
    <row r="761" spans="1:45" x14ac:dyDescent="0.15">
      <c r="A761" s="64">
        <v>801</v>
      </c>
      <c r="B761" s="64">
        <v>769</v>
      </c>
      <c r="C761" s="11">
        <v>20010</v>
      </c>
      <c r="D761" s="61">
        <v>429</v>
      </c>
      <c r="E761" s="61">
        <v>-9.4081659183430804E-4</v>
      </c>
      <c r="F761" s="61">
        <v>114</v>
      </c>
      <c r="G761" s="61">
        <v>0.467332396664358</v>
      </c>
      <c r="H761" s="66">
        <v>275</v>
      </c>
      <c r="I761" s="66" t="str">
        <f>H761&amp;"/"&amp;451</f>
        <v>275/451</v>
      </c>
      <c r="J761" s="68">
        <f>H761/451</f>
        <v>0.6097560975609756</v>
      </c>
      <c r="K761" s="18" t="s">
        <v>44</v>
      </c>
      <c r="L761" s="18" t="s">
        <v>45</v>
      </c>
      <c r="M761" s="58" t="s">
        <v>65</v>
      </c>
      <c r="N761" s="18">
        <f>[1]!f_prt_stocktonav(C761,"2017/03/31")</f>
        <v>77.601348876953125</v>
      </c>
      <c r="O761" s="20" t="str">
        <f>[1]!f_info_fundmanager(C761)</f>
        <v>程洲</v>
      </c>
      <c r="P761" s="21">
        <v>2.1780821917808217</v>
      </c>
      <c r="Q761" s="34" t="s">
        <v>3123</v>
      </c>
      <c r="R761" s="34" t="s">
        <v>3124</v>
      </c>
      <c r="S761" s="34" t="s">
        <v>663</v>
      </c>
      <c r="T761" s="34">
        <v>20070518</v>
      </c>
      <c r="U761" s="45">
        <v>15.580769050200001</v>
      </c>
      <c r="V761" s="46">
        <v>15.661167963</v>
      </c>
      <c r="W761" s="34" t="s">
        <v>231</v>
      </c>
      <c r="X761" s="34" t="s">
        <v>44</v>
      </c>
      <c r="Y761" s="34" t="s">
        <v>45</v>
      </c>
      <c r="Z761" s="34" t="s">
        <v>65</v>
      </c>
      <c r="AA761" s="34"/>
      <c r="AB761" s="34"/>
      <c r="AC761" s="22">
        <v>0.74798400878906246</v>
      </c>
      <c r="AD761" s="23" t="s">
        <v>3125</v>
      </c>
      <c r="AE761" s="24">
        <v>1.9479452054794522</v>
      </c>
      <c r="AF761" s="25">
        <v>9.4754954183062789E-2</v>
      </c>
      <c r="AG761" s="26">
        <v>0.16860874422622232</v>
      </c>
      <c r="AH761" s="26">
        <v>0.18266489883768641</v>
      </c>
      <c r="AI761" s="27">
        <v>0.42441268014280809</v>
      </c>
      <c r="AJ761" s="27">
        <v>0.67247732510332103</v>
      </c>
      <c r="AK761" s="27">
        <v>0.76823146103912876</v>
      </c>
      <c r="AL761" s="28" t="s">
        <v>1459</v>
      </c>
      <c r="AM761" s="29">
        <v>4</v>
      </c>
      <c r="AN761" s="29">
        <v>2</v>
      </c>
      <c r="AO761" s="29" t="s">
        <v>48</v>
      </c>
      <c r="AP761" s="47" t="s">
        <v>592</v>
      </c>
      <c r="AQ761" s="28">
        <v>0</v>
      </c>
      <c r="AR761" s="26">
        <v>1.4999999999999999E-2</v>
      </c>
      <c r="AS761" s="26">
        <v>0</v>
      </c>
    </row>
    <row r="762" spans="1:45" x14ac:dyDescent="0.15">
      <c r="A762" s="64">
        <v>651</v>
      </c>
      <c r="B762" s="64">
        <v>685</v>
      </c>
      <c r="C762" s="11">
        <v>530011</v>
      </c>
      <c r="D762" s="61">
        <v>430</v>
      </c>
      <c r="E762" s="61">
        <v>-9.4138002700645004E-4</v>
      </c>
      <c r="F762" s="61">
        <v>123</v>
      </c>
      <c r="G762" s="61">
        <v>0.49834549235174502</v>
      </c>
      <c r="H762" s="66">
        <v>276</v>
      </c>
      <c r="I762" s="66" t="str">
        <f>H762&amp;"/"&amp;451</f>
        <v>276/451</v>
      </c>
      <c r="J762" s="68">
        <f>H762/451</f>
        <v>0.61197339246119731</v>
      </c>
      <c r="K762" s="18" t="s">
        <v>44</v>
      </c>
      <c r="L762" s="18" t="s">
        <v>45</v>
      </c>
      <c r="M762" s="58" t="s">
        <v>65</v>
      </c>
      <c r="N762" s="18">
        <f>[1]!f_prt_stocktonav(C762,"2017/03/31")</f>
        <v>80.449234008789063</v>
      </c>
      <c r="O762" s="20" t="str">
        <f>[1]!f_info_fundmanager(C762)</f>
        <v>吴尚伟</v>
      </c>
      <c r="P762" s="21">
        <v>2.3479452054794518</v>
      </c>
      <c r="Q762" s="34" t="s">
        <v>2625</v>
      </c>
      <c r="R762" s="34" t="s">
        <v>2626</v>
      </c>
      <c r="S762" s="34" t="s">
        <v>307</v>
      </c>
      <c r="T762" s="34">
        <v>20101116</v>
      </c>
      <c r="U762" s="45">
        <v>3.9896907971000002</v>
      </c>
      <c r="V762" s="46">
        <v>5.1002038744</v>
      </c>
      <c r="W762" s="34" t="s">
        <v>3776</v>
      </c>
      <c r="X762" s="34" t="s">
        <v>41</v>
      </c>
      <c r="Y762" s="17" t="s">
        <v>42</v>
      </c>
      <c r="Z762" s="17" t="s">
        <v>181</v>
      </c>
      <c r="AA762" s="34"/>
      <c r="AB762" s="34"/>
      <c r="AC762" s="22">
        <v>0.69658142089843755</v>
      </c>
      <c r="AD762" s="23" t="s">
        <v>2627</v>
      </c>
      <c r="AE762" s="24">
        <v>2.117808219178082</v>
      </c>
      <c r="AF762" s="25">
        <v>5.9232951374592613E-2</v>
      </c>
      <c r="AG762" s="26">
        <v>0.13628664996129758</v>
      </c>
      <c r="AH762" s="26">
        <v>0.11493893021423984</v>
      </c>
      <c r="AI762" s="27">
        <v>0.31022783189022379</v>
      </c>
      <c r="AJ762" s="27">
        <v>0.58450770580069789</v>
      </c>
      <c r="AK762" s="27">
        <v>0.53203403216885747</v>
      </c>
      <c r="AL762" s="28" t="s">
        <v>2074</v>
      </c>
      <c r="AM762" s="29">
        <v>2</v>
      </c>
      <c r="AN762" s="29">
        <v>4</v>
      </c>
      <c r="AO762" s="29" t="s">
        <v>48</v>
      </c>
      <c r="AP762" s="47" t="s">
        <v>209</v>
      </c>
      <c r="AQ762" s="28">
        <v>0</v>
      </c>
      <c r="AR762" s="26">
        <v>1.4999999999999999E-2</v>
      </c>
      <c r="AS762" s="26">
        <v>0</v>
      </c>
    </row>
    <row r="763" spans="1:45" x14ac:dyDescent="0.15">
      <c r="A763" s="64">
        <v>107</v>
      </c>
      <c r="B763" s="64">
        <v>866</v>
      </c>
      <c r="C763" s="11">
        <v>2272</v>
      </c>
      <c r="D763" s="61">
        <v>431</v>
      </c>
      <c r="E763" s="61">
        <v>-9.4264795785386905E-4</v>
      </c>
      <c r="F763" s="61">
        <v>52</v>
      </c>
      <c r="G763" s="61">
        <v>0.158535061530931</v>
      </c>
      <c r="H763" s="66">
        <v>277</v>
      </c>
      <c r="I763" s="66" t="str">
        <f>H763&amp;"/"&amp;451</f>
        <v>277/451</v>
      </c>
      <c r="J763" s="68">
        <f>H763/451</f>
        <v>0.61419068736141902</v>
      </c>
      <c r="K763" s="18" t="s">
        <v>44</v>
      </c>
      <c r="L763" s="18" t="s">
        <v>87</v>
      </c>
      <c r="M763" s="58" t="s">
        <v>65</v>
      </c>
      <c r="N763" s="18">
        <f>[1]!f_prt_stocktonav(C763,"2017/03/31")</f>
        <v>73.874130249023438</v>
      </c>
      <c r="O763" s="20" t="str">
        <f>[1]!f_info_fundmanager(C763)</f>
        <v>李会忠,张永超</v>
      </c>
      <c r="P763" s="21">
        <v>1.0246575342465754</v>
      </c>
      <c r="Q763" s="34" t="s">
        <v>567</v>
      </c>
      <c r="R763" s="34" t="s">
        <v>568</v>
      </c>
      <c r="S763" s="34" t="s">
        <v>569</v>
      </c>
      <c r="T763" s="34">
        <v>20160322</v>
      </c>
      <c r="U763" s="45">
        <v>1.4866049821</v>
      </c>
      <c r="V763" s="46">
        <v>1.9530176618999999</v>
      </c>
      <c r="W763" s="34" t="s">
        <v>3776</v>
      </c>
      <c r="X763" s="34" t="s">
        <v>41</v>
      </c>
      <c r="Y763" s="34" t="s">
        <v>42</v>
      </c>
      <c r="Z763" s="34" t="s">
        <v>388</v>
      </c>
      <c r="AA763" s="34" t="s">
        <v>3784</v>
      </c>
      <c r="AB763" s="34"/>
      <c r="AC763" s="22">
        <v>0.2255978012084961</v>
      </c>
      <c r="AD763" s="23" t="s">
        <v>571</v>
      </c>
      <c r="AE763" s="24">
        <v>0.79452054794520544</v>
      </c>
      <c r="AF763" s="25">
        <v>-1.4065912201410291E-2</v>
      </c>
      <c r="AG763" s="26">
        <v>0</v>
      </c>
      <c r="AH763" s="26">
        <v>0</v>
      </c>
      <c r="AI763" s="27">
        <v>-1.4474280062449014</v>
      </c>
      <c r="AJ763" s="27">
        <v>-1.4474280062449014</v>
      </c>
      <c r="AK763" s="27">
        <v>-1.4474280062449014</v>
      </c>
      <c r="AL763" s="33" t="s">
        <v>572</v>
      </c>
      <c r="AM763" s="29" t="s">
        <v>48</v>
      </c>
      <c r="AN763" s="29" t="s">
        <v>48</v>
      </c>
      <c r="AO763" s="29" t="s">
        <v>48</v>
      </c>
      <c r="AP763" s="47" t="s">
        <v>101</v>
      </c>
      <c r="AQ763" s="28">
        <v>0</v>
      </c>
      <c r="AR763" s="26">
        <v>1.4999999999999999E-2</v>
      </c>
      <c r="AS763" s="26">
        <v>0</v>
      </c>
    </row>
    <row r="764" spans="1:45" x14ac:dyDescent="0.15">
      <c r="A764" s="64">
        <v>940</v>
      </c>
      <c r="B764" s="64">
        <v>569</v>
      </c>
      <c r="C764" s="11">
        <v>90001</v>
      </c>
      <c r="D764" s="61">
        <v>436</v>
      </c>
      <c r="E764" s="61">
        <v>-9.5444631254379701E-4</v>
      </c>
      <c r="F764" s="61">
        <v>206</v>
      </c>
      <c r="G764" s="61">
        <v>0.15652137592841001</v>
      </c>
      <c r="H764" s="66">
        <v>278</v>
      </c>
      <c r="I764" s="66" t="str">
        <f>H764&amp;"/"&amp;451</f>
        <v>278/451</v>
      </c>
      <c r="J764" s="68">
        <f>H764/451</f>
        <v>0.61640798226164084</v>
      </c>
      <c r="K764" s="18" t="s">
        <v>44</v>
      </c>
      <c r="L764" s="18" t="s">
        <v>45</v>
      </c>
      <c r="M764" s="58" t="s">
        <v>65</v>
      </c>
      <c r="N764" s="18">
        <f>[1]!f_prt_stocktonav(C764,"2017/03/31")</f>
        <v>83.59796142578125</v>
      </c>
      <c r="O764" s="20" t="str">
        <f>[1]!f_info_fundmanager(C764)</f>
        <v>石国武</v>
      </c>
      <c r="P764" s="21">
        <v>3.9534246575342467</v>
      </c>
      <c r="Q764" s="34" t="s">
        <v>3654</v>
      </c>
      <c r="R764" s="34" t="s">
        <v>3655</v>
      </c>
      <c r="S764" s="34" t="s">
        <v>486</v>
      </c>
      <c r="T764" s="34">
        <v>20021111</v>
      </c>
      <c r="U764" s="45">
        <v>34.7205310545</v>
      </c>
      <c r="V764" s="46">
        <v>34.824456408000003</v>
      </c>
      <c r="W764" s="34" t="s">
        <v>231</v>
      </c>
      <c r="X764" s="34" t="s">
        <v>44</v>
      </c>
      <c r="Y764" s="34" t="s">
        <v>45</v>
      </c>
      <c r="Z764" s="34" t="s">
        <v>65</v>
      </c>
      <c r="AA764" s="34"/>
      <c r="AB764" s="34"/>
      <c r="AC764" s="22">
        <v>0.80022232055664066</v>
      </c>
      <c r="AD764" s="23" t="s">
        <v>3656</v>
      </c>
      <c r="AE764" s="24">
        <v>3.7232876712328768</v>
      </c>
      <c r="AF764" s="25">
        <v>0.15851965678077429</v>
      </c>
      <c r="AG764" s="26">
        <v>0.26166173683419425</v>
      </c>
      <c r="AH764" s="26">
        <v>0.15489552924467764</v>
      </c>
      <c r="AI764" s="27">
        <v>0.71827034728833039</v>
      </c>
      <c r="AJ764" s="27">
        <v>1.0649359094743831</v>
      </c>
      <c r="AK764" s="27">
        <v>0.7159829966795821</v>
      </c>
      <c r="AL764" s="28" t="s">
        <v>1707</v>
      </c>
      <c r="AM764" s="29">
        <v>4</v>
      </c>
      <c r="AN764" s="29">
        <v>3</v>
      </c>
      <c r="AO764" s="29" t="s">
        <v>48</v>
      </c>
      <c r="AP764" s="47" t="s">
        <v>1002</v>
      </c>
      <c r="AQ764" s="28" t="s">
        <v>3571</v>
      </c>
      <c r="AR764" s="26">
        <v>1.4999999999999999E-2</v>
      </c>
      <c r="AS764" s="26">
        <v>0</v>
      </c>
    </row>
    <row r="765" spans="1:45" x14ac:dyDescent="0.15">
      <c r="A765" s="64">
        <v>576</v>
      </c>
      <c r="B765" s="64">
        <v>31</v>
      </c>
      <c r="C765" s="11">
        <v>740001</v>
      </c>
      <c r="D765" s="61">
        <v>437</v>
      </c>
      <c r="E765" s="61">
        <v>-9.5790801851300096E-4</v>
      </c>
      <c r="F765" s="61">
        <v>97</v>
      </c>
      <c r="G765" s="61">
        <v>0.61677770197259396</v>
      </c>
      <c r="H765" s="66">
        <v>279</v>
      </c>
      <c r="I765" s="66" t="str">
        <f>H765&amp;"/"&amp;451</f>
        <v>279/451</v>
      </c>
      <c r="J765" s="68">
        <f>H765/451</f>
        <v>0.61862527716186255</v>
      </c>
      <c r="K765" s="18" t="s">
        <v>44</v>
      </c>
      <c r="L765" s="18" t="s">
        <v>45</v>
      </c>
      <c r="M765" s="58" t="s">
        <v>65</v>
      </c>
      <c r="N765" s="18">
        <f>[1]!f_prt_stocktonav(C765,"2017/03/31")</f>
        <v>94.605812072753906</v>
      </c>
      <c r="O765" s="20" t="str">
        <f>[1]!f_info_fundmanager(C765)</f>
        <v>栾绍菲</v>
      </c>
      <c r="P765" s="21">
        <v>1.8520547945205479</v>
      </c>
      <c r="Q765" s="34" t="s">
        <v>2372</v>
      </c>
      <c r="R765" s="34" t="s">
        <v>2373</v>
      </c>
      <c r="S765" s="34" t="s">
        <v>1306</v>
      </c>
      <c r="T765" s="34">
        <v>20120309</v>
      </c>
      <c r="U765" s="45">
        <v>1.3820867594999999</v>
      </c>
      <c r="V765" s="46">
        <v>1.6980368541999999</v>
      </c>
      <c r="W765" s="34" t="s">
        <v>1235</v>
      </c>
      <c r="X765" s="34" t="s">
        <v>44</v>
      </c>
      <c r="Y765" s="34" t="s">
        <v>45</v>
      </c>
      <c r="Z765" s="34" t="s">
        <v>65</v>
      </c>
      <c r="AA765" s="34"/>
      <c r="AB765" s="34"/>
      <c r="AC765" s="22">
        <v>0.94206901550292965</v>
      </c>
      <c r="AD765" s="23" t="s">
        <v>2374</v>
      </c>
      <c r="AE765" s="24">
        <v>1.6219178082191781</v>
      </c>
      <c r="AF765" s="25">
        <v>0.17053983448024781</v>
      </c>
      <c r="AG765" s="26">
        <v>0.18857352215890799</v>
      </c>
      <c r="AH765" s="26">
        <v>0</v>
      </c>
      <c r="AI765" s="27">
        <v>0.66703424790780574</v>
      </c>
      <c r="AJ765" s="27">
        <v>0.6636907786426538</v>
      </c>
      <c r="AK765" s="27">
        <v>0.66703424790780574</v>
      </c>
      <c r="AL765" s="28" t="s">
        <v>276</v>
      </c>
      <c r="AM765" s="29">
        <v>5</v>
      </c>
      <c r="AN765" s="29">
        <v>2</v>
      </c>
      <c r="AO765" s="29" t="s">
        <v>48</v>
      </c>
      <c r="AP765" s="47" t="s">
        <v>209</v>
      </c>
      <c r="AQ765" s="28">
        <v>0</v>
      </c>
      <c r="AR765" s="26">
        <v>1.4999999999999999E-2</v>
      </c>
      <c r="AS765" s="26">
        <v>0</v>
      </c>
    </row>
    <row r="766" spans="1:45" x14ac:dyDescent="0.15">
      <c r="A766" s="64">
        <v>90</v>
      </c>
      <c r="B766" s="64">
        <v>139</v>
      </c>
      <c r="C766" s="11">
        <v>519133</v>
      </c>
      <c r="D766" s="61">
        <v>438</v>
      </c>
      <c r="E766" s="61">
        <v>-9.7755785271166191E-4</v>
      </c>
      <c r="F766" s="61">
        <v>47</v>
      </c>
      <c r="G766" s="61">
        <v>0.55684964635563905</v>
      </c>
      <c r="H766" s="66">
        <v>280</v>
      </c>
      <c r="I766" s="66" t="str">
        <f>H766&amp;"/"&amp;451</f>
        <v>280/451</v>
      </c>
      <c r="J766" s="68">
        <f>H766/451</f>
        <v>0.62084257206208426</v>
      </c>
      <c r="K766" s="18" t="s">
        <v>44</v>
      </c>
      <c r="L766" s="18" t="s">
        <v>45</v>
      </c>
      <c r="M766" s="58" t="s">
        <v>65</v>
      </c>
      <c r="N766" s="18">
        <f>[1]!f_prt_stocktonav(C766,"2017/03/31")</f>
        <v>92.921821594238281</v>
      </c>
      <c r="O766" s="20" t="str">
        <f>[1]!f_info_fundmanager(C766)</f>
        <v>周雪军</v>
      </c>
      <c r="P766" s="21">
        <v>0.92328767123287669</v>
      </c>
      <c r="Q766" s="34" t="s">
        <v>494</v>
      </c>
      <c r="R766" s="34" t="s">
        <v>495</v>
      </c>
      <c r="S766" s="34" t="s">
        <v>496</v>
      </c>
      <c r="T766" s="34">
        <v>20160428</v>
      </c>
      <c r="U766" s="45">
        <v>3.1389506255000001</v>
      </c>
      <c r="V766" s="46">
        <v>2.0779047281</v>
      </c>
      <c r="W766" s="34" t="s">
        <v>3776</v>
      </c>
      <c r="X766" s="34" t="s">
        <v>44</v>
      </c>
      <c r="Y766" s="17" t="s">
        <v>45</v>
      </c>
      <c r="Z766" s="17" t="s">
        <v>65</v>
      </c>
      <c r="AA766" s="34"/>
      <c r="AB766" s="34"/>
      <c r="AC766" s="22">
        <v>0.89846099853515626</v>
      </c>
      <c r="AD766" s="23" t="s">
        <v>497</v>
      </c>
      <c r="AE766" s="24">
        <v>0.69315068493150689</v>
      </c>
      <c r="AF766" s="25">
        <v>0.15367048573953346</v>
      </c>
      <c r="AG766" s="26">
        <v>0</v>
      </c>
      <c r="AH766" s="26">
        <v>0</v>
      </c>
      <c r="AI766" s="27">
        <v>1.3896757800886246</v>
      </c>
      <c r="AJ766" s="27">
        <v>1.3896757800886246</v>
      </c>
      <c r="AK766" s="27">
        <v>1.3896757800886246</v>
      </c>
      <c r="AL766" s="28" t="s">
        <v>191</v>
      </c>
      <c r="AM766" s="29" t="s">
        <v>48</v>
      </c>
      <c r="AN766" s="29" t="s">
        <v>48</v>
      </c>
      <c r="AO766" s="29" t="s">
        <v>48</v>
      </c>
      <c r="AP766" s="47" t="s">
        <v>310</v>
      </c>
      <c r="AQ766" s="28">
        <v>0</v>
      </c>
      <c r="AR766" s="26">
        <v>1.4999999999999999E-2</v>
      </c>
      <c r="AS766" s="26">
        <v>0</v>
      </c>
    </row>
    <row r="767" spans="1:45" x14ac:dyDescent="0.15">
      <c r="A767" s="64">
        <v>871</v>
      </c>
      <c r="B767" s="64">
        <v>817</v>
      </c>
      <c r="C767" s="11">
        <v>200006</v>
      </c>
      <c r="D767" s="61">
        <v>439</v>
      </c>
      <c r="E767" s="61">
        <v>-9.959320331602E-4</v>
      </c>
      <c r="F767" s="61">
        <v>62</v>
      </c>
      <c r="G767" s="61">
        <v>0.64838081509607504</v>
      </c>
      <c r="H767" s="66">
        <v>281</v>
      </c>
      <c r="I767" s="66" t="str">
        <f>H767&amp;"/"&amp;451</f>
        <v>281/451</v>
      </c>
      <c r="J767" s="68">
        <f>H767/451</f>
        <v>0.62305986696230597</v>
      </c>
      <c r="K767" s="18" t="s">
        <v>44</v>
      </c>
      <c r="L767" s="18" t="s">
        <v>45</v>
      </c>
      <c r="M767" s="58" t="s">
        <v>65</v>
      </c>
      <c r="N767" s="18">
        <f>[1]!f_prt_stocktonav(C767,"2017/03/31")</f>
        <v>76.007583618164062</v>
      </c>
      <c r="O767" s="20" t="str">
        <f>[1]!f_info_fundmanager(C767)</f>
        <v>郑帮强</v>
      </c>
      <c r="P767" s="21">
        <v>1.1917808219178083</v>
      </c>
      <c r="Q767" s="34" t="s">
        <v>3383</v>
      </c>
      <c r="R767" s="34" t="s">
        <v>3384</v>
      </c>
      <c r="S767" s="34" t="s">
        <v>1172</v>
      </c>
      <c r="T767" s="34">
        <v>20060406</v>
      </c>
      <c r="U767" s="45">
        <v>10.0160091894</v>
      </c>
      <c r="V767" s="46">
        <v>13.4691909484</v>
      </c>
      <c r="W767" s="34" t="s">
        <v>201</v>
      </c>
      <c r="X767" s="34" t="s">
        <v>44</v>
      </c>
      <c r="Y767" s="34" t="s">
        <v>45</v>
      </c>
      <c r="Z767" s="34" t="s">
        <v>65</v>
      </c>
      <c r="AA767" s="34"/>
      <c r="AB767" s="34"/>
      <c r="AC767" s="22">
        <v>0.85241134643554684</v>
      </c>
      <c r="AD767" s="23" t="s">
        <v>2336</v>
      </c>
      <c r="AE767" s="24">
        <v>0.9616438356164384</v>
      </c>
      <c r="AF767" s="25">
        <v>9.7307518108252791E-2</v>
      </c>
      <c r="AG767" s="26">
        <v>3.0968895625464787E-2</v>
      </c>
      <c r="AH767" s="26">
        <v>3.0044652329199506E-2</v>
      </c>
      <c r="AI767" s="27">
        <v>0.43975426911964061</v>
      </c>
      <c r="AJ767" s="27">
        <v>0.19452712001140765</v>
      </c>
      <c r="AK767" s="27">
        <v>0.18281891646448775</v>
      </c>
      <c r="AL767" s="28" t="s">
        <v>3385</v>
      </c>
      <c r="AM767" s="29">
        <v>1</v>
      </c>
      <c r="AN767" s="29">
        <v>3</v>
      </c>
      <c r="AO767" s="29" t="s">
        <v>48</v>
      </c>
      <c r="AP767" s="47" t="s">
        <v>3386</v>
      </c>
      <c r="AQ767" s="28">
        <v>0</v>
      </c>
      <c r="AR767" s="26">
        <v>1.4999999999999999E-2</v>
      </c>
      <c r="AS767" s="26">
        <v>0</v>
      </c>
    </row>
    <row r="768" spans="1:45" x14ac:dyDescent="0.15">
      <c r="A768" s="64">
        <v>424</v>
      </c>
      <c r="B768" s="64">
        <v>607</v>
      </c>
      <c r="C768" s="11">
        <v>698</v>
      </c>
      <c r="D768" s="61">
        <v>440</v>
      </c>
      <c r="E768" s="61">
        <v>-1.0057618405298E-3</v>
      </c>
      <c r="F768" s="61">
        <v>28</v>
      </c>
      <c r="G768" s="61">
        <v>0.58846212061418002</v>
      </c>
      <c r="H768" s="66">
        <v>282</v>
      </c>
      <c r="I768" s="66" t="str">
        <f>H768&amp;"/"&amp;451</f>
        <v>282/451</v>
      </c>
      <c r="J768" s="68">
        <f>H768/451</f>
        <v>0.62527716186252769</v>
      </c>
      <c r="K768" s="18" t="s">
        <v>44</v>
      </c>
      <c r="L768" s="18" t="s">
        <v>45</v>
      </c>
      <c r="M768" s="58" t="s">
        <v>65</v>
      </c>
      <c r="N768" s="18">
        <f>[1]!f_prt_stocktonav(C768,"2017/03/31")</f>
        <v>82.718650817871094</v>
      </c>
      <c r="O768" s="20" t="str">
        <f>[1]!f_info_fundmanager(C768)</f>
        <v>张仲维</v>
      </c>
      <c r="P768" s="21">
        <v>0.52328767123287667</v>
      </c>
      <c r="Q768" s="34" t="s">
        <v>1820</v>
      </c>
      <c r="R768" s="34" t="s">
        <v>1821</v>
      </c>
      <c r="S768" s="34" t="s">
        <v>402</v>
      </c>
      <c r="T768" s="34">
        <v>20140813</v>
      </c>
      <c r="U768" s="45">
        <v>29.438616740899999</v>
      </c>
      <c r="V768" s="46">
        <v>35.467301644899997</v>
      </c>
      <c r="W768" s="34" t="s">
        <v>3789</v>
      </c>
      <c r="X768" s="34" t="s">
        <v>44</v>
      </c>
      <c r="Y768" s="34" t="s">
        <v>45</v>
      </c>
      <c r="Z768" s="34" t="s">
        <v>65</v>
      </c>
      <c r="AA768" s="34"/>
      <c r="AB768" s="34"/>
      <c r="AC768" s="22">
        <v>0.94655349731445315</v>
      </c>
      <c r="AD768" s="23" t="s">
        <v>1822</v>
      </c>
      <c r="AE768" s="24">
        <v>0.29315068493150687</v>
      </c>
      <c r="AF768" s="25">
        <v>0.17599632964085152</v>
      </c>
      <c r="AG768" s="26">
        <v>0</v>
      </c>
      <c r="AH768" s="26">
        <v>0</v>
      </c>
      <c r="AI768" s="27">
        <v>0.56281123494091423</v>
      </c>
      <c r="AJ768" s="27">
        <v>0.56281123494091423</v>
      </c>
      <c r="AK768" s="27">
        <v>0.56281123494091423</v>
      </c>
      <c r="AL768" s="28" t="s">
        <v>714</v>
      </c>
      <c r="AM768" s="29" t="s">
        <v>48</v>
      </c>
      <c r="AN768" s="29" t="s">
        <v>48</v>
      </c>
      <c r="AO768" s="29" t="s">
        <v>48</v>
      </c>
      <c r="AP768" s="47" t="s">
        <v>715</v>
      </c>
      <c r="AQ768" s="28">
        <v>0</v>
      </c>
      <c r="AR768" s="26">
        <v>1.4999999999999999E-2</v>
      </c>
      <c r="AS768" s="26">
        <v>0</v>
      </c>
    </row>
    <row r="769" spans="1:45" x14ac:dyDescent="0.15">
      <c r="A769" s="64">
        <v>313</v>
      </c>
      <c r="B769" s="64">
        <v>36</v>
      </c>
      <c r="C769" s="11">
        <v>1170</v>
      </c>
      <c r="D769" s="61">
        <v>442</v>
      </c>
      <c r="E769" s="61">
        <v>-1.01326535722285E-3</v>
      </c>
      <c r="F769" s="61">
        <v>99</v>
      </c>
      <c r="G769" s="61">
        <v>0.52632518534345696</v>
      </c>
      <c r="H769" s="66">
        <v>283</v>
      </c>
      <c r="I769" s="66" t="str">
        <f>H769&amp;"/"&amp;451</f>
        <v>283/451</v>
      </c>
      <c r="J769" s="68">
        <f>H769/451</f>
        <v>0.6274944567627494</v>
      </c>
      <c r="K769" s="18" t="s">
        <v>44</v>
      </c>
      <c r="L769" s="18" t="s">
        <v>45</v>
      </c>
      <c r="M769" s="58" t="s">
        <v>65</v>
      </c>
      <c r="N769" s="18">
        <f>[1]!f_prt_stocktonav(C769,"2017/03/31")</f>
        <v>94.466270446777344</v>
      </c>
      <c r="O769" s="20" t="str">
        <f>[1]!f_info_fundmanager(C769)</f>
        <v>吴华</v>
      </c>
      <c r="P769" s="21">
        <v>1.9452054794520548</v>
      </c>
      <c r="Q769" s="34" t="s">
        <v>1413</v>
      </c>
      <c r="R769" s="34" t="s">
        <v>1414</v>
      </c>
      <c r="S769" s="34" t="s">
        <v>263</v>
      </c>
      <c r="T769" s="34">
        <v>20150421</v>
      </c>
      <c r="U769" s="45">
        <v>9.2337661075999993</v>
      </c>
      <c r="V769" s="46">
        <v>12.0932403853</v>
      </c>
      <c r="W769" s="34" t="s">
        <v>201</v>
      </c>
      <c r="X769" s="34" t="s">
        <v>44</v>
      </c>
      <c r="Y769" s="17" t="s">
        <v>45</v>
      </c>
      <c r="Z769" s="17" t="s">
        <v>65</v>
      </c>
      <c r="AA769" s="34"/>
      <c r="AB769" s="34"/>
      <c r="AC769" s="22">
        <v>0.94298622131347654</v>
      </c>
      <c r="AD769" s="23" t="s">
        <v>1415</v>
      </c>
      <c r="AE769" s="24">
        <v>1.715068493150685</v>
      </c>
      <c r="AF769" s="25">
        <v>-0.15424302000904389</v>
      </c>
      <c r="AG769" s="26">
        <v>0</v>
      </c>
      <c r="AH769" s="26">
        <v>0</v>
      </c>
      <c r="AI769" s="27">
        <v>-0.44272187646248035</v>
      </c>
      <c r="AJ769" s="27">
        <v>-0.44272187646248035</v>
      </c>
      <c r="AK769" s="27">
        <v>-0.44272187646248035</v>
      </c>
      <c r="AL769" s="28" t="s">
        <v>346</v>
      </c>
      <c r="AM769" s="29" t="s">
        <v>48</v>
      </c>
      <c r="AN769" s="29" t="s">
        <v>48</v>
      </c>
      <c r="AO769" s="29" t="s">
        <v>48</v>
      </c>
      <c r="AP769" s="47" t="s">
        <v>1416</v>
      </c>
      <c r="AQ769" s="28">
        <v>0</v>
      </c>
      <c r="AR769" s="26">
        <v>1.4999999999999999E-2</v>
      </c>
      <c r="AS769" s="26">
        <v>0</v>
      </c>
    </row>
    <row r="770" spans="1:45" x14ac:dyDescent="0.15">
      <c r="A770" s="64">
        <v>57</v>
      </c>
      <c r="B770" s="64">
        <v>747</v>
      </c>
      <c r="C770" s="11">
        <v>167001</v>
      </c>
      <c r="D770" s="61">
        <v>443</v>
      </c>
      <c r="E770" s="61">
        <v>-1.01755821302592E-3</v>
      </c>
      <c r="F770" s="61">
        <v>35</v>
      </c>
      <c r="G770" s="61">
        <v>0.128368700396888</v>
      </c>
      <c r="H770" s="66">
        <v>284</v>
      </c>
      <c r="I770" s="66" t="str">
        <f>H770&amp;"/"&amp;451</f>
        <v>284/451</v>
      </c>
      <c r="J770" s="68">
        <f>H770/451</f>
        <v>0.62971175166297122</v>
      </c>
      <c r="K770" s="18" t="s">
        <v>44</v>
      </c>
      <c r="L770" s="18" t="s">
        <v>45</v>
      </c>
      <c r="M770" s="58" t="s">
        <v>65</v>
      </c>
      <c r="N770" s="18">
        <f>[1]!f_prt_stocktonav(C770,"2017/03/31")</f>
        <v>78.424728393554688</v>
      </c>
      <c r="O770" s="20" t="str">
        <f>[1]!f_info_fundmanager(C770)</f>
        <v>刘俊廷</v>
      </c>
      <c r="P770" s="21">
        <v>0.69315068493150689</v>
      </c>
      <c r="Q770" s="34" t="s">
        <v>342</v>
      </c>
      <c r="R770" s="34" t="s">
        <v>343</v>
      </c>
      <c r="S770" s="34" t="s">
        <v>344</v>
      </c>
      <c r="T770" s="34">
        <v>20160721</v>
      </c>
      <c r="U770" s="45">
        <v>13.1847499166</v>
      </c>
      <c r="V770" s="46">
        <v>13.2004261916</v>
      </c>
      <c r="W770" s="34" t="s">
        <v>201</v>
      </c>
      <c r="X770" s="34" t="s">
        <v>41</v>
      </c>
      <c r="Y770" s="34" t="s">
        <v>42</v>
      </c>
      <c r="Z770" s="34" t="s">
        <v>43</v>
      </c>
      <c r="AA770" s="34"/>
      <c r="AB770" s="34"/>
      <c r="AC770" s="22">
        <v>0.60065303802490233</v>
      </c>
      <c r="AD770" s="23" t="s">
        <v>345</v>
      </c>
      <c r="AE770" s="24">
        <v>0.46301369863013697</v>
      </c>
      <c r="AF770" s="25">
        <v>-6.675601817922594E-4</v>
      </c>
      <c r="AG770" s="26">
        <v>0</v>
      </c>
      <c r="AH770" s="26">
        <v>0</v>
      </c>
      <c r="AI770" s="27">
        <v>-1.7832719426350445</v>
      </c>
      <c r="AJ770" s="27">
        <v>-1.7832719426350445</v>
      </c>
      <c r="AK770" s="27">
        <v>-1.7832719426350445</v>
      </c>
      <c r="AL770" s="28" t="s">
        <v>346</v>
      </c>
      <c r="AM770" s="29" t="s">
        <v>48</v>
      </c>
      <c r="AN770" s="29" t="s">
        <v>48</v>
      </c>
      <c r="AO770" s="29" t="s">
        <v>48</v>
      </c>
      <c r="AP770" s="47">
        <v>0</v>
      </c>
      <c r="AQ770" s="28">
        <v>0</v>
      </c>
      <c r="AR770" s="26">
        <v>1.4999999999999999E-2</v>
      </c>
      <c r="AS770" s="26">
        <v>0</v>
      </c>
    </row>
    <row r="771" spans="1:45" x14ac:dyDescent="0.15">
      <c r="A771" s="64">
        <v>631</v>
      </c>
      <c r="B771" s="64">
        <v>188</v>
      </c>
      <c r="C771" s="11">
        <v>470028</v>
      </c>
      <c r="D771" s="61">
        <v>445</v>
      </c>
      <c r="E771" s="61">
        <v>-1.02744242797527E-3</v>
      </c>
      <c r="F771" s="61">
        <v>307</v>
      </c>
      <c r="G771" s="61">
        <v>0.40500290990452098</v>
      </c>
      <c r="H771" s="66">
        <v>285</v>
      </c>
      <c r="I771" s="66" t="str">
        <f>H771&amp;"/"&amp;451</f>
        <v>285/451</v>
      </c>
      <c r="J771" s="68">
        <f>H771/451</f>
        <v>0.63192904656319293</v>
      </c>
      <c r="K771" s="18" t="s">
        <v>44</v>
      </c>
      <c r="L771" s="18" t="s">
        <v>45</v>
      </c>
      <c r="M771" s="58" t="s">
        <v>65</v>
      </c>
      <c r="N771" s="18">
        <f>[1]!f_prt_stocktonav(C771,"2017/03/31")</f>
        <v>92.014854431152344</v>
      </c>
      <c r="O771" s="20" t="str">
        <f>[1]!f_info_fundmanager(C771)</f>
        <v>欧阳沁春</v>
      </c>
      <c r="P771" s="21">
        <v>6.0109589041095894</v>
      </c>
      <c r="Q771" s="34" t="s">
        <v>2555</v>
      </c>
      <c r="R771" s="34" t="s">
        <v>2556</v>
      </c>
      <c r="S771" s="34" t="s">
        <v>331</v>
      </c>
      <c r="T771" s="34">
        <v>20110329</v>
      </c>
      <c r="U771" s="45">
        <v>29.760275055400001</v>
      </c>
      <c r="V771" s="46">
        <v>34.8313401674</v>
      </c>
      <c r="W771" s="34" t="s">
        <v>3789</v>
      </c>
      <c r="X771" s="34" t="s">
        <v>44</v>
      </c>
      <c r="Y771" s="34" t="s">
        <v>45</v>
      </c>
      <c r="Z771" s="34" t="s">
        <v>65</v>
      </c>
      <c r="AA771" s="34"/>
      <c r="AB771" s="34"/>
      <c r="AC771" s="22">
        <v>0.94387939453125003</v>
      </c>
      <c r="AD771" s="23" t="s">
        <v>1803</v>
      </c>
      <c r="AE771" s="24">
        <v>5.7808219178082192</v>
      </c>
      <c r="AF771" s="25">
        <v>7.8107395504091626E-2</v>
      </c>
      <c r="AG771" s="26">
        <v>0.15516480759089268</v>
      </c>
      <c r="AH771" s="26">
        <v>0.12824832097171757</v>
      </c>
      <c r="AI771" s="27">
        <v>0.35237338406802921</v>
      </c>
      <c r="AJ771" s="27">
        <v>0.49944245678744736</v>
      </c>
      <c r="AK771" s="27">
        <v>0.48157759899454294</v>
      </c>
      <c r="AL771" s="28" t="s">
        <v>276</v>
      </c>
      <c r="AM771" s="29">
        <v>2</v>
      </c>
      <c r="AN771" s="29">
        <v>1</v>
      </c>
      <c r="AO771" s="29" t="s">
        <v>48</v>
      </c>
      <c r="AP771" s="47" t="s">
        <v>334</v>
      </c>
      <c r="AQ771" s="28">
        <v>0</v>
      </c>
      <c r="AR771" s="26">
        <v>1.4999999999999999E-2</v>
      </c>
      <c r="AS771" s="26">
        <v>0</v>
      </c>
    </row>
    <row r="772" spans="1:45" x14ac:dyDescent="0.15">
      <c r="A772" s="64">
        <v>95</v>
      </c>
      <c r="B772" s="64">
        <v>673</v>
      </c>
      <c r="C772" s="11">
        <v>2387</v>
      </c>
      <c r="D772" s="61">
        <v>446</v>
      </c>
      <c r="E772" s="61">
        <v>-1.03049693159055E-3</v>
      </c>
      <c r="F772" s="61">
        <v>48</v>
      </c>
      <c r="G772" s="61">
        <v>0.61007488467325299</v>
      </c>
      <c r="H772" s="66">
        <v>286</v>
      </c>
      <c r="I772" s="66" t="str">
        <f>H772&amp;"/"&amp;451</f>
        <v>286/451</v>
      </c>
      <c r="J772" s="68">
        <f>H772/451</f>
        <v>0.63414634146341464</v>
      </c>
      <c r="K772" s="18" t="s">
        <v>44</v>
      </c>
      <c r="L772" s="18" t="s">
        <v>45</v>
      </c>
      <c r="M772" s="58" t="s">
        <v>65</v>
      </c>
      <c r="N772" s="18">
        <f>[1]!f_prt_stocktonav(C772,"2017/03/31")</f>
        <v>80.762908935546875</v>
      </c>
      <c r="O772" s="20" t="str">
        <f>[1]!f_info_fundmanager(C772)</f>
        <v>王筱苓,唐明君,郝康</v>
      </c>
      <c r="P772" s="21">
        <v>0.9452054794520548</v>
      </c>
      <c r="Q772" s="34" t="s">
        <v>521</v>
      </c>
      <c r="R772" s="34" t="s">
        <v>522</v>
      </c>
      <c r="S772" s="34" t="s">
        <v>523</v>
      </c>
      <c r="T772" s="34">
        <v>20160420</v>
      </c>
      <c r="U772" s="45">
        <v>16.093662706100002</v>
      </c>
      <c r="V772" s="46">
        <v>19.975027975500002</v>
      </c>
      <c r="W772" s="34" t="s">
        <v>201</v>
      </c>
      <c r="X772" s="34" t="s">
        <v>44</v>
      </c>
      <c r="Y772" s="34" t="s">
        <v>45</v>
      </c>
      <c r="Z772" s="34" t="s">
        <v>65</v>
      </c>
      <c r="AA772" s="34"/>
      <c r="AB772" s="34"/>
      <c r="AC772" s="22">
        <v>0.8296989440917969</v>
      </c>
      <c r="AD772" s="23" t="s">
        <v>524</v>
      </c>
      <c r="AE772" s="24">
        <v>0.71506849315068488</v>
      </c>
      <c r="AF772" s="25">
        <v>-9.8296866286916251E-2</v>
      </c>
      <c r="AG772" s="26">
        <v>0</v>
      </c>
      <c r="AH772" s="26">
        <v>0</v>
      </c>
      <c r="AI772" s="27">
        <v>-1.3243156244230203</v>
      </c>
      <c r="AJ772" s="27">
        <v>-1.3243156244230203</v>
      </c>
      <c r="AK772" s="27">
        <v>-1.3243156244230203</v>
      </c>
      <c r="AL772" s="28" t="s">
        <v>525</v>
      </c>
      <c r="AM772" s="29" t="s">
        <v>48</v>
      </c>
      <c r="AN772" s="29" t="s">
        <v>48</v>
      </c>
      <c r="AO772" s="29" t="s">
        <v>48</v>
      </c>
      <c r="AP772" s="47" t="s">
        <v>255</v>
      </c>
      <c r="AQ772" s="28">
        <v>0</v>
      </c>
      <c r="AR772" s="26">
        <v>1.4999999999999999E-2</v>
      </c>
      <c r="AS772" s="26">
        <v>0</v>
      </c>
    </row>
    <row r="773" spans="1:45" x14ac:dyDescent="0.15">
      <c r="A773" s="64">
        <v>472</v>
      </c>
      <c r="B773" s="64">
        <v>883</v>
      </c>
      <c r="C773" s="11">
        <v>519656</v>
      </c>
      <c r="D773" s="61">
        <v>448</v>
      </c>
      <c r="E773" s="61">
        <v>-1.0407927285162599E-3</v>
      </c>
      <c r="F773" s="61">
        <v>66</v>
      </c>
      <c r="G773" s="61">
        <v>0.54177513978008696</v>
      </c>
      <c r="H773" s="66">
        <v>287</v>
      </c>
      <c r="I773" s="66" t="str">
        <f>H773&amp;"/"&amp;451</f>
        <v>287/451</v>
      </c>
      <c r="J773" s="68">
        <f>H773/451</f>
        <v>0.63636363636363635</v>
      </c>
      <c r="K773" s="18" t="s">
        <v>44</v>
      </c>
      <c r="L773" s="18" t="s">
        <v>45</v>
      </c>
      <c r="M773" s="58" t="s">
        <v>65</v>
      </c>
      <c r="N773" s="18">
        <f>[1]!f_prt_stocktonav(C773,"2017/03/31")</f>
        <v>73.337860107421875</v>
      </c>
      <c r="O773" s="20" t="str">
        <f>[1]!f_info_fundmanager(C773)</f>
        <v>祝建辉</v>
      </c>
      <c r="P773" s="21">
        <v>1.2575342465753425</v>
      </c>
      <c r="Q773" s="34" t="s">
        <v>2005</v>
      </c>
      <c r="R773" s="34" t="s">
        <v>2006</v>
      </c>
      <c r="S773" s="34" t="s">
        <v>807</v>
      </c>
      <c r="T773" s="34">
        <v>20140211</v>
      </c>
      <c r="U773" s="45">
        <v>1.8458506571</v>
      </c>
      <c r="V773" s="46">
        <v>1.9470904145000001</v>
      </c>
      <c r="W773" s="34" t="s">
        <v>3776</v>
      </c>
      <c r="X773" s="34" t="s">
        <v>44</v>
      </c>
      <c r="Y773" s="34" t="s">
        <v>45</v>
      </c>
      <c r="Z773" s="34" t="s">
        <v>274</v>
      </c>
      <c r="AA773" s="34"/>
      <c r="AB773" s="34"/>
      <c r="AC773" s="22">
        <v>0.7225916290283203</v>
      </c>
      <c r="AD773" s="23" t="s">
        <v>2007</v>
      </c>
      <c r="AE773" s="24">
        <v>1.0273972602739727</v>
      </c>
      <c r="AF773" s="25">
        <v>0.20126925864878076</v>
      </c>
      <c r="AG773" s="26">
        <v>0</v>
      </c>
      <c r="AH773" s="26">
        <v>0</v>
      </c>
      <c r="AI773" s="27">
        <v>0.69299997225838927</v>
      </c>
      <c r="AJ773" s="27">
        <v>0.69299997225838927</v>
      </c>
      <c r="AK773" s="27">
        <v>0.69299997225838927</v>
      </c>
      <c r="AL773" s="28" t="s">
        <v>2008</v>
      </c>
      <c r="AM773" s="29" t="s">
        <v>48</v>
      </c>
      <c r="AN773" s="29" t="s">
        <v>48</v>
      </c>
      <c r="AO773" s="29" t="s">
        <v>48</v>
      </c>
      <c r="AP773" s="47" t="s">
        <v>101</v>
      </c>
      <c r="AQ773" s="28">
        <v>0</v>
      </c>
      <c r="AR773" s="26">
        <v>1.4999999999999999E-2</v>
      </c>
      <c r="AS773" s="26">
        <v>0</v>
      </c>
    </row>
    <row r="774" spans="1:45" x14ac:dyDescent="0.15">
      <c r="A774" s="64">
        <v>845</v>
      </c>
      <c r="B774" s="64">
        <v>950</v>
      </c>
      <c r="C774" s="11">
        <v>260109</v>
      </c>
      <c r="D774" s="61">
        <v>451</v>
      </c>
      <c r="E774" s="61">
        <v>-1.05251528756604E-3</v>
      </c>
      <c r="F774" s="61">
        <v>344</v>
      </c>
      <c r="G774" s="61">
        <v>0.32938524036002398</v>
      </c>
      <c r="H774" s="66">
        <v>288</v>
      </c>
      <c r="I774" s="66" t="str">
        <f>H774&amp;"/"&amp;451</f>
        <v>288/451</v>
      </c>
      <c r="J774" s="68">
        <f>H774/451</f>
        <v>0.63858093126385806</v>
      </c>
      <c r="K774" s="18" t="s">
        <v>44</v>
      </c>
      <c r="L774" s="18" t="s">
        <v>45</v>
      </c>
      <c r="M774" s="58" t="s">
        <v>65</v>
      </c>
      <c r="N774" s="18">
        <f>[1]!f_prt_stocktonav(C774,"2017/03/31")</f>
        <v>70.302139282226562</v>
      </c>
      <c r="O774" s="20" t="str">
        <f>[1]!f_info_fundmanager(C774)</f>
        <v>杨鹏</v>
      </c>
      <c r="P774" s="21">
        <v>6.6136986301369864</v>
      </c>
      <c r="Q774" s="34" t="s">
        <v>3282</v>
      </c>
      <c r="R774" s="34" t="s">
        <v>3283</v>
      </c>
      <c r="S774" s="34" t="s">
        <v>353</v>
      </c>
      <c r="T774" s="34">
        <v>20061011</v>
      </c>
      <c r="U774" s="45">
        <v>20.0726410151</v>
      </c>
      <c r="V774" s="46">
        <v>21.178676889199998</v>
      </c>
      <c r="W774" s="34" t="s">
        <v>231</v>
      </c>
      <c r="X774" s="34" t="s">
        <v>44</v>
      </c>
      <c r="Y774" s="34" t="s">
        <v>45</v>
      </c>
      <c r="Z774" s="34" t="s">
        <v>65</v>
      </c>
      <c r="AA774" s="34"/>
      <c r="AB774" s="34"/>
      <c r="AC774" s="22">
        <v>0.73494285583496088</v>
      </c>
      <c r="AD774" s="23" t="s">
        <v>2559</v>
      </c>
      <c r="AE774" s="24">
        <v>6.3835616438356162</v>
      </c>
      <c r="AF774" s="25">
        <v>0.15149882399301706</v>
      </c>
      <c r="AG774" s="26">
        <v>5.3457270970171944E-3</v>
      </c>
      <c r="AH774" s="26">
        <v>0.11714571506702276</v>
      </c>
      <c r="AI774" s="27">
        <v>0.59815568640289885</v>
      </c>
      <c r="AJ774" s="27">
        <v>0.10951087687012552</v>
      </c>
      <c r="AK774" s="27">
        <v>0.49933866730099974</v>
      </c>
      <c r="AL774" s="28" t="s">
        <v>3284</v>
      </c>
      <c r="AM774" s="29">
        <v>3</v>
      </c>
      <c r="AN774" s="29">
        <v>3</v>
      </c>
      <c r="AO774" s="29" t="s">
        <v>48</v>
      </c>
      <c r="AP774" s="47" t="s">
        <v>2920</v>
      </c>
      <c r="AQ774" s="28">
        <v>0</v>
      </c>
      <c r="AR774" s="26">
        <v>1.4999999999999999E-2</v>
      </c>
      <c r="AS774" s="26">
        <v>0</v>
      </c>
    </row>
    <row r="775" spans="1:45" x14ac:dyDescent="0.15">
      <c r="A775" s="64">
        <v>665</v>
      </c>
      <c r="B775" s="64">
        <v>118</v>
      </c>
      <c r="C775" s="11">
        <v>460009</v>
      </c>
      <c r="D775" s="61">
        <v>453</v>
      </c>
      <c r="E775" s="61">
        <v>-1.07558888978653E-3</v>
      </c>
      <c r="F775" s="61">
        <v>106</v>
      </c>
      <c r="G775" s="61">
        <v>0.30754728603466802</v>
      </c>
      <c r="H775" s="66">
        <v>289</v>
      </c>
      <c r="I775" s="66" t="str">
        <f>H775&amp;"/"&amp;451</f>
        <v>289/451</v>
      </c>
      <c r="J775" s="68">
        <f>H775/451</f>
        <v>0.64079822616407978</v>
      </c>
      <c r="K775" s="18" t="s">
        <v>44</v>
      </c>
      <c r="L775" s="18" t="s">
        <v>64</v>
      </c>
      <c r="M775" s="58" t="s">
        <v>65</v>
      </c>
      <c r="N775" s="18">
        <f>[1]!f_prt_stocktonav(C775,"2017/03/31")</f>
        <v>93.292274475097656</v>
      </c>
      <c r="O775" s="20" t="str">
        <f>[1]!f_info_fundmanager(C775)</f>
        <v>田汉卿</v>
      </c>
      <c r="P775" s="21">
        <v>2.0383561643835617</v>
      </c>
      <c r="Q775" s="34" t="s">
        <v>2673</v>
      </c>
      <c r="R775" s="34" t="s">
        <v>2674</v>
      </c>
      <c r="S775" s="34" t="s">
        <v>880</v>
      </c>
      <c r="T775" s="34">
        <v>20100622</v>
      </c>
      <c r="U775" s="45">
        <v>3.4460689141</v>
      </c>
      <c r="V775" s="46">
        <v>3.3990509100000001</v>
      </c>
      <c r="W775" s="34" t="s">
        <v>3789</v>
      </c>
      <c r="X775" s="34" t="s">
        <v>44</v>
      </c>
      <c r="Y775" s="34" t="s">
        <v>45</v>
      </c>
      <c r="Z775" s="34" t="s">
        <v>65</v>
      </c>
      <c r="AA775" s="34"/>
      <c r="AB775" s="34"/>
      <c r="AC775" s="22">
        <v>0.93962783813476558</v>
      </c>
      <c r="AD775" s="23" t="s">
        <v>1188</v>
      </c>
      <c r="AE775" s="24">
        <v>1.8082191780821917</v>
      </c>
      <c r="AF775" s="25">
        <v>8.49472943262677E-2</v>
      </c>
      <c r="AG775" s="26">
        <v>0.21354237646454302</v>
      </c>
      <c r="AH775" s="26">
        <v>0.15813827923962953</v>
      </c>
      <c r="AI775" s="27">
        <v>0.40695156358994972</v>
      </c>
      <c r="AJ775" s="27">
        <v>0.76715128243858455</v>
      </c>
      <c r="AK775" s="27">
        <v>0.65658839520061119</v>
      </c>
      <c r="AL775" s="28" t="s">
        <v>726</v>
      </c>
      <c r="AM775" s="29">
        <v>3</v>
      </c>
      <c r="AN775" s="29">
        <v>4</v>
      </c>
      <c r="AO775" s="29" t="s">
        <v>48</v>
      </c>
      <c r="AP775" s="47" t="s">
        <v>101</v>
      </c>
      <c r="AQ775" s="28">
        <v>0</v>
      </c>
      <c r="AR775" s="26">
        <v>1.4999999999999999E-2</v>
      </c>
      <c r="AS775" s="26">
        <v>0</v>
      </c>
    </row>
    <row r="776" spans="1:45" x14ac:dyDescent="0.15">
      <c r="A776" s="64">
        <v>514</v>
      </c>
      <c r="B776" s="64">
        <v>101</v>
      </c>
      <c r="C776" s="11">
        <v>166019</v>
      </c>
      <c r="D776" s="61">
        <v>457</v>
      </c>
      <c r="E776" s="61">
        <v>-1.1037447393914301E-3</v>
      </c>
      <c r="F776" s="61">
        <v>31</v>
      </c>
      <c r="G776" s="61">
        <v>0.52766238030386103</v>
      </c>
      <c r="H776" s="66">
        <v>290</v>
      </c>
      <c r="I776" s="66" t="str">
        <f>H776&amp;"/"&amp;451</f>
        <v>290/451</v>
      </c>
      <c r="J776" s="68">
        <f>H776/451</f>
        <v>0.6430155210643016</v>
      </c>
      <c r="K776" s="18" t="s">
        <v>44</v>
      </c>
      <c r="L776" s="18" t="s">
        <v>45</v>
      </c>
      <c r="M776" s="58" t="s">
        <v>65</v>
      </c>
      <c r="N776" s="18">
        <f>[1]!f_prt_stocktonav(C776,"2017/03/31")</f>
        <v>93.578079223632812</v>
      </c>
      <c r="O776" s="20" t="str">
        <f>[1]!f_info_fundmanager(C776)</f>
        <v>张跃鹏,吴鹏飞</v>
      </c>
      <c r="P776" s="21">
        <v>0.57808219178082187</v>
      </c>
      <c r="Q776" s="34" t="s">
        <v>2152</v>
      </c>
      <c r="R776" s="34" t="s">
        <v>2153</v>
      </c>
      <c r="S776" s="34" t="s">
        <v>200</v>
      </c>
      <c r="T776" s="34">
        <v>20130514</v>
      </c>
      <c r="U776" s="45">
        <v>20.843332687299998</v>
      </c>
      <c r="V776" s="46">
        <v>21.789290062500001</v>
      </c>
      <c r="W776" s="34" t="s">
        <v>1235</v>
      </c>
      <c r="X776" s="34" t="s">
        <v>41</v>
      </c>
      <c r="Y776" s="34" t="s">
        <v>42</v>
      </c>
      <c r="Z776" s="34" t="s">
        <v>181</v>
      </c>
      <c r="AA776" s="34"/>
      <c r="AB776" s="34"/>
      <c r="AC776" s="22">
        <v>0.2363454818725586</v>
      </c>
      <c r="AD776" s="23" t="s">
        <v>2154</v>
      </c>
      <c r="AE776" s="24">
        <v>0.34794520547945207</v>
      </c>
      <c r="AF776" s="25">
        <v>0.23010496413156223</v>
      </c>
      <c r="AG776" s="26">
        <v>0.26079727786817375</v>
      </c>
      <c r="AH776" s="26">
        <v>0</v>
      </c>
      <c r="AI776" s="27">
        <v>0.88524005012046647</v>
      </c>
      <c r="AJ776" s="27">
        <v>0.91170480424495925</v>
      </c>
      <c r="AK776" s="27">
        <v>0.88524005012046647</v>
      </c>
      <c r="AL776" s="28" t="s">
        <v>2155</v>
      </c>
      <c r="AM776" s="29" t="s">
        <v>48</v>
      </c>
      <c r="AN776" s="29" t="s">
        <v>48</v>
      </c>
      <c r="AO776" s="29" t="s">
        <v>48</v>
      </c>
      <c r="AP776" s="47" t="s">
        <v>2156</v>
      </c>
      <c r="AQ776" s="28">
        <v>0</v>
      </c>
      <c r="AR776" s="26">
        <v>1.4999999999999999E-2</v>
      </c>
      <c r="AS776" s="26">
        <v>0</v>
      </c>
    </row>
    <row r="777" spans="1:45" x14ac:dyDescent="0.15">
      <c r="A777" s="64">
        <v>417</v>
      </c>
      <c r="B777" s="64">
        <v>785</v>
      </c>
      <c r="C777" s="11">
        <v>598</v>
      </c>
      <c r="D777" s="61">
        <v>458</v>
      </c>
      <c r="E777" s="61">
        <v>-1.1054147970933901E-3</v>
      </c>
      <c r="F777" s="61">
        <v>131</v>
      </c>
      <c r="G777" s="61">
        <v>0.42814603575688498</v>
      </c>
      <c r="H777" s="66">
        <v>291</v>
      </c>
      <c r="I777" s="66" t="str">
        <f>H777&amp;"/"&amp;451</f>
        <v>291/451</v>
      </c>
      <c r="J777" s="68">
        <f>H777/451</f>
        <v>0.64523281596452331</v>
      </c>
      <c r="K777" s="18" t="s">
        <v>44</v>
      </c>
      <c r="L777" s="18" t="s">
        <v>87</v>
      </c>
      <c r="M777" s="58" t="s">
        <v>65</v>
      </c>
      <c r="N777" s="18">
        <f>[1]!f_prt_stocktonav(C777,"2017/03/31")</f>
        <v>77.177391052246094</v>
      </c>
      <c r="O777" s="20" t="str">
        <f>[1]!f_info_fundmanager(C777)</f>
        <v>刘旭明</v>
      </c>
      <c r="P777" s="21">
        <v>2.5534246575342467</v>
      </c>
      <c r="Q777" s="39" t="s">
        <v>1794</v>
      </c>
      <c r="R777" s="39" t="s">
        <v>1795</v>
      </c>
      <c r="S777" s="39" t="s">
        <v>364</v>
      </c>
      <c r="T777" s="39">
        <v>20140910</v>
      </c>
      <c r="U777" s="48">
        <v>3.3914457092000001</v>
      </c>
      <c r="V777" s="46">
        <v>4.0269897149</v>
      </c>
      <c r="W777" s="39" t="s">
        <v>3776</v>
      </c>
      <c r="X777" s="39" t="s">
        <v>44</v>
      </c>
      <c r="Y777" s="39" t="s">
        <v>86</v>
      </c>
      <c r="Z777" s="34" t="s">
        <v>65</v>
      </c>
      <c r="AA777" s="34" t="s">
        <v>3824</v>
      </c>
      <c r="AB777" s="34"/>
      <c r="AC777" s="22">
        <v>0.76715209960937503</v>
      </c>
      <c r="AD777" s="23" t="s">
        <v>1718</v>
      </c>
      <c r="AE777" s="24">
        <v>2.3232876712328765</v>
      </c>
      <c r="AF777" s="25">
        <v>0.15698915563511573</v>
      </c>
      <c r="AG777" s="26">
        <v>0</v>
      </c>
      <c r="AH777" s="26">
        <v>0</v>
      </c>
      <c r="AI777" s="27">
        <v>0.60316937118560965</v>
      </c>
      <c r="AJ777" s="27">
        <v>0.60316937118560965</v>
      </c>
      <c r="AK777" s="27">
        <v>0.60316937118560965</v>
      </c>
      <c r="AL777" s="40" t="s">
        <v>1797</v>
      </c>
      <c r="AM777" s="41" t="s">
        <v>48</v>
      </c>
      <c r="AN777" s="41" t="s">
        <v>48</v>
      </c>
      <c r="AO777" s="41" t="s">
        <v>48</v>
      </c>
      <c r="AP777" s="50" t="s">
        <v>367</v>
      </c>
      <c r="AQ777" s="51">
        <v>0</v>
      </c>
      <c r="AR777" s="52">
        <v>1.4999999999999999E-2</v>
      </c>
      <c r="AS777" s="52">
        <v>0</v>
      </c>
    </row>
    <row r="778" spans="1:45" x14ac:dyDescent="0.15">
      <c r="A778" s="64">
        <v>450</v>
      </c>
      <c r="B778" s="64">
        <v>25</v>
      </c>
      <c r="C778" s="11">
        <v>589</v>
      </c>
      <c r="D778" s="61">
        <v>459</v>
      </c>
      <c r="E778" s="61">
        <v>-1.11098989101698E-3</v>
      </c>
      <c r="F778" s="61">
        <v>103</v>
      </c>
      <c r="G778" s="61">
        <v>0.224809260206943</v>
      </c>
      <c r="H778" s="66">
        <v>292</v>
      </c>
      <c r="I778" s="66" t="str">
        <f>H778&amp;"/"&amp;451</f>
        <v>292/451</v>
      </c>
      <c r="J778" s="68">
        <f>H778/451</f>
        <v>0.64745011086474502</v>
      </c>
      <c r="K778" s="18" t="s">
        <v>44</v>
      </c>
      <c r="L778" s="18" t="s">
        <v>87</v>
      </c>
      <c r="M778" s="58" t="s">
        <v>65</v>
      </c>
      <c r="N778" s="18">
        <f>[1]!f_prt_stocktonav(C778,"2017/03/31")</f>
        <v>94.682624816894531</v>
      </c>
      <c r="O778" s="20" t="str">
        <f>[1]!f_info_fundmanager(C778)</f>
        <v>陈栋</v>
      </c>
      <c r="P778" s="21">
        <v>1.9643835616438357</v>
      </c>
      <c r="Q778" s="34" t="s">
        <v>1919</v>
      </c>
      <c r="R778" s="34" t="s">
        <v>1920</v>
      </c>
      <c r="S778" s="34" t="s">
        <v>634</v>
      </c>
      <c r="T778" s="34">
        <v>20140429</v>
      </c>
      <c r="U778" s="45">
        <v>2.3701332130999999</v>
      </c>
      <c r="V778" s="46">
        <v>2.5307700207999999</v>
      </c>
      <c r="W778" s="34" t="s">
        <v>3776</v>
      </c>
      <c r="X778" s="34" t="s">
        <v>44</v>
      </c>
      <c r="Y778" s="34" t="s">
        <v>87</v>
      </c>
      <c r="Z778" s="34" t="s">
        <v>65</v>
      </c>
      <c r="AA778" s="34" t="s">
        <v>3825</v>
      </c>
      <c r="AB778" s="34"/>
      <c r="AC778" s="22">
        <v>0.94445365905761713</v>
      </c>
      <c r="AD778" s="23" t="s">
        <v>1922</v>
      </c>
      <c r="AE778" s="24">
        <v>1.7342465753424658</v>
      </c>
      <c r="AF778" s="25">
        <v>0.23580178172048072</v>
      </c>
      <c r="AG778" s="26">
        <v>0</v>
      </c>
      <c r="AH778" s="26">
        <v>0</v>
      </c>
      <c r="AI778" s="27">
        <v>0.82214894689785156</v>
      </c>
      <c r="AJ778" s="27">
        <v>0.82214894689785156</v>
      </c>
      <c r="AK778" s="27">
        <v>0.82214894689785156</v>
      </c>
      <c r="AL778" s="33" t="s">
        <v>1868</v>
      </c>
      <c r="AM778" s="29" t="s">
        <v>48</v>
      </c>
      <c r="AN778" s="29" t="s">
        <v>48</v>
      </c>
      <c r="AO778" s="29" t="s">
        <v>48</v>
      </c>
      <c r="AP778" s="47" t="s">
        <v>1923</v>
      </c>
      <c r="AQ778" s="28">
        <v>0</v>
      </c>
      <c r="AR778" s="26">
        <v>1.4999999999999999E-2</v>
      </c>
      <c r="AS778" s="26">
        <v>0</v>
      </c>
    </row>
    <row r="779" spans="1:45" x14ac:dyDescent="0.15">
      <c r="A779" s="64">
        <v>464</v>
      </c>
      <c r="B779" s="64">
        <v>881</v>
      </c>
      <c r="C779" s="11">
        <v>550</v>
      </c>
      <c r="D779" s="61">
        <v>462</v>
      </c>
      <c r="E779" s="61">
        <v>-1.1250461587925E-3</v>
      </c>
      <c r="F779" s="61">
        <v>21</v>
      </c>
      <c r="G779" s="61">
        <v>0.52430139537790799</v>
      </c>
      <c r="H779" s="66">
        <v>293</v>
      </c>
      <c r="I779" s="66" t="str">
        <f>H779&amp;"/"&amp;451</f>
        <v>293/451</v>
      </c>
      <c r="J779" s="68">
        <f>H779/451</f>
        <v>0.64966740576496673</v>
      </c>
      <c r="K779" s="18" t="s">
        <v>44</v>
      </c>
      <c r="L779" s="18" t="s">
        <v>45</v>
      </c>
      <c r="M779" s="58" t="s">
        <v>65</v>
      </c>
      <c r="N779" s="18">
        <f>[1]!f_prt_stocktonav(C779,"2017/03/31")</f>
        <v>73.439559936523438</v>
      </c>
      <c r="O779" s="20" t="str">
        <f>[1]!f_info_fundmanager(C779)</f>
        <v>马文文</v>
      </c>
      <c r="P779" s="21">
        <v>0.39178082191780822</v>
      </c>
      <c r="Q779" s="34" t="s">
        <v>1969</v>
      </c>
      <c r="R779" s="34" t="s">
        <v>1970</v>
      </c>
      <c r="S779" s="34" t="s">
        <v>132</v>
      </c>
      <c r="T779" s="34">
        <v>20140319</v>
      </c>
      <c r="U779" s="45">
        <v>14.4179840519</v>
      </c>
      <c r="V779" s="46">
        <v>18.231756925399999</v>
      </c>
      <c r="W779" s="34" t="s">
        <v>3776</v>
      </c>
      <c r="X779" s="34" t="s">
        <v>44</v>
      </c>
      <c r="Y779" s="34" t="s">
        <v>45</v>
      </c>
      <c r="Z779" s="34" t="s">
        <v>274</v>
      </c>
      <c r="AA779" s="34"/>
      <c r="AB779" s="34"/>
      <c r="AC779" s="22">
        <v>0.73800521850585943</v>
      </c>
      <c r="AD779" s="23" t="s">
        <v>1971</v>
      </c>
      <c r="AE779" s="24">
        <v>2.8054794520547945</v>
      </c>
      <c r="AF779" s="25">
        <v>0.31216498812408844</v>
      </c>
      <c r="AG779" s="26">
        <v>0</v>
      </c>
      <c r="AH779" s="26">
        <v>0</v>
      </c>
      <c r="AI779" s="27">
        <v>0.99265744690388646</v>
      </c>
      <c r="AJ779" s="27">
        <v>0.99265744690388646</v>
      </c>
      <c r="AK779" s="27">
        <v>0.99265744690388646</v>
      </c>
      <c r="AL779" s="28" t="s">
        <v>957</v>
      </c>
      <c r="AM779" s="29" t="s">
        <v>48</v>
      </c>
      <c r="AN779" s="29" t="s">
        <v>48</v>
      </c>
      <c r="AO779" s="29" t="s">
        <v>48</v>
      </c>
      <c r="AP779" s="47" t="s">
        <v>1972</v>
      </c>
      <c r="AQ779" s="28">
        <v>0</v>
      </c>
      <c r="AR779" s="26">
        <v>1.4999999999999999E-2</v>
      </c>
      <c r="AS779" s="26">
        <v>0</v>
      </c>
    </row>
    <row r="780" spans="1:45" x14ac:dyDescent="0.15">
      <c r="A780" s="64">
        <v>120</v>
      </c>
      <c r="B780" s="64">
        <v>123</v>
      </c>
      <c r="C780" s="11">
        <v>2263</v>
      </c>
      <c r="D780" s="61">
        <v>463</v>
      </c>
      <c r="E780" s="61">
        <v>-1.14718872655932E-3</v>
      </c>
      <c r="F780" s="61">
        <v>56</v>
      </c>
      <c r="G780" s="61">
        <v>0.58032973948971101</v>
      </c>
      <c r="H780" s="66">
        <v>294</v>
      </c>
      <c r="I780" s="66" t="str">
        <f>H780&amp;"/"&amp;451</f>
        <v>294/451</v>
      </c>
      <c r="J780" s="68">
        <f>H780/451</f>
        <v>0.65188470066518844</v>
      </c>
      <c r="K780" s="18" t="s">
        <v>44</v>
      </c>
      <c r="L780" s="18" t="s">
        <v>64</v>
      </c>
      <c r="M780" s="58" t="s">
        <v>65</v>
      </c>
      <c r="N780" s="18">
        <f>[1]!f_prt_stocktonav(C780,"2017/03/31")</f>
        <v>93.197059631347656</v>
      </c>
      <c r="O780" s="20" t="str">
        <f>[1]!f_info_fundmanager(C780)</f>
        <v>刘欣</v>
      </c>
      <c r="P780" s="21">
        <v>1.1013698630136985</v>
      </c>
      <c r="Q780" s="34" t="s">
        <v>620</v>
      </c>
      <c r="R780" s="34" t="s">
        <v>621</v>
      </c>
      <c r="S780" s="34" t="s">
        <v>263</v>
      </c>
      <c r="T780" s="34">
        <v>20160223</v>
      </c>
      <c r="U780" s="45">
        <v>2.0554737923999999</v>
      </c>
      <c r="V780" s="46">
        <v>0.94011252509999998</v>
      </c>
      <c r="W780" s="34" t="s">
        <v>3776</v>
      </c>
      <c r="X780" s="34" t="s">
        <v>44</v>
      </c>
      <c r="Y780" s="34" t="s">
        <v>45</v>
      </c>
      <c r="Z780" s="34" t="s">
        <v>65</v>
      </c>
      <c r="AA780" s="34"/>
      <c r="AB780" s="34"/>
      <c r="AC780" s="22">
        <v>0.9117392730712891</v>
      </c>
      <c r="AD780" s="23" t="s">
        <v>622</v>
      </c>
      <c r="AE780" s="24">
        <v>0.87123287671232874</v>
      </c>
      <c r="AF780" s="25">
        <v>0.20451102891526496</v>
      </c>
      <c r="AG780" s="26">
        <v>0</v>
      </c>
      <c r="AH780" s="26">
        <v>0</v>
      </c>
      <c r="AI780" s="27">
        <v>1.3388621390049127</v>
      </c>
      <c r="AJ780" s="27">
        <v>1.3388621390049127</v>
      </c>
      <c r="AK780" s="27">
        <v>1.3388621390049127</v>
      </c>
      <c r="AL780" s="28" t="s">
        <v>623</v>
      </c>
      <c r="AM780" s="29" t="s">
        <v>48</v>
      </c>
      <c r="AN780" s="29" t="s">
        <v>48</v>
      </c>
      <c r="AO780" s="29" t="s">
        <v>48</v>
      </c>
      <c r="AP780" s="47" t="s">
        <v>375</v>
      </c>
      <c r="AQ780" s="28">
        <v>0</v>
      </c>
      <c r="AR780" s="26">
        <v>1.4999999999999999E-2</v>
      </c>
      <c r="AS780" s="26">
        <v>0</v>
      </c>
    </row>
    <row r="781" spans="1:45" x14ac:dyDescent="0.15">
      <c r="A781" s="64">
        <v>938</v>
      </c>
      <c r="B781" s="64">
        <v>397</v>
      </c>
      <c r="C781" s="11">
        <v>162203</v>
      </c>
      <c r="D781" s="61">
        <v>475</v>
      </c>
      <c r="E781" s="61">
        <v>-1.27229412336281E-3</v>
      </c>
      <c r="F781" s="61">
        <v>67</v>
      </c>
      <c r="G781" s="61">
        <v>0.466673120195089</v>
      </c>
      <c r="H781" s="66">
        <v>295</v>
      </c>
      <c r="I781" s="66" t="str">
        <f>H781&amp;"/"&amp;451</f>
        <v>295/451</v>
      </c>
      <c r="J781" s="68">
        <f>H781/451</f>
        <v>0.65410199556541015</v>
      </c>
      <c r="K781" s="18" t="s">
        <v>44</v>
      </c>
      <c r="L781" s="18" t="s">
        <v>45</v>
      </c>
      <c r="M781" s="58" t="s">
        <v>65</v>
      </c>
      <c r="N781" s="18">
        <f>[1]!f_prt_stocktonav(C781,"2017/03/31")</f>
        <v>87.564987182617188</v>
      </c>
      <c r="O781" s="20" t="str">
        <f>[1]!f_info_fundmanager(C781)</f>
        <v>庄腾飞</v>
      </c>
      <c r="P781" s="21">
        <v>1.2712328767123289</v>
      </c>
      <c r="Q781" s="34" t="s">
        <v>3647</v>
      </c>
      <c r="R781" s="34" t="s">
        <v>3648</v>
      </c>
      <c r="S781" s="34" t="s">
        <v>263</v>
      </c>
      <c r="T781" s="34">
        <v>20030425</v>
      </c>
      <c r="U781" s="45">
        <v>0.96288662309999995</v>
      </c>
      <c r="V781" s="46">
        <v>0.98723459270000002</v>
      </c>
      <c r="W781" s="34" t="s">
        <v>231</v>
      </c>
      <c r="X781" s="34" t="s">
        <v>44</v>
      </c>
      <c r="Y781" s="34" t="s">
        <v>45</v>
      </c>
      <c r="Z781" s="34" t="s">
        <v>274</v>
      </c>
      <c r="AA781" s="34"/>
      <c r="AB781" s="34"/>
      <c r="AC781" s="22">
        <v>0.88418769836425781</v>
      </c>
      <c r="AD781" s="23" t="s">
        <v>3649</v>
      </c>
      <c r="AE781" s="24">
        <v>1.0410958904109588</v>
      </c>
      <c r="AF781" s="25">
        <v>0.11528643734160804</v>
      </c>
      <c r="AG781" s="26">
        <v>4.9483956246905381E-2</v>
      </c>
      <c r="AH781" s="26">
        <v>7.1832352342258154E-2</v>
      </c>
      <c r="AI781" s="27">
        <v>0.54285434747813355</v>
      </c>
      <c r="AJ781" s="27">
        <v>0.27843680231499762</v>
      </c>
      <c r="AK781" s="27">
        <v>0.34881708200122402</v>
      </c>
      <c r="AL781" s="28" t="s">
        <v>3650</v>
      </c>
      <c r="AM781" s="29">
        <v>1</v>
      </c>
      <c r="AN781" s="29">
        <v>3</v>
      </c>
      <c r="AO781" s="29" t="s">
        <v>48</v>
      </c>
      <c r="AP781" s="47" t="s">
        <v>2772</v>
      </c>
      <c r="AQ781" s="28">
        <v>0</v>
      </c>
      <c r="AR781" s="26">
        <v>1.4999999999999999E-2</v>
      </c>
      <c r="AS781" s="26">
        <v>0</v>
      </c>
    </row>
    <row r="782" spans="1:45" x14ac:dyDescent="0.15">
      <c r="A782" s="64">
        <v>121</v>
      </c>
      <c r="B782" s="64">
        <v>624</v>
      </c>
      <c r="C782" s="11">
        <v>1781</v>
      </c>
      <c r="D782" s="61">
        <v>476</v>
      </c>
      <c r="E782" s="61">
        <v>-1.2818887840614201E-3</v>
      </c>
      <c r="F782" s="61">
        <v>56</v>
      </c>
      <c r="G782" s="61">
        <v>0.55792454063171404</v>
      </c>
      <c r="H782" s="66">
        <v>296</v>
      </c>
      <c r="I782" s="66" t="str">
        <f>H782&amp;"/"&amp;451</f>
        <v>296/451</v>
      </c>
      <c r="J782" s="68">
        <f>H782/451</f>
        <v>0.65631929046563198</v>
      </c>
      <c r="K782" s="18" t="s">
        <v>44</v>
      </c>
      <c r="L782" s="18" t="s">
        <v>87</v>
      </c>
      <c r="M782" s="58" t="s">
        <v>65</v>
      </c>
      <c r="N782" s="18">
        <f>[1]!f_prt_stocktonav(C782,"2017/03/31")</f>
        <v>82.1907958984375</v>
      </c>
      <c r="O782" s="20" t="str">
        <f>[1]!f_info_fundmanager(C782)</f>
        <v>陶灿</v>
      </c>
      <c r="P782" s="21">
        <v>1.1013698630136985</v>
      </c>
      <c r="Q782" s="34" t="s">
        <v>624</v>
      </c>
      <c r="R782" s="34" t="s">
        <v>625</v>
      </c>
      <c r="S782" s="34" t="s">
        <v>307</v>
      </c>
      <c r="T782" s="34">
        <v>20160223</v>
      </c>
      <c r="U782" s="45">
        <v>0.75340227869999998</v>
      </c>
      <c r="V782" s="46">
        <v>1.0164743919999999</v>
      </c>
      <c r="W782" s="34" t="s">
        <v>3776</v>
      </c>
      <c r="X782" s="34" t="s">
        <v>44</v>
      </c>
      <c r="Y782" s="34" t="s">
        <v>45</v>
      </c>
      <c r="Z782" s="34" t="s">
        <v>65</v>
      </c>
      <c r="AA782" s="34"/>
      <c r="AB782" s="34"/>
      <c r="AC782" s="22">
        <v>0.8960980224609375</v>
      </c>
      <c r="AD782" s="23" t="s">
        <v>626</v>
      </c>
      <c r="AE782" s="24">
        <v>0.87123287671232874</v>
      </c>
      <c r="AF782" s="25">
        <v>-1.3979614537665608E-2</v>
      </c>
      <c r="AG782" s="26">
        <v>0</v>
      </c>
      <c r="AH782" s="26">
        <v>0</v>
      </c>
      <c r="AI782" s="27">
        <v>-0.28543961445957833</v>
      </c>
      <c r="AJ782" s="27">
        <v>-0.28543961445957833</v>
      </c>
      <c r="AK782" s="27">
        <v>-0.28543961445957833</v>
      </c>
      <c r="AL782" s="28" t="s">
        <v>627</v>
      </c>
      <c r="AM782" s="29" t="s">
        <v>48</v>
      </c>
      <c r="AN782" s="29" t="s">
        <v>48</v>
      </c>
      <c r="AO782" s="29" t="s">
        <v>48</v>
      </c>
      <c r="AP782" s="47" t="s">
        <v>310</v>
      </c>
      <c r="AQ782" s="28">
        <v>0</v>
      </c>
      <c r="AR782" s="26">
        <v>1.4999999999999999E-2</v>
      </c>
      <c r="AS782" s="26">
        <v>0</v>
      </c>
    </row>
    <row r="783" spans="1:45" x14ac:dyDescent="0.15">
      <c r="A783" s="64">
        <v>131</v>
      </c>
      <c r="B783" s="64">
        <v>601</v>
      </c>
      <c r="C783" s="11">
        <v>2376</v>
      </c>
      <c r="D783" s="61">
        <v>478</v>
      </c>
      <c r="E783" s="61">
        <v>-1.29118532754949E-3</v>
      </c>
      <c r="F783" s="61">
        <v>58</v>
      </c>
      <c r="G783" s="61">
        <v>0.284524428995659</v>
      </c>
      <c r="H783" s="66">
        <v>297</v>
      </c>
      <c r="I783" s="66" t="str">
        <f>H783&amp;"/"&amp;451</f>
        <v>297/451</v>
      </c>
      <c r="J783" s="68">
        <f>H783/451</f>
        <v>0.65853658536585369</v>
      </c>
      <c r="K783" s="18" t="s">
        <v>44</v>
      </c>
      <c r="L783" s="18" t="s">
        <v>45</v>
      </c>
      <c r="M783" s="58" t="s">
        <v>65</v>
      </c>
      <c r="N783" s="18">
        <f>[1]!f_prt_stocktonav(C783,"2017/03/31")</f>
        <v>82.888664245605469</v>
      </c>
      <c r="O783" s="20" t="str">
        <f>[1]!f_info_fundmanager(C783)</f>
        <v>张琦,李丹</v>
      </c>
      <c r="P783" s="21">
        <v>1.1561643835616437</v>
      </c>
      <c r="Q783" s="34" t="s">
        <v>671</v>
      </c>
      <c r="R783" s="34" t="s">
        <v>672</v>
      </c>
      <c r="S783" s="34" t="s">
        <v>224</v>
      </c>
      <c r="T783" s="34">
        <v>20160203</v>
      </c>
      <c r="U783" s="45">
        <v>1.1360322266</v>
      </c>
      <c r="V783" s="46">
        <v>1.4505993925</v>
      </c>
      <c r="W783" s="34" t="s">
        <v>3776</v>
      </c>
      <c r="X783" s="34" t="s">
        <v>44</v>
      </c>
      <c r="Y783" s="17" t="s">
        <v>45</v>
      </c>
      <c r="Z783" s="17" t="s">
        <v>65</v>
      </c>
      <c r="AA783" s="34"/>
      <c r="AB783" s="34"/>
      <c r="AC783" s="22">
        <v>0.80381027221679691</v>
      </c>
      <c r="AD783" s="23" t="s">
        <v>673</v>
      </c>
      <c r="AE783" s="24">
        <v>0.92602739726027394</v>
      </c>
      <c r="AF783" s="25">
        <v>3.1830696531665703E-2</v>
      </c>
      <c r="AG783" s="26">
        <v>0</v>
      </c>
      <c r="AH783" s="26">
        <v>0</v>
      </c>
      <c r="AI783" s="27">
        <v>0.23425624695419281</v>
      </c>
      <c r="AJ783" s="27">
        <v>0.23425624695419281</v>
      </c>
      <c r="AK783" s="27">
        <v>0.23425624695419281</v>
      </c>
      <c r="AL783" s="28" t="s">
        <v>226</v>
      </c>
      <c r="AM783" s="29" t="s">
        <v>48</v>
      </c>
      <c r="AN783" s="29" t="s">
        <v>48</v>
      </c>
      <c r="AO783" s="29" t="s">
        <v>48</v>
      </c>
      <c r="AP783" s="47" t="s">
        <v>227</v>
      </c>
      <c r="AQ783" s="28">
        <v>0</v>
      </c>
      <c r="AR783" s="26">
        <v>1.4999999999999999E-2</v>
      </c>
      <c r="AS783" s="26">
        <v>0</v>
      </c>
    </row>
    <row r="784" spans="1:45" x14ac:dyDescent="0.15">
      <c r="A784" s="64">
        <v>787</v>
      </c>
      <c r="B784" s="64">
        <v>529</v>
      </c>
      <c r="C784" s="11">
        <v>31</v>
      </c>
      <c r="D784" s="61">
        <v>479</v>
      </c>
      <c r="E784" s="61">
        <v>-1.2918709502554599E-3</v>
      </c>
      <c r="F784" s="61">
        <v>116</v>
      </c>
      <c r="G784" s="61">
        <v>0.23991924173245199</v>
      </c>
      <c r="H784" s="66">
        <v>298</v>
      </c>
      <c r="I784" s="66" t="str">
        <f>H784&amp;"/"&amp;451</f>
        <v>298/451</v>
      </c>
      <c r="J784" s="68">
        <f>H784/451</f>
        <v>0.6607538802660754</v>
      </c>
      <c r="K784" s="18" t="s">
        <v>44</v>
      </c>
      <c r="L784" s="18" t="s">
        <v>45</v>
      </c>
      <c r="M784" s="58" t="s">
        <v>65</v>
      </c>
      <c r="N784" s="18">
        <f>[1]!f_prt_stocktonav(C784,"2017/03/31")</f>
        <v>84.604133605957031</v>
      </c>
      <c r="O784" s="20" t="str">
        <f>[1]!f_info_fundmanager(C784)</f>
        <v>赵航</v>
      </c>
      <c r="P784" s="21">
        <v>2.2301369863013698</v>
      </c>
      <c r="Q784" s="34" t="s">
        <v>3070</v>
      </c>
      <c r="R784" s="34" t="s">
        <v>3071</v>
      </c>
      <c r="S784" s="34" t="s">
        <v>143</v>
      </c>
      <c r="T784" s="34">
        <v>20070910</v>
      </c>
      <c r="U784" s="45">
        <v>20.397399271899999</v>
      </c>
      <c r="V784" s="46">
        <v>21.539430080599999</v>
      </c>
      <c r="W784" s="34" t="s">
        <v>201</v>
      </c>
      <c r="X784" s="34" t="s">
        <v>44</v>
      </c>
      <c r="Y784" s="34" t="s">
        <v>45</v>
      </c>
      <c r="Z784" s="34" t="s">
        <v>65</v>
      </c>
      <c r="AA784" s="34"/>
      <c r="AB784" s="34"/>
      <c r="AC784" s="22">
        <v>0.87733581542968753</v>
      </c>
      <c r="AD784" s="23" t="s">
        <v>3072</v>
      </c>
      <c r="AE784" s="24">
        <v>2.9726027397260273</v>
      </c>
      <c r="AF784" s="25">
        <v>6.6880175757191074E-2</v>
      </c>
      <c r="AG784" s="26">
        <v>9.8244494941072555E-2</v>
      </c>
      <c r="AH784" s="26">
        <v>0.11494170683511529</v>
      </c>
      <c r="AI784" s="27">
        <v>0.32440734164374202</v>
      </c>
      <c r="AJ784" s="27">
        <v>0.43238110956189546</v>
      </c>
      <c r="AK784" s="27">
        <v>0.53310627167949531</v>
      </c>
      <c r="AL784" s="28" t="s">
        <v>1459</v>
      </c>
      <c r="AM784" s="29">
        <v>4</v>
      </c>
      <c r="AN784" s="29">
        <v>3</v>
      </c>
      <c r="AO784" s="29" t="s">
        <v>48</v>
      </c>
      <c r="AP784" s="47" t="s">
        <v>592</v>
      </c>
      <c r="AQ784" s="28">
        <v>0</v>
      </c>
      <c r="AR784" s="26">
        <v>1.4999999999999999E-2</v>
      </c>
      <c r="AS784" s="26">
        <v>0</v>
      </c>
    </row>
    <row r="785" spans="1:45" x14ac:dyDescent="0.15">
      <c r="A785" s="64">
        <v>102</v>
      </c>
      <c r="B785" s="64">
        <v>416</v>
      </c>
      <c r="C785" s="11">
        <v>1864</v>
      </c>
      <c r="D785" s="61">
        <v>481</v>
      </c>
      <c r="E785" s="61">
        <v>-1.29360174788756E-3</v>
      </c>
      <c r="F785" s="61">
        <v>51</v>
      </c>
      <c r="G785" s="61">
        <v>0.56327072608911799</v>
      </c>
      <c r="H785" s="66">
        <v>299</v>
      </c>
      <c r="I785" s="66" t="str">
        <f>H785&amp;"/"&amp;451</f>
        <v>299/451</v>
      </c>
      <c r="J785" s="68">
        <f>H785/451</f>
        <v>0.66297117516629711</v>
      </c>
      <c r="K785" s="18" t="s">
        <v>44</v>
      </c>
      <c r="L785" s="18" t="s">
        <v>87</v>
      </c>
      <c r="M785" s="58" t="s">
        <v>65</v>
      </c>
      <c r="N785" s="18">
        <f>[1]!f_prt_stocktonav(C785,"2017/03/31")</f>
        <v>87.019271850585937</v>
      </c>
      <c r="O785" s="20" t="str">
        <f>[1]!f_info_fundmanager(C785)</f>
        <v>于航</v>
      </c>
      <c r="P785" s="21">
        <v>1.0027397260273974</v>
      </c>
      <c r="Q785" s="34" t="s">
        <v>547</v>
      </c>
      <c r="R785" s="34" t="s">
        <v>548</v>
      </c>
      <c r="S785" s="34" t="s">
        <v>505</v>
      </c>
      <c r="T785" s="34">
        <v>20160330</v>
      </c>
      <c r="U785" s="45">
        <v>0.51110996639999995</v>
      </c>
      <c r="V785" s="46">
        <v>0.53980648259999997</v>
      </c>
      <c r="W785" s="34" t="s">
        <v>3776</v>
      </c>
      <c r="X785" s="34" t="s">
        <v>44</v>
      </c>
      <c r="Y785" s="34" t="s">
        <v>45</v>
      </c>
      <c r="Z785" s="34" t="s">
        <v>65</v>
      </c>
      <c r="AA785" s="34"/>
      <c r="AB785" s="34"/>
      <c r="AC785" s="22">
        <v>0.76172698974609376</v>
      </c>
      <c r="AD785" s="23" t="s">
        <v>549</v>
      </c>
      <c r="AE785" s="24">
        <v>0.77260273972602744</v>
      </c>
      <c r="AF785" s="25">
        <v>5.5708713769035523E-2</v>
      </c>
      <c r="AG785" s="26">
        <v>0</v>
      </c>
      <c r="AH785" s="26">
        <v>0</v>
      </c>
      <c r="AI785" s="27">
        <v>0.35004372115477239</v>
      </c>
      <c r="AJ785" s="27">
        <v>0.35004372115477239</v>
      </c>
      <c r="AK785" s="27">
        <v>0.35004372115477239</v>
      </c>
      <c r="AL785" s="28" t="s">
        <v>550</v>
      </c>
      <c r="AM785" s="29" t="s">
        <v>48</v>
      </c>
      <c r="AN785" s="29" t="s">
        <v>48</v>
      </c>
      <c r="AO785" s="29" t="s">
        <v>48</v>
      </c>
      <c r="AP785" s="47" t="s">
        <v>508</v>
      </c>
      <c r="AQ785" s="28">
        <v>0</v>
      </c>
      <c r="AR785" s="26">
        <v>1.4999999999999999E-2</v>
      </c>
      <c r="AS785" s="26">
        <v>0</v>
      </c>
    </row>
    <row r="786" spans="1:45" x14ac:dyDescent="0.15">
      <c r="A786" s="64">
        <v>891</v>
      </c>
      <c r="B786" s="64">
        <v>439</v>
      </c>
      <c r="C786" s="11">
        <v>160106</v>
      </c>
      <c r="D786" s="61">
        <v>482</v>
      </c>
      <c r="E786" s="61">
        <v>-1.2954376235041799E-3</v>
      </c>
      <c r="F786" s="61">
        <v>319</v>
      </c>
      <c r="G786" s="61">
        <v>8.5911832714585107E-2</v>
      </c>
      <c r="H786" s="66">
        <v>300</v>
      </c>
      <c r="I786" s="66" t="str">
        <f>H786&amp;"/"&amp;451</f>
        <v>300/451</v>
      </c>
      <c r="J786" s="68">
        <f>H786/451</f>
        <v>0.66518847006651882</v>
      </c>
      <c r="K786" s="18" t="s">
        <v>44</v>
      </c>
      <c r="L786" s="18" t="s">
        <v>45</v>
      </c>
      <c r="M786" s="58" t="s">
        <v>65</v>
      </c>
      <c r="N786" s="18">
        <f>[1]!f_prt_stocktonav(C786,"2017/03/31")</f>
        <v>86.483924865722656</v>
      </c>
      <c r="O786" s="20" t="str">
        <f>[1]!f_info_fundmanager(C786)</f>
        <v>张原</v>
      </c>
      <c r="P786" s="21">
        <v>6.1205479452054794</v>
      </c>
      <c r="Q786" s="34" t="s">
        <v>3457</v>
      </c>
      <c r="R786" s="34" t="s">
        <v>3458</v>
      </c>
      <c r="S786" s="34" t="s">
        <v>284</v>
      </c>
      <c r="T786" s="34">
        <v>20050713</v>
      </c>
      <c r="U786" s="45">
        <v>18.689411618600001</v>
      </c>
      <c r="V786" s="46">
        <v>19.067273223099999</v>
      </c>
      <c r="W786" s="34" t="s">
        <v>201</v>
      </c>
      <c r="X786" s="34" t="s">
        <v>44</v>
      </c>
      <c r="Y786" s="34" t="s">
        <v>45</v>
      </c>
      <c r="Z786" s="34" t="s">
        <v>65</v>
      </c>
      <c r="AA786" s="34"/>
      <c r="AB786" s="34"/>
      <c r="AC786" s="22">
        <v>0.87996276855468747</v>
      </c>
      <c r="AD786" s="23" t="s">
        <v>3459</v>
      </c>
      <c r="AE786" s="24">
        <v>5.8904109589041092</v>
      </c>
      <c r="AF786" s="25">
        <v>0.17857312609631015</v>
      </c>
      <c r="AG786" s="26">
        <v>0.15736739590512783</v>
      </c>
      <c r="AH786" s="26">
        <v>0.15646304281575785</v>
      </c>
      <c r="AI786" s="27">
        <v>0.69118756039649587</v>
      </c>
      <c r="AJ786" s="27">
        <v>0.56938626761790545</v>
      </c>
      <c r="AK786" s="27">
        <v>0.62087480503906323</v>
      </c>
      <c r="AL786" s="28" t="s">
        <v>3460</v>
      </c>
      <c r="AM786" s="29">
        <v>3</v>
      </c>
      <c r="AN786" s="29">
        <v>3</v>
      </c>
      <c r="AO786" s="29" t="s">
        <v>48</v>
      </c>
      <c r="AP786" s="47" t="s">
        <v>3461</v>
      </c>
      <c r="AQ786" s="28" t="s">
        <v>3462</v>
      </c>
      <c r="AR786" s="26">
        <v>1.4999999999999999E-2</v>
      </c>
      <c r="AS786" s="26">
        <v>0</v>
      </c>
    </row>
    <row r="787" spans="1:45" x14ac:dyDescent="0.15">
      <c r="A787" s="64">
        <v>927</v>
      </c>
      <c r="B787" s="64">
        <v>885</v>
      </c>
      <c r="C787" s="11">
        <v>150103</v>
      </c>
      <c r="D787" s="61">
        <v>485</v>
      </c>
      <c r="E787" s="61">
        <v>-1.3313260700781101E-3</v>
      </c>
      <c r="F787" s="61">
        <v>285</v>
      </c>
      <c r="G787" s="61">
        <v>0.189684015205446</v>
      </c>
      <c r="H787" s="66">
        <v>301</v>
      </c>
      <c r="I787" s="66" t="str">
        <f>H787&amp;"/"&amp;451</f>
        <v>301/451</v>
      </c>
      <c r="J787" s="68">
        <f>H787/451</f>
        <v>0.66740576496674053</v>
      </c>
      <c r="K787" s="18" t="s">
        <v>44</v>
      </c>
      <c r="L787" s="18" t="s">
        <v>45</v>
      </c>
      <c r="M787" s="58" t="s">
        <v>65</v>
      </c>
      <c r="N787" s="18">
        <f>[1]!f_prt_stocktonav(C787,"2017/03/31")</f>
        <v>73.284942626953125</v>
      </c>
      <c r="O787" s="20" t="str">
        <f>[1]!f_info_fundmanager(C787)</f>
        <v>张杨,杨琪</v>
      </c>
      <c r="P787" s="21">
        <v>5.4767123287671229</v>
      </c>
      <c r="Q787" s="34" t="s">
        <v>3606</v>
      </c>
      <c r="R787" s="34" t="s">
        <v>3607</v>
      </c>
      <c r="S787" s="34" t="s">
        <v>807</v>
      </c>
      <c r="T787" s="34">
        <v>20040330</v>
      </c>
      <c r="U787" s="45">
        <v>12.8659729747</v>
      </c>
      <c r="V787" s="46">
        <v>13.432899521</v>
      </c>
      <c r="W787" s="34" t="s">
        <v>231</v>
      </c>
      <c r="X787" s="34" t="s">
        <v>44</v>
      </c>
      <c r="Y787" s="34" t="s">
        <v>45</v>
      </c>
      <c r="Z787" s="34" t="s">
        <v>65</v>
      </c>
      <c r="AA787" s="34"/>
      <c r="AB787" s="34"/>
      <c r="AC787" s="22">
        <v>0.77554931640625002</v>
      </c>
      <c r="AD787" s="23" t="s">
        <v>2239</v>
      </c>
      <c r="AE787" s="24">
        <v>5.2465753424657535</v>
      </c>
      <c r="AF787" s="25">
        <v>0.15255899240609239</v>
      </c>
      <c r="AG787" s="26">
        <v>0.12045074835149251</v>
      </c>
      <c r="AH787" s="26">
        <v>0.12305276785912067</v>
      </c>
      <c r="AI787" s="27">
        <v>0.64672888057937084</v>
      </c>
      <c r="AJ787" s="27">
        <v>0.46646858159064397</v>
      </c>
      <c r="AK787" s="27">
        <v>0.50201408991956487</v>
      </c>
      <c r="AL787" s="28" t="s">
        <v>3608</v>
      </c>
      <c r="AM787" s="29">
        <v>2</v>
      </c>
      <c r="AN787" s="29">
        <v>4</v>
      </c>
      <c r="AO787" s="29" t="s">
        <v>48</v>
      </c>
      <c r="AP787" s="47">
        <v>0</v>
      </c>
      <c r="AQ787" s="28" t="s">
        <v>3609</v>
      </c>
      <c r="AR787" s="26">
        <v>1.4999999999999999E-2</v>
      </c>
      <c r="AS787" s="26">
        <v>0</v>
      </c>
    </row>
    <row r="788" spans="1:45" x14ac:dyDescent="0.15">
      <c r="A788" s="64">
        <v>188</v>
      </c>
      <c r="B788" s="64">
        <v>734</v>
      </c>
      <c r="C788" s="11">
        <v>1723</v>
      </c>
      <c r="D788" s="61">
        <v>489</v>
      </c>
      <c r="E788" s="61">
        <v>-1.3556126628487401E-3</v>
      </c>
      <c r="F788" s="61">
        <v>34</v>
      </c>
      <c r="G788" s="61">
        <v>0.500710199253532</v>
      </c>
      <c r="H788" s="66">
        <v>302</v>
      </c>
      <c r="I788" s="66" t="str">
        <f>H788&amp;"/"&amp;451</f>
        <v>302/451</v>
      </c>
      <c r="J788" s="68">
        <f>H788/451</f>
        <v>0.66962305986696236</v>
      </c>
      <c r="K788" s="18" t="s">
        <v>44</v>
      </c>
      <c r="L788" s="18" t="s">
        <v>45</v>
      </c>
      <c r="M788" s="58" t="s">
        <v>65</v>
      </c>
      <c r="N788" s="18">
        <f>[1]!f_prt_stocktonav(C788,"2017/03/31")</f>
        <v>78.961318969726563</v>
      </c>
      <c r="O788" s="20" t="str">
        <f>[1]!f_info_fundmanager(C788)</f>
        <v>刘萌萌</v>
      </c>
      <c r="P788" s="21">
        <v>0.65205479452054793</v>
      </c>
      <c r="Q788" s="34" t="s">
        <v>916</v>
      </c>
      <c r="R788" s="34" t="s">
        <v>917</v>
      </c>
      <c r="S788" s="34" t="s">
        <v>387</v>
      </c>
      <c r="T788" s="34">
        <v>20150917</v>
      </c>
      <c r="U788" s="45">
        <v>0.99564433480000003</v>
      </c>
      <c r="V788" s="46">
        <v>1.2345344027</v>
      </c>
      <c r="W788" s="34" t="s">
        <v>201</v>
      </c>
      <c r="X788" s="34" t="s">
        <v>44</v>
      </c>
      <c r="Y788" s="17" t="s">
        <v>45</v>
      </c>
      <c r="Z788" s="17" t="s">
        <v>274</v>
      </c>
      <c r="AA788" s="34"/>
      <c r="AB788" s="34"/>
      <c r="AC788" s="22">
        <v>0.87948722839355464</v>
      </c>
      <c r="AD788" s="23" t="s">
        <v>918</v>
      </c>
      <c r="AE788" s="24">
        <v>1.3068493150684932</v>
      </c>
      <c r="AF788" s="25">
        <v>-7.0334958350368626E-2</v>
      </c>
      <c r="AG788" s="26">
        <v>0</v>
      </c>
      <c r="AH788" s="26">
        <v>0</v>
      </c>
      <c r="AI788" s="27">
        <v>-0.29594197065550337</v>
      </c>
      <c r="AJ788" s="27">
        <v>-0.29594197065550337</v>
      </c>
      <c r="AK788" s="27">
        <v>-0.29594197065550337</v>
      </c>
      <c r="AL788" s="28" t="s">
        <v>390</v>
      </c>
      <c r="AM788" s="29" t="s">
        <v>48</v>
      </c>
      <c r="AN788" s="29" t="s">
        <v>48</v>
      </c>
      <c r="AO788" s="29" t="s">
        <v>48</v>
      </c>
      <c r="AP788" s="47" t="s">
        <v>919</v>
      </c>
      <c r="AQ788" s="28">
        <v>0</v>
      </c>
      <c r="AR788" s="26">
        <v>1.4999999999999999E-2</v>
      </c>
      <c r="AS788" s="26">
        <v>0</v>
      </c>
    </row>
    <row r="789" spans="1:45" x14ac:dyDescent="0.15">
      <c r="A789" s="64">
        <v>291</v>
      </c>
      <c r="B789" s="64">
        <v>498</v>
      </c>
      <c r="C789" s="11">
        <v>1208</v>
      </c>
      <c r="D789" s="61">
        <v>491</v>
      </c>
      <c r="E789" s="61">
        <v>-1.37976554621163E-3</v>
      </c>
      <c r="F789" s="61">
        <v>79</v>
      </c>
      <c r="G789" s="61">
        <v>0.363002526035688</v>
      </c>
      <c r="H789" s="66">
        <v>303</v>
      </c>
      <c r="I789" s="66" t="str">
        <f>H789&amp;"/"&amp;451</f>
        <v>303/451</v>
      </c>
      <c r="J789" s="68">
        <f>H789/451</f>
        <v>0.67184035476718407</v>
      </c>
      <c r="K789" s="18" t="s">
        <v>44</v>
      </c>
      <c r="L789" s="18" t="s">
        <v>87</v>
      </c>
      <c r="M789" s="58" t="s">
        <v>65</v>
      </c>
      <c r="N789" s="18">
        <f>[1]!f_prt_stocktonav(C789,"2017/03/31")</f>
        <v>85.336235046386719</v>
      </c>
      <c r="O789" s="20" t="str">
        <f>[1]!f_info_fundmanager(C789)</f>
        <v>盛震山</v>
      </c>
      <c r="P789" s="21">
        <v>1.5123287671232877</v>
      </c>
      <c r="Q789" s="34" t="s">
        <v>1327</v>
      </c>
      <c r="R789" s="34" t="s">
        <v>1328</v>
      </c>
      <c r="S789" s="34" t="s">
        <v>955</v>
      </c>
      <c r="T789" s="34">
        <v>20150512</v>
      </c>
      <c r="U789" s="45">
        <v>17.997344441300001</v>
      </c>
      <c r="V789" s="46">
        <v>19.248643381299999</v>
      </c>
      <c r="W789" s="34" t="s">
        <v>3789</v>
      </c>
      <c r="X789" s="34" t="s">
        <v>44</v>
      </c>
      <c r="Y789" s="34" t="s">
        <v>45</v>
      </c>
      <c r="Z789" s="34" t="s">
        <v>337</v>
      </c>
      <c r="AA789" s="34"/>
      <c r="AB789" s="34"/>
      <c r="AC789" s="22">
        <v>0.8124681854248047</v>
      </c>
      <c r="AD789" s="23" t="s">
        <v>1329</v>
      </c>
      <c r="AE789" s="24">
        <v>1.2821917808219179</v>
      </c>
      <c r="AF789" s="25">
        <v>-0.13292360999341168</v>
      </c>
      <c r="AG789" s="26">
        <v>0</v>
      </c>
      <c r="AH789" s="26">
        <v>0</v>
      </c>
      <c r="AI789" s="27">
        <v>-0.48649465141751169</v>
      </c>
      <c r="AJ789" s="27">
        <v>-0.48649465141751169</v>
      </c>
      <c r="AK789" s="27">
        <v>-0.48649465141751169</v>
      </c>
      <c r="AL789" s="28" t="s">
        <v>1330</v>
      </c>
      <c r="AM789" s="29" t="s">
        <v>48</v>
      </c>
      <c r="AN789" s="29" t="s">
        <v>48</v>
      </c>
      <c r="AO789" s="29" t="s">
        <v>48</v>
      </c>
      <c r="AP789" s="47" t="s">
        <v>255</v>
      </c>
      <c r="AQ789" s="28">
        <v>0</v>
      </c>
      <c r="AR789" s="26">
        <v>1.4999999999999999E-2</v>
      </c>
      <c r="AS789" s="26">
        <v>0</v>
      </c>
    </row>
    <row r="790" spans="1:45" x14ac:dyDescent="0.15">
      <c r="A790" s="64">
        <v>50</v>
      </c>
      <c r="B790" s="64">
        <v>327</v>
      </c>
      <c r="C790" s="11">
        <v>2952</v>
      </c>
      <c r="D790" s="61">
        <v>496</v>
      </c>
      <c r="E790" s="61">
        <v>-1.41119728679952E-3</v>
      </c>
      <c r="F790" s="61">
        <v>32</v>
      </c>
      <c r="G790" s="61">
        <v>0.35936220322511397</v>
      </c>
      <c r="H790" s="66">
        <v>304</v>
      </c>
      <c r="I790" s="66" t="str">
        <f>H790&amp;"/"&amp;451</f>
        <v>304/451</v>
      </c>
      <c r="J790" s="68">
        <f>H790/451</f>
        <v>0.67405764966740578</v>
      </c>
      <c r="K790" s="18" t="s">
        <v>44</v>
      </c>
      <c r="L790" s="18" t="s">
        <v>64</v>
      </c>
      <c r="M790" s="58" t="s">
        <v>65</v>
      </c>
      <c r="N790" s="18">
        <f>[1]!f_prt_stocktonav(C790,"2017/03/31")</f>
        <v>88.916831970214844</v>
      </c>
      <c r="O790" s="20" t="str">
        <f>[1]!f_info_fundmanager(C790)</f>
        <v>叶乐天</v>
      </c>
      <c r="P790" s="21">
        <v>0.64109589041095894</v>
      </c>
      <c r="Q790" s="34" t="s">
        <v>305</v>
      </c>
      <c r="R790" s="34" t="s">
        <v>306</v>
      </c>
      <c r="S790" s="34" t="s">
        <v>307</v>
      </c>
      <c r="T790" s="34">
        <v>20160809</v>
      </c>
      <c r="U790" s="45">
        <v>2.4908602663999999</v>
      </c>
      <c r="V790" s="46">
        <v>3.2170041886999998</v>
      </c>
      <c r="W790" s="34" t="s">
        <v>201</v>
      </c>
      <c r="X790" s="34" t="s">
        <v>44</v>
      </c>
      <c r="Y790" s="34" t="s">
        <v>64</v>
      </c>
      <c r="Z790" s="34" t="s">
        <v>65</v>
      </c>
      <c r="AA790" s="34"/>
      <c r="AB790" s="34"/>
      <c r="AC790" s="22">
        <v>0.76093833923339849</v>
      </c>
      <c r="AD790" s="23" t="s">
        <v>308</v>
      </c>
      <c r="AE790" s="24">
        <v>0.41095890410958902</v>
      </c>
      <c r="AF790" s="25">
        <v>-4.4448648138851521E-2</v>
      </c>
      <c r="AG790" s="26">
        <v>0</v>
      </c>
      <c r="AH790" s="26">
        <v>0</v>
      </c>
      <c r="AI790" s="27">
        <v>-0.64532439950328557</v>
      </c>
      <c r="AJ790" s="27">
        <v>-0.64532439950328557</v>
      </c>
      <c r="AK790" s="27">
        <v>-0.64532439950328557</v>
      </c>
      <c r="AL790" s="28" t="s">
        <v>309</v>
      </c>
      <c r="AM790" s="29" t="s">
        <v>48</v>
      </c>
      <c r="AN790" s="29" t="s">
        <v>48</v>
      </c>
      <c r="AO790" s="29" t="s">
        <v>48</v>
      </c>
      <c r="AP790" s="47" t="s">
        <v>310</v>
      </c>
      <c r="AQ790" s="28">
        <v>0</v>
      </c>
      <c r="AR790" s="26">
        <v>1.4999999999999999E-2</v>
      </c>
      <c r="AS790" s="26">
        <v>0</v>
      </c>
    </row>
    <row r="791" spans="1:45" x14ac:dyDescent="0.15">
      <c r="A791" s="64">
        <v>465</v>
      </c>
      <c r="B791" s="64">
        <v>701</v>
      </c>
      <c r="C791" s="11">
        <v>541</v>
      </c>
      <c r="D791" s="61">
        <v>497</v>
      </c>
      <c r="E791" s="61">
        <v>-1.41782819598493E-3</v>
      </c>
      <c r="F791" s="61">
        <v>14</v>
      </c>
      <c r="G791" s="61">
        <v>0.57614340074735504</v>
      </c>
      <c r="H791" s="66">
        <v>305</v>
      </c>
      <c r="I791" s="66" t="str">
        <f>H791&amp;"/"&amp;451</f>
        <v>305/451</v>
      </c>
      <c r="J791" s="68">
        <f>H791/451</f>
        <v>0.67627494456762749</v>
      </c>
      <c r="K791" s="18" t="s">
        <v>44</v>
      </c>
      <c r="L791" s="18" t="s">
        <v>45</v>
      </c>
      <c r="M791" s="58" t="s">
        <v>65</v>
      </c>
      <c r="N791" s="18">
        <f>[1]!f_prt_stocktonav(C791,"2017/03/31")</f>
        <v>80.02423095703125</v>
      </c>
      <c r="O791" s="20" t="str">
        <f>[1]!f_info_fundmanager(C791)</f>
        <v>高兵</v>
      </c>
      <c r="P791" s="21">
        <v>0.26849315068493151</v>
      </c>
      <c r="Q791" s="34" t="s">
        <v>1973</v>
      </c>
      <c r="R791" s="34" t="s">
        <v>1974</v>
      </c>
      <c r="S791" s="34" t="s">
        <v>387</v>
      </c>
      <c r="T791" s="34">
        <v>20140318</v>
      </c>
      <c r="U791" s="45">
        <v>12.971072791699999</v>
      </c>
      <c r="V791" s="46">
        <v>14.9325666297</v>
      </c>
      <c r="W791" s="34" t="s">
        <v>3776</v>
      </c>
      <c r="X791" s="34" t="s">
        <v>44</v>
      </c>
      <c r="Y791" s="34" t="s">
        <v>45</v>
      </c>
      <c r="Z791" s="34" t="s">
        <v>274</v>
      </c>
      <c r="AA791" s="34"/>
      <c r="AB791" s="34"/>
      <c r="AC791" s="22">
        <v>0.7536916351318359</v>
      </c>
      <c r="AD791" s="23" t="s">
        <v>1975</v>
      </c>
      <c r="AE791" s="24">
        <v>2.8082191780821919</v>
      </c>
      <c r="AF791" s="25">
        <v>0.21784936323220894</v>
      </c>
      <c r="AG791" s="26">
        <v>0</v>
      </c>
      <c r="AH791" s="26">
        <v>0</v>
      </c>
      <c r="AI791" s="27">
        <v>0.72934691241328908</v>
      </c>
      <c r="AJ791" s="27">
        <v>0.72934691241328908</v>
      </c>
      <c r="AK791" s="27">
        <v>0.72934691241328908</v>
      </c>
      <c r="AL791" s="28" t="s">
        <v>240</v>
      </c>
      <c r="AM791" s="29" t="s">
        <v>48</v>
      </c>
      <c r="AN791" s="29" t="s">
        <v>48</v>
      </c>
      <c r="AO791" s="29" t="s">
        <v>48</v>
      </c>
      <c r="AP791" s="47" t="s">
        <v>1976</v>
      </c>
      <c r="AQ791" s="28">
        <v>0</v>
      </c>
      <c r="AR791" s="26">
        <v>1.4999999999999999E-2</v>
      </c>
      <c r="AS791" s="26">
        <v>0</v>
      </c>
    </row>
    <row r="792" spans="1:45" x14ac:dyDescent="0.15">
      <c r="A792" s="64">
        <v>896</v>
      </c>
      <c r="B792" s="64">
        <v>401</v>
      </c>
      <c r="C792" s="11">
        <v>162605</v>
      </c>
      <c r="D792" s="61">
        <v>498</v>
      </c>
      <c r="E792" s="61">
        <v>-1.4309051825011599E-3</v>
      </c>
      <c r="F792" s="61">
        <v>90</v>
      </c>
      <c r="G792" s="61">
        <v>0.40322026524524301</v>
      </c>
      <c r="H792" s="66">
        <v>306</v>
      </c>
      <c r="I792" s="66" t="str">
        <f>H792&amp;"/"&amp;451</f>
        <v>306/451</v>
      </c>
      <c r="J792" s="68">
        <f>H792/451</f>
        <v>0.6784922394678492</v>
      </c>
      <c r="K792" s="18" t="s">
        <v>44</v>
      </c>
      <c r="L792" s="18" t="s">
        <v>45</v>
      </c>
      <c r="M792" s="58" t="s">
        <v>65</v>
      </c>
      <c r="N792" s="18">
        <f>[1]!f_prt_stocktonav(C792,"2017/03/31")</f>
        <v>87.522537231445313</v>
      </c>
      <c r="O792" s="20" t="str">
        <f>[1]!f_info_fundmanager(C792)</f>
        <v>刘彦春</v>
      </c>
      <c r="P792" s="21">
        <v>1.726027397260274</v>
      </c>
      <c r="Q792" s="34" t="s">
        <v>3480</v>
      </c>
      <c r="R792" s="34" t="s">
        <v>3481</v>
      </c>
      <c r="S792" s="34" t="s">
        <v>353</v>
      </c>
      <c r="T792" s="34">
        <v>20050316</v>
      </c>
      <c r="U792" s="45">
        <v>16.399855309700001</v>
      </c>
      <c r="V792" s="46">
        <v>19.1030715578</v>
      </c>
      <c r="W792" s="34" t="s">
        <v>201</v>
      </c>
      <c r="X792" s="34" t="s">
        <v>44</v>
      </c>
      <c r="Y792" s="34" t="s">
        <v>45</v>
      </c>
      <c r="Z792" s="34" t="s">
        <v>274</v>
      </c>
      <c r="AA792" s="34"/>
      <c r="AB792" s="34"/>
      <c r="AC792" s="22">
        <v>0.88895874023437504</v>
      </c>
      <c r="AD792" s="23" t="s">
        <v>3348</v>
      </c>
      <c r="AE792" s="24">
        <v>1.4958904109589042</v>
      </c>
      <c r="AF792" s="25">
        <v>0.16346248492079418</v>
      </c>
      <c r="AG792" s="26">
        <v>0.13102713552825773</v>
      </c>
      <c r="AH792" s="26">
        <v>0.13739763855830245</v>
      </c>
      <c r="AI792" s="27">
        <v>0.66838460668082889</v>
      </c>
      <c r="AJ792" s="27">
        <v>0.50918470358366086</v>
      </c>
      <c r="AK792" s="27">
        <v>0.56276962245909723</v>
      </c>
      <c r="AL792" s="28" t="s">
        <v>3482</v>
      </c>
      <c r="AM792" s="29">
        <v>2</v>
      </c>
      <c r="AN792" s="29">
        <v>2</v>
      </c>
      <c r="AO792" s="29" t="s">
        <v>48</v>
      </c>
      <c r="AP792" s="47" t="s">
        <v>3483</v>
      </c>
      <c r="AQ792" s="28" t="s">
        <v>3484</v>
      </c>
      <c r="AR792" s="26">
        <v>1.4999999999999999E-2</v>
      </c>
      <c r="AS792" s="26">
        <v>0</v>
      </c>
    </row>
    <row r="793" spans="1:45" x14ac:dyDescent="0.15">
      <c r="A793" s="64">
        <v>324</v>
      </c>
      <c r="B793" s="64">
        <v>579</v>
      </c>
      <c r="C793" s="11">
        <v>1104</v>
      </c>
      <c r="D793" s="61">
        <v>500</v>
      </c>
      <c r="E793" s="61">
        <v>-1.43572607403513E-3</v>
      </c>
      <c r="F793" s="61">
        <v>101</v>
      </c>
      <c r="G793" s="61">
        <v>0.281649715636138</v>
      </c>
      <c r="H793" s="66">
        <v>307</v>
      </c>
      <c r="I793" s="66" t="str">
        <f>H793&amp;"/"&amp;451</f>
        <v>307/451</v>
      </c>
      <c r="J793" s="68">
        <f>H793/451</f>
        <v>0.68070953436807091</v>
      </c>
      <c r="K793" s="18" t="s">
        <v>44</v>
      </c>
      <c r="L793" s="18" t="s">
        <v>87</v>
      </c>
      <c r="M793" s="58" t="s">
        <v>65</v>
      </c>
      <c r="N793" s="18">
        <f>[1]!f_prt_stocktonav(C793,"2017/03/31")</f>
        <v>83.322486877441406</v>
      </c>
      <c r="O793" s="20" t="str">
        <f>[1]!f_info_fundmanager(C793)</f>
        <v>杨鑫鑫</v>
      </c>
      <c r="P793" s="21">
        <v>1.978082191780822</v>
      </c>
      <c r="Q793" s="34" t="s">
        <v>1453</v>
      </c>
      <c r="R793" s="34" t="s">
        <v>1454</v>
      </c>
      <c r="S793" s="34" t="s">
        <v>63</v>
      </c>
      <c r="T793" s="34">
        <v>20150409</v>
      </c>
      <c r="U793" s="45">
        <v>32.6391029571</v>
      </c>
      <c r="V793" s="46">
        <v>32.103218238300002</v>
      </c>
      <c r="W793" s="34" t="s">
        <v>201</v>
      </c>
      <c r="X793" s="34" t="s">
        <v>44</v>
      </c>
      <c r="Y793" s="34" t="s">
        <v>87</v>
      </c>
      <c r="Z793" s="34" t="s">
        <v>65</v>
      </c>
      <c r="AA793" s="34" t="s">
        <v>3801</v>
      </c>
      <c r="AB793" s="34"/>
      <c r="AC793" s="22">
        <v>0.83301124572753904</v>
      </c>
      <c r="AD793" s="23" t="s">
        <v>1455</v>
      </c>
      <c r="AE793" s="24">
        <v>1.747945205479452</v>
      </c>
      <c r="AF793" s="25">
        <v>-6.6806391739144155E-2</v>
      </c>
      <c r="AG793" s="26">
        <v>0</v>
      </c>
      <c r="AH793" s="26">
        <v>0</v>
      </c>
      <c r="AI793" s="27">
        <v>-0.22489169053985933</v>
      </c>
      <c r="AJ793" s="27">
        <v>-0.22489169053985933</v>
      </c>
      <c r="AK793" s="27">
        <v>-0.22489169053985933</v>
      </c>
      <c r="AL793" s="33" t="s">
        <v>1393</v>
      </c>
      <c r="AM793" s="29" t="s">
        <v>48</v>
      </c>
      <c r="AN793" s="29" t="s">
        <v>48</v>
      </c>
      <c r="AO793" s="29" t="s">
        <v>48</v>
      </c>
      <c r="AP793" s="47" t="s">
        <v>177</v>
      </c>
      <c r="AQ793" s="28">
        <v>0</v>
      </c>
      <c r="AR793" s="26">
        <v>1.4999999999999999E-2</v>
      </c>
      <c r="AS793" s="26">
        <v>0</v>
      </c>
    </row>
    <row r="794" spans="1:45" x14ac:dyDescent="0.15">
      <c r="A794" s="64">
        <v>77</v>
      </c>
      <c r="B794" s="64">
        <v>887</v>
      </c>
      <c r="C794" s="11">
        <v>2605</v>
      </c>
      <c r="D794" s="61">
        <v>501</v>
      </c>
      <c r="E794" s="61">
        <v>-1.4424445500950799E-3</v>
      </c>
      <c r="F794" s="61">
        <v>43</v>
      </c>
      <c r="G794" s="61">
        <v>0.312514521715829</v>
      </c>
      <c r="H794" s="66">
        <v>308</v>
      </c>
      <c r="I794" s="66" t="str">
        <f>H794&amp;"/"&amp;451</f>
        <v>308/451</v>
      </c>
      <c r="J794" s="68">
        <f>H794/451</f>
        <v>0.68292682926829273</v>
      </c>
      <c r="K794" s="18" t="s">
        <v>44</v>
      </c>
      <c r="L794" s="18" t="s">
        <v>86</v>
      </c>
      <c r="M794" s="58" t="s">
        <v>65</v>
      </c>
      <c r="N794" s="18">
        <f>[1]!f_prt_stocktonav(C794,"2017/03/31")</f>
        <v>73.208450317382812</v>
      </c>
      <c r="O794" s="20" t="str">
        <f>[1]!f_info_fundmanager(C794)</f>
        <v>商小虎,关山</v>
      </c>
      <c r="P794" s="21">
        <v>0.84383561643835614</v>
      </c>
      <c r="Q794" s="34" t="s">
        <v>441</v>
      </c>
      <c r="R794" s="34" t="s">
        <v>442</v>
      </c>
      <c r="S794" s="34" t="s">
        <v>230</v>
      </c>
      <c r="T794" s="34">
        <v>20160527</v>
      </c>
      <c r="U794" s="45">
        <v>0.54617289229999999</v>
      </c>
      <c r="V794" s="46">
        <v>0.81129174179999997</v>
      </c>
      <c r="W794" s="34" t="s">
        <v>3776</v>
      </c>
      <c r="X794" s="34" t="s">
        <v>41</v>
      </c>
      <c r="Y794" s="34" t="s">
        <v>42</v>
      </c>
      <c r="Z794" s="34" t="s">
        <v>181</v>
      </c>
      <c r="AA794" s="34"/>
      <c r="AB794" s="34"/>
      <c r="AC794" s="22">
        <v>0.54978839874267582</v>
      </c>
      <c r="AD794" s="23" t="s">
        <v>443</v>
      </c>
      <c r="AE794" s="24">
        <v>0.61369863013698633</v>
      </c>
      <c r="AF794" s="25">
        <v>6.413221055395657E-2</v>
      </c>
      <c r="AG794" s="26">
        <v>0</v>
      </c>
      <c r="AH794" s="26">
        <v>0</v>
      </c>
      <c r="AI794" s="27">
        <v>0.89376681752248111</v>
      </c>
      <c r="AJ794" s="27">
        <v>0.89376681752248111</v>
      </c>
      <c r="AK794" s="27">
        <v>0.89376681752248111</v>
      </c>
      <c r="AL794" s="28" t="s">
        <v>444</v>
      </c>
      <c r="AM794" s="29" t="s">
        <v>48</v>
      </c>
      <c r="AN794" s="29" t="s">
        <v>48</v>
      </c>
      <c r="AO794" s="29" t="s">
        <v>48</v>
      </c>
      <c r="AP794" s="47" t="s">
        <v>445</v>
      </c>
      <c r="AQ794" s="28" t="s">
        <v>235</v>
      </c>
      <c r="AR794" s="26">
        <v>1.4999999999999999E-2</v>
      </c>
      <c r="AS794" s="26">
        <v>0</v>
      </c>
    </row>
    <row r="795" spans="1:45" x14ac:dyDescent="0.15">
      <c r="A795" s="64">
        <v>810</v>
      </c>
      <c r="B795" s="64">
        <v>663</v>
      </c>
      <c r="C795" s="11">
        <v>519021</v>
      </c>
      <c r="D795" s="61">
        <v>504</v>
      </c>
      <c r="E795" s="61">
        <v>-1.4700312793293701E-3</v>
      </c>
      <c r="F795" s="61">
        <v>448</v>
      </c>
      <c r="G795" s="61">
        <v>5.4109371214307297E-2</v>
      </c>
      <c r="H795" s="66">
        <v>309</v>
      </c>
      <c r="I795" s="66" t="str">
        <f>H795&amp;"/"&amp;451</f>
        <v>309/451</v>
      </c>
      <c r="J795" s="68">
        <f>H795/451</f>
        <v>0.68514412416851445</v>
      </c>
      <c r="K795" s="18" t="s">
        <v>44</v>
      </c>
      <c r="L795" s="18" t="s">
        <v>45</v>
      </c>
      <c r="M795" s="58" t="s">
        <v>65</v>
      </c>
      <c r="N795" s="18">
        <f>[1]!f_prt_stocktonav(C795,"2017/03/31")</f>
        <v>81.083236694335938</v>
      </c>
      <c r="O795" s="20" t="str">
        <f>[1]!f_info_fundmanager(C795)</f>
        <v>邓时锋</v>
      </c>
      <c r="P795" s="21">
        <v>8.9972602739726035</v>
      </c>
      <c r="Q795" s="34" t="s">
        <v>3152</v>
      </c>
      <c r="R795" s="34" t="s">
        <v>3153</v>
      </c>
      <c r="S795" s="34" t="s">
        <v>663</v>
      </c>
      <c r="T795" s="34">
        <v>20070411</v>
      </c>
      <c r="U795" s="45">
        <v>12.0095092885</v>
      </c>
      <c r="V795" s="46">
        <v>15.1058427013</v>
      </c>
      <c r="W795" s="34" t="s">
        <v>231</v>
      </c>
      <c r="X795" s="34" t="s">
        <v>44</v>
      </c>
      <c r="Y795" s="34" t="s">
        <v>45</v>
      </c>
      <c r="Z795" s="34" t="s">
        <v>65</v>
      </c>
      <c r="AA795" s="34"/>
      <c r="AB795" s="34"/>
      <c r="AC795" s="22">
        <v>0.83258247375488281</v>
      </c>
      <c r="AD795" s="23" t="s">
        <v>3154</v>
      </c>
      <c r="AE795" s="24">
        <v>8.7671232876712324</v>
      </c>
      <c r="AF795" s="25">
        <v>6.9944085529670241E-2</v>
      </c>
      <c r="AG795" s="26">
        <v>0.12231743083921721</v>
      </c>
      <c r="AH795" s="26">
        <v>0.11717975797673219</v>
      </c>
      <c r="AI795" s="27">
        <v>0.32750725446297807</v>
      </c>
      <c r="AJ795" s="27">
        <v>0.48230441000589008</v>
      </c>
      <c r="AK795" s="27">
        <v>0.48993526183774955</v>
      </c>
      <c r="AL795" s="28" t="s">
        <v>3155</v>
      </c>
      <c r="AM795" s="29">
        <v>4</v>
      </c>
      <c r="AN795" s="29">
        <v>2</v>
      </c>
      <c r="AO795" s="29" t="s">
        <v>48</v>
      </c>
      <c r="AP795" s="47" t="s">
        <v>1002</v>
      </c>
      <c r="AQ795" s="28">
        <v>0</v>
      </c>
      <c r="AR795" s="26">
        <v>1.4999999999999999E-2</v>
      </c>
      <c r="AS795" s="26">
        <v>0</v>
      </c>
    </row>
    <row r="796" spans="1:45" x14ac:dyDescent="0.15">
      <c r="A796" s="64">
        <v>570</v>
      </c>
      <c r="B796" s="64">
        <v>448</v>
      </c>
      <c r="C796" s="11">
        <v>570008</v>
      </c>
      <c r="D796" s="61">
        <v>506</v>
      </c>
      <c r="E796" s="61">
        <v>-1.47378646250773E-3</v>
      </c>
      <c r="F796" s="61">
        <v>93</v>
      </c>
      <c r="G796" s="61">
        <v>0.479118025143836</v>
      </c>
      <c r="H796" s="66">
        <v>310</v>
      </c>
      <c r="I796" s="66" t="str">
        <f>H796&amp;"/"&amp;451</f>
        <v>310/451</v>
      </c>
      <c r="J796" s="68">
        <f>H796/451</f>
        <v>0.68736141906873616</v>
      </c>
      <c r="K796" s="18" t="s">
        <v>44</v>
      </c>
      <c r="L796" s="18" t="s">
        <v>45</v>
      </c>
      <c r="M796" s="58" t="s">
        <v>65</v>
      </c>
      <c r="N796" s="18">
        <f>[1]!f_prt_stocktonav(C796,"2017/03/31")</f>
        <v>86.363906860351563</v>
      </c>
      <c r="O796" s="20" t="str">
        <f>[1]!f_info_fundmanager(C796)</f>
        <v>罗世锋</v>
      </c>
      <c r="P796" s="21">
        <v>1.7808219178082192</v>
      </c>
      <c r="Q796" s="34" t="s">
        <v>2349</v>
      </c>
      <c r="R796" s="34" t="s">
        <v>2350</v>
      </c>
      <c r="S796" s="34" t="s">
        <v>2351</v>
      </c>
      <c r="T796" s="34">
        <v>20120321</v>
      </c>
      <c r="U796" s="45">
        <v>0.79120906520000001</v>
      </c>
      <c r="V796" s="46">
        <v>2.6157873091999999</v>
      </c>
      <c r="W796" s="34" t="s">
        <v>201</v>
      </c>
      <c r="X796" s="34" t="s">
        <v>44</v>
      </c>
      <c r="Y796" s="34" t="s">
        <v>45</v>
      </c>
      <c r="Z796" s="34" t="s">
        <v>65</v>
      </c>
      <c r="AA796" s="34"/>
      <c r="AB796" s="34"/>
      <c r="AC796" s="22">
        <v>0.91635612487792972</v>
      </c>
      <c r="AD796" s="23" t="s">
        <v>2352</v>
      </c>
      <c r="AE796" s="24">
        <v>1.5506849315068494</v>
      </c>
      <c r="AF796" s="25">
        <v>0.17254552326021244</v>
      </c>
      <c r="AG796" s="26">
        <v>0.26711419480145726</v>
      </c>
      <c r="AH796" s="26">
        <v>0</v>
      </c>
      <c r="AI796" s="27">
        <v>0.62587791430479267</v>
      </c>
      <c r="AJ796" s="27">
        <v>0.79431538266677959</v>
      </c>
      <c r="AK796" s="27">
        <v>0.62587791430479267</v>
      </c>
      <c r="AL796" s="28" t="s">
        <v>2353</v>
      </c>
      <c r="AM796" s="29">
        <v>4</v>
      </c>
      <c r="AN796" s="29">
        <v>4</v>
      </c>
      <c r="AO796" s="29" t="s">
        <v>48</v>
      </c>
      <c r="AP796" s="47" t="s">
        <v>367</v>
      </c>
      <c r="AQ796" s="28">
        <v>0</v>
      </c>
      <c r="AR796" s="26">
        <v>1.4999999999999999E-2</v>
      </c>
      <c r="AS796" s="26">
        <v>0</v>
      </c>
    </row>
    <row r="797" spans="1:45" x14ac:dyDescent="0.15">
      <c r="A797" s="64">
        <v>680</v>
      </c>
      <c r="B797" s="64">
        <v>150</v>
      </c>
      <c r="C797" s="11">
        <v>202019</v>
      </c>
      <c r="D797" s="61">
        <v>509</v>
      </c>
      <c r="E797" s="61">
        <v>-1.5047515102822901E-3</v>
      </c>
      <c r="F797" s="61">
        <v>94</v>
      </c>
      <c r="G797" s="61">
        <v>5.8921026164853799E-2</v>
      </c>
      <c r="H797" s="66">
        <v>311</v>
      </c>
      <c r="I797" s="66" t="str">
        <f>H797&amp;"/"&amp;451</f>
        <v>311/451</v>
      </c>
      <c r="J797" s="68">
        <f>H797/451</f>
        <v>0.68957871396895787</v>
      </c>
      <c r="K797" s="18" t="s">
        <v>44</v>
      </c>
      <c r="L797" s="18" t="s">
        <v>45</v>
      </c>
      <c r="M797" s="58" t="s">
        <v>65</v>
      </c>
      <c r="N797" s="18">
        <f>[1]!f_prt_stocktonav(C797,"2017/03/31")</f>
        <v>92.777503967285156</v>
      </c>
      <c r="O797" s="20" t="str">
        <f>[1]!f_info_fundmanager(C797)</f>
        <v>雷俊</v>
      </c>
      <c r="P797" s="21">
        <v>1.7917808219178082</v>
      </c>
      <c r="Q797" s="34" t="s">
        <v>2719</v>
      </c>
      <c r="R797" s="34" t="s">
        <v>2720</v>
      </c>
      <c r="S797" s="34" t="s">
        <v>284</v>
      </c>
      <c r="T797" s="34">
        <v>20100330</v>
      </c>
      <c r="U797" s="45">
        <v>14.9563075269</v>
      </c>
      <c r="V797" s="46">
        <v>7.1832204985999999</v>
      </c>
      <c r="W797" s="34" t="s">
        <v>201</v>
      </c>
      <c r="X797" s="34" t="s">
        <v>44</v>
      </c>
      <c r="Y797" s="34" t="s">
        <v>45</v>
      </c>
      <c r="Z797" s="34" t="s">
        <v>65</v>
      </c>
      <c r="AA797" s="34"/>
      <c r="AB797" s="34"/>
      <c r="AC797" s="22">
        <v>0.90917564392089845</v>
      </c>
      <c r="AD797" s="23" t="s">
        <v>1068</v>
      </c>
      <c r="AE797" s="24">
        <v>1.5616438356164384</v>
      </c>
      <c r="AF797" s="25">
        <v>7.408108102660016E-2</v>
      </c>
      <c r="AG797" s="26">
        <v>0.36439754836965577</v>
      </c>
      <c r="AH797" s="26">
        <v>0.19117815194614862</v>
      </c>
      <c r="AI797" s="27">
        <v>0.35464801676455637</v>
      </c>
      <c r="AJ797" s="27">
        <v>1.1522661254608824</v>
      </c>
      <c r="AK797" s="27">
        <v>0.7499560500801592</v>
      </c>
      <c r="AL797" s="28" t="s">
        <v>726</v>
      </c>
      <c r="AM797" s="29">
        <v>4</v>
      </c>
      <c r="AN797" s="29">
        <v>4</v>
      </c>
      <c r="AO797" s="29" t="s">
        <v>48</v>
      </c>
      <c r="AP797" s="47" t="s">
        <v>287</v>
      </c>
      <c r="AQ797" s="28" t="s">
        <v>1843</v>
      </c>
      <c r="AR797" s="26">
        <v>1.4999999999999999E-2</v>
      </c>
      <c r="AS797" s="26">
        <v>0</v>
      </c>
    </row>
    <row r="798" spans="1:45" x14ac:dyDescent="0.15">
      <c r="A798" s="64">
        <v>83</v>
      </c>
      <c r="B798" s="64">
        <v>280</v>
      </c>
      <c r="C798" s="11">
        <v>1955</v>
      </c>
      <c r="D798" s="61">
        <v>513</v>
      </c>
      <c r="E798" s="61">
        <v>-1.5268001931729501E-3</v>
      </c>
      <c r="F798" s="61">
        <v>45</v>
      </c>
      <c r="G798" s="61">
        <v>0.28894519612765102</v>
      </c>
      <c r="H798" s="66">
        <v>312</v>
      </c>
      <c r="I798" s="66" t="str">
        <f>H798&amp;"/"&amp;451</f>
        <v>312/451</v>
      </c>
      <c r="J798" s="68">
        <f>H798/451</f>
        <v>0.69179600886917958</v>
      </c>
      <c r="K798" s="18" t="s">
        <v>44</v>
      </c>
      <c r="L798" s="18" t="s">
        <v>45</v>
      </c>
      <c r="M798" s="58" t="s">
        <v>65</v>
      </c>
      <c r="N798" s="18">
        <f>[1]!f_prt_stocktonav(C798,"2017/03/31")</f>
        <v>89.847816467285156</v>
      </c>
      <c r="O798" s="20" t="str">
        <f>[1]!f_info_fundmanager(C798)</f>
        <v>袁争光,王健</v>
      </c>
      <c r="P798" s="21">
        <v>0.88219178082191785</v>
      </c>
      <c r="Q798" s="34" t="s">
        <v>465</v>
      </c>
      <c r="R798" s="34" t="s">
        <v>466</v>
      </c>
      <c r="S798" s="34" t="s">
        <v>200</v>
      </c>
      <c r="T798" s="34">
        <v>20160513</v>
      </c>
      <c r="U798" s="45">
        <v>0.68843495629999996</v>
      </c>
      <c r="V798" s="46">
        <v>0.98312112839999999</v>
      </c>
      <c r="W798" s="34" t="s">
        <v>3776</v>
      </c>
      <c r="X798" s="34" t="s">
        <v>44</v>
      </c>
      <c r="Y798" s="17" t="s">
        <v>45</v>
      </c>
      <c r="Z798" s="17" t="s">
        <v>65</v>
      </c>
      <c r="AA798" s="34"/>
      <c r="AB798" s="34"/>
      <c r="AC798" s="22">
        <v>0.8979745483398438</v>
      </c>
      <c r="AD798" s="23" t="s">
        <v>467</v>
      </c>
      <c r="AE798" s="24">
        <v>0.65205479452054793</v>
      </c>
      <c r="AF798" s="25">
        <v>9.23388410506394E-2</v>
      </c>
      <c r="AG798" s="26">
        <v>0</v>
      </c>
      <c r="AH798" s="26">
        <v>0</v>
      </c>
      <c r="AI798" s="27">
        <v>0.98391593646250952</v>
      </c>
      <c r="AJ798" s="27">
        <v>0.98391593646250952</v>
      </c>
      <c r="AK798" s="27">
        <v>0.98391593646250952</v>
      </c>
      <c r="AL798" s="28" t="s">
        <v>468</v>
      </c>
      <c r="AM798" s="29" t="s">
        <v>48</v>
      </c>
      <c r="AN798" s="29" t="s">
        <v>48</v>
      </c>
      <c r="AO798" s="29" t="s">
        <v>48</v>
      </c>
      <c r="AP798" s="47" t="s">
        <v>421</v>
      </c>
      <c r="AQ798" s="28">
        <v>0</v>
      </c>
      <c r="AR798" s="26">
        <v>1.4999999999999999E-2</v>
      </c>
      <c r="AS798" s="26">
        <v>0</v>
      </c>
    </row>
    <row r="799" spans="1:45" x14ac:dyDescent="0.15">
      <c r="A799" s="64">
        <v>673</v>
      </c>
      <c r="B799" s="64">
        <v>732</v>
      </c>
      <c r="C799" s="11">
        <v>40016</v>
      </c>
      <c r="D799" s="61">
        <v>514</v>
      </c>
      <c r="E799" s="61">
        <v>-1.52785189306362E-3</v>
      </c>
      <c r="F799" s="61">
        <v>232</v>
      </c>
      <c r="G799" s="61">
        <v>6.8208189213801201E-2</v>
      </c>
      <c r="H799" s="66">
        <v>313</v>
      </c>
      <c r="I799" s="66" t="str">
        <f>H799&amp;"/"&amp;451</f>
        <v>313/451</v>
      </c>
      <c r="J799" s="68">
        <f>H799/451</f>
        <v>0.69401330376940129</v>
      </c>
      <c r="K799" s="18" t="s">
        <v>44</v>
      </c>
      <c r="L799" s="18" t="s">
        <v>45</v>
      </c>
      <c r="M799" s="58" t="s">
        <v>65</v>
      </c>
      <c r="N799" s="18">
        <f>[1]!f_prt_stocktonav(C799,"2017/03/31")</f>
        <v>78.992790222167969</v>
      </c>
      <c r="O799" s="20" t="str">
        <f>[1]!f_info_fundmanager(C799)</f>
        <v>吴丰树</v>
      </c>
      <c r="P799" s="21">
        <v>4.4602739726027396</v>
      </c>
      <c r="Q799" s="34" t="s">
        <v>2698</v>
      </c>
      <c r="R799" s="34" t="s">
        <v>2699</v>
      </c>
      <c r="S799" s="34" t="s">
        <v>63</v>
      </c>
      <c r="T799" s="34">
        <v>20100511</v>
      </c>
      <c r="U799" s="45">
        <v>2.5583179940999998</v>
      </c>
      <c r="V799" s="46">
        <v>2.5939778471000001</v>
      </c>
      <c r="W799" s="34" t="s">
        <v>201</v>
      </c>
      <c r="X799" s="34" t="s">
        <v>44</v>
      </c>
      <c r="Y799" s="34" t="s">
        <v>45</v>
      </c>
      <c r="Z799" s="34" t="s">
        <v>65</v>
      </c>
      <c r="AA799" s="34"/>
      <c r="AB799" s="34"/>
      <c r="AC799" s="22">
        <v>0.90913017272949215</v>
      </c>
      <c r="AD799" s="23" t="s">
        <v>2700</v>
      </c>
      <c r="AE799" s="24">
        <v>4.2301369863013702</v>
      </c>
      <c r="AF799" s="25">
        <v>0.10771389971658918</v>
      </c>
      <c r="AG799" s="26">
        <v>0.28328886966968314</v>
      </c>
      <c r="AH799" s="26">
        <v>0.18153321048042059</v>
      </c>
      <c r="AI799" s="27">
        <v>0.48469292376519257</v>
      </c>
      <c r="AJ799" s="27">
        <v>0.94557962664698592</v>
      </c>
      <c r="AK799" s="27">
        <v>0.71451701499900999</v>
      </c>
      <c r="AL799" s="28" t="s">
        <v>110</v>
      </c>
      <c r="AM799" s="29">
        <v>4</v>
      </c>
      <c r="AN799" s="29">
        <v>4</v>
      </c>
      <c r="AO799" s="29" t="s">
        <v>48</v>
      </c>
      <c r="AP799" s="47" t="s">
        <v>2701</v>
      </c>
      <c r="AQ799" s="28">
        <v>0</v>
      </c>
      <c r="AR799" s="26">
        <v>1.4999999999999999E-2</v>
      </c>
      <c r="AS799" s="26">
        <v>0</v>
      </c>
    </row>
    <row r="800" spans="1:45" x14ac:dyDescent="0.15">
      <c r="A800" s="64">
        <v>103</v>
      </c>
      <c r="B800" s="64">
        <v>220</v>
      </c>
      <c r="C800" s="11">
        <v>2190</v>
      </c>
      <c r="D800" s="61">
        <v>515</v>
      </c>
      <c r="E800" s="61">
        <v>-1.52836917861194E-3</v>
      </c>
      <c r="F800" s="61">
        <v>51</v>
      </c>
      <c r="G800" s="61">
        <v>0.34344112690188699</v>
      </c>
      <c r="H800" s="66">
        <v>314</v>
      </c>
      <c r="I800" s="66" t="str">
        <f>H800&amp;"/"&amp;451</f>
        <v>314/451</v>
      </c>
      <c r="J800" s="68">
        <f>H800/451</f>
        <v>0.69623059866962311</v>
      </c>
      <c r="K800" s="18" t="s">
        <v>44</v>
      </c>
      <c r="L800" s="18" t="s">
        <v>87</v>
      </c>
      <c r="M800" s="58" t="s">
        <v>65</v>
      </c>
      <c r="N800" s="18">
        <f>[1]!f_prt_stocktonav(C800,"2017/03/31")</f>
        <v>91.424301147460938</v>
      </c>
      <c r="O800" s="20" t="str">
        <f>[1]!f_info_fundmanager(C800)</f>
        <v>顾旭俊</v>
      </c>
      <c r="P800" s="21">
        <v>1.0054794520547945</v>
      </c>
      <c r="Q800" s="34" t="s">
        <v>551</v>
      </c>
      <c r="R800" s="34" t="s">
        <v>552</v>
      </c>
      <c r="S800" s="34" t="s">
        <v>424</v>
      </c>
      <c r="T800" s="34">
        <v>20160329</v>
      </c>
      <c r="U800" s="45">
        <v>1.9357459883000001</v>
      </c>
      <c r="V800" s="46">
        <v>2.3931938747000001</v>
      </c>
      <c r="W800" s="34" t="s">
        <v>3776</v>
      </c>
      <c r="X800" s="34" t="s">
        <v>44</v>
      </c>
      <c r="Y800" s="34" t="s">
        <v>87</v>
      </c>
      <c r="Z800" s="34" t="s">
        <v>65</v>
      </c>
      <c r="AA800" s="34" t="s">
        <v>3783</v>
      </c>
      <c r="AB800" s="34"/>
      <c r="AC800" s="22">
        <v>0.75234107971191411</v>
      </c>
      <c r="AD800" s="23" t="s">
        <v>554</v>
      </c>
      <c r="AE800" s="24">
        <v>0.77534246575342469</v>
      </c>
      <c r="AF800" s="25">
        <v>-2.3696801979681825E-2</v>
      </c>
      <c r="AG800" s="26">
        <v>0</v>
      </c>
      <c r="AH800" s="26">
        <v>0</v>
      </c>
      <c r="AI800" s="27">
        <v>-0.45135404663293338</v>
      </c>
      <c r="AJ800" s="27">
        <v>-0.45135404663293338</v>
      </c>
      <c r="AK800" s="27">
        <v>-0.45135404663293338</v>
      </c>
      <c r="AL800" s="33" t="s">
        <v>555</v>
      </c>
      <c r="AM800" s="29" t="s">
        <v>48</v>
      </c>
      <c r="AN800" s="29" t="s">
        <v>48</v>
      </c>
      <c r="AO800" s="29" t="s">
        <v>48</v>
      </c>
      <c r="AP800" s="47" t="s">
        <v>427</v>
      </c>
      <c r="AQ800" s="28">
        <v>0</v>
      </c>
      <c r="AR800" s="26">
        <v>1.4999999999999999E-2</v>
      </c>
      <c r="AS800" s="26">
        <v>0</v>
      </c>
    </row>
    <row r="801" spans="1:45" x14ac:dyDescent="0.15">
      <c r="A801" s="64">
        <v>397</v>
      </c>
      <c r="B801" s="64">
        <v>746</v>
      </c>
      <c r="C801" s="11">
        <v>684</v>
      </c>
      <c r="D801" s="61">
        <v>518</v>
      </c>
      <c r="E801" s="61">
        <v>-1.5515062314443999E-3</v>
      </c>
      <c r="F801" s="61">
        <v>120</v>
      </c>
      <c r="G801" s="61">
        <v>0.26168123021433798</v>
      </c>
      <c r="H801" s="66">
        <v>315</v>
      </c>
      <c r="I801" s="66" t="str">
        <f>H801&amp;"/"&amp;451</f>
        <v>315/451</v>
      </c>
      <c r="J801" s="68">
        <f>H801/451</f>
        <v>0.69844789356984482</v>
      </c>
      <c r="K801" s="18" t="s">
        <v>44</v>
      </c>
      <c r="L801" s="18" t="s">
        <v>45</v>
      </c>
      <c r="M801" s="58" t="s">
        <v>65</v>
      </c>
      <c r="N801" s="18">
        <f>[1]!f_prt_stocktonav(C801,"2017/03/31")</f>
        <v>78.424789428710938</v>
      </c>
      <c r="O801" s="20" t="str">
        <f>[1]!f_info_fundmanager(C801)</f>
        <v>刘旭明</v>
      </c>
      <c r="P801" s="21">
        <v>2.3479452054794518</v>
      </c>
      <c r="Q801" s="34" t="s">
        <v>1716</v>
      </c>
      <c r="R801" s="34" t="s">
        <v>1717</v>
      </c>
      <c r="S801" s="34" t="s">
        <v>364</v>
      </c>
      <c r="T801" s="34">
        <v>20141125</v>
      </c>
      <c r="U801" s="45">
        <v>0.93502319249999999</v>
      </c>
      <c r="V801" s="46">
        <v>1.2653828484</v>
      </c>
      <c r="W801" s="34" t="s">
        <v>3789</v>
      </c>
      <c r="X801" s="34" t="s">
        <v>44</v>
      </c>
      <c r="Y801" s="34" t="s">
        <v>45</v>
      </c>
      <c r="Z801" s="34" t="s">
        <v>65</v>
      </c>
      <c r="AA801" s="34"/>
      <c r="AB801" s="34"/>
      <c r="AC801" s="22">
        <v>0.76077354431152344</v>
      </c>
      <c r="AD801" s="23" t="s">
        <v>1718</v>
      </c>
      <c r="AE801" s="24">
        <v>2.117808219178082</v>
      </c>
      <c r="AF801" s="25">
        <v>0.10338821414142153</v>
      </c>
      <c r="AG801" s="26">
        <v>0</v>
      </c>
      <c r="AH801" s="26">
        <v>0</v>
      </c>
      <c r="AI801" s="27">
        <v>0.44149181600369425</v>
      </c>
      <c r="AJ801" s="27">
        <v>0.44149181600369425</v>
      </c>
      <c r="AK801" s="27">
        <v>0.44149181600369425</v>
      </c>
      <c r="AL801" s="28" t="s">
        <v>346</v>
      </c>
      <c r="AM801" s="29" t="s">
        <v>48</v>
      </c>
      <c r="AN801" s="29" t="s">
        <v>48</v>
      </c>
      <c r="AO801" s="29" t="s">
        <v>48</v>
      </c>
      <c r="AP801" s="47" t="s">
        <v>367</v>
      </c>
      <c r="AQ801" s="28">
        <v>0</v>
      </c>
      <c r="AR801" s="26">
        <v>1.4999999999999999E-2</v>
      </c>
      <c r="AS801" s="26">
        <v>0</v>
      </c>
    </row>
    <row r="802" spans="1:45" x14ac:dyDescent="0.15">
      <c r="A802" s="64">
        <v>512</v>
      </c>
      <c r="B802" s="64">
        <v>203</v>
      </c>
      <c r="C802" s="11">
        <v>62</v>
      </c>
      <c r="D802" s="61">
        <v>523</v>
      </c>
      <c r="E802" s="61">
        <v>-1.58264868756517E-3</v>
      </c>
      <c r="F802" s="61">
        <v>49</v>
      </c>
      <c r="G802" s="61">
        <v>0.192749848678855</v>
      </c>
      <c r="H802" s="66">
        <v>316</v>
      </c>
      <c r="I802" s="66" t="str">
        <f>H802&amp;"/"&amp;451</f>
        <v>316/451</v>
      </c>
      <c r="J802" s="68">
        <f>H802/451</f>
        <v>0.70066518847006654</v>
      </c>
      <c r="K802" s="18" t="s">
        <v>44</v>
      </c>
      <c r="L802" s="18" t="s">
        <v>64</v>
      </c>
      <c r="M802" s="58" t="s">
        <v>65</v>
      </c>
      <c r="N802" s="18">
        <f>[1]!f_prt_stocktonav(C802,"2017/03/31")</f>
        <v>91.748023986816406</v>
      </c>
      <c r="O802" s="20" t="str">
        <f>[1]!f_info_fundmanager(C802)</f>
        <v>张凯</v>
      </c>
      <c r="P802" s="21">
        <v>0.93150684931506844</v>
      </c>
      <c r="Q802" s="34" t="s">
        <v>2144</v>
      </c>
      <c r="R802" s="34" t="s">
        <v>2145</v>
      </c>
      <c r="S802" s="34" t="s">
        <v>57</v>
      </c>
      <c r="T802" s="34">
        <v>20130522</v>
      </c>
      <c r="U802" s="45">
        <v>0.89989525260000003</v>
      </c>
      <c r="V802" s="46">
        <v>0.1180604848</v>
      </c>
      <c r="W802" s="34" t="s">
        <v>3776</v>
      </c>
      <c r="X802" s="34" t="s">
        <v>44</v>
      </c>
      <c r="Y802" s="34" t="s">
        <v>45</v>
      </c>
      <c r="Z802" s="34" t="s">
        <v>65</v>
      </c>
      <c r="AA802" s="34"/>
      <c r="AB802" s="34"/>
      <c r="AC802" s="22">
        <v>0.9427772521972656</v>
      </c>
      <c r="AD802" s="23" t="s">
        <v>2146</v>
      </c>
      <c r="AE802" s="24">
        <v>0.70136986301369864</v>
      </c>
      <c r="AF802" s="25">
        <v>6.2231734212083278E-2</v>
      </c>
      <c r="AG802" s="26">
        <v>7.3348614121986344E-2</v>
      </c>
      <c r="AH802" s="26">
        <v>0</v>
      </c>
      <c r="AI802" s="27">
        <v>0.55051526556096431</v>
      </c>
      <c r="AJ802" s="27">
        <v>0.6297695413655422</v>
      </c>
      <c r="AK802" s="27">
        <v>0.55051526556096431</v>
      </c>
      <c r="AL802" s="28" t="s">
        <v>602</v>
      </c>
      <c r="AM802" s="29" t="s">
        <v>48</v>
      </c>
      <c r="AN802" s="29" t="s">
        <v>48</v>
      </c>
      <c r="AO802" s="29" t="s">
        <v>48</v>
      </c>
      <c r="AP802" s="47" t="s">
        <v>2147</v>
      </c>
      <c r="AQ802" s="28">
        <v>0</v>
      </c>
      <c r="AR802" s="26">
        <v>1.4999999999999999E-2</v>
      </c>
      <c r="AS802" s="26">
        <v>0</v>
      </c>
    </row>
    <row r="803" spans="1:45" x14ac:dyDescent="0.15">
      <c r="A803" s="64">
        <v>529</v>
      </c>
      <c r="B803" s="64">
        <v>649</v>
      </c>
      <c r="C803" s="11">
        <v>487021</v>
      </c>
      <c r="D803" s="61">
        <v>524</v>
      </c>
      <c r="E803" s="61">
        <v>-1.59074001519533E-3</v>
      </c>
      <c r="F803" s="61">
        <v>10</v>
      </c>
      <c r="G803" s="61">
        <v>0.48614438769586099</v>
      </c>
      <c r="H803" s="66">
        <v>317</v>
      </c>
      <c r="I803" s="66" t="str">
        <f>H803&amp;"/"&amp;451</f>
        <v>317/451</v>
      </c>
      <c r="J803" s="68">
        <f>H803/451</f>
        <v>0.70288248337028825</v>
      </c>
      <c r="K803" s="18" t="s">
        <v>44</v>
      </c>
      <c r="L803" s="18" t="s">
        <v>45</v>
      </c>
      <c r="M803" s="58" t="s">
        <v>65</v>
      </c>
      <c r="N803" s="18">
        <f>[1]!f_prt_stocktonav(C803,"2017/03/31")</f>
        <v>81.423912048339844</v>
      </c>
      <c r="O803" s="20" t="str">
        <f>[1]!f_info_fundmanager(C803)</f>
        <v>胡志利</v>
      </c>
      <c r="P803" s="21">
        <v>0.17808219178082191</v>
      </c>
      <c r="Q803" s="34" t="s">
        <v>2201</v>
      </c>
      <c r="R803" s="34" t="s">
        <v>2202</v>
      </c>
      <c r="S803" s="34" t="s">
        <v>523</v>
      </c>
      <c r="T803" s="34">
        <v>20130207</v>
      </c>
      <c r="U803" s="45">
        <v>2.6963226619</v>
      </c>
      <c r="V803" s="46">
        <v>3.0659222534000001</v>
      </c>
      <c r="W803" s="34" t="s">
        <v>3776</v>
      </c>
      <c r="X803" s="34" t="s">
        <v>41</v>
      </c>
      <c r="Y803" s="34" t="s">
        <v>42</v>
      </c>
      <c r="Z803" s="34" t="s">
        <v>43</v>
      </c>
      <c r="AA803" s="34"/>
      <c r="AB803" s="34"/>
      <c r="AC803" s="22">
        <v>0.10814804077148438</v>
      </c>
      <c r="AD803" s="23" t="s">
        <v>2203</v>
      </c>
      <c r="AE803" s="24">
        <v>0.88219178082191785</v>
      </c>
      <c r="AF803" s="25">
        <v>4.971778658733994E-3</v>
      </c>
      <c r="AG803" s="26">
        <v>0</v>
      </c>
      <c r="AH803" s="26">
        <v>0</v>
      </c>
      <c r="AI803" s="27">
        <v>-0.30386072380883561</v>
      </c>
      <c r="AJ803" s="27">
        <v>-0.30386072380883561</v>
      </c>
      <c r="AK803" s="27">
        <v>-0.30386072380883561</v>
      </c>
      <c r="AL803" s="28" t="s">
        <v>226</v>
      </c>
      <c r="AM803" s="29" t="s">
        <v>48</v>
      </c>
      <c r="AN803" s="29" t="s">
        <v>48</v>
      </c>
      <c r="AO803" s="29" t="s">
        <v>48</v>
      </c>
      <c r="AP803" s="47" t="s">
        <v>2204</v>
      </c>
      <c r="AQ803" s="28">
        <v>0</v>
      </c>
      <c r="AR803" s="26">
        <v>1.4999999999999999E-2</v>
      </c>
      <c r="AS803" s="26">
        <v>0</v>
      </c>
    </row>
    <row r="804" spans="1:45" x14ac:dyDescent="0.15">
      <c r="A804" s="64">
        <v>564</v>
      </c>
      <c r="B804" s="64">
        <v>596</v>
      </c>
      <c r="C804" s="11">
        <v>481017</v>
      </c>
      <c r="D804" s="61">
        <v>528</v>
      </c>
      <c r="E804" s="61">
        <v>-1.6088901426864299E-3</v>
      </c>
      <c r="F804" s="61">
        <v>253</v>
      </c>
      <c r="G804" s="61">
        <v>3.93764653963629E-2</v>
      </c>
      <c r="H804" s="66">
        <v>318</v>
      </c>
      <c r="I804" s="66" t="str">
        <f>H804&amp;"/"&amp;451</f>
        <v>318/451</v>
      </c>
      <c r="J804" s="68">
        <f>H804/451</f>
        <v>0.70509977827050996</v>
      </c>
      <c r="K804" s="18" t="s">
        <v>44</v>
      </c>
      <c r="L804" s="18" t="s">
        <v>64</v>
      </c>
      <c r="M804" s="58" t="s">
        <v>65</v>
      </c>
      <c r="N804" s="18">
        <f>[1]!f_prt_stocktonav(C804,"2017/03/31")</f>
        <v>82.939430236816406</v>
      </c>
      <c r="O804" s="20" t="str">
        <f>[1]!f_info_fundmanager(C804)</f>
        <v>游凛峰</v>
      </c>
      <c r="P804" s="21">
        <v>4.9315068493150687</v>
      </c>
      <c r="Q804" s="34" t="s">
        <v>2326</v>
      </c>
      <c r="R804" s="34" t="s">
        <v>2327</v>
      </c>
      <c r="S804" s="34" t="s">
        <v>523</v>
      </c>
      <c r="T804" s="34">
        <v>20120426</v>
      </c>
      <c r="U804" s="45">
        <v>1.3917842360999999</v>
      </c>
      <c r="V804" s="46">
        <v>1.3369758598999999</v>
      </c>
      <c r="W804" s="34" t="s">
        <v>3776</v>
      </c>
      <c r="X804" s="34" t="s">
        <v>44</v>
      </c>
      <c r="Y804" s="34" t="s">
        <v>45</v>
      </c>
      <c r="Z804" s="34" t="s">
        <v>65</v>
      </c>
      <c r="AA804" s="34"/>
      <c r="AB804" s="34"/>
      <c r="AC804" s="22">
        <v>0.90525489807128912</v>
      </c>
      <c r="AD804" s="23" t="s">
        <v>2328</v>
      </c>
      <c r="AE804" s="24">
        <v>4.7013698630136984</v>
      </c>
      <c r="AF804" s="25">
        <v>0.14968809516542825</v>
      </c>
      <c r="AG804" s="26">
        <v>0.2273883072438263</v>
      </c>
      <c r="AH804" s="26">
        <v>0</v>
      </c>
      <c r="AI804" s="27">
        <v>0.59134523764561286</v>
      </c>
      <c r="AJ804" s="27">
        <v>0.76647495134565613</v>
      </c>
      <c r="AK804" s="27">
        <v>0.59134523764561286</v>
      </c>
      <c r="AL804" s="28" t="s">
        <v>2329</v>
      </c>
      <c r="AM804" s="29">
        <v>3</v>
      </c>
      <c r="AN804" s="29">
        <v>3</v>
      </c>
      <c r="AO804" s="29" t="s">
        <v>48</v>
      </c>
      <c r="AP804" s="47" t="s">
        <v>255</v>
      </c>
      <c r="AQ804" s="28">
        <v>0</v>
      </c>
      <c r="AR804" s="26">
        <v>1.4999999999999999E-2</v>
      </c>
      <c r="AS804" s="26">
        <v>0</v>
      </c>
    </row>
    <row r="805" spans="1:45" x14ac:dyDescent="0.15">
      <c r="A805" s="64">
        <v>888</v>
      </c>
      <c r="B805" s="64">
        <v>283</v>
      </c>
      <c r="C805" s="11">
        <v>519008</v>
      </c>
      <c r="D805" s="61">
        <v>529</v>
      </c>
      <c r="E805" s="61">
        <v>-1.6125658003101099E-3</v>
      </c>
      <c r="F805" s="61">
        <v>372</v>
      </c>
      <c r="G805" s="61">
        <v>3.6106301157502303E-2</v>
      </c>
      <c r="H805" s="66">
        <v>319</v>
      </c>
      <c r="I805" s="66" t="str">
        <f>H805&amp;"/"&amp;451</f>
        <v>319/451</v>
      </c>
      <c r="J805" s="68">
        <f>H805/451</f>
        <v>0.70731707317073167</v>
      </c>
      <c r="K805" s="18" t="s">
        <v>44</v>
      </c>
      <c r="L805" s="18" t="s">
        <v>45</v>
      </c>
      <c r="M805" s="58" t="s">
        <v>65</v>
      </c>
      <c r="N805" s="18">
        <f>[1]!f_prt_stocktonav(C805,"2017/03/31")</f>
        <v>89.749351501464844</v>
      </c>
      <c r="O805" s="20" t="str">
        <f>[1]!f_info_fundmanager(C805)</f>
        <v>王栩</v>
      </c>
      <c r="P805" s="21">
        <v>7.1534246575342468</v>
      </c>
      <c r="Q805" s="34" t="s">
        <v>3448</v>
      </c>
      <c r="R805" s="34" t="s">
        <v>3449</v>
      </c>
      <c r="S805" s="34" t="s">
        <v>331</v>
      </c>
      <c r="T805" s="34">
        <v>20050825</v>
      </c>
      <c r="U805" s="45">
        <v>16.347381473999999</v>
      </c>
      <c r="V805" s="46">
        <v>17.380423109700001</v>
      </c>
      <c r="W805" s="34" t="s">
        <v>231</v>
      </c>
      <c r="X805" s="34" t="s">
        <v>44</v>
      </c>
      <c r="Y805" s="34" t="s">
        <v>45</v>
      </c>
      <c r="Z805" s="34" t="s">
        <v>65</v>
      </c>
      <c r="AA805" s="34"/>
      <c r="AB805" s="34"/>
      <c r="AC805" s="22">
        <v>0.89817443847656253</v>
      </c>
      <c r="AD805" s="23" t="s">
        <v>2116</v>
      </c>
      <c r="AE805" s="24">
        <v>6.9232876712328766</v>
      </c>
      <c r="AF805" s="25">
        <v>0.21178958876244836</v>
      </c>
      <c r="AG805" s="26">
        <v>0.16936707368236714</v>
      </c>
      <c r="AH805" s="26">
        <v>0.15884133343567175</v>
      </c>
      <c r="AI805" s="27">
        <v>0.8194748940219182</v>
      </c>
      <c r="AJ805" s="27">
        <v>0.60231679562243678</v>
      </c>
      <c r="AK805" s="27">
        <v>0.62709908340104781</v>
      </c>
      <c r="AL805" s="28" t="s">
        <v>882</v>
      </c>
      <c r="AM805" s="29">
        <v>5</v>
      </c>
      <c r="AN805" s="29">
        <v>2</v>
      </c>
      <c r="AO805" s="29" t="s">
        <v>48</v>
      </c>
      <c r="AP805" s="47" t="s">
        <v>334</v>
      </c>
      <c r="AQ805" s="28" t="s">
        <v>3192</v>
      </c>
      <c r="AR805" s="26">
        <v>1.4999999999999999E-2</v>
      </c>
      <c r="AS805" s="26">
        <v>0</v>
      </c>
    </row>
    <row r="806" spans="1:45" x14ac:dyDescent="0.15">
      <c r="A806" s="64">
        <v>58</v>
      </c>
      <c r="B806" s="64">
        <v>294</v>
      </c>
      <c r="C806" s="11">
        <v>164403</v>
      </c>
      <c r="D806" s="61">
        <v>534</v>
      </c>
      <c r="E806" s="61">
        <v>-1.6337286164848201E-3</v>
      </c>
      <c r="F806" s="61">
        <v>35</v>
      </c>
      <c r="G806" s="61">
        <v>0.38046362956173901</v>
      </c>
      <c r="H806" s="66">
        <v>320</v>
      </c>
      <c r="I806" s="66" t="str">
        <f>H806&amp;"/"&amp;451</f>
        <v>320/451</v>
      </c>
      <c r="J806" s="68">
        <f>H806/451</f>
        <v>0.70953436807095349</v>
      </c>
      <c r="K806" s="18" t="s">
        <v>44</v>
      </c>
      <c r="L806" s="18" t="s">
        <v>87</v>
      </c>
      <c r="M806" s="58" t="s">
        <v>65</v>
      </c>
      <c r="N806" s="18">
        <f>[1]!f_prt_stocktonav(C806,"2017/03/31")</f>
        <v>89.544837951660156</v>
      </c>
      <c r="O806" s="20" t="str">
        <f>[1]!f_info_fundmanager(C806)</f>
        <v>柯海东</v>
      </c>
      <c r="P806" s="21">
        <v>0.69589041095890414</v>
      </c>
      <c r="Q806" s="34" t="s">
        <v>347</v>
      </c>
      <c r="R806" s="34" t="s">
        <v>348</v>
      </c>
      <c r="S806" s="34" t="s">
        <v>78</v>
      </c>
      <c r="T806" s="34">
        <v>20160720</v>
      </c>
      <c r="U806" s="45">
        <v>1.2613048673</v>
      </c>
      <c r="V806" s="46">
        <v>1.2653726122</v>
      </c>
      <c r="W806" s="34" t="s">
        <v>201</v>
      </c>
      <c r="X806" s="34" t="s">
        <v>44</v>
      </c>
      <c r="Y806" s="34" t="s">
        <v>87</v>
      </c>
      <c r="Z806" s="34" t="s">
        <v>65</v>
      </c>
      <c r="AA806" s="34" t="s">
        <v>3775</v>
      </c>
      <c r="AB806" s="34"/>
      <c r="AC806" s="22">
        <v>0.9490778350830078</v>
      </c>
      <c r="AD806" s="23" t="s">
        <v>350</v>
      </c>
      <c r="AE806" s="24">
        <v>0.46575342465753422</v>
      </c>
      <c r="AF806" s="25">
        <v>-2.3835047664831577E-2</v>
      </c>
      <c r="AG806" s="26">
        <v>0</v>
      </c>
      <c r="AH806" s="26">
        <v>0</v>
      </c>
      <c r="AI806" s="27">
        <v>-0.13078729931076338</v>
      </c>
      <c r="AJ806" s="27">
        <v>-0.13078729931076338</v>
      </c>
      <c r="AK806" s="27">
        <v>-0.13078729931076338</v>
      </c>
      <c r="AL806" s="33" t="s">
        <v>196</v>
      </c>
      <c r="AM806" s="29" t="s">
        <v>48</v>
      </c>
      <c r="AN806" s="29" t="s">
        <v>48</v>
      </c>
      <c r="AO806" s="29" t="s">
        <v>48</v>
      </c>
      <c r="AP806" s="47" t="s">
        <v>270</v>
      </c>
      <c r="AQ806" s="28">
        <v>0</v>
      </c>
      <c r="AR806" s="26">
        <v>1.4999999999999999E-2</v>
      </c>
      <c r="AS806" s="26">
        <v>0</v>
      </c>
    </row>
    <row r="807" spans="1:45" x14ac:dyDescent="0.15">
      <c r="A807" s="64">
        <v>290</v>
      </c>
      <c r="B807" s="64">
        <v>66</v>
      </c>
      <c r="C807" s="11">
        <v>1227</v>
      </c>
      <c r="D807" s="61">
        <v>540</v>
      </c>
      <c r="E807" s="61">
        <v>-1.66228976192166E-3</v>
      </c>
      <c r="F807" s="61">
        <v>96</v>
      </c>
      <c r="G807" s="61">
        <v>0.49992759064417203</v>
      </c>
      <c r="H807" s="66">
        <v>321</v>
      </c>
      <c r="I807" s="66" t="str">
        <f>H807&amp;"/"&amp;451</f>
        <v>321/451</v>
      </c>
      <c r="J807" s="68">
        <f>H807/451</f>
        <v>0.7117516629711752</v>
      </c>
      <c r="K807" s="18" t="s">
        <v>44</v>
      </c>
      <c r="L807" s="18" t="s">
        <v>86</v>
      </c>
      <c r="M807" s="58" t="s">
        <v>65</v>
      </c>
      <c r="N807" s="18">
        <f>[1]!f_prt_stocktonav(C807,"2017/03/31")</f>
        <v>94.112052917480469</v>
      </c>
      <c r="O807" s="20" t="str">
        <f>[1]!f_info_fundmanager(C807)</f>
        <v>任泽松,周楠</v>
      </c>
      <c r="P807" s="21">
        <v>1.8821917808219177</v>
      </c>
      <c r="Q807" s="34" t="s">
        <v>1323</v>
      </c>
      <c r="R807" s="34" t="s">
        <v>1324</v>
      </c>
      <c r="S807" s="34" t="s">
        <v>85</v>
      </c>
      <c r="T807" s="34">
        <v>20150514</v>
      </c>
      <c r="U807" s="45">
        <v>58.641798742100001</v>
      </c>
      <c r="V807" s="46">
        <v>68.249337346800004</v>
      </c>
      <c r="W807" s="34" t="s">
        <v>201</v>
      </c>
      <c r="X807" s="34" t="s">
        <v>44</v>
      </c>
      <c r="Y807" s="34" t="s">
        <v>45</v>
      </c>
      <c r="Z807" s="34" t="s">
        <v>274</v>
      </c>
      <c r="AA807" s="34"/>
      <c r="AB807" s="34"/>
      <c r="AC807" s="22">
        <v>0.88234123229980466</v>
      </c>
      <c r="AD807" s="23" t="s">
        <v>1325</v>
      </c>
      <c r="AE807" s="24">
        <v>1.6520547945205479</v>
      </c>
      <c r="AF807" s="25">
        <v>-0.16514271100741051</v>
      </c>
      <c r="AG807" s="26">
        <v>0</v>
      </c>
      <c r="AH807" s="26">
        <v>0</v>
      </c>
      <c r="AI807" s="27">
        <v>-0.27622466043142463</v>
      </c>
      <c r="AJ807" s="27">
        <v>-0.27622466043142463</v>
      </c>
      <c r="AK807" s="27">
        <v>-0.27622466043142463</v>
      </c>
      <c r="AL807" s="28" t="s">
        <v>1326</v>
      </c>
      <c r="AM807" s="29" t="s">
        <v>48</v>
      </c>
      <c r="AN807" s="29" t="s">
        <v>48</v>
      </c>
      <c r="AO807" s="29" t="s">
        <v>48</v>
      </c>
      <c r="AP807" s="47" t="s">
        <v>1271</v>
      </c>
      <c r="AQ807" s="28">
        <v>0</v>
      </c>
      <c r="AR807" s="26">
        <v>1.4999999999999999E-2</v>
      </c>
      <c r="AS807" s="26">
        <v>0</v>
      </c>
    </row>
    <row r="808" spans="1:45" x14ac:dyDescent="0.15">
      <c r="A808" s="64">
        <v>596</v>
      </c>
      <c r="B808" s="64">
        <v>45</v>
      </c>
      <c r="C808" s="11">
        <v>710001</v>
      </c>
      <c r="D808" s="61">
        <v>542</v>
      </c>
      <c r="E808" s="61">
        <v>-1.6670630025837599E-3</v>
      </c>
      <c r="F808" s="61">
        <v>64</v>
      </c>
      <c r="G808" s="61">
        <v>0.47063937513175702</v>
      </c>
      <c r="H808" s="66">
        <v>322</v>
      </c>
      <c r="I808" s="66" t="str">
        <f>H808&amp;"/"&amp;451</f>
        <v>322/451</v>
      </c>
      <c r="J808" s="68">
        <f>H808/451</f>
        <v>0.71396895787139691</v>
      </c>
      <c r="K808" s="18" t="s">
        <v>44</v>
      </c>
      <c r="L808" s="18" t="s">
        <v>45</v>
      </c>
      <c r="M808" s="58" t="s">
        <v>65</v>
      </c>
      <c r="N808" s="18">
        <f>[1]!f_prt_stocktonav(C808,"2017/03/31")</f>
        <v>94.363052368164062</v>
      </c>
      <c r="O808" s="20" t="str">
        <f>[1]!f_info_fundmanager(C808)</f>
        <v>吴战峰</v>
      </c>
      <c r="P808" s="21">
        <v>1.2246575342465753</v>
      </c>
      <c r="Q808" s="34" t="s">
        <v>2436</v>
      </c>
      <c r="R808" s="34" t="s">
        <v>2437</v>
      </c>
      <c r="S808" s="34" t="s">
        <v>98</v>
      </c>
      <c r="T808" s="34">
        <v>20110921</v>
      </c>
      <c r="U808" s="45">
        <v>15.5251224596</v>
      </c>
      <c r="V808" s="46">
        <v>17.122443486400002</v>
      </c>
      <c r="W808" s="34" t="s">
        <v>3776</v>
      </c>
      <c r="X808" s="34" t="s">
        <v>44</v>
      </c>
      <c r="Y808" s="34" t="s">
        <v>45</v>
      </c>
      <c r="Z808" s="34" t="s">
        <v>65</v>
      </c>
      <c r="AA808" s="34"/>
      <c r="AB808" s="34"/>
      <c r="AC808" s="22">
        <v>0.90923088073730474</v>
      </c>
      <c r="AD808" s="23" t="s">
        <v>2438</v>
      </c>
      <c r="AE808" s="24">
        <v>0.9945205479452055</v>
      </c>
      <c r="AF808" s="25">
        <v>0.10988908399009034</v>
      </c>
      <c r="AG808" s="26">
        <v>0.19811397860941793</v>
      </c>
      <c r="AH808" s="26">
        <v>0.12709189322722425</v>
      </c>
      <c r="AI808" s="27">
        <v>0.43115104231137003</v>
      </c>
      <c r="AJ808" s="27">
        <v>0.58285180627430466</v>
      </c>
      <c r="AK808" s="27">
        <v>0.46973865011646448</v>
      </c>
      <c r="AL808" s="28" t="s">
        <v>1750</v>
      </c>
      <c r="AM808" s="29">
        <v>2</v>
      </c>
      <c r="AN808" s="29">
        <v>2</v>
      </c>
      <c r="AO808" s="29" t="s">
        <v>48</v>
      </c>
      <c r="AP808" s="47" t="s">
        <v>310</v>
      </c>
      <c r="AQ808" s="28">
        <v>0</v>
      </c>
      <c r="AR808" s="26">
        <v>1.4999999999999999E-2</v>
      </c>
      <c r="AS808" s="26">
        <v>0</v>
      </c>
    </row>
    <row r="809" spans="1:45" x14ac:dyDescent="0.15">
      <c r="A809" s="64">
        <v>869</v>
      </c>
      <c r="B809" s="64">
        <v>739</v>
      </c>
      <c r="C809" s="11">
        <v>550001</v>
      </c>
      <c r="D809" s="61">
        <v>544</v>
      </c>
      <c r="E809" s="61">
        <v>-1.6758162579447299E-3</v>
      </c>
      <c r="F809" s="61">
        <v>357</v>
      </c>
      <c r="G809" s="61">
        <v>2.7296548242588401E-2</v>
      </c>
      <c r="H809" s="66">
        <v>323</v>
      </c>
      <c r="I809" s="66" t="str">
        <f>H809&amp;"/"&amp;451</f>
        <v>323/451</v>
      </c>
      <c r="J809" s="68">
        <f>H809/451</f>
        <v>0.71618625277161863</v>
      </c>
      <c r="K809" s="18" t="s">
        <v>44</v>
      </c>
      <c r="L809" s="18" t="s">
        <v>45</v>
      </c>
      <c r="M809" s="58" t="s">
        <v>65</v>
      </c>
      <c r="N809" s="18">
        <f>[1]!f_prt_stocktonav(C809,"2017/03/31")</f>
        <v>78.797554016113281</v>
      </c>
      <c r="O809" s="20" t="str">
        <f>[1]!f_info_fundmanager(C809)</f>
        <v>闾志刚</v>
      </c>
      <c r="P809" s="21">
        <v>6.8547945205479452</v>
      </c>
      <c r="Q809" s="34" t="s">
        <v>3374</v>
      </c>
      <c r="R809" s="34" t="s">
        <v>3375</v>
      </c>
      <c r="S809" s="34" t="s">
        <v>456</v>
      </c>
      <c r="T809" s="34">
        <v>20060429</v>
      </c>
      <c r="U809" s="45">
        <v>15.8948087331</v>
      </c>
      <c r="V809" s="46">
        <v>15.396823508800001</v>
      </c>
      <c r="W809" s="34" t="s">
        <v>231</v>
      </c>
      <c r="X809" s="34" t="s">
        <v>41</v>
      </c>
      <c r="Y809" s="34" t="s">
        <v>42</v>
      </c>
      <c r="Z809" s="34" t="s">
        <v>181</v>
      </c>
      <c r="AA809" s="34"/>
      <c r="AB809" s="34"/>
      <c r="AC809" s="22">
        <v>0.5065226364135742</v>
      </c>
      <c r="AD809" s="23" t="s">
        <v>3376</v>
      </c>
      <c r="AE809" s="24">
        <v>6.624657534246575</v>
      </c>
      <c r="AF809" s="25">
        <v>0.13166388122320138</v>
      </c>
      <c r="AG809" s="26">
        <v>0.1817591295168772</v>
      </c>
      <c r="AH809" s="26">
        <v>0.13478905898650684</v>
      </c>
      <c r="AI809" s="27">
        <v>0.55845563945999888</v>
      </c>
      <c r="AJ809" s="27">
        <v>0.64680617267793805</v>
      </c>
      <c r="AK809" s="27">
        <v>0.55328209243002036</v>
      </c>
      <c r="AL809" s="28" t="s">
        <v>3377</v>
      </c>
      <c r="AM809" s="29">
        <v>5</v>
      </c>
      <c r="AN809" s="29">
        <v>3</v>
      </c>
      <c r="AO809" s="29" t="s">
        <v>48</v>
      </c>
      <c r="AP809" s="47" t="s">
        <v>3378</v>
      </c>
      <c r="AQ809" s="28" t="s">
        <v>608</v>
      </c>
      <c r="AR809" s="26">
        <v>1.4999999999999999E-2</v>
      </c>
      <c r="AS809" s="26">
        <v>0</v>
      </c>
    </row>
    <row r="810" spans="1:45" x14ac:dyDescent="0.15">
      <c r="A810" s="64">
        <v>68</v>
      </c>
      <c r="B810" s="64">
        <v>190</v>
      </c>
      <c r="C810" s="11">
        <v>2692</v>
      </c>
      <c r="D810" s="61">
        <v>545</v>
      </c>
      <c r="E810" s="61">
        <v>-1.67660127332679E-3</v>
      </c>
      <c r="F810" s="61">
        <v>40</v>
      </c>
      <c r="G810" s="61">
        <v>0.49383764299446298</v>
      </c>
      <c r="H810" s="66">
        <v>324</v>
      </c>
      <c r="I810" s="66" t="str">
        <f>H810&amp;"/"&amp;451</f>
        <v>324/451</v>
      </c>
      <c r="J810" s="68">
        <f>H810/451</f>
        <v>0.71840354767184034</v>
      </c>
      <c r="K810" s="18" t="s">
        <v>44</v>
      </c>
      <c r="L810" s="18" t="s">
        <v>87</v>
      </c>
      <c r="M810" s="58" t="s">
        <v>65</v>
      </c>
      <c r="N810" s="18">
        <f>[1]!f_prt_stocktonav(C810,"2017/03/31")</f>
        <v>91.998130798339844</v>
      </c>
      <c r="O810" s="20" t="str">
        <f>[1]!f_info_fundmanager(C810)</f>
        <v>李元博</v>
      </c>
      <c r="P810" s="21">
        <v>0.78904109589041094</v>
      </c>
      <c r="Q810" s="34" t="s">
        <v>394</v>
      </c>
      <c r="R810" s="34" t="s">
        <v>395</v>
      </c>
      <c r="S810" s="34" t="s">
        <v>396</v>
      </c>
      <c r="T810" s="34">
        <v>20160616</v>
      </c>
      <c r="U810" s="45">
        <v>1.0444081298000001</v>
      </c>
      <c r="V810" s="46">
        <v>1.2683378520999999</v>
      </c>
      <c r="W810" s="34" t="s">
        <v>3776</v>
      </c>
      <c r="X810" s="34" t="s">
        <v>44</v>
      </c>
      <c r="Y810" s="17" t="s">
        <v>45</v>
      </c>
      <c r="Z810" s="17" t="s">
        <v>65</v>
      </c>
      <c r="AA810" s="34"/>
      <c r="AB810" s="34"/>
      <c r="AC810" s="22">
        <v>0.93905487060546877</v>
      </c>
      <c r="AD810" s="23" t="s">
        <v>397</v>
      </c>
      <c r="AE810" s="24">
        <v>0.55890410958904113</v>
      </c>
      <c r="AF810" s="25">
        <v>-0.25936444414935522</v>
      </c>
      <c r="AG810" s="26">
        <v>0</v>
      </c>
      <c r="AH810" s="26">
        <v>0</v>
      </c>
      <c r="AI810" s="27">
        <v>-2.3080643697427035</v>
      </c>
      <c r="AJ810" s="27">
        <v>-2.3080643697427035</v>
      </c>
      <c r="AK810" s="27">
        <v>-2.3080643697427035</v>
      </c>
      <c r="AL810" s="28" t="s">
        <v>398</v>
      </c>
      <c r="AM810" s="29" t="s">
        <v>48</v>
      </c>
      <c r="AN810" s="29" t="s">
        <v>48</v>
      </c>
      <c r="AO810" s="29" t="s">
        <v>48</v>
      </c>
      <c r="AP810" s="47" t="s">
        <v>399</v>
      </c>
      <c r="AQ810" s="28">
        <v>0</v>
      </c>
      <c r="AR810" s="26">
        <v>1.4999999999999999E-2</v>
      </c>
      <c r="AS810" s="26">
        <v>0</v>
      </c>
    </row>
    <row r="811" spans="1:45" x14ac:dyDescent="0.15">
      <c r="A811" s="64">
        <v>757</v>
      </c>
      <c r="B811" s="64">
        <v>631</v>
      </c>
      <c r="C811" s="11">
        <v>481008</v>
      </c>
      <c r="D811" s="61">
        <v>548</v>
      </c>
      <c r="E811" s="61">
        <v>-1.6987047437427799E-3</v>
      </c>
      <c r="F811" s="61">
        <v>315</v>
      </c>
      <c r="G811" s="61">
        <v>8.8783721090709596E-3</v>
      </c>
      <c r="H811" s="66">
        <v>325</v>
      </c>
      <c r="I811" s="66" t="str">
        <f>H811&amp;"/"&amp;451</f>
        <v>325/451</v>
      </c>
      <c r="J811" s="68">
        <f>H811/451</f>
        <v>0.72062084257206205</v>
      </c>
      <c r="K811" s="18" t="s">
        <v>44</v>
      </c>
      <c r="L811" s="18" t="s">
        <v>45</v>
      </c>
      <c r="M811" s="58" t="s">
        <v>65</v>
      </c>
      <c r="N811" s="18">
        <f>[1]!f_prt_stocktonav(C811,"2017/03/31")</f>
        <v>82.054542541503906</v>
      </c>
      <c r="O811" s="20" t="str">
        <f>[1]!f_info_fundmanager(C811)</f>
        <v>胡文彪,王筱苓</v>
      </c>
      <c r="P811" s="21">
        <v>6.0465753424657533</v>
      </c>
      <c r="Q811" s="34" t="s">
        <v>2973</v>
      </c>
      <c r="R811" s="34" t="s">
        <v>2974</v>
      </c>
      <c r="S811" s="34" t="s">
        <v>523</v>
      </c>
      <c r="T811" s="34">
        <v>20080804</v>
      </c>
      <c r="U811" s="45">
        <v>3.4639784158000002</v>
      </c>
      <c r="V811" s="46">
        <v>3.4823979394000002</v>
      </c>
      <c r="W811" s="34" t="s">
        <v>231</v>
      </c>
      <c r="X811" s="34" t="s">
        <v>44</v>
      </c>
      <c r="Y811" s="34" t="s">
        <v>45</v>
      </c>
      <c r="Z811" s="34" t="s">
        <v>65</v>
      </c>
      <c r="AA811" s="34"/>
      <c r="AB811" s="34"/>
      <c r="AC811" s="22">
        <v>0.80491165161132816</v>
      </c>
      <c r="AD811" s="23" t="s">
        <v>2975</v>
      </c>
      <c r="AE811" s="24">
        <v>5.816438356164384</v>
      </c>
      <c r="AF811" s="25">
        <v>5.5238286176459761E-2</v>
      </c>
      <c r="AG811" s="26">
        <v>0.13899462342362212</v>
      </c>
      <c r="AH811" s="26">
        <v>8.4579579220597445E-2</v>
      </c>
      <c r="AI811" s="27">
        <v>0.28321333399269216</v>
      </c>
      <c r="AJ811" s="27">
        <v>0.60372175889279855</v>
      </c>
      <c r="AK811" s="27">
        <v>0.40031771246140579</v>
      </c>
      <c r="AL811" s="28" t="s">
        <v>1459</v>
      </c>
      <c r="AM811" s="29">
        <v>2</v>
      </c>
      <c r="AN811" s="29">
        <v>3</v>
      </c>
      <c r="AO811" s="29" t="s">
        <v>48</v>
      </c>
      <c r="AP811" s="47" t="s">
        <v>255</v>
      </c>
      <c r="AQ811" s="28">
        <v>0</v>
      </c>
      <c r="AR811" s="26">
        <v>1.4999999999999999E-2</v>
      </c>
      <c r="AS811" s="26">
        <v>0</v>
      </c>
    </row>
    <row r="812" spans="1:45" x14ac:dyDescent="0.15">
      <c r="A812" s="64">
        <v>265</v>
      </c>
      <c r="B812" s="64">
        <v>951</v>
      </c>
      <c r="C812" s="11">
        <v>1004</v>
      </c>
      <c r="D812" s="61">
        <v>550</v>
      </c>
      <c r="E812" s="61">
        <v>-1.71707348565326E-3</v>
      </c>
      <c r="F812" s="61">
        <v>94</v>
      </c>
      <c r="G812" s="61">
        <v>0.29425811145137398</v>
      </c>
      <c r="H812" s="66">
        <v>326</v>
      </c>
      <c r="I812" s="66" t="str">
        <f>H812&amp;"/"&amp;451</f>
        <v>326/451</v>
      </c>
      <c r="J812" s="68">
        <f>H812/451</f>
        <v>0.72283813747228376</v>
      </c>
      <c r="K812" s="18" t="s">
        <v>44</v>
      </c>
      <c r="L812" s="18" t="s">
        <v>45</v>
      </c>
      <c r="M812" s="58" t="s">
        <v>65</v>
      </c>
      <c r="N812" s="18">
        <f>[1]!f_prt_stocktonav(C812,"2017/03/31")</f>
        <v>70.299369812011719</v>
      </c>
      <c r="O812" s="20" t="str">
        <f>[1]!f_info_fundmanager(C812)</f>
        <v>蔡春红,崔建波</v>
      </c>
      <c r="P812" s="21">
        <v>1.8410958904109589</v>
      </c>
      <c r="Q812" s="34" t="s">
        <v>1217</v>
      </c>
      <c r="R812" s="34" t="s">
        <v>1218</v>
      </c>
      <c r="S812" s="34" t="s">
        <v>569</v>
      </c>
      <c r="T812" s="34">
        <v>20150529</v>
      </c>
      <c r="U812" s="45">
        <v>4.2989944822000004</v>
      </c>
      <c r="V812" s="46">
        <v>4.3342386242000002</v>
      </c>
      <c r="W812" s="34" t="s">
        <v>1235</v>
      </c>
      <c r="X812" s="34" t="s">
        <v>44</v>
      </c>
      <c r="Y812" s="34" t="s">
        <v>45</v>
      </c>
      <c r="Z812" s="34" t="s">
        <v>274</v>
      </c>
      <c r="AA812" s="34"/>
      <c r="AB812" s="34"/>
      <c r="AC812" s="22">
        <v>0.71458374023437499</v>
      </c>
      <c r="AD812" s="23" t="s">
        <v>1220</v>
      </c>
      <c r="AE812" s="24">
        <v>1.6109589041095891</v>
      </c>
      <c r="AF812" s="25">
        <v>-0.11481468159878873</v>
      </c>
      <c r="AG812" s="26">
        <v>0</v>
      </c>
      <c r="AH812" s="26">
        <v>0</v>
      </c>
      <c r="AI812" s="27">
        <v>-0.50868610528452352</v>
      </c>
      <c r="AJ812" s="27">
        <v>-0.50868610528452352</v>
      </c>
      <c r="AK812" s="27">
        <v>-0.50868610528452352</v>
      </c>
      <c r="AL812" s="28" t="s">
        <v>1221</v>
      </c>
      <c r="AM812" s="29" t="s">
        <v>48</v>
      </c>
      <c r="AN812" s="29" t="s">
        <v>48</v>
      </c>
      <c r="AO812" s="29" t="s">
        <v>48</v>
      </c>
      <c r="AP812" s="47" t="s">
        <v>1222</v>
      </c>
      <c r="AQ812" s="28">
        <v>0</v>
      </c>
      <c r="AR812" s="26">
        <v>0.01</v>
      </c>
      <c r="AS812" s="26">
        <v>0</v>
      </c>
    </row>
    <row r="813" spans="1:45" x14ac:dyDescent="0.15">
      <c r="A813" s="64">
        <v>885</v>
      </c>
      <c r="B813" s="64">
        <v>414</v>
      </c>
      <c r="C813" s="11">
        <v>519001</v>
      </c>
      <c r="D813" s="61">
        <v>551</v>
      </c>
      <c r="E813" s="61">
        <v>-1.7184989431391199E-3</v>
      </c>
      <c r="F813" s="61">
        <v>287</v>
      </c>
      <c r="G813" s="61">
        <v>2.15467892760112E-2</v>
      </c>
      <c r="H813" s="66">
        <v>327</v>
      </c>
      <c r="I813" s="66" t="str">
        <f>H813&amp;"/"&amp;451</f>
        <v>327/451</v>
      </c>
      <c r="J813" s="68">
        <f>H813/451</f>
        <v>0.72505543237250558</v>
      </c>
      <c r="K813" s="18" t="s">
        <v>44</v>
      </c>
      <c r="L813" s="18" t="s">
        <v>45</v>
      </c>
      <c r="M813" s="58" t="s">
        <v>65</v>
      </c>
      <c r="N813" s="18">
        <f>[1]!f_prt_stocktonav(C813,"2017/03/31")</f>
        <v>87.076019287109375</v>
      </c>
      <c r="O813" s="20" t="str">
        <f>[1]!f_info_fundmanager(C813)</f>
        <v>倪明</v>
      </c>
      <c r="P813" s="21">
        <v>5.515068493150685</v>
      </c>
      <c r="Q813" s="34" t="s">
        <v>3438</v>
      </c>
      <c r="R813" s="34" t="s">
        <v>3439</v>
      </c>
      <c r="S813" s="34" t="s">
        <v>57</v>
      </c>
      <c r="T813" s="34">
        <v>20050927</v>
      </c>
      <c r="U813" s="45">
        <v>50.888589452600002</v>
      </c>
      <c r="V813" s="46">
        <v>54.880255091400002</v>
      </c>
      <c r="W813" s="34" t="s">
        <v>231</v>
      </c>
      <c r="X813" s="34" t="s">
        <v>44</v>
      </c>
      <c r="Y813" s="34" t="s">
        <v>45</v>
      </c>
      <c r="Z813" s="34" t="s">
        <v>65</v>
      </c>
      <c r="AA813" s="34"/>
      <c r="AB813" s="34"/>
      <c r="AC813" s="22">
        <v>0.85016578674316401</v>
      </c>
      <c r="AD813" s="23" t="s">
        <v>2835</v>
      </c>
      <c r="AE813" s="24">
        <v>5.2849315068493148</v>
      </c>
      <c r="AF813" s="25">
        <v>0.19738061532096562</v>
      </c>
      <c r="AG813" s="26">
        <v>0.14052468638668603</v>
      </c>
      <c r="AH813" s="26">
        <v>0.11892748908425066</v>
      </c>
      <c r="AI813" s="27">
        <v>0.75545124108903328</v>
      </c>
      <c r="AJ813" s="27">
        <v>0.54803536983910495</v>
      </c>
      <c r="AK813" s="27">
        <v>0.52312989199520532</v>
      </c>
      <c r="AL813" s="28" t="s">
        <v>110</v>
      </c>
      <c r="AM813" s="29">
        <v>3</v>
      </c>
      <c r="AN813" s="29">
        <v>3</v>
      </c>
      <c r="AO813" s="29" t="s">
        <v>48</v>
      </c>
      <c r="AP813" s="47" t="s">
        <v>3440</v>
      </c>
      <c r="AQ813" s="28">
        <v>0</v>
      </c>
      <c r="AR813" s="26">
        <v>1.4999999999999999E-2</v>
      </c>
      <c r="AS813" s="26">
        <v>0</v>
      </c>
    </row>
    <row r="814" spans="1:45" x14ac:dyDescent="0.15">
      <c r="A814" s="64">
        <v>735</v>
      </c>
      <c r="B814" s="64">
        <v>578</v>
      </c>
      <c r="C814" s="11">
        <v>110015</v>
      </c>
      <c r="D814" s="61">
        <v>552</v>
      </c>
      <c r="E814" s="61">
        <v>-1.7350066449373801E-3</v>
      </c>
      <c r="F814" s="61">
        <v>377</v>
      </c>
      <c r="G814" s="61">
        <v>6.8090252664889203E-2</v>
      </c>
      <c r="H814" s="66">
        <v>328</v>
      </c>
      <c r="I814" s="66" t="str">
        <f>H814&amp;"/"&amp;451</f>
        <v>328/451</v>
      </c>
      <c r="J814" s="68">
        <f>H814/451</f>
        <v>0.72727272727272729</v>
      </c>
      <c r="K814" s="18" t="s">
        <v>44</v>
      </c>
      <c r="L814" s="18" t="s">
        <v>45</v>
      </c>
      <c r="M814" s="58" t="s">
        <v>65</v>
      </c>
      <c r="N814" s="18">
        <f>[1]!f_prt_stocktonav(C814,"2017/03/31")</f>
        <v>83.325286865234375</v>
      </c>
      <c r="O814" s="20" t="str">
        <f>[1]!f_info_fundmanager(C814)</f>
        <v>冯波</v>
      </c>
      <c r="P814" s="21">
        <v>7.2493150684931509</v>
      </c>
      <c r="Q814" s="34" t="s">
        <v>2898</v>
      </c>
      <c r="R814" s="34" t="s">
        <v>2899</v>
      </c>
      <c r="S814" s="34" t="s">
        <v>218</v>
      </c>
      <c r="T814" s="34">
        <v>20090326</v>
      </c>
      <c r="U814" s="45">
        <v>5.8346648689</v>
      </c>
      <c r="V814" s="46">
        <v>6.1234340986999998</v>
      </c>
      <c r="W814" s="34" t="s">
        <v>231</v>
      </c>
      <c r="X814" s="34" t="s">
        <v>44</v>
      </c>
      <c r="Y814" s="34" t="s">
        <v>45</v>
      </c>
      <c r="Z814" s="34" t="s">
        <v>65</v>
      </c>
      <c r="AA814" s="34"/>
      <c r="AB814" s="34"/>
      <c r="AC814" s="22">
        <v>0.8315390777587891</v>
      </c>
      <c r="AD814" s="23" t="s">
        <v>2900</v>
      </c>
      <c r="AE814" s="24">
        <v>7.0191780821917806</v>
      </c>
      <c r="AF814" s="25">
        <v>9.1434603072799478E-2</v>
      </c>
      <c r="AG814" s="26">
        <v>0.10907727021541858</v>
      </c>
      <c r="AH814" s="26">
        <v>0.13012951666360695</v>
      </c>
      <c r="AI814" s="27">
        <v>0.4091758408287049</v>
      </c>
      <c r="AJ814" s="27">
        <v>0.42596934811030535</v>
      </c>
      <c r="AK814" s="27">
        <v>0.51905232680921343</v>
      </c>
      <c r="AL814" s="28" t="s">
        <v>1934</v>
      </c>
      <c r="AM814" s="29">
        <v>2</v>
      </c>
      <c r="AN814" s="29">
        <v>3</v>
      </c>
      <c r="AO814" s="29" t="s">
        <v>48</v>
      </c>
      <c r="AP814" s="47" t="s">
        <v>2457</v>
      </c>
      <c r="AQ814" s="28">
        <v>0</v>
      </c>
      <c r="AR814" s="26">
        <v>1.4999999999999999E-2</v>
      </c>
      <c r="AS814" s="26">
        <v>0</v>
      </c>
    </row>
    <row r="815" spans="1:45" x14ac:dyDescent="0.15">
      <c r="A815" s="64">
        <v>145</v>
      </c>
      <c r="B815" s="64">
        <v>53</v>
      </c>
      <c r="C815" s="11">
        <v>1605</v>
      </c>
      <c r="D815" s="61">
        <v>554</v>
      </c>
      <c r="E815" s="61">
        <v>-1.7540236452277399E-3</v>
      </c>
      <c r="F815" s="61">
        <v>60</v>
      </c>
      <c r="G815" s="61">
        <v>0.42608244909426302</v>
      </c>
      <c r="H815" s="66">
        <v>329</v>
      </c>
      <c r="I815" s="66" t="str">
        <f>H815&amp;"/"&amp;451</f>
        <v>329/451</v>
      </c>
      <c r="J815" s="68">
        <f>H815/451</f>
        <v>0.729490022172949</v>
      </c>
      <c r="K815" s="18" t="s">
        <v>44</v>
      </c>
      <c r="L815" s="18" t="s">
        <v>45</v>
      </c>
      <c r="M815" s="58" t="s">
        <v>65</v>
      </c>
      <c r="N815" s="18">
        <f>[1]!f_prt_stocktonav(C815,"2017/03/31")</f>
        <v>94.279861450195313</v>
      </c>
      <c r="O815" s="20" t="str">
        <f>[1]!f_info_fundmanager(C815)</f>
        <v>卫学海</v>
      </c>
      <c r="P815" s="21">
        <v>1.1945205479452055</v>
      </c>
      <c r="Q815" s="34" t="s">
        <v>740</v>
      </c>
      <c r="R815" s="34" t="s">
        <v>741</v>
      </c>
      <c r="S815" s="34" t="s">
        <v>742</v>
      </c>
      <c r="T815" s="34">
        <v>20160120</v>
      </c>
      <c r="U815" s="45">
        <v>0.24897397160000001</v>
      </c>
      <c r="V815" s="46">
        <v>0.51364634300000001</v>
      </c>
      <c r="W815" s="34" t="s">
        <v>3776</v>
      </c>
      <c r="X815" s="34" t="s">
        <v>44</v>
      </c>
      <c r="Y815" s="34" t="s">
        <v>45</v>
      </c>
      <c r="Z815" s="34" t="s">
        <v>65</v>
      </c>
      <c r="AA815" s="34"/>
      <c r="AB815" s="34"/>
      <c r="AC815" s="22">
        <v>0.94288879394531255</v>
      </c>
      <c r="AD815" s="23" t="s">
        <v>743</v>
      </c>
      <c r="AE815" s="24">
        <v>0.96438356164383565</v>
      </c>
      <c r="AF815" s="25">
        <v>-0.10699759032637435</v>
      </c>
      <c r="AG815" s="26">
        <v>0</v>
      </c>
      <c r="AH815" s="26">
        <v>0</v>
      </c>
      <c r="AI815" s="27">
        <v>-0.70952598873058015</v>
      </c>
      <c r="AJ815" s="27">
        <v>-0.70952598873058015</v>
      </c>
      <c r="AK815" s="27">
        <v>-0.70952598873058015</v>
      </c>
      <c r="AL815" s="28" t="s">
        <v>744</v>
      </c>
      <c r="AM815" s="29" t="s">
        <v>48</v>
      </c>
      <c r="AN815" s="29" t="s">
        <v>48</v>
      </c>
      <c r="AO815" s="29" t="s">
        <v>48</v>
      </c>
      <c r="AP815" s="47" t="s">
        <v>745</v>
      </c>
      <c r="AQ815" s="28">
        <v>0</v>
      </c>
      <c r="AR815" s="26">
        <v>1.4999999999999999E-2</v>
      </c>
      <c r="AS815" s="26">
        <v>0</v>
      </c>
    </row>
    <row r="816" spans="1:45" x14ac:dyDescent="0.15">
      <c r="A816" s="64">
        <v>877</v>
      </c>
      <c r="B816" s="64">
        <v>795</v>
      </c>
      <c r="C816" s="11">
        <v>270005</v>
      </c>
      <c r="D816" s="61">
        <v>555</v>
      </c>
      <c r="E816" s="61">
        <v>-1.7601734712216501E-3</v>
      </c>
      <c r="F816" s="61">
        <v>448</v>
      </c>
      <c r="G816" s="61">
        <v>1.35431817367081E-2</v>
      </c>
      <c r="H816" s="66">
        <v>330</v>
      </c>
      <c r="I816" s="66" t="str">
        <f>H816&amp;"/"&amp;451</f>
        <v>330/451</v>
      </c>
      <c r="J816" s="68">
        <f>H816/451</f>
        <v>0.73170731707317072</v>
      </c>
      <c r="K816" s="18" t="s">
        <v>44</v>
      </c>
      <c r="L816" s="18" t="s">
        <v>45</v>
      </c>
      <c r="M816" s="58" t="s">
        <v>65</v>
      </c>
      <c r="N816" s="18">
        <f>[1]!f_prt_stocktonav(C816,"2017/03/31")</f>
        <v>76.859855651855469</v>
      </c>
      <c r="O816" s="20" t="str">
        <f>[1]!f_info_fundmanager(C816)</f>
        <v>易阳方</v>
      </c>
      <c r="P816" s="21">
        <v>11.276712328767124</v>
      </c>
      <c r="Q816" s="34" t="s">
        <v>3406</v>
      </c>
      <c r="R816" s="34" t="s">
        <v>3407</v>
      </c>
      <c r="S816" s="34" t="s">
        <v>132</v>
      </c>
      <c r="T816" s="34">
        <v>20051223</v>
      </c>
      <c r="U816" s="45">
        <v>73.946973207200003</v>
      </c>
      <c r="V816" s="46">
        <v>80.673517275099996</v>
      </c>
      <c r="W816" s="34" t="s">
        <v>231</v>
      </c>
      <c r="X816" s="34" t="s">
        <v>41</v>
      </c>
      <c r="Y816" s="34" t="s">
        <v>42</v>
      </c>
      <c r="Z816" s="34" t="s">
        <v>181</v>
      </c>
      <c r="AA816" s="34"/>
      <c r="AB816" s="34"/>
      <c r="AC816" s="22">
        <v>0.6427206420898437</v>
      </c>
      <c r="AD816" s="23" t="s">
        <v>760</v>
      </c>
      <c r="AE816" s="24">
        <v>11.046575342465754</v>
      </c>
      <c r="AF816" s="25">
        <v>0.16585710620729355</v>
      </c>
      <c r="AG816" s="26">
        <v>9.4389088716454447E-2</v>
      </c>
      <c r="AH816" s="26">
        <v>8.1345477452086742E-2</v>
      </c>
      <c r="AI816" s="27">
        <v>0.63747496317030017</v>
      </c>
      <c r="AJ816" s="27">
        <v>0.39582051377999888</v>
      </c>
      <c r="AK816" s="27">
        <v>0.37302060274039844</v>
      </c>
      <c r="AL816" s="28" t="s">
        <v>957</v>
      </c>
      <c r="AM816" s="29">
        <v>2</v>
      </c>
      <c r="AN816" s="29">
        <v>3</v>
      </c>
      <c r="AO816" s="29" t="s">
        <v>48</v>
      </c>
      <c r="AP816" s="47" t="s">
        <v>287</v>
      </c>
      <c r="AQ816" s="28" t="s">
        <v>3115</v>
      </c>
      <c r="AR816" s="26">
        <v>1.4999999999999999E-2</v>
      </c>
      <c r="AS816" s="26">
        <v>0</v>
      </c>
    </row>
    <row r="817" spans="1:45" x14ac:dyDescent="0.15">
      <c r="A817" s="64">
        <v>56</v>
      </c>
      <c r="B817" s="64">
        <v>238</v>
      </c>
      <c r="C817" s="11">
        <v>2621</v>
      </c>
      <c r="D817" s="61">
        <v>558</v>
      </c>
      <c r="E817" s="61">
        <v>-1.784688456381E-3</v>
      </c>
      <c r="F817" s="61">
        <v>35</v>
      </c>
      <c r="G817" s="61">
        <v>0.37271888440381301</v>
      </c>
      <c r="H817" s="66">
        <v>331</v>
      </c>
      <c r="I817" s="66" t="str">
        <f>H817&amp;"/"&amp;451</f>
        <v>331/451</v>
      </c>
      <c r="J817" s="68">
        <f>H817/451</f>
        <v>0.73392461197339243</v>
      </c>
      <c r="K817" s="18" t="s">
        <v>44</v>
      </c>
      <c r="L817" s="18" t="s">
        <v>87</v>
      </c>
      <c r="M817" s="58" t="s">
        <v>65</v>
      </c>
      <c r="N817" s="18">
        <f>[1]!f_prt_stocktonav(C817,"2017/03/31")</f>
        <v>90.874969482421875</v>
      </c>
      <c r="O817" s="20" t="str">
        <f>[1]!f_info_fundmanager(C817)</f>
        <v>周晶</v>
      </c>
      <c r="P817" s="21">
        <v>0.69041095890410964</v>
      </c>
      <c r="Q817" s="34" t="s">
        <v>335</v>
      </c>
      <c r="R817" s="34" t="s">
        <v>336</v>
      </c>
      <c r="S817" s="34" t="s">
        <v>200</v>
      </c>
      <c r="T817" s="34">
        <v>20160722</v>
      </c>
      <c r="U817" s="45">
        <v>3.8698581969000001</v>
      </c>
      <c r="V817" s="46">
        <v>5.1237241703</v>
      </c>
      <c r="W817" s="34" t="s">
        <v>201</v>
      </c>
      <c r="X817" s="34" t="s">
        <v>44</v>
      </c>
      <c r="Y817" s="34" t="s">
        <v>87</v>
      </c>
      <c r="Z817" s="34" t="s">
        <v>337</v>
      </c>
      <c r="AA817" s="34" t="s">
        <v>3774</v>
      </c>
      <c r="AB817" s="34"/>
      <c r="AC817" s="22">
        <v>0.88061233520507809</v>
      </c>
      <c r="AD817" s="23" t="s">
        <v>339</v>
      </c>
      <c r="AE817" s="24">
        <v>0.46027397260273972</v>
      </c>
      <c r="AF817" s="25">
        <v>-3.9857839815165219E-2</v>
      </c>
      <c r="AG817" s="26">
        <v>0</v>
      </c>
      <c r="AH817" s="26">
        <v>0</v>
      </c>
      <c r="AI817" s="27">
        <v>-0.68869076091610848</v>
      </c>
      <c r="AJ817" s="27">
        <v>-0.68869076091610848</v>
      </c>
      <c r="AK817" s="27">
        <v>-0.68869076091610848</v>
      </c>
      <c r="AL817" s="33" t="s">
        <v>340</v>
      </c>
      <c r="AM817" s="29" t="s">
        <v>48</v>
      </c>
      <c r="AN817" s="29" t="s">
        <v>48</v>
      </c>
      <c r="AO817" s="29" t="s">
        <v>48</v>
      </c>
      <c r="AP817" s="47" t="s">
        <v>341</v>
      </c>
      <c r="AQ817" s="28">
        <v>0</v>
      </c>
      <c r="AR817" s="26">
        <v>1.4999999999999999E-2</v>
      </c>
      <c r="AS817" s="26">
        <v>0</v>
      </c>
    </row>
    <row r="818" spans="1:45" x14ac:dyDescent="0.15">
      <c r="A818" s="64">
        <v>804</v>
      </c>
      <c r="B818" s="64">
        <v>68</v>
      </c>
      <c r="C818" s="11">
        <v>519035</v>
      </c>
      <c r="D818" s="61">
        <v>559</v>
      </c>
      <c r="E818" s="61">
        <v>-1.8037933785078899E-3</v>
      </c>
      <c r="F818" s="61">
        <v>448</v>
      </c>
      <c r="G818" s="61">
        <v>3.4218869231587401E-2</v>
      </c>
      <c r="H818" s="66">
        <v>332</v>
      </c>
      <c r="I818" s="66" t="str">
        <f>H818&amp;"/"&amp;451</f>
        <v>332/451</v>
      </c>
      <c r="J818" s="68">
        <f>H818/451</f>
        <v>0.73614190687361414</v>
      </c>
      <c r="K818" s="18" t="s">
        <v>44</v>
      </c>
      <c r="L818" s="18" t="s">
        <v>87</v>
      </c>
      <c r="M818" s="58" t="s">
        <v>65</v>
      </c>
      <c r="N818" s="18">
        <f>[1]!f_prt_stocktonav(C818,"2017/03/31")</f>
        <v>94.087104797363281</v>
      </c>
      <c r="O818" s="20" t="str">
        <f>[1]!f_info_fundmanager(C818)</f>
        <v>毕天宇</v>
      </c>
      <c r="P818" s="21">
        <v>9.9342465753424651</v>
      </c>
      <c r="Q818" s="34" t="s">
        <v>3132</v>
      </c>
      <c r="R818" s="34" t="s">
        <v>3133</v>
      </c>
      <c r="S818" s="34" t="s">
        <v>396</v>
      </c>
      <c r="T818" s="34">
        <v>20070427</v>
      </c>
      <c r="U818" s="45">
        <v>18.788633617199999</v>
      </c>
      <c r="V818" s="46">
        <v>20.949929080699999</v>
      </c>
      <c r="W818" s="34" t="s">
        <v>231</v>
      </c>
      <c r="X818" s="34" t="s">
        <v>44</v>
      </c>
      <c r="Y818" s="34" t="s">
        <v>87</v>
      </c>
      <c r="Z818" s="34" t="s">
        <v>65</v>
      </c>
      <c r="AA818" s="34" t="s">
        <v>3134</v>
      </c>
      <c r="AB818" s="34"/>
      <c r="AC818" s="22">
        <v>0.94229820251464846</v>
      </c>
      <c r="AD818" s="23" t="s">
        <v>3135</v>
      </c>
      <c r="AE818" s="24">
        <v>9.7041095890410958</v>
      </c>
      <c r="AF818" s="25">
        <v>5.9282266568648101E-2</v>
      </c>
      <c r="AG818" s="26">
        <v>0.1626742095281033</v>
      </c>
      <c r="AH818" s="26">
        <v>0.1103715206824447</v>
      </c>
      <c r="AI818" s="27">
        <v>0.29404880475918893</v>
      </c>
      <c r="AJ818" s="27">
        <v>0.56642128851416085</v>
      </c>
      <c r="AK818" s="27">
        <v>0.44632204627750921</v>
      </c>
      <c r="AL818" s="33" t="s">
        <v>3136</v>
      </c>
      <c r="AM818" s="29">
        <v>2</v>
      </c>
      <c r="AN818" s="29">
        <v>3</v>
      </c>
      <c r="AO818" s="29" t="s">
        <v>48</v>
      </c>
      <c r="AP818" s="47" t="s">
        <v>3137</v>
      </c>
      <c r="AQ818" s="28" t="s">
        <v>608</v>
      </c>
      <c r="AR818" s="26">
        <v>1.4999999999999999E-2</v>
      </c>
      <c r="AS818" s="26">
        <v>0</v>
      </c>
    </row>
    <row r="819" spans="1:45" x14ac:dyDescent="0.15">
      <c r="A819" s="64">
        <v>200</v>
      </c>
      <c r="B819" s="64">
        <v>591</v>
      </c>
      <c r="C819" s="11">
        <v>1628</v>
      </c>
      <c r="D819" s="61">
        <v>560</v>
      </c>
      <c r="E819" s="61">
        <v>-1.8079299813949399E-3</v>
      </c>
      <c r="F819" s="61">
        <v>82</v>
      </c>
      <c r="G819" s="61">
        <v>0.48124486668906002</v>
      </c>
      <c r="H819" s="66">
        <v>333</v>
      </c>
      <c r="I819" s="66" t="str">
        <f>H819&amp;"/"&amp;451</f>
        <v>333/451</v>
      </c>
      <c r="J819" s="68">
        <f>H819/451</f>
        <v>0.73835920177383596</v>
      </c>
      <c r="K819" s="18" t="s">
        <v>44</v>
      </c>
      <c r="L819" s="18" t="s">
        <v>45</v>
      </c>
      <c r="M819" s="58" t="s">
        <v>65</v>
      </c>
      <c r="N819" s="18">
        <f>[1]!f_prt_stocktonav(C819,"2017/03/31")</f>
        <v>83.02947998046875</v>
      </c>
      <c r="O819" s="20" t="str">
        <f>[1]!f_info_fundmanager(C819)</f>
        <v>王宠,李佳存</v>
      </c>
      <c r="P819" s="21">
        <v>1.6191780821917807</v>
      </c>
      <c r="Q819" s="34" t="s">
        <v>958</v>
      </c>
      <c r="R819" s="34" t="s">
        <v>959</v>
      </c>
      <c r="S819" s="34" t="s">
        <v>165</v>
      </c>
      <c r="T819" s="34">
        <v>20150818</v>
      </c>
      <c r="U819" s="45">
        <v>0.76899938749999996</v>
      </c>
      <c r="V819" s="46">
        <v>0.84688148939999996</v>
      </c>
      <c r="W819" s="34" t="s">
        <v>1235</v>
      </c>
      <c r="X819" s="34" t="s">
        <v>44</v>
      </c>
      <c r="Y819" s="34" t="s">
        <v>45</v>
      </c>
      <c r="Z819" s="34" t="s">
        <v>65</v>
      </c>
      <c r="AA819" s="34"/>
      <c r="AB819" s="34"/>
      <c r="AC819" s="22">
        <v>0.88915092468261714</v>
      </c>
      <c r="AD819" s="23" t="s">
        <v>960</v>
      </c>
      <c r="AE819" s="24">
        <v>1.3890410958904109</v>
      </c>
      <c r="AF819" s="25">
        <v>-0.16916995370785018</v>
      </c>
      <c r="AG819" s="26">
        <v>0</v>
      </c>
      <c r="AH819" s="26">
        <v>0</v>
      </c>
      <c r="AI819" s="27">
        <v>-0.67451715342166807</v>
      </c>
      <c r="AJ819" s="27">
        <v>-0.67451715342166807</v>
      </c>
      <c r="AK819" s="27">
        <v>-0.67451715342166807</v>
      </c>
      <c r="AL819" s="28" t="s">
        <v>167</v>
      </c>
      <c r="AM819" s="29" t="s">
        <v>48</v>
      </c>
      <c r="AN819" s="29" t="s">
        <v>48</v>
      </c>
      <c r="AO819" s="29" t="s">
        <v>48</v>
      </c>
      <c r="AP819" s="47" t="s">
        <v>961</v>
      </c>
      <c r="AQ819" s="28">
        <v>0</v>
      </c>
      <c r="AR819" s="26">
        <v>1.4999999999999999E-2</v>
      </c>
      <c r="AS819" s="26">
        <v>0</v>
      </c>
    </row>
    <row r="820" spans="1:45" x14ac:dyDescent="0.15">
      <c r="A820" s="64">
        <v>857</v>
      </c>
      <c r="B820" s="64">
        <v>299</v>
      </c>
      <c r="C820" s="11">
        <v>519018</v>
      </c>
      <c r="D820" s="61">
        <v>562</v>
      </c>
      <c r="E820" s="61">
        <v>-1.83776945642549E-3</v>
      </c>
      <c r="F820" s="61">
        <v>32</v>
      </c>
      <c r="G820" s="61">
        <v>0.177615216723882</v>
      </c>
      <c r="H820" s="66">
        <v>334</v>
      </c>
      <c r="I820" s="66" t="str">
        <f>H820&amp;"/"&amp;451</f>
        <v>334/451</v>
      </c>
      <c r="J820" s="68">
        <f>H820/451</f>
        <v>0.74057649667405767</v>
      </c>
      <c r="K820" s="18" t="s">
        <v>44</v>
      </c>
      <c r="L820" s="18" t="s">
        <v>45</v>
      </c>
      <c r="M820" s="58" t="s">
        <v>65</v>
      </c>
      <c r="N820" s="18">
        <f>[1]!f_prt_stocktonav(C820,"2017/03/31")</f>
        <v>89.47412109375</v>
      </c>
      <c r="O820" s="20" t="str">
        <f>[1]!f_info_fundmanager(C820)</f>
        <v>佘中强</v>
      </c>
      <c r="P820" s="21">
        <v>0.6</v>
      </c>
      <c r="Q820" s="34" t="s">
        <v>3333</v>
      </c>
      <c r="R820" s="34" t="s">
        <v>3334</v>
      </c>
      <c r="S820" s="34" t="s">
        <v>331</v>
      </c>
      <c r="T820" s="34">
        <v>20060807</v>
      </c>
      <c r="U820" s="45">
        <v>50.611430754499999</v>
      </c>
      <c r="V820" s="46">
        <v>54.458610630199999</v>
      </c>
      <c r="W820" s="34" t="s">
        <v>231</v>
      </c>
      <c r="X820" s="34" t="s">
        <v>44</v>
      </c>
      <c r="Y820" s="34" t="s">
        <v>45</v>
      </c>
      <c r="Z820" s="34" t="s">
        <v>65</v>
      </c>
      <c r="AA820" s="34"/>
      <c r="AB820" s="34"/>
      <c r="AC820" s="22">
        <v>0.87381294250488284</v>
      </c>
      <c r="AD820" s="23" t="s">
        <v>3335</v>
      </c>
      <c r="AE820" s="24">
        <v>0.36986301369863012</v>
      </c>
      <c r="AF820" s="25">
        <v>0.12378000674284095</v>
      </c>
      <c r="AG820" s="26">
        <v>0.11820469662071066</v>
      </c>
      <c r="AH820" s="26">
        <v>0.10466095049675372</v>
      </c>
      <c r="AI820" s="27">
        <v>0.50756292480533316</v>
      </c>
      <c r="AJ820" s="27">
        <v>0.43606065646537945</v>
      </c>
      <c r="AK820" s="27">
        <v>0.4351875133067773</v>
      </c>
      <c r="AL820" s="28" t="s">
        <v>1459</v>
      </c>
      <c r="AM820" s="29">
        <v>2</v>
      </c>
      <c r="AN820" s="29">
        <v>2</v>
      </c>
      <c r="AO820" s="29" t="s">
        <v>48</v>
      </c>
      <c r="AP820" s="47" t="s">
        <v>334</v>
      </c>
      <c r="AQ820" s="28" t="s">
        <v>3192</v>
      </c>
      <c r="AR820" s="26">
        <v>1.4999999999999999E-2</v>
      </c>
      <c r="AS820" s="26">
        <v>0</v>
      </c>
    </row>
    <row r="821" spans="1:45" x14ac:dyDescent="0.15">
      <c r="A821" s="64">
        <v>858</v>
      </c>
      <c r="B821" s="64">
        <v>953</v>
      </c>
      <c r="C821" s="11">
        <v>202002</v>
      </c>
      <c r="D821" s="61">
        <v>563</v>
      </c>
      <c r="E821" s="61">
        <v>-1.8379533876310499E-3</v>
      </c>
      <c r="F821" s="61">
        <v>227</v>
      </c>
      <c r="G821" s="61">
        <v>1.3805696779391899E-2</v>
      </c>
      <c r="H821" s="66">
        <v>335</v>
      </c>
      <c r="I821" s="66" t="str">
        <f>H821&amp;"/"&amp;451</f>
        <v>335/451</v>
      </c>
      <c r="J821" s="68">
        <f>H821/451</f>
        <v>0.74279379157427938</v>
      </c>
      <c r="K821" s="18" t="s">
        <v>44</v>
      </c>
      <c r="L821" s="18" t="s">
        <v>45</v>
      </c>
      <c r="M821" s="58" t="s">
        <v>65</v>
      </c>
      <c r="N821" s="18">
        <f>[1]!f_prt_stocktonav(C821,"2017/03/31")</f>
        <v>70.271644592285156</v>
      </c>
      <c r="O821" s="20" t="str">
        <f>[1]!f_info_fundmanager(C821)</f>
        <v>应帅</v>
      </c>
      <c r="P821" s="21">
        <v>4.353424657534247</v>
      </c>
      <c r="Q821" s="34" t="s">
        <v>3336</v>
      </c>
      <c r="R821" s="34" t="s">
        <v>3337</v>
      </c>
      <c r="S821" s="34" t="s">
        <v>284</v>
      </c>
      <c r="T821" s="34">
        <v>20060725</v>
      </c>
      <c r="U821" s="45">
        <v>18.266844214199999</v>
      </c>
      <c r="V821" s="46">
        <v>18.804662049200001</v>
      </c>
      <c r="W821" s="34" t="s">
        <v>231</v>
      </c>
      <c r="X821" s="34" t="s">
        <v>41</v>
      </c>
      <c r="Y821" s="34" t="s">
        <v>42</v>
      </c>
      <c r="Z821" s="34" t="s">
        <v>181</v>
      </c>
      <c r="AA821" s="34"/>
      <c r="AB821" s="34"/>
      <c r="AC821" s="22">
        <v>0.68404029846191405</v>
      </c>
      <c r="AD821" s="23" t="s">
        <v>562</v>
      </c>
      <c r="AE821" s="24">
        <v>4.1232876712328768</v>
      </c>
      <c r="AF821" s="25">
        <v>8.9406810151796842E-2</v>
      </c>
      <c r="AG821" s="26">
        <v>0.15041246328449986</v>
      </c>
      <c r="AH821" s="26">
        <v>9.7360426639171008E-2</v>
      </c>
      <c r="AI821" s="27">
        <v>0.42349526372064472</v>
      </c>
      <c r="AJ821" s="27">
        <v>0.60952356655695572</v>
      </c>
      <c r="AK821" s="27">
        <v>0.45887324488983566</v>
      </c>
      <c r="AL821" s="28" t="s">
        <v>3338</v>
      </c>
      <c r="AM821" s="29">
        <v>3</v>
      </c>
      <c r="AN821" s="29">
        <v>2</v>
      </c>
      <c r="AO821" s="29" t="s">
        <v>48</v>
      </c>
      <c r="AP821" s="47" t="s">
        <v>3168</v>
      </c>
      <c r="AQ821" s="28">
        <v>0</v>
      </c>
      <c r="AR821" s="26">
        <v>1.4999999999999999E-2</v>
      </c>
      <c r="AS821" s="26">
        <v>0</v>
      </c>
    </row>
    <row r="822" spans="1:45" x14ac:dyDescent="0.15">
      <c r="A822" s="64">
        <v>862</v>
      </c>
      <c r="B822" s="64">
        <v>821</v>
      </c>
      <c r="C822" s="11">
        <v>240008</v>
      </c>
      <c r="D822" s="61">
        <v>565</v>
      </c>
      <c r="E822" s="61">
        <v>-1.8424018700447799E-3</v>
      </c>
      <c r="F822" s="61">
        <v>111</v>
      </c>
      <c r="G822" s="61">
        <v>9.9152975246611694E-2</v>
      </c>
      <c r="H822" s="66">
        <v>336</v>
      </c>
      <c r="I822" s="66" t="str">
        <f>H822&amp;"/"&amp;451</f>
        <v>336/451</v>
      </c>
      <c r="J822" s="68">
        <f>H822/451</f>
        <v>0.74501108647450109</v>
      </c>
      <c r="K822" s="18" t="s">
        <v>44</v>
      </c>
      <c r="L822" s="18" t="s">
        <v>87</v>
      </c>
      <c r="M822" s="58" t="s">
        <v>65</v>
      </c>
      <c r="N822" s="18">
        <f>[1]!f_prt_stocktonav(C822,"2017/03/31")</f>
        <v>75.8604736328125</v>
      </c>
      <c r="O822" s="20" t="str">
        <f>[1]!f_info_fundmanager(C822)</f>
        <v>毛文博,闫旭</v>
      </c>
      <c r="P822" s="21">
        <v>2.117808219178082</v>
      </c>
      <c r="Q822" s="34" t="s">
        <v>3350</v>
      </c>
      <c r="R822" s="34" t="s">
        <v>3351</v>
      </c>
      <c r="S822" s="34" t="s">
        <v>737</v>
      </c>
      <c r="T822" s="34">
        <v>20060615</v>
      </c>
      <c r="U822" s="45">
        <v>15.7553118096</v>
      </c>
      <c r="V822" s="46">
        <v>16.867694192199998</v>
      </c>
      <c r="W822" s="34" t="s">
        <v>231</v>
      </c>
      <c r="X822" s="34" t="s">
        <v>44</v>
      </c>
      <c r="Y822" s="34" t="s">
        <v>45</v>
      </c>
      <c r="Z822" s="34" t="s">
        <v>65</v>
      </c>
      <c r="AA822" s="34"/>
      <c r="AB822" s="34"/>
      <c r="AC822" s="22">
        <v>0.79826309204101564</v>
      </c>
      <c r="AD822" s="23" t="s">
        <v>3352</v>
      </c>
      <c r="AE822" s="24">
        <v>1.8876712328767122</v>
      </c>
      <c r="AF822" s="25">
        <v>0.17980507722686201</v>
      </c>
      <c r="AG822" s="26">
        <v>0.12252312872602245</v>
      </c>
      <c r="AH822" s="26">
        <v>0.17562685111895918</v>
      </c>
      <c r="AI822" s="27">
        <v>0.69002134024532413</v>
      </c>
      <c r="AJ822" s="27">
        <v>0.46484165076259149</v>
      </c>
      <c r="AK822" s="27">
        <v>0.69790481375462121</v>
      </c>
      <c r="AL822" s="28" t="s">
        <v>3353</v>
      </c>
      <c r="AM822" s="29">
        <v>5</v>
      </c>
      <c r="AN822" s="29">
        <v>1</v>
      </c>
      <c r="AO822" s="29" t="s">
        <v>48</v>
      </c>
      <c r="AP822" s="47" t="s">
        <v>739</v>
      </c>
      <c r="AQ822" s="28">
        <v>0</v>
      </c>
      <c r="AR822" s="26">
        <v>1.4999999999999999E-2</v>
      </c>
      <c r="AS822" s="26">
        <v>0</v>
      </c>
    </row>
    <row r="823" spans="1:45" x14ac:dyDescent="0.15">
      <c r="A823" s="64">
        <v>569</v>
      </c>
      <c r="B823" s="64">
        <v>901</v>
      </c>
      <c r="C823" s="11">
        <v>166011</v>
      </c>
      <c r="D823" s="61">
        <v>570</v>
      </c>
      <c r="E823" s="61">
        <v>-1.87366651358022E-3</v>
      </c>
      <c r="F823" s="61">
        <v>209</v>
      </c>
      <c r="G823" s="61">
        <v>9.0921453747096995E-2</v>
      </c>
      <c r="H823" s="66">
        <v>337</v>
      </c>
      <c r="I823" s="66" t="str">
        <f>H823&amp;"/"&amp;451</f>
        <v>337/451</v>
      </c>
      <c r="J823" s="68">
        <f>H823/451</f>
        <v>0.74722838137472281</v>
      </c>
      <c r="K823" s="18" t="s">
        <v>44</v>
      </c>
      <c r="L823" s="18" t="s">
        <v>45</v>
      </c>
      <c r="M823" s="58" t="s">
        <v>65</v>
      </c>
      <c r="N823" s="18">
        <f>[1]!f_prt_stocktonav(C823,"2017/03/31")</f>
        <v>72.530242919921875</v>
      </c>
      <c r="O823" s="20" t="str">
        <f>[1]!f_info_fundmanager(C823)</f>
        <v>魏博</v>
      </c>
      <c r="P823" s="21">
        <v>4.0082191780821921</v>
      </c>
      <c r="Q823" s="34" t="s">
        <v>2345</v>
      </c>
      <c r="R823" s="34" t="s">
        <v>2346</v>
      </c>
      <c r="S823" s="34" t="s">
        <v>200</v>
      </c>
      <c r="T823" s="34">
        <v>20120329</v>
      </c>
      <c r="U823" s="45">
        <v>35.193579719299997</v>
      </c>
      <c r="V823" s="46">
        <v>41.229328263900001</v>
      </c>
      <c r="W823" s="34" t="s">
        <v>3776</v>
      </c>
      <c r="X823" s="34" t="s">
        <v>44</v>
      </c>
      <c r="Y823" s="34" t="s">
        <v>45</v>
      </c>
      <c r="Z823" s="34" t="s">
        <v>65</v>
      </c>
      <c r="AA823" s="34"/>
      <c r="AB823" s="34"/>
      <c r="AC823" s="22">
        <v>0.77876907348632818</v>
      </c>
      <c r="AD823" s="23" t="s">
        <v>2347</v>
      </c>
      <c r="AE823" s="24">
        <v>3.7780821917808218</v>
      </c>
      <c r="AF823" s="25">
        <v>0.25903775994086509</v>
      </c>
      <c r="AG823" s="26">
        <v>0.28629361972228384</v>
      </c>
      <c r="AH823" s="26">
        <v>0</v>
      </c>
      <c r="AI823" s="27">
        <v>0.9156658902877115</v>
      </c>
      <c r="AJ823" s="27">
        <v>0.89769576056936773</v>
      </c>
      <c r="AK823" s="27">
        <v>0.9156658902877115</v>
      </c>
      <c r="AL823" s="28" t="s">
        <v>1868</v>
      </c>
      <c r="AM823" s="29">
        <v>5</v>
      </c>
      <c r="AN823" s="29">
        <v>2</v>
      </c>
      <c r="AO823" s="29" t="s">
        <v>48</v>
      </c>
      <c r="AP823" s="47" t="s">
        <v>2348</v>
      </c>
      <c r="AQ823" s="28">
        <v>0</v>
      </c>
      <c r="AR823" s="26">
        <v>1.4999999999999999E-2</v>
      </c>
      <c r="AS823" s="26">
        <v>0</v>
      </c>
    </row>
    <row r="824" spans="1:45" x14ac:dyDescent="0.15">
      <c r="A824" s="64">
        <v>780</v>
      </c>
      <c r="B824" s="64">
        <v>362</v>
      </c>
      <c r="C824" s="11">
        <v>121008</v>
      </c>
      <c r="D824" s="61">
        <v>572</v>
      </c>
      <c r="E824" s="61">
        <v>-1.88825335103714E-3</v>
      </c>
      <c r="F824" s="61">
        <v>352</v>
      </c>
      <c r="G824" s="61">
        <v>5.8979110233576995E-4</v>
      </c>
      <c r="H824" s="66">
        <v>338</v>
      </c>
      <c r="I824" s="66" t="str">
        <f>H824&amp;"/"&amp;451</f>
        <v>338/451</v>
      </c>
      <c r="J824" s="68">
        <f>H824/451</f>
        <v>0.74944567627494452</v>
      </c>
      <c r="K824" s="18" t="s">
        <v>44</v>
      </c>
      <c r="L824" s="18" t="s">
        <v>45</v>
      </c>
      <c r="M824" s="58" t="s">
        <v>65</v>
      </c>
      <c r="N824" s="18">
        <f>[1]!f_prt_stocktonav(C824,"2017/03/31")</f>
        <v>88.300933837890625</v>
      </c>
      <c r="O824" s="20" t="str">
        <f>[1]!f_info_fundmanager(C824)</f>
        <v>綦缚鹏,董晗</v>
      </c>
      <c r="P824" s="21">
        <v>6.7589041095890412</v>
      </c>
      <c r="Q824" s="34" t="s">
        <v>3048</v>
      </c>
      <c r="R824" s="34" t="s">
        <v>3049</v>
      </c>
      <c r="S824" s="34" t="s">
        <v>452</v>
      </c>
      <c r="T824" s="34">
        <v>20080110</v>
      </c>
      <c r="U824" s="45">
        <v>4.5876639783000002</v>
      </c>
      <c r="V824" s="46">
        <v>4.590319322</v>
      </c>
      <c r="W824" s="34" t="s">
        <v>231</v>
      </c>
      <c r="X824" s="34" t="s">
        <v>44</v>
      </c>
      <c r="Y824" s="34" t="s">
        <v>45</v>
      </c>
      <c r="Z824" s="34" t="s">
        <v>65</v>
      </c>
      <c r="AA824" s="34"/>
      <c r="AB824" s="34"/>
      <c r="AC824" s="22">
        <v>0.82589569091796877</v>
      </c>
      <c r="AD824" s="23" t="s">
        <v>3050</v>
      </c>
      <c r="AE824" s="24">
        <v>6.5287671232876709</v>
      </c>
      <c r="AF824" s="25">
        <v>1.7641108640564118E-2</v>
      </c>
      <c r="AG824" s="26">
        <v>0.1084439532753585</v>
      </c>
      <c r="AH824" s="26">
        <v>8.8373737795613541E-2</v>
      </c>
      <c r="AI824" s="27">
        <v>0.12866072740989912</v>
      </c>
      <c r="AJ824" s="27">
        <v>0.47961696224981926</v>
      </c>
      <c r="AK824" s="27">
        <v>0.42547681976025908</v>
      </c>
      <c r="AL824" s="28" t="s">
        <v>167</v>
      </c>
      <c r="AM824" s="29">
        <v>3</v>
      </c>
      <c r="AN824" s="29">
        <v>3</v>
      </c>
      <c r="AO824" s="29" t="s">
        <v>48</v>
      </c>
      <c r="AP824" s="47" t="s">
        <v>3051</v>
      </c>
      <c r="AQ824" s="28" t="s">
        <v>3052</v>
      </c>
      <c r="AR824" s="26">
        <v>1.4999999999999999E-2</v>
      </c>
      <c r="AS824" s="26">
        <v>0</v>
      </c>
    </row>
    <row r="825" spans="1:45" x14ac:dyDescent="0.15">
      <c r="A825" s="64">
        <v>948</v>
      </c>
      <c r="B825" s="64">
        <v>939</v>
      </c>
      <c r="C825" s="11">
        <v>202001</v>
      </c>
      <c r="D825" s="61">
        <v>574</v>
      </c>
      <c r="E825" s="61">
        <v>-1.8999404471961301E-3</v>
      </c>
      <c r="F825" s="61">
        <v>227</v>
      </c>
      <c r="G825" s="61">
        <v>1.05502708658303E-2</v>
      </c>
      <c r="H825" s="66">
        <v>339</v>
      </c>
      <c r="I825" s="66" t="str">
        <f>H825&amp;"/"&amp;451</f>
        <v>339/451</v>
      </c>
      <c r="J825" s="68">
        <f>H825/451</f>
        <v>0.75166297117516634</v>
      </c>
      <c r="K825" s="18" t="s">
        <v>44</v>
      </c>
      <c r="L825" s="18" t="s">
        <v>45</v>
      </c>
      <c r="M825" s="58" t="s">
        <v>65</v>
      </c>
      <c r="N825" s="18">
        <f>[1]!f_prt_stocktonav(C825,"2017/03/31")</f>
        <v>70.768753051757812</v>
      </c>
      <c r="O825" s="20" t="str">
        <f>[1]!f_info_fundmanager(C825)</f>
        <v>应帅</v>
      </c>
      <c r="P825" s="21">
        <v>4.353424657534247</v>
      </c>
      <c r="Q825" s="34" t="s">
        <v>3679</v>
      </c>
      <c r="R825" s="34" t="s">
        <v>3680</v>
      </c>
      <c r="S825" s="34" t="s">
        <v>284</v>
      </c>
      <c r="T825" s="34">
        <v>20010928</v>
      </c>
      <c r="U825" s="45">
        <v>20.201212982600001</v>
      </c>
      <c r="V825" s="46">
        <v>20.886393505200001</v>
      </c>
      <c r="W825" s="34" t="s">
        <v>231</v>
      </c>
      <c r="X825" s="34" t="s">
        <v>41</v>
      </c>
      <c r="Y825" s="34" t="s">
        <v>42</v>
      </c>
      <c r="Z825" s="34" t="s">
        <v>181</v>
      </c>
      <c r="AA825" s="34"/>
      <c r="AB825" s="34"/>
      <c r="AC825" s="22">
        <v>0.68887596130371098</v>
      </c>
      <c r="AD825" s="23" t="s">
        <v>562</v>
      </c>
      <c r="AE825" s="24">
        <v>4.1232876712328768</v>
      </c>
      <c r="AF825" s="25">
        <v>0.10298029580317468</v>
      </c>
      <c r="AG825" s="26">
        <v>0.15056245468114149</v>
      </c>
      <c r="AH825" s="26">
        <v>9.7635415995916977E-2</v>
      </c>
      <c r="AI825" s="27">
        <v>0.5007045701039553</v>
      </c>
      <c r="AJ825" s="27">
        <v>0.60822588498235353</v>
      </c>
      <c r="AK825" s="27">
        <v>0.45950381649610056</v>
      </c>
      <c r="AL825" s="28" t="s">
        <v>3338</v>
      </c>
      <c r="AM825" s="29">
        <v>3</v>
      </c>
      <c r="AN825" s="29">
        <v>3</v>
      </c>
      <c r="AO825" s="29" t="s">
        <v>48</v>
      </c>
      <c r="AP825" s="47" t="s">
        <v>3681</v>
      </c>
      <c r="AQ825" s="28">
        <v>0</v>
      </c>
      <c r="AR825" s="26">
        <v>1.4999999999999999E-2</v>
      </c>
      <c r="AS825" s="26">
        <v>0</v>
      </c>
    </row>
    <row r="826" spans="1:45" x14ac:dyDescent="0.15">
      <c r="A826" s="64">
        <v>834</v>
      </c>
      <c r="B826" s="64">
        <v>715</v>
      </c>
      <c r="C826" s="11">
        <v>320005</v>
      </c>
      <c r="D826" s="61">
        <v>575</v>
      </c>
      <c r="E826" s="61">
        <v>-1.90431968942782E-3</v>
      </c>
      <c r="F826" s="61">
        <v>315</v>
      </c>
      <c r="G826" s="61">
        <v>5.3013755637496397E-4</v>
      </c>
      <c r="H826" s="66">
        <v>340</v>
      </c>
      <c r="I826" s="66" t="str">
        <f>H826&amp;"/"&amp;451</f>
        <v>340/451</v>
      </c>
      <c r="J826" s="68">
        <f>H826/451</f>
        <v>0.75388026607538805</v>
      </c>
      <c r="K826" s="18" t="s">
        <v>44</v>
      </c>
      <c r="L826" s="18" t="s">
        <v>86</v>
      </c>
      <c r="M826" s="58" t="s">
        <v>65</v>
      </c>
      <c r="N826" s="18">
        <f>[1]!f_prt_stocktonav(C826,"2017/03/31")</f>
        <v>79.597297668457031</v>
      </c>
      <c r="O826" s="20" t="str">
        <f>[1]!f_info_fundmanager(C826)</f>
        <v>刘红辉</v>
      </c>
      <c r="P826" s="21">
        <v>6.043835616438356</v>
      </c>
      <c r="Q826" s="34" t="s">
        <v>3243</v>
      </c>
      <c r="R826" s="34" t="s">
        <v>3244</v>
      </c>
      <c r="S826" s="34" t="s">
        <v>955</v>
      </c>
      <c r="T826" s="34">
        <v>20061121</v>
      </c>
      <c r="U826" s="45">
        <v>23.419319340800001</v>
      </c>
      <c r="V826" s="46">
        <v>25.443466912600002</v>
      </c>
      <c r="W826" s="34" t="s">
        <v>231</v>
      </c>
      <c r="X826" s="34" t="s">
        <v>44</v>
      </c>
      <c r="Y826" s="34" t="s">
        <v>45</v>
      </c>
      <c r="Z826" s="34" t="s">
        <v>65</v>
      </c>
      <c r="AA826" s="34"/>
      <c r="AB826" s="34"/>
      <c r="AC826" s="22">
        <v>0.83743072509765626</v>
      </c>
      <c r="AD826" s="23" t="s">
        <v>3245</v>
      </c>
      <c r="AE826" s="24">
        <v>5.8136986301369866</v>
      </c>
      <c r="AF826" s="25">
        <v>8.812191379009772E-2</v>
      </c>
      <c r="AG826" s="26">
        <v>0.16553736456189938</v>
      </c>
      <c r="AH826" s="26">
        <v>9.1008880955972593E-2</v>
      </c>
      <c r="AI826" s="27">
        <v>0.40908251952043861</v>
      </c>
      <c r="AJ826" s="27">
        <v>0.73435942157925183</v>
      </c>
      <c r="AK826" s="27">
        <v>0.45576999464961682</v>
      </c>
      <c r="AL826" s="28" t="s">
        <v>3201</v>
      </c>
      <c r="AM826" s="29">
        <v>3</v>
      </c>
      <c r="AN826" s="29">
        <v>3</v>
      </c>
      <c r="AO826" s="29" t="s">
        <v>48</v>
      </c>
      <c r="AP826" s="47" t="s">
        <v>2920</v>
      </c>
      <c r="AQ826" s="28">
        <v>0</v>
      </c>
      <c r="AR826" s="26">
        <v>1.4999999999999999E-2</v>
      </c>
      <c r="AS826" s="26">
        <v>0</v>
      </c>
    </row>
    <row r="827" spans="1:45" x14ac:dyDescent="0.15">
      <c r="A827" s="64">
        <v>684</v>
      </c>
      <c r="B827" s="64">
        <v>32</v>
      </c>
      <c r="C827" s="11">
        <v>481010</v>
      </c>
      <c r="D827" s="61">
        <v>577</v>
      </c>
      <c r="E827" s="61">
        <v>-1.9164665931290801E-3</v>
      </c>
      <c r="F827" s="61">
        <v>285</v>
      </c>
      <c r="G827" s="61">
        <v>7.8525087430402502E-3</v>
      </c>
      <c r="H827" s="66">
        <v>341</v>
      </c>
      <c r="I827" s="66" t="str">
        <f>H827&amp;"/"&amp;451</f>
        <v>341/451</v>
      </c>
      <c r="J827" s="68">
        <f>H827/451</f>
        <v>0.75609756097560976</v>
      </c>
      <c r="K827" s="18" t="s">
        <v>44</v>
      </c>
      <c r="L827" s="18" t="s">
        <v>45</v>
      </c>
      <c r="M827" s="58" t="s">
        <v>65</v>
      </c>
      <c r="N827" s="18">
        <f>[1]!f_prt_stocktonav(C827,"2017/03/31")</f>
        <v>94.593276977539063</v>
      </c>
      <c r="O827" s="20" t="str">
        <f>[1]!f_info_fundmanager(C827)</f>
        <v>胡文彪,王筱苓</v>
      </c>
      <c r="P827" s="21">
        <v>5.4739726027397264</v>
      </c>
      <c r="Q827" s="34" t="s">
        <v>2730</v>
      </c>
      <c r="R827" s="34" t="s">
        <v>2731</v>
      </c>
      <c r="S827" s="34" t="s">
        <v>523</v>
      </c>
      <c r="T827" s="34">
        <v>20100210</v>
      </c>
      <c r="U827" s="45">
        <v>4.3973551183000001</v>
      </c>
      <c r="V827" s="46">
        <v>4.6820793581000002</v>
      </c>
      <c r="W827" s="34" t="s">
        <v>3776</v>
      </c>
      <c r="X827" s="34" t="s">
        <v>44</v>
      </c>
      <c r="Y827" s="34" t="s">
        <v>45</v>
      </c>
      <c r="Z827" s="34" t="s">
        <v>65</v>
      </c>
      <c r="AA827" s="34"/>
      <c r="AB827" s="34"/>
      <c r="AC827" s="22">
        <v>0.94309211730957032</v>
      </c>
      <c r="AD827" s="23" t="s">
        <v>2732</v>
      </c>
      <c r="AE827" s="24">
        <v>5.2438356164383562</v>
      </c>
      <c r="AF827" s="25">
        <v>5.6622033516103842E-2</v>
      </c>
      <c r="AG827" s="26">
        <v>0.19209863941764341</v>
      </c>
      <c r="AH827" s="26">
        <v>0.1394953130022929</v>
      </c>
      <c r="AI827" s="27">
        <v>0.28615852649871004</v>
      </c>
      <c r="AJ827" s="27">
        <v>0.62561647934189146</v>
      </c>
      <c r="AK827" s="27">
        <v>0.53763935664792228</v>
      </c>
      <c r="AL827" s="28" t="s">
        <v>2567</v>
      </c>
      <c r="AM827" s="29">
        <v>4</v>
      </c>
      <c r="AN827" s="29">
        <v>3</v>
      </c>
      <c r="AO827" s="29" t="s">
        <v>48</v>
      </c>
      <c r="AP827" s="47" t="s">
        <v>255</v>
      </c>
      <c r="AQ827" s="28">
        <v>0</v>
      </c>
      <c r="AR827" s="26">
        <v>1.4999999999999999E-2</v>
      </c>
      <c r="AS827" s="26">
        <v>0</v>
      </c>
    </row>
    <row r="828" spans="1:45" x14ac:dyDescent="0.15">
      <c r="A828" s="64">
        <v>915</v>
      </c>
      <c r="B828" s="64">
        <v>458</v>
      </c>
      <c r="C828" s="11">
        <v>50004</v>
      </c>
      <c r="D828" s="61">
        <v>578</v>
      </c>
      <c r="E828" s="61">
        <v>-1.93867037512015E-3</v>
      </c>
      <c r="F828" s="61">
        <v>171</v>
      </c>
      <c r="G828" s="61">
        <v>1.6242111317471102E-2</v>
      </c>
      <c r="H828" s="66">
        <v>342</v>
      </c>
      <c r="I828" s="66" t="str">
        <f>H828&amp;"/"&amp;451</f>
        <v>342/451</v>
      </c>
      <c r="J828" s="68">
        <f>H828/451</f>
        <v>0.75831485587583147</v>
      </c>
      <c r="K828" s="18" t="s">
        <v>44</v>
      </c>
      <c r="L828" s="18" t="s">
        <v>86</v>
      </c>
      <c r="M828" s="58" t="s">
        <v>65</v>
      </c>
      <c r="N828" s="18">
        <f>[1]!f_prt_stocktonav(C828,"2017/03/31")</f>
        <v>86.132286071777344</v>
      </c>
      <c r="O828" s="20" t="str">
        <f>[1]!f_info_fundmanager(C828)</f>
        <v>李权胜</v>
      </c>
      <c r="P828" s="21">
        <v>3.2821917808219179</v>
      </c>
      <c r="Q828" s="34" t="s">
        <v>3552</v>
      </c>
      <c r="R828" s="34" t="s">
        <v>3553</v>
      </c>
      <c r="S828" s="34" t="s">
        <v>413</v>
      </c>
      <c r="T828" s="34">
        <v>20040622</v>
      </c>
      <c r="U828" s="45">
        <v>39.129037864499999</v>
      </c>
      <c r="V828" s="46">
        <v>39.8755080456</v>
      </c>
      <c r="W828" s="34" t="s">
        <v>231</v>
      </c>
      <c r="X828" s="34" t="s">
        <v>44</v>
      </c>
      <c r="Y828" s="34" t="s">
        <v>45</v>
      </c>
      <c r="Z828" s="34" t="s">
        <v>65</v>
      </c>
      <c r="AA828" s="34"/>
      <c r="AB828" s="34"/>
      <c r="AC828" s="22">
        <v>0.88474838256835941</v>
      </c>
      <c r="AD828" s="23" t="s">
        <v>3554</v>
      </c>
      <c r="AE828" s="24">
        <v>3.0520547945205481</v>
      </c>
      <c r="AF828" s="25">
        <v>0.13843342246733803</v>
      </c>
      <c r="AG828" s="26">
        <v>0.18351319416178691</v>
      </c>
      <c r="AH828" s="26">
        <v>0.11046699469207644</v>
      </c>
      <c r="AI828" s="27">
        <v>0.61146763714715335</v>
      </c>
      <c r="AJ828" s="27">
        <v>0.72308521498779832</v>
      </c>
      <c r="AK828" s="27">
        <v>0.50321731244807477</v>
      </c>
      <c r="AL828" s="28" t="s">
        <v>3555</v>
      </c>
      <c r="AM828" s="29">
        <v>3</v>
      </c>
      <c r="AN828" s="29">
        <v>3</v>
      </c>
      <c r="AO828" s="29" t="s">
        <v>48</v>
      </c>
      <c r="AP828" s="47" t="s">
        <v>3556</v>
      </c>
      <c r="AQ828" s="28">
        <v>0</v>
      </c>
      <c r="AR828" s="26">
        <v>1.4999999999999999E-2</v>
      </c>
      <c r="AS828" s="26">
        <v>0</v>
      </c>
    </row>
    <row r="829" spans="1:45" x14ac:dyDescent="0.15">
      <c r="A829" s="64">
        <v>650</v>
      </c>
      <c r="B829" s="64">
        <v>408</v>
      </c>
      <c r="C829" s="11">
        <v>519983</v>
      </c>
      <c r="D829" s="61">
        <v>579</v>
      </c>
      <c r="E829" s="61">
        <v>-1.9562931826623601E-3</v>
      </c>
      <c r="F829" s="61">
        <v>107</v>
      </c>
      <c r="G829" s="61">
        <v>5.8006520570178403E-2</v>
      </c>
      <c r="H829" s="66">
        <v>343</v>
      </c>
      <c r="I829" s="66" t="str">
        <f>H829&amp;"/"&amp;451</f>
        <v>343/451</v>
      </c>
      <c r="J829" s="68">
        <f>H829/451</f>
        <v>0.76053215077605318</v>
      </c>
      <c r="K829" s="18" t="s">
        <v>44</v>
      </c>
      <c r="L829" s="18" t="s">
        <v>64</v>
      </c>
      <c r="M829" s="58" t="s">
        <v>65</v>
      </c>
      <c r="N829" s="18">
        <f>[1]!f_prt_stocktonav(C829,"2017/03/31")</f>
        <v>87.288963317871094</v>
      </c>
      <c r="O829" s="20" t="str">
        <f>[1]!f_info_fundmanager(C829)</f>
        <v>左金保</v>
      </c>
      <c r="P829" s="21">
        <v>2.0520547945205481</v>
      </c>
      <c r="Q829" s="34" t="s">
        <v>2623</v>
      </c>
      <c r="R829" s="34" t="s">
        <v>2624</v>
      </c>
      <c r="S829" s="34" t="s">
        <v>206</v>
      </c>
      <c r="T829" s="34">
        <v>20101118</v>
      </c>
      <c r="U829" s="45">
        <v>109.4407526087</v>
      </c>
      <c r="V829" s="46">
        <v>74.474449606600004</v>
      </c>
      <c r="W829" s="34" t="s">
        <v>3776</v>
      </c>
      <c r="X829" s="34" t="s">
        <v>44</v>
      </c>
      <c r="Y829" s="34" t="s">
        <v>45</v>
      </c>
      <c r="Z829" s="34" t="s">
        <v>65</v>
      </c>
      <c r="AA829" s="34"/>
      <c r="AB829" s="34"/>
      <c r="AC829" s="22">
        <v>0.8460810089111328</v>
      </c>
      <c r="AD829" s="23" t="s">
        <v>327</v>
      </c>
      <c r="AE829" s="24">
        <v>1.821917808219178</v>
      </c>
      <c r="AF829" s="25">
        <v>0.1778144189252</v>
      </c>
      <c r="AG829" s="26">
        <v>0.47515293427051897</v>
      </c>
      <c r="AH829" s="26">
        <v>0.30830754625405321</v>
      </c>
      <c r="AI829" s="27">
        <v>0.69662266324571032</v>
      </c>
      <c r="AJ829" s="27">
        <v>1.3265333982621079</v>
      </c>
      <c r="AK829" s="27">
        <v>1.0613091517702002</v>
      </c>
      <c r="AL829" s="28" t="s">
        <v>2271</v>
      </c>
      <c r="AM829" s="29">
        <v>5</v>
      </c>
      <c r="AN829" s="29">
        <v>5</v>
      </c>
      <c r="AO829" s="29" t="s">
        <v>48</v>
      </c>
      <c r="AP829" s="47" t="s">
        <v>209</v>
      </c>
      <c r="AQ829" s="28" t="s">
        <v>608</v>
      </c>
      <c r="AR829" s="26">
        <v>1.4999999999999999E-2</v>
      </c>
      <c r="AS829" s="26">
        <v>0</v>
      </c>
    </row>
    <row r="830" spans="1:45" x14ac:dyDescent="0.15">
      <c r="A830" s="64">
        <v>710</v>
      </c>
      <c r="B830" s="64">
        <v>20</v>
      </c>
      <c r="C830" s="11">
        <v>460007</v>
      </c>
      <c r="D830" s="61">
        <v>585</v>
      </c>
      <c r="E830" s="61">
        <v>-1.9725219560813002E-3</v>
      </c>
      <c r="F830" s="61">
        <v>384</v>
      </c>
      <c r="G830" s="61">
        <v>5.1014161817740301E-2</v>
      </c>
      <c r="H830" s="66">
        <v>344</v>
      </c>
      <c r="I830" s="66" t="str">
        <f>H830&amp;"/"&amp;451</f>
        <v>344/451</v>
      </c>
      <c r="J830" s="68">
        <f>H830/451</f>
        <v>0.7627494456762749</v>
      </c>
      <c r="K830" s="18" t="s">
        <v>44</v>
      </c>
      <c r="L830" s="18" t="s">
        <v>45</v>
      </c>
      <c r="M830" s="58" t="s">
        <v>65</v>
      </c>
      <c r="N830" s="18">
        <f>[1]!f_prt_stocktonav(C830,"2017/03/31")</f>
        <v>94.731697082519531</v>
      </c>
      <c r="O830" s="20" t="str">
        <f>[1]!f_info_fundmanager(C830)</f>
        <v>吕慧建,徐晓杰</v>
      </c>
      <c r="P830" s="21">
        <v>7.3698630136986303</v>
      </c>
      <c r="Q830" s="34" t="s">
        <v>2813</v>
      </c>
      <c r="R830" s="34" t="s">
        <v>2814</v>
      </c>
      <c r="S830" s="34" t="s">
        <v>880</v>
      </c>
      <c r="T830" s="34">
        <v>20090803</v>
      </c>
      <c r="U830" s="45">
        <v>1.6253750469999999</v>
      </c>
      <c r="V830" s="46">
        <v>1.7900423620999999</v>
      </c>
      <c r="W830" s="34" t="s">
        <v>3776</v>
      </c>
      <c r="X830" s="34" t="s">
        <v>44</v>
      </c>
      <c r="Y830" s="34" t="s">
        <v>45</v>
      </c>
      <c r="Z830" s="34" t="s">
        <v>65</v>
      </c>
      <c r="AA830" s="34"/>
      <c r="AB830" s="34"/>
      <c r="AC830" s="22">
        <v>0.94114349365234373</v>
      </c>
      <c r="AD830" s="23" t="s">
        <v>2815</v>
      </c>
      <c r="AE830" s="24">
        <v>7.13972602739726</v>
      </c>
      <c r="AF830" s="25">
        <v>2.3491394061326831E-2</v>
      </c>
      <c r="AG830" s="26">
        <v>0.11371139485173476</v>
      </c>
      <c r="AH830" s="26">
        <v>0.13098353514913241</v>
      </c>
      <c r="AI830" s="27">
        <v>0.20309449152537157</v>
      </c>
      <c r="AJ830" s="27">
        <v>0.4209214096158862</v>
      </c>
      <c r="AK830" s="27">
        <v>0.51219732966424447</v>
      </c>
      <c r="AL830" s="28" t="s">
        <v>2816</v>
      </c>
      <c r="AM830" s="29">
        <v>4</v>
      </c>
      <c r="AN830" s="29">
        <v>3</v>
      </c>
      <c r="AO830" s="29" t="s">
        <v>48</v>
      </c>
      <c r="AP830" s="47" t="s">
        <v>2817</v>
      </c>
      <c r="AQ830" s="28">
        <v>0</v>
      </c>
      <c r="AR830" s="26">
        <v>1.4999999999999999E-2</v>
      </c>
      <c r="AS830" s="26">
        <v>0</v>
      </c>
    </row>
    <row r="831" spans="1:45" x14ac:dyDescent="0.15">
      <c r="A831" s="64">
        <v>766</v>
      </c>
      <c r="B831" s="64">
        <v>562</v>
      </c>
      <c r="C831" s="11">
        <v>217010</v>
      </c>
      <c r="D831" s="61">
        <v>589</v>
      </c>
      <c r="E831" s="61">
        <v>-1.9981956784585401E-3</v>
      </c>
      <c r="F831" s="61">
        <v>104</v>
      </c>
      <c r="G831" s="61">
        <v>0.14945325916691299</v>
      </c>
      <c r="H831" s="66">
        <v>345</v>
      </c>
      <c r="I831" s="66" t="str">
        <f>H831&amp;"/"&amp;451</f>
        <v>345/451</v>
      </c>
      <c r="J831" s="68">
        <f>H831/451</f>
        <v>0.76496674057649672</v>
      </c>
      <c r="K831" s="18" t="s">
        <v>44</v>
      </c>
      <c r="L831" s="18" t="s">
        <v>45</v>
      </c>
      <c r="M831" s="58" t="s">
        <v>65</v>
      </c>
      <c r="N831" s="18">
        <f>[1]!f_prt_stocktonav(C831,"2017/03/31")</f>
        <v>83.826423645019531</v>
      </c>
      <c r="O831" s="20" t="str">
        <f>[1]!f_info_fundmanager(C831)</f>
        <v>郭锐</v>
      </c>
      <c r="P831" s="21">
        <v>2</v>
      </c>
      <c r="Q831" s="34" t="s">
        <v>3000</v>
      </c>
      <c r="R831" s="34" t="s">
        <v>3001</v>
      </c>
      <c r="S831" s="34" t="s">
        <v>165</v>
      </c>
      <c r="T831" s="34">
        <v>20080619</v>
      </c>
      <c r="U831" s="45">
        <v>8.2502379757999993</v>
      </c>
      <c r="V831" s="46">
        <v>9.9760072734000005</v>
      </c>
      <c r="W831" s="34" t="s">
        <v>231</v>
      </c>
      <c r="X831" s="34" t="s">
        <v>44</v>
      </c>
      <c r="Y831" s="34" t="s">
        <v>45</v>
      </c>
      <c r="Z831" s="34" t="s">
        <v>65</v>
      </c>
      <c r="AA831" s="34"/>
      <c r="AB831" s="34"/>
      <c r="AC831" s="22">
        <v>0.77094337463378904</v>
      </c>
      <c r="AD831" s="23" t="s">
        <v>3002</v>
      </c>
      <c r="AE831" s="24">
        <v>1.7698630136986302</v>
      </c>
      <c r="AF831" s="25">
        <v>9.8813362348070921E-2</v>
      </c>
      <c r="AG831" s="26">
        <v>0.17781024813014512</v>
      </c>
      <c r="AH831" s="26">
        <v>0.14579375712086717</v>
      </c>
      <c r="AI831" s="27">
        <v>0.46659144603023889</v>
      </c>
      <c r="AJ831" s="27">
        <v>0.72613675647714171</v>
      </c>
      <c r="AK831" s="27">
        <v>0.65103866877685745</v>
      </c>
      <c r="AL831" s="28" t="s">
        <v>3003</v>
      </c>
      <c r="AM831" s="29">
        <v>5</v>
      </c>
      <c r="AN831" s="29">
        <v>4</v>
      </c>
      <c r="AO831" s="29" t="s">
        <v>48</v>
      </c>
      <c r="AP831" s="47" t="s">
        <v>334</v>
      </c>
      <c r="AQ831" s="28">
        <v>0</v>
      </c>
      <c r="AR831" s="26">
        <v>1.4999999999999999E-2</v>
      </c>
      <c r="AS831" s="26">
        <v>0</v>
      </c>
    </row>
    <row r="832" spans="1:45" x14ac:dyDescent="0.15">
      <c r="A832" s="64">
        <v>939</v>
      </c>
      <c r="B832" s="64">
        <v>356</v>
      </c>
      <c r="C832" s="11">
        <v>162202</v>
      </c>
      <c r="D832" s="61">
        <v>590</v>
      </c>
      <c r="E832" s="61">
        <v>-2.0006370103836401E-3</v>
      </c>
      <c r="F832" s="61">
        <v>40</v>
      </c>
      <c r="G832" s="61">
        <v>0.20915126392504199</v>
      </c>
      <c r="H832" s="66">
        <v>346</v>
      </c>
      <c r="I832" s="66" t="str">
        <f>H832&amp;"/"&amp;451</f>
        <v>346/451</v>
      </c>
      <c r="J832" s="68">
        <f>H832/451</f>
        <v>0.76718403547671843</v>
      </c>
      <c r="K832" s="18" t="s">
        <v>44</v>
      </c>
      <c r="L832" s="18" t="s">
        <v>45</v>
      </c>
      <c r="M832" s="58" t="s">
        <v>65</v>
      </c>
      <c r="N832" s="18">
        <f>[1]!f_prt_stocktonav(C832,"2017/03/31")</f>
        <v>88.418258666992188</v>
      </c>
      <c r="O832" s="20" t="str">
        <f>[1]!f_info_fundmanager(C832)</f>
        <v>邓艺颖,赖庆鑫</v>
      </c>
      <c r="P832" s="21">
        <v>0.75342465753424659</v>
      </c>
      <c r="Q832" s="34" t="s">
        <v>3651</v>
      </c>
      <c r="R832" s="34" t="s">
        <v>3652</v>
      </c>
      <c r="S832" s="34" t="s">
        <v>263</v>
      </c>
      <c r="T832" s="34">
        <v>20030425</v>
      </c>
      <c r="U832" s="45">
        <v>2.3437417707999999</v>
      </c>
      <c r="V832" s="46">
        <v>2.4597817808000002</v>
      </c>
      <c r="W832" s="34" t="s">
        <v>231</v>
      </c>
      <c r="X832" s="34" t="s">
        <v>44</v>
      </c>
      <c r="Y832" s="34" t="s">
        <v>45</v>
      </c>
      <c r="Z832" s="34" t="s">
        <v>65</v>
      </c>
      <c r="AA832" s="34"/>
      <c r="AB832" s="34"/>
      <c r="AC832" s="22">
        <v>0.87965690612792968</v>
      </c>
      <c r="AD832" s="23" t="s">
        <v>2770</v>
      </c>
      <c r="AE832" s="24">
        <v>0.52328767123287667</v>
      </c>
      <c r="AF832" s="25">
        <v>0.15112308220065307</v>
      </c>
      <c r="AG832" s="26">
        <v>0.11096043088115713</v>
      </c>
      <c r="AH832" s="26">
        <v>0.10701541666924876</v>
      </c>
      <c r="AI832" s="27">
        <v>0.6347293795281892</v>
      </c>
      <c r="AJ832" s="27">
        <v>0.44894982081112994</v>
      </c>
      <c r="AK832" s="27">
        <v>0.45582307786084614</v>
      </c>
      <c r="AL832" s="28" t="s">
        <v>3653</v>
      </c>
      <c r="AM832" s="29">
        <v>2</v>
      </c>
      <c r="AN832" s="29">
        <v>2</v>
      </c>
      <c r="AO832" s="29" t="s">
        <v>48</v>
      </c>
      <c r="AP832" s="47" t="s">
        <v>3093</v>
      </c>
      <c r="AQ832" s="28">
        <v>0</v>
      </c>
      <c r="AR832" s="26">
        <v>1.4999999999999999E-2</v>
      </c>
      <c r="AS832" s="26">
        <v>0</v>
      </c>
    </row>
    <row r="833" spans="1:45" x14ac:dyDescent="0.15">
      <c r="A833" s="64">
        <v>259</v>
      </c>
      <c r="B833" s="64">
        <v>628</v>
      </c>
      <c r="C833" s="11">
        <v>1267</v>
      </c>
      <c r="D833" s="61">
        <v>593</v>
      </c>
      <c r="E833" s="61">
        <v>-2.0185957149895699E-3</v>
      </c>
      <c r="F833" s="61">
        <v>93</v>
      </c>
      <c r="G833" s="61">
        <v>0.28906350247907497</v>
      </c>
      <c r="H833" s="66">
        <v>347</v>
      </c>
      <c r="I833" s="66" t="str">
        <f>H833&amp;"/"&amp;451</f>
        <v>347/451</v>
      </c>
      <c r="J833" s="68">
        <f>H833/451</f>
        <v>0.76940133037694014</v>
      </c>
      <c r="K833" s="18" t="s">
        <v>44</v>
      </c>
      <c r="L833" s="18" t="s">
        <v>45</v>
      </c>
      <c r="M833" s="58" t="s">
        <v>65</v>
      </c>
      <c r="N833" s="18">
        <f>[1]!f_prt_stocktonav(C833,"2017/03/31")</f>
        <v>82.146461486816406</v>
      </c>
      <c r="O833" s="20" t="str">
        <f>[1]!f_info_fundmanager(C833)</f>
        <v>陈丹琳</v>
      </c>
      <c r="P833" s="21">
        <v>1.8273972602739725</v>
      </c>
      <c r="Q833" s="34" t="s">
        <v>1190</v>
      </c>
      <c r="R833" s="34" t="s">
        <v>1191</v>
      </c>
      <c r="S833" s="34" t="s">
        <v>263</v>
      </c>
      <c r="T833" s="34">
        <v>20150603</v>
      </c>
      <c r="U833" s="45">
        <v>1.3077801419999999</v>
      </c>
      <c r="V833" s="46">
        <v>1.4100428653999999</v>
      </c>
      <c r="W833" s="34" t="s">
        <v>3789</v>
      </c>
      <c r="X833" s="34" t="s">
        <v>44</v>
      </c>
      <c r="Y833" s="34" t="s">
        <v>45</v>
      </c>
      <c r="Z833" s="34" t="s">
        <v>65</v>
      </c>
      <c r="AA833" s="34"/>
      <c r="AB833" s="34"/>
      <c r="AC833" s="22">
        <v>0.84271774291992185</v>
      </c>
      <c r="AD833" s="23" t="s">
        <v>1192</v>
      </c>
      <c r="AE833" s="24">
        <v>1.5972602739726027</v>
      </c>
      <c r="AF833" s="25">
        <v>-0.32472288530111471</v>
      </c>
      <c r="AG833" s="26">
        <v>0</v>
      </c>
      <c r="AH833" s="26">
        <v>0</v>
      </c>
      <c r="AI833" s="27">
        <v>-1.2998088528496514</v>
      </c>
      <c r="AJ833" s="27">
        <v>-1.2998088528496514</v>
      </c>
      <c r="AK833" s="27">
        <v>-1.2998088528496514</v>
      </c>
      <c r="AL833" s="28" t="s">
        <v>1193</v>
      </c>
      <c r="AM833" s="29" t="s">
        <v>48</v>
      </c>
      <c r="AN833" s="29" t="s">
        <v>48</v>
      </c>
      <c r="AO833" s="29" t="s">
        <v>48</v>
      </c>
      <c r="AP833" s="47" t="s">
        <v>1194</v>
      </c>
      <c r="AQ833" s="28">
        <v>0</v>
      </c>
      <c r="AR833" s="26">
        <v>1.4999999999999999E-2</v>
      </c>
      <c r="AS833" s="26">
        <v>0</v>
      </c>
    </row>
    <row r="834" spans="1:45" x14ac:dyDescent="0.15">
      <c r="A834" s="64">
        <v>74</v>
      </c>
      <c r="B834" s="64">
        <v>509</v>
      </c>
      <c r="C834" s="11">
        <v>2597</v>
      </c>
      <c r="D834" s="61">
        <v>594</v>
      </c>
      <c r="E834" s="61">
        <v>-2.0511757350816801E-3</v>
      </c>
      <c r="F834" s="61">
        <v>42</v>
      </c>
      <c r="G834" s="61">
        <v>6.0086140461592601E-2</v>
      </c>
      <c r="H834" s="66">
        <v>348</v>
      </c>
      <c r="I834" s="66" t="str">
        <f>H834&amp;"/"&amp;451</f>
        <v>348/451</v>
      </c>
      <c r="J834" s="68">
        <f>H834/451</f>
        <v>0.77161862527716185</v>
      </c>
      <c r="K834" s="18" t="s">
        <v>44</v>
      </c>
      <c r="L834" s="18" t="s">
        <v>45</v>
      </c>
      <c r="M834" s="58" t="s">
        <v>65</v>
      </c>
      <c r="N834" s="18">
        <f>[1]!f_prt_stocktonav(C834,"2017/03/31")</f>
        <v>85.07843017578125</v>
      </c>
      <c r="O834" s="20" t="str">
        <f>[1]!f_info_fundmanager(C834)</f>
        <v>刘方旭</v>
      </c>
      <c r="P834" s="21">
        <v>0.8246575342465754</v>
      </c>
      <c r="Q834" s="34" t="s">
        <v>428</v>
      </c>
      <c r="R834" s="34" t="s">
        <v>429</v>
      </c>
      <c r="S834" s="34" t="s">
        <v>430</v>
      </c>
      <c r="T834" s="34">
        <v>20160603</v>
      </c>
      <c r="U834" s="45">
        <v>0.59691998899999998</v>
      </c>
      <c r="V834" s="46">
        <v>0.62860920040000001</v>
      </c>
      <c r="W834" s="34" t="s">
        <v>3776</v>
      </c>
      <c r="X834" s="34" t="s">
        <v>41</v>
      </c>
      <c r="Y834" s="34" t="s">
        <v>42</v>
      </c>
      <c r="Z834" s="34" t="s">
        <v>388</v>
      </c>
      <c r="AA834" s="34"/>
      <c r="AB834" s="34"/>
      <c r="AC834" s="22">
        <v>0.53907840728759771</v>
      </c>
      <c r="AD834" s="23" t="s">
        <v>431</v>
      </c>
      <c r="AE834" s="24">
        <v>0.59452054794520548</v>
      </c>
      <c r="AF834" s="25">
        <v>-4.9405335739029166E-2</v>
      </c>
      <c r="AG834" s="26">
        <v>0</v>
      </c>
      <c r="AH834" s="26">
        <v>0</v>
      </c>
      <c r="AI834" s="27">
        <v>-2.0095234930803851</v>
      </c>
      <c r="AJ834" s="27">
        <v>-2.0095234930803851</v>
      </c>
      <c r="AK834" s="27">
        <v>-2.0095234930803851</v>
      </c>
      <c r="AL834" s="28" t="s">
        <v>432</v>
      </c>
      <c r="AM834" s="29" t="s">
        <v>48</v>
      </c>
      <c r="AN834" s="29" t="s">
        <v>48</v>
      </c>
      <c r="AO834" s="29" t="s">
        <v>48</v>
      </c>
      <c r="AP834" s="47" t="s">
        <v>417</v>
      </c>
      <c r="AQ834" s="28">
        <v>0</v>
      </c>
      <c r="AR834" s="26">
        <v>1.4999999999999999E-2</v>
      </c>
      <c r="AS834" s="26">
        <v>0</v>
      </c>
    </row>
    <row r="835" spans="1:45" x14ac:dyDescent="0.15">
      <c r="A835" s="64">
        <v>861</v>
      </c>
      <c r="B835" s="64">
        <v>516</v>
      </c>
      <c r="C835" s="11">
        <v>260108</v>
      </c>
      <c r="D835" s="61">
        <v>597</v>
      </c>
      <c r="E835" s="61">
        <v>-2.0689897130137199E-3</v>
      </c>
      <c r="F835" s="61">
        <v>103</v>
      </c>
      <c r="G835" s="61">
        <v>0.183393863525559</v>
      </c>
      <c r="H835" s="66">
        <v>349</v>
      </c>
      <c r="I835" s="66" t="str">
        <f>H835&amp;"/"&amp;451</f>
        <v>349/451</v>
      </c>
      <c r="J835" s="68">
        <f>H835/451</f>
        <v>0.77383592017738356</v>
      </c>
      <c r="K835" s="18" t="s">
        <v>44</v>
      </c>
      <c r="L835" s="18" t="s">
        <v>45</v>
      </c>
      <c r="M835" s="58" t="s">
        <v>65</v>
      </c>
      <c r="N835" s="18">
        <f>[1]!f_prt_stocktonav(C835,"2017/03/31")</f>
        <v>84.94049072265625</v>
      </c>
      <c r="O835" s="20" t="str">
        <f>[1]!f_info_fundmanager(C835)</f>
        <v>刘彦春</v>
      </c>
      <c r="P835" s="21">
        <v>1.978082191780822</v>
      </c>
      <c r="Q835" s="34" t="s">
        <v>3346</v>
      </c>
      <c r="R835" s="34" t="s">
        <v>3347</v>
      </c>
      <c r="S835" s="34" t="s">
        <v>353</v>
      </c>
      <c r="T835" s="34">
        <v>20060628</v>
      </c>
      <c r="U835" s="45">
        <v>9.9184532904000005</v>
      </c>
      <c r="V835" s="46">
        <v>10.517828977700001</v>
      </c>
      <c r="W835" s="34" t="s">
        <v>231</v>
      </c>
      <c r="X835" s="34" t="s">
        <v>44</v>
      </c>
      <c r="Y835" s="34" t="s">
        <v>45</v>
      </c>
      <c r="Z835" s="34" t="s">
        <v>274</v>
      </c>
      <c r="AA835" s="34"/>
      <c r="AB835" s="34"/>
      <c r="AC835" s="22">
        <v>0.86169555664062503</v>
      </c>
      <c r="AD835" s="23" t="s">
        <v>3348</v>
      </c>
      <c r="AE835" s="24">
        <v>1.747945205479452</v>
      </c>
      <c r="AF835" s="25">
        <v>7.4556478443097873E-2</v>
      </c>
      <c r="AG835" s="26">
        <v>7.642850199191642E-2</v>
      </c>
      <c r="AH835" s="26">
        <v>6.9771206603194802E-2</v>
      </c>
      <c r="AI835" s="27">
        <v>0.34957588945116008</v>
      </c>
      <c r="AJ835" s="27">
        <v>0.35379032679713818</v>
      </c>
      <c r="AK835" s="27">
        <v>0.33560214605741456</v>
      </c>
      <c r="AL835" s="28" t="s">
        <v>3349</v>
      </c>
      <c r="AM835" s="29">
        <v>2</v>
      </c>
      <c r="AN835" s="29">
        <v>2</v>
      </c>
      <c r="AO835" s="29" t="s">
        <v>48</v>
      </c>
      <c r="AP835" s="47" t="s">
        <v>2905</v>
      </c>
      <c r="AQ835" s="28">
        <v>0</v>
      </c>
      <c r="AR835" s="26">
        <v>1.4999999999999999E-2</v>
      </c>
      <c r="AS835" s="26">
        <v>0</v>
      </c>
    </row>
    <row r="836" spans="1:45" x14ac:dyDescent="0.15">
      <c r="A836" s="64">
        <v>25</v>
      </c>
      <c r="B836" s="64">
        <v>423</v>
      </c>
      <c r="C836" s="11">
        <v>3208</v>
      </c>
      <c r="D836" s="61">
        <v>603</v>
      </c>
      <c r="E836" s="61">
        <v>-2.1291557568774802E-3</v>
      </c>
      <c r="F836" s="61">
        <v>22</v>
      </c>
      <c r="G836" s="61">
        <v>0.285828639803412</v>
      </c>
      <c r="H836" s="66">
        <v>350</v>
      </c>
      <c r="I836" s="66" t="str">
        <f>H836&amp;"/"&amp;451</f>
        <v>350/451</v>
      </c>
      <c r="J836" s="68">
        <f>H836/451</f>
        <v>0.77605321507760527</v>
      </c>
      <c r="K836" s="18" t="s">
        <v>44</v>
      </c>
      <c r="L836" s="19" t="s">
        <v>64</v>
      </c>
      <c r="M836" s="59" t="s">
        <v>65</v>
      </c>
      <c r="N836" s="18">
        <f>[1]!f_prt_stocktonav(C836,"2017/03/31")</f>
        <v>86.821792602539063</v>
      </c>
      <c r="O836" s="20" t="str">
        <f>[1]!f_info_fundmanager(C836)</f>
        <v>李兵伟</v>
      </c>
      <c r="P836" s="21">
        <v>0.42465753424657532</v>
      </c>
      <c r="Q836" s="12" t="s">
        <v>178</v>
      </c>
      <c r="R836" s="13" t="s">
        <v>179</v>
      </c>
      <c r="S836" s="13" t="s">
        <v>180</v>
      </c>
      <c r="T836" s="13">
        <v>20161027</v>
      </c>
      <c r="U836" s="14">
        <v>1.6136028285999999</v>
      </c>
      <c r="V836" s="15" t="s">
        <v>58</v>
      </c>
      <c r="W836" s="16" t="s">
        <v>40</v>
      </c>
      <c r="X836" s="34" t="s">
        <v>41</v>
      </c>
      <c r="Y836" s="34" t="s">
        <v>42</v>
      </c>
      <c r="Z836" s="34" t="s">
        <v>181</v>
      </c>
      <c r="AA836" s="13"/>
      <c r="AB836" s="13"/>
      <c r="AC836" s="22">
        <v>0.53680934906005862</v>
      </c>
      <c r="AD836" s="23" t="s">
        <v>182</v>
      </c>
      <c r="AE836" s="24">
        <v>0.19452054794520549</v>
      </c>
      <c r="AF836" s="25">
        <v>-0.21578123203931088</v>
      </c>
      <c r="AG836" s="26">
        <v>0</v>
      </c>
      <c r="AH836" s="26">
        <v>0</v>
      </c>
      <c r="AI836" s="27">
        <v>-4.4764212752475503</v>
      </c>
      <c r="AJ836" s="27">
        <v>-4.4764212752475503</v>
      </c>
      <c r="AK836" s="27">
        <v>-4.4764212752475503</v>
      </c>
      <c r="AL836" s="28" t="s">
        <v>183</v>
      </c>
      <c r="AM836" s="29" t="s">
        <v>48</v>
      </c>
      <c r="AN836" s="29" t="s">
        <v>48</v>
      </c>
      <c r="AO836" s="29" t="s">
        <v>48</v>
      </c>
      <c r="AP836" s="23">
        <v>0</v>
      </c>
      <c r="AQ836" s="30">
        <v>0</v>
      </c>
      <c r="AR836" s="31">
        <v>1.4999999999999999E-2</v>
      </c>
      <c r="AS836" s="31">
        <v>0</v>
      </c>
    </row>
    <row r="837" spans="1:45" x14ac:dyDescent="0.15">
      <c r="A837" s="64">
        <v>264</v>
      </c>
      <c r="B837" s="64">
        <v>945</v>
      </c>
      <c r="C837" s="11">
        <v>1210</v>
      </c>
      <c r="D837" s="61">
        <v>605</v>
      </c>
      <c r="E837" s="61">
        <v>-2.1692840550852298E-3</v>
      </c>
      <c r="F837" s="61">
        <v>94</v>
      </c>
      <c r="G837" s="61">
        <v>0.17047860649782501</v>
      </c>
      <c r="H837" s="66">
        <v>351</v>
      </c>
      <c r="I837" s="66" t="str">
        <f>H837&amp;"/"&amp;451</f>
        <v>351/451</v>
      </c>
      <c r="J837" s="68">
        <f>H837/451</f>
        <v>0.7782705099778271</v>
      </c>
      <c r="K837" s="18" t="s">
        <v>44</v>
      </c>
      <c r="L837" s="18" t="s">
        <v>45</v>
      </c>
      <c r="M837" s="58" t="s">
        <v>65</v>
      </c>
      <c r="N837" s="18">
        <f>[1]!f_prt_stocktonav(C837,"2017/03/31")</f>
        <v>70.648536682128906</v>
      </c>
      <c r="O837" s="20" t="str">
        <f>[1]!f_info_fundmanager(C837)</f>
        <v>肖志刚,田俊维,陈国光</v>
      </c>
      <c r="P837" s="21">
        <v>1.8410958904109589</v>
      </c>
      <c r="Q837" s="34" t="s">
        <v>1213</v>
      </c>
      <c r="R837" s="34" t="s">
        <v>1214</v>
      </c>
      <c r="S837" s="34" t="s">
        <v>1215</v>
      </c>
      <c r="T837" s="34">
        <v>20150529</v>
      </c>
      <c r="U837" s="45">
        <v>10.2640055511</v>
      </c>
      <c r="V837" s="46">
        <v>11.447479035700001</v>
      </c>
      <c r="W837" s="34" t="s">
        <v>1235</v>
      </c>
      <c r="X837" s="34" t="s">
        <v>44</v>
      </c>
      <c r="Y837" s="17" t="s">
        <v>45</v>
      </c>
      <c r="Z837" s="17" t="s">
        <v>65</v>
      </c>
      <c r="AA837" s="34"/>
      <c r="AB837" s="34"/>
      <c r="AC837" s="22">
        <v>0.77281486511230468</v>
      </c>
      <c r="AD837" s="23" t="s">
        <v>1216</v>
      </c>
      <c r="AE837" s="24">
        <v>1.6109589041095891</v>
      </c>
      <c r="AF837" s="25">
        <v>-0.29211940658737767</v>
      </c>
      <c r="AG837" s="26">
        <v>0</v>
      </c>
      <c r="AH837" s="26">
        <v>0</v>
      </c>
      <c r="AI837" s="27">
        <v>-1.0393223432918739</v>
      </c>
      <c r="AJ837" s="27">
        <v>-1.0393223432918739</v>
      </c>
      <c r="AK837" s="27">
        <v>-1.0393223432918739</v>
      </c>
      <c r="AL837" s="28" t="s">
        <v>328</v>
      </c>
      <c r="AM837" s="29" t="s">
        <v>48</v>
      </c>
      <c r="AN837" s="29" t="s">
        <v>48</v>
      </c>
      <c r="AO837" s="29" t="s">
        <v>48</v>
      </c>
      <c r="AP837" s="47" t="s">
        <v>255</v>
      </c>
      <c r="AQ837" s="28">
        <v>0</v>
      </c>
      <c r="AR837" s="26">
        <v>1.4999999999999999E-2</v>
      </c>
      <c r="AS837" s="26">
        <v>0</v>
      </c>
    </row>
    <row r="838" spans="1:45" x14ac:dyDescent="0.15">
      <c r="A838" s="64">
        <v>828</v>
      </c>
      <c r="B838" s="64">
        <v>174</v>
      </c>
      <c r="C838" s="11">
        <v>70011</v>
      </c>
      <c r="D838" s="61">
        <v>616</v>
      </c>
      <c r="E838" s="61">
        <v>-2.2512681553297901E-3</v>
      </c>
      <c r="F838" s="61">
        <v>26</v>
      </c>
      <c r="G838" s="61">
        <v>0.201417585563235</v>
      </c>
      <c r="H838" s="66">
        <v>352</v>
      </c>
      <c r="I838" s="66" t="str">
        <f>H838&amp;"/"&amp;451</f>
        <v>352/451</v>
      </c>
      <c r="J838" s="68">
        <f>H838/451</f>
        <v>0.78048780487804881</v>
      </c>
      <c r="K838" s="18" t="s">
        <v>44</v>
      </c>
      <c r="L838" s="18" t="s">
        <v>45</v>
      </c>
      <c r="M838" s="58" t="s">
        <v>65</v>
      </c>
      <c r="N838" s="18">
        <f>[1]!f_prt_stocktonav(C838,"2017/03/31")</f>
        <v>92.261489868164063</v>
      </c>
      <c r="O838" s="20" t="str">
        <f>[1]!f_info_fundmanager(C838)</f>
        <v>谢泽林</v>
      </c>
      <c r="P838" s="21">
        <v>0.49863013698630138</v>
      </c>
      <c r="Q838" s="34" t="s">
        <v>3221</v>
      </c>
      <c r="R838" s="34" t="s">
        <v>3222</v>
      </c>
      <c r="S838" s="34" t="s">
        <v>92</v>
      </c>
      <c r="T838" s="34">
        <v>20061212</v>
      </c>
      <c r="U838" s="45">
        <v>44.102964643200004</v>
      </c>
      <c r="V838" s="46">
        <v>48.0942110035</v>
      </c>
      <c r="W838" s="34" t="s">
        <v>231</v>
      </c>
      <c r="X838" s="34" t="s">
        <v>44</v>
      </c>
      <c r="Y838" s="34" t="s">
        <v>45</v>
      </c>
      <c r="Z838" s="34" t="s">
        <v>65</v>
      </c>
      <c r="AA838" s="34"/>
      <c r="AB838" s="34"/>
      <c r="AC838" s="22">
        <v>0.89072128295898434</v>
      </c>
      <c r="AD838" s="23" t="s">
        <v>3223</v>
      </c>
      <c r="AE838" s="24">
        <v>2.7808219178082192</v>
      </c>
      <c r="AF838" s="25">
        <v>8.7843178738217009E-2</v>
      </c>
      <c r="AG838" s="26">
        <v>0.1107659178241196</v>
      </c>
      <c r="AH838" s="26">
        <v>0.11389093881179813</v>
      </c>
      <c r="AI838" s="27">
        <v>0.39655932712130598</v>
      </c>
      <c r="AJ838" s="27">
        <v>0.43960749439958147</v>
      </c>
      <c r="AK838" s="27">
        <v>0.47181990342450059</v>
      </c>
      <c r="AL838" s="28" t="s">
        <v>2463</v>
      </c>
      <c r="AM838" s="29">
        <v>3</v>
      </c>
      <c r="AN838" s="29">
        <v>2</v>
      </c>
      <c r="AO838" s="29" t="s">
        <v>48</v>
      </c>
      <c r="AP838" s="47" t="s">
        <v>334</v>
      </c>
      <c r="AQ838" s="28" t="s">
        <v>2293</v>
      </c>
      <c r="AR838" s="26">
        <v>1.4999999999999999E-2</v>
      </c>
      <c r="AS838" s="26">
        <v>0</v>
      </c>
    </row>
    <row r="839" spans="1:45" x14ac:dyDescent="0.15">
      <c r="A839" s="64">
        <v>820</v>
      </c>
      <c r="B839" s="64">
        <v>775</v>
      </c>
      <c r="C839" s="11">
        <v>530005</v>
      </c>
      <c r="D839" s="61">
        <v>618</v>
      </c>
      <c r="E839" s="61">
        <v>-2.25741334258025E-3</v>
      </c>
      <c r="F839" s="61">
        <v>98</v>
      </c>
      <c r="G839" s="61">
        <v>4.9306823150951903E-2</v>
      </c>
      <c r="H839" s="66">
        <v>353</v>
      </c>
      <c r="I839" s="66" t="str">
        <f>H839&amp;"/"&amp;451</f>
        <v>353/451</v>
      </c>
      <c r="J839" s="68">
        <f>H839/451</f>
        <v>0.78270509977827052</v>
      </c>
      <c r="K839" s="18" t="s">
        <v>44</v>
      </c>
      <c r="L839" s="18" t="s">
        <v>86</v>
      </c>
      <c r="M839" s="58" t="s">
        <v>65</v>
      </c>
      <c r="N839" s="18">
        <f>[1]!f_prt_stocktonav(C839,"2017/03/31")</f>
        <v>77.439407348632812</v>
      </c>
      <c r="O839" s="20" t="str">
        <f>[1]!f_info_fundmanager(C839)</f>
        <v>邱宇航</v>
      </c>
      <c r="P839" s="21">
        <v>1.8657534246575342</v>
      </c>
      <c r="Q839" s="34" t="s">
        <v>3193</v>
      </c>
      <c r="R839" s="34" t="s">
        <v>3194</v>
      </c>
      <c r="S839" s="34" t="s">
        <v>307</v>
      </c>
      <c r="T839" s="34">
        <v>20070301</v>
      </c>
      <c r="U839" s="45">
        <v>23.4602236062</v>
      </c>
      <c r="V839" s="46">
        <v>24.3628764344</v>
      </c>
      <c r="W839" s="34" t="s">
        <v>231</v>
      </c>
      <c r="X839" s="34" t="s">
        <v>44</v>
      </c>
      <c r="Y839" s="34" t="s">
        <v>45</v>
      </c>
      <c r="Z839" s="34" t="s">
        <v>65</v>
      </c>
      <c r="AA839" s="34"/>
      <c r="AB839" s="34"/>
      <c r="AC839" s="22">
        <v>0.7295684814453125</v>
      </c>
      <c r="AD839" s="23" t="s">
        <v>2122</v>
      </c>
      <c r="AE839" s="24">
        <v>1.6356164383561644</v>
      </c>
      <c r="AF839" s="25">
        <v>6.7970120476215312E-2</v>
      </c>
      <c r="AG839" s="26">
        <v>0.14016250131185881</v>
      </c>
      <c r="AH839" s="26">
        <v>0.12146993051004795</v>
      </c>
      <c r="AI839" s="27">
        <v>0.32938104144845853</v>
      </c>
      <c r="AJ839" s="27">
        <v>0.58416879266321586</v>
      </c>
      <c r="AK839" s="27">
        <v>0.5646478637679796</v>
      </c>
      <c r="AL839" s="28" t="s">
        <v>3195</v>
      </c>
      <c r="AM839" s="29">
        <v>3</v>
      </c>
      <c r="AN839" s="29">
        <v>4</v>
      </c>
      <c r="AO839" s="29" t="s">
        <v>48</v>
      </c>
      <c r="AP839" s="47" t="s">
        <v>679</v>
      </c>
      <c r="AQ839" s="28">
        <v>0</v>
      </c>
      <c r="AR839" s="26">
        <v>1.4999999999999999E-2</v>
      </c>
      <c r="AS839" s="26">
        <v>0</v>
      </c>
    </row>
    <row r="840" spans="1:45" x14ac:dyDescent="0.15">
      <c r="A840" s="64">
        <v>586</v>
      </c>
      <c r="B840" s="64">
        <v>107</v>
      </c>
      <c r="C840" s="11">
        <v>70027</v>
      </c>
      <c r="D840" s="61">
        <v>620</v>
      </c>
      <c r="E840" s="61">
        <v>-2.2592077473084999E-3</v>
      </c>
      <c r="F840" s="61">
        <v>153</v>
      </c>
      <c r="G840" s="61">
        <v>2.0776787296361E-2</v>
      </c>
      <c r="H840" s="66">
        <v>354</v>
      </c>
      <c r="I840" s="66" t="str">
        <f>H840&amp;"/"&amp;451</f>
        <v>354/451</v>
      </c>
      <c r="J840" s="68">
        <f>H840/451</f>
        <v>0.78492239467849223</v>
      </c>
      <c r="K840" s="18" t="s">
        <v>44</v>
      </c>
      <c r="L840" s="18" t="s">
        <v>45</v>
      </c>
      <c r="M840" s="58" t="s">
        <v>65</v>
      </c>
      <c r="N840" s="18">
        <f>[1]!f_prt_stocktonav(C840,"2017/03/31")</f>
        <v>93.542030334472656</v>
      </c>
      <c r="O840" s="20" t="str">
        <f>[1]!f_info_fundmanager(C840)</f>
        <v>郭东谋</v>
      </c>
      <c r="P840" s="21">
        <v>2.9232876712328766</v>
      </c>
      <c r="Q840" s="34" t="s">
        <v>2407</v>
      </c>
      <c r="R840" s="34" t="s">
        <v>2408</v>
      </c>
      <c r="S840" s="34" t="s">
        <v>92</v>
      </c>
      <c r="T840" s="34">
        <v>20111208</v>
      </c>
      <c r="U840" s="45">
        <v>24.995883403299999</v>
      </c>
      <c r="V840" s="46">
        <v>25.6997965057</v>
      </c>
      <c r="W840" s="34" t="s">
        <v>3789</v>
      </c>
      <c r="X840" s="34" t="s">
        <v>44</v>
      </c>
      <c r="Y840" s="34" t="s">
        <v>45</v>
      </c>
      <c r="Z840" s="34" t="s">
        <v>65</v>
      </c>
      <c r="AA840" s="34"/>
      <c r="AB840" s="34"/>
      <c r="AC840" s="22">
        <v>0.9408134460449219</v>
      </c>
      <c r="AD840" s="23" t="s">
        <v>1610</v>
      </c>
      <c r="AE840" s="24">
        <v>2.6931506849315068</v>
      </c>
      <c r="AF840" s="25">
        <v>0.15697601429230112</v>
      </c>
      <c r="AG840" s="26">
        <v>0.19080155795925394</v>
      </c>
      <c r="AH840" s="26">
        <v>0.15961390156391908</v>
      </c>
      <c r="AI840" s="27">
        <v>0.65593609164853428</v>
      </c>
      <c r="AJ840" s="27">
        <v>0.70963626849023742</v>
      </c>
      <c r="AK840" s="27">
        <v>0.66121872667317372</v>
      </c>
      <c r="AL840" s="28" t="s">
        <v>2409</v>
      </c>
      <c r="AM840" s="29">
        <v>3</v>
      </c>
      <c r="AN840" s="29">
        <v>3</v>
      </c>
      <c r="AO840" s="29" t="s">
        <v>48</v>
      </c>
      <c r="AP840" s="47" t="s">
        <v>249</v>
      </c>
      <c r="AQ840" s="28" t="s">
        <v>2293</v>
      </c>
      <c r="AR840" s="26">
        <v>1.4999999999999999E-2</v>
      </c>
      <c r="AS840" s="26">
        <v>0</v>
      </c>
    </row>
    <row r="841" spans="1:45" x14ac:dyDescent="0.15">
      <c r="A841" s="64">
        <v>811</v>
      </c>
      <c r="B841" s="64">
        <v>78</v>
      </c>
      <c r="C841" s="11">
        <v>40007</v>
      </c>
      <c r="D841" s="61">
        <v>622</v>
      </c>
      <c r="E841" s="61">
        <v>-2.27467091379675E-3</v>
      </c>
      <c r="F841" s="61">
        <v>214</v>
      </c>
      <c r="G841" s="61">
        <v>1.0561837373445701E-2</v>
      </c>
      <c r="H841" s="66">
        <v>355</v>
      </c>
      <c r="I841" s="66" t="str">
        <f>H841&amp;"/"&amp;451</f>
        <v>355/451</v>
      </c>
      <c r="J841" s="68">
        <f>H841/451</f>
        <v>0.78713968957871394</v>
      </c>
      <c r="K841" s="18" t="s">
        <v>44</v>
      </c>
      <c r="L841" s="18" t="s">
        <v>45</v>
      </c>
      <c r="M841" s="58" t="s">
        <v>65</v>
      </c>
      <c r="N841" s="18">
        <f>[1]!f_prt_stocktonav(C841,"2017/03/31")</f>
        <v>93.939208984375</v>
      </c>
      <c r="O841" s="20" t="str">
        <f>[1]!f_info_fundmanager(C841)</f>
        <v>吴丰树</v>
      </c>
      <c r="P841" s="21">
        <v>4.1041095890410961</v>
      </c>
      <c r="Q841" s="34" t="s">
        <v>3156</v>
      </c>
      <c r="R841" s="34" t="s">
        <v>3157</v>
      </c>
      <c r="S841" s="34" t="s">
        <v>63</v>
      </c>
      <c r="T841" s="34">
        <v>20070410</v>
      </c>
      <c r="U841" s="45">
        <v>22.978083774400002</v>
      </c>
      <c r="V841" s="46">
        <v>24.3068967518</v>
      </c>
      <c r="W841" s="34" t="s">
        <v>231</v>
      </c>
      <c r="X841" s="34" t="s">
        <v>44</v>
      </c>
      <c r="Y841" s="34" t="s">
        <v>45</v>
      </c>
      <c r="Z841" s="34" t="s">
        <v>65</v>
      </c>
      <c r="AA841" s="34"/>
      <c r="AB841" s="34"/>
      <c r="AC841" s="22">
        <v>0.91981758117675783</v>
      </c>
      <c r="AD841" s="23" t="s">
        <v>2700</v>
      </c>
      <c r="AE841" s="24">
        <v>3.8739726027397259</v>
      </c>
      <c r="AF841" s="25">
        <v>4.9389002166824403E-2</v>
      </c>
      <c r="AG841" s="26">
        <v>0.19544415875140331</v>
      </c>
      <c r="AH841" s="26">
        <v>0.11795931295299678</v>
      </c>
      <c r="AI841" s="27">
        <v>0.25952098178535582</v>
      </c>
      <c r="AJ841" s="27">
        <v>0.69836338115652918</v>
      </c>
      <c r="AK841" s="27">
        <v>0.50242826401409046</v>
      </c>
      <c r="AL841" s="28" t="s">
        <v>3158</v>
      </c>
      <c r="AM841" s="29">
        <v>2</v>
      </c>
      <c r="AN841" s="29">
        <v>3</v>
      </c>
      <c r="AO841" s="29" t="s">
        <v>48</v>
      </c>
      <c r="AP841" s="47" t="s">
        <v>3159</v>
      </c>
      <c r="AQ841" s="28" t="s">
        <v>3099</v>
      </c>
      <c r="AR841" s="26">
        <v>1.4999999999999999E-2</v>
      </c>
      <c r="AS841" s="26">
        <v>0</v>
      </c>
    </row>
    <row r="842" spans="1:45" x14ac:dyDescent="0.15">
      <c r="A842" s="64">
        <v>359</v>
      </c>
      <c r="B842" s="64">
        <v>959</v>
      </c>
      <c r="C842" s="11">
        <v>986</v>
      </c>
      <c r="D842" s="61">
        <v>625</v>
      </c>
      <c r="E842" s="61">
        <v>-2.3085768352108598E-3</v>
      </c>
      <c r="F842" s="61">
        <v>52</v>
      </c>
      <c r="G842" s="61">
        <v>0.132818794162607</v>
      </c>
      <c r="H842" s="66">
        <v>356</v>
      </c>
      <c r="I842" s="66" t="str">
        <f>H842&amp;"/"&amp;451</f>
        <v>356/451</v>
      </c>
      <c r="J842" s="68">
        <f>H842/451</f>
        <v>0.78935698447893565</v>
      </c>
      <c r="K842" s="18" t="s">
        <v>44</v>
      </c>
      <c r="L842" s="18" t="s">
        <v>45</v>
      </c>
      <c r="M842" s="58" t="s">
        <v>65</v>
      </c>
      <c r="N842" s="18">
        <f>[1]!f_prt_stocktonav(C842,"2017/03/31")</f>
        <v>70.151504516601563</v>
      </c>
      <c r="O842" s="20" t="str">
        <f>[1]!f_info_fundmanager(C842)</f>
        <v>独孤南薰,林开盛</v>
      </c>
      <c r="P842" s="21">
        <v>0.98082191780821915</v>
      </c>
      <c r="Q842" s="34" t="s">
        <v>1580</v>
      </c>
      <c r="R842" s="34" t="s">
        <v>1581</v>
      </c>
      <c r="S842" s="34" t="s">
        <v>1582</v>
      </c>
      <c r="T842" s="34">
        <v>20150210</v>
      </c>
      <c r="U842" s="45">
        <v>15.0892859389</v>
      </c>
      <c r="V842" s="46">
        <v>9.6438199200000005E-2</v>
      </c>
      <c r="W842" s="34" t="s">
        <v>3789</v>
      </c>
      <c r="X842" s="34" t="s">
        <v>41</v>
      </c>
      <c r="Y842" s="17" t="s">
        <v>42</v>
      </c>
      <c r="Z842" s="17" t="s">
        <v>43</v>
      </c>
      <c r="AA842" s="34"/>
      <c r="AB842" s="34"/>
      <c r="AC842" s="22">
        <v>5.37925124168396E-3</v>
      </c>
      <c r="AD842" s="23" t="s">
        <v>1583</v>
      </c>
      <c r="AE842" s="24">
        <v>0.83287671232876714</v>
      </c>
      <c r="AF842" s="25">
        <v>-0.19770948295033774</v>
      </c>
      <c r="AG842" s="26">
        <v>0</v>
      </c>
      <c r="AH842" s="26">
        <v>0</v>
      </c>
      <c r="AI842" s="27">
        <v>-0.76971624180327147</v>
      </c>
      <c r="AJ842" s="27">
        <v>-0.76971624180327147</v>
      </c>
      <c r="AK842" s="27">
        <v>-0.76971624180327147</v>
      </c>
      <c r="AL842" s="28" t="s">
        <v>1584</v>
      </c>
      <c r="AM842" s="29" t="s">
        <v>48</v>
      </c>
      <c r="AN842" s="29" t="s">
        <v>48</v>
      </c>
      <c r="AO842" s="29" t="s">
        <v>48</v>
      </c>
      <c r="AP842" s="47" t="s">
        <v>1002</v>
      </c>
      <c r="AQ842" s="28">
        <v>0</v>
      </c>
      <c r="AR842" s="26">
        <v>1.4999999999999999E-2</v>
      </c>
      <c r="AS842" s="26">
        <v>0</v>
      </c>
    </row>
    <row r="843" spans="1:45" x14ac:dyDescent="0.15">
      <c r="A843" s="64">
        <v>868</v>
      </c>
      <c r="B843" s="64">
        <v>555</v>
      </c>
      <c r="C843" s="11">
        <v>519994</v>
      </c>
      <c r="D843" s="61">
        <v>628</v>
      </c>
      <c r="E843" s="61">
        <v>-2.3493975763795799E-3</v>
      </c>
      <c r="F843" s="61">
        <v>38</v>
      </c>
      <c r="G843" s="61">
        <v>0.114957549275233</v>
      </c>
      <c r="H843" s="66">
        <v>357</v>
      </c>
      <c r="I843" s="66" t="str">
        <f>H843&amp;"/"&amp;451</f>
        <v>357/451</v>
      </c>
      <c r="J843" s="68">
        <f>H843/451</f>
        <v>0.79157427937915747</v>
      </c>
      <c r="K843" s="18" t="s">
        <v>44</v>
      </c>
      <c r="L843" s="18" t="s">
        <v>45</v>
      </c>
      <c r="M843" s="58" t="s">
        <v>65</v>
      </c>
      <c r="N843" s="18">
        <f>[1]!f_prt_stocktonav(C843,"2017/03/31")</f>
        <v>83.928123474121094</v>
      </c>
      <c r="O843" s="20" t="str">
        <f>[1]!f_info_fundmanager(C843)</f>
        <v>常松</v>
      </c>
      <c r="P843" s="21">
        <v>0.71232876712328763</v>
      </c>
      <c r="Q843" s="34" t="s">
        <v>3369</v>
      </c>
      <c r="R843" s="34" t="s">
        <v>3370</v>
      </c>
      <c r="S843" s="34" t="s">
        <v>206</v>
      </c>
      <c r="T843" s="34">
        <v>20060430</v>
      </c>
      <c r="U843" s="45">
        <v>21.3512717471</v>
      </c>
      <c r="V843" s="46">
        <v>23.122975288599999</v>
      </c>
      <c r="W843" s="34" t="s">
        <v>231</v>
      </c>
      <c r="X843" s="34" t="s">
        <v>44</v>
      </c>
      <c r="Y843" s="34" t="s">
        <v>45</v>
      </c>
      <c r="Z843" s="34" t="s">
        <v>65</v>
      </c>
      <c r="AA843" s="34"/>
      <c r="AB843" s="34"/>
      <c r="AC843" s="22">
        <v>0.86438407897949221</v>
      </c>
      <c r="AD843" s="23" t="s">
        <v>3371</v>
      </c>
      <c r="AE843" s="24">
        <v>0.48219178082191783</v>
      </c>
      <c r="AF843" s="25">
        <v>0.11084014254535803</v>
      </c>
      <c r="AG843" s="26">
        <v>0.22686190384681892</v>
      </c>
      <c r="AH843" s="26">
        <v>0.1040915210340243</v>
      </c>
      <c r="AI843" s="27">
        <v>0.45846129566613425</v>
      </c>
      <c r="AJ843" s="27">
        <v>0.76736294076939349</v>
      </c>
      <c r="AK843" s="27">
        <v>0.44173163176996599</v>
      </c>
      <c r="AL843" s="28" t="s">
        <v>3372</v>
      </c>
      <c r="AM843" s="29">
        <v>1</v>
      </c>
      <c r="AN843" s="29">
        <v>3</v>
      </c>
      <c r="AO843" s="29" t="s">
        <v>48</v>
      </c>
      <c r="AP843" s="47" t="s">
        <v>209</v>
      </c>
      <c r="AQ843" s="28" t="s">
        <v>3373</v>
      </c>
      <c r="AR843" s="26">
        <v>1.4999999999999999E-2</v>
      </c>
      <c r="AS843" s="26">
        <v>0</v>
      </c>
    </row>
    <row r="844" spans="1:45" x14ac:dyDescent="0.15">
      <c r="A844" s="64">
        <v>619</v>
      </c>
      <c r="B844" s="64">
        <v>307</v>
      </c>
      <c r="C844" s="11">
        <v>630010</v>
      </c>
      <c r="D844" s="61">
        <v>631</v>
      </c>
      <c r="E844" s="61">
        <v>-2.3558679705617501E-3</v>
      </c>
      <c r="F844" s="61">
        <v>51</v>
      </c>
      <c r="G844" s="61">
        <v>6.2136298032698302E-2</v>
      </c>
      <c r="H844" s="66">
        <v>358</v>
      </c>
      <c r="I844" s="66" t="str">
        <f>H844&amp;"/"&amp;451</f>
        <v>358/451</v>
      </c>
      <c r="J844" s="68">
        <f>H844/451</f>
        <v>0.79379157427937919</v>
      </c>
      <c r="K844" s="18" t="s">
        <v>44</v>
      </c>
      <c r="L844" s="18" t="s">
        <v>45</v>
      </c>
      <c r="M844" s="58" t="s">
        <v>65</v>
      </c>
      <c r="N844" s="18">
        <f>[1]!f_prt_stocktonav(C844,"2017/03/31")</f>
        <v>89.313079833984375</v>
      </c>
      <c r="O844" s="20" t="str">
        <f>[1]!f_info_fundmanager(C844)</f>
        <v>刘萌萌,蔡建军</v>
      </c>
      <c r="P844" s="21">
        <v>0.9671232876712329</v>
      </c>
      <c r="Q844" s="34" t="s">
        <v>2515</v>
      </c>
      <c r="R844" s="34" t="s">
        <v>2516</v>
      </c>
      <c r="S844" s="34" t="s">
        <v>387</v>
      </c>
      <c r="T844" s="34">
        <v>20110531</v>
      </c>
      <c r="U844" s="45">
        <v>25.1589397694</v>
      </c>
      <c r="V844" s="46">
        <v>33.751201586599997</v>
      </c>
      <c r="W844" s="34" t="s">
        <v>3789</v>
      </c>
      <c r="X844" s="34" t="s">
        <v>44</v>
      </c>
      <c r="Y844" s="34" t="s">
        <v>45</v>
      </c>
      <c r="Z844" s="34" t="s">
        <v>274</v>
      </c>
      <c r="AA844" s="34"/>
      <c r="AB844" s="34"/>
      <c r="AC844" s="22">
        <v>0.74104682922363285</v>
      </c>
      <c r="AD844" s="23" t="s">
        <v>2517</v>
      </c>
      <c r="AE844" s="24">
        <v>5.6082191780821917</v>
      </c>
      <c r="AF844" s="25">
        <v>0.15811749472215864</v>
      </c>
      <c r="AG844" s="26">
        <v>0.24465938053610725</v>
      </c>
      <c r="AH844" s="26">
        <v>0.21687271121756146</v>
      </c>
      <c r="AI844" s="27">
        <v>0.63074899369100079</v>
      </c>
      <c r="AJ844" s="27">
        <v>0.7724997628744088</v>
      </c>
      <c r="AK844" s="27">
        <v>0.79402164832549005</v>
      </c>
      <c r="AL844" s="28" t="s">
        <v>1750</v>
      </c>
      <c r="AM844" s="29">
        <v>5</v>
      </c>
      <c r="AN844" s="29">
        <v>5</v>
      </c>
      <c r="AO844" s="29" t="s">
        <v>48</v>
      </c>
      <c r="AP844" s="47" t="s">
        <v>2047</v>
      </c>
      <c r="AQ844" s="28">
        <v>0</v>
      </c>
      <c r="AR844" s="26">
        <v>1.4999999999999999E-2</v>
      </c>
      <c r="AS844" s="26">
        <v>0</v>
      </c>
    </row>
    <row r="845" spans="1:45" x14ac:dyDescent="0.15">
      <c r="A845" s="64">
        <v>54</v>
      </c>
      <c r="B845" s="64">
        <v>372</v>
      </c>
      <c r="C845" s="11">
        <v>519929</v>
      </c>
      <c r="D845" s="61">
        <v>633</v>
      </c>
      <c r="E845" s="61">
        <v>-2.3603176701264298E-3</v>
      </c>
      <c r="F845" s="61">
        <v>34</v>
      </c>
      <c r="G845" s="61">
        <v>0.137759215466429</v>
      </c>
      <c r="H845" s="66">
        <v>359</v>
      </c>
      <c r="I845" s="66" t="str">
        <f>H845&amp;"/"&amp;451</f>
        <v>359/451</v>
      </c>
      <c r="J845" s="68">
        <f>H845/451</f>
        <v>0.7960088691796009</v>
      </c>
      <c r="K845" s="18" t="s">
        <v>44</v>
      </c>
      <c r="L845" s="18" t="s">
        <v>87</v>
      </c>
      <c r="M845" s="58" t="s">
        <v>65</v>
      </c>
      <c r="N845" s="18">
        <f>[1]!f_prt_stocktonav(C845,"2017/03/31")</f>
        <v>88.072662353515625</v>
      </c>
      <c r="O845" s="20" t="str">
        <f>[1]!f_info_fundmanager(C845)</f>
        <v>左金保</v>
      </c>
      <c r="P845" s="21">
        <v>0.67671232876712328</v>
      </c>
      <c r="Q845" s="39" t="s">
        <v>324</v>
      </c>
      <c r="R845" s="39" t="s">
        <v>325</v>
      </c>
      <c r="S845" s="39" t="s">
        <v>206</v>
      </c>
      <c r="T845" s="39">
        <v>20160727</v>
      </c>
      <c r="U845" s="48">
        <v>8.4441394304999999</v>
      </c>
      <c r="V845" s="46">
        <v>8.8040534697999995</v>
      </c>
      <c r="W845" s="39" t="s">
        <v>201</v>
      </c>
      <c r="X845" s="39" t="s">
        <v>44</v>
      </c>
      <c r="Y845" s="39" t="s">
        <v>87</v>
      </c>
      <c r="Z845" s="49" t="s">
        <v>65</v>
      </c>
      <c r="AA845" s="34" t="s">
        <v>3773</v>
      </c>
      <c r="AB845" s="34"/>
      <c r="AC845" s="22">
        <v>0.76257919311523437</v>
      </c>
      <c r="AD845" s="23" t="s">
        <v>327</v>
      </c>
      <c r="AE845" s="24">
        <v>0.44657534246575342</v>
      </c>
      <c r="AF845" s="25">
        <v>-0.12464918843974326</v>
      </c>
      <c r="AG845" s="26">
        <v>0</v>
      </c>
      <c r="AH845" s="26">
        <v>0</v>
      </c>
      <c r="AI845" s="27">
        <v>-1.8476613621673386</v>
      </c>
      <c r="AJ845" s="27">
        <v>-1.8476613621673386</v>
      </c>
      <c r="AK845" s="27">
        <v>-1.8476613621673386</v>
      </c>
      <c r="AL845" s="40" t="s">
        <v>328</v>
      </c>
      <c r="AM845" s="41" t="s">
        <v>48</v>
      </c>
      <c r="AN845" s="41" t="s">
        <v>48</v>
      </c>
      <c r="AO845" s="41" t="s">
        <v>48</v>
      </c>
      <c r="AP845" s="50" t="s">
        <v>209</v>
      </c>
      <c r="AQ845" s="51">
        <v>0</v>
      </c>
      <c r="AR845" s="52">
        <v>1.4999999999999999E-2</v>
      </c>
      <c r="AS845" s="52">
        <v>0</v>
      </c>
    </row>
    <row r="846" spans="1:45" x14ac:dyDescent="0.15">
      <c r="A846" s="64">
        <v>920</v>
      </c>
      <c r="B846" s="64">
        <v>365</v>
      </c>
      <c r="C846" s="11">
        <v>160605</v>
      </c>
      <c r="D846" s="61">
        <v>635</v>
      </c>
      <c r="E846" s="61">
        <v>-2.3880764188578402E-3</v>
      </c>
      <c r="F846" s="61">
        <v>322</v>
      </c>
      <c r="G846" s="61">
        <v>3.1594361707261301E-3</v>
      </c>
      <c r="H846" s="66">
        <v>360</v>
      </c>
      <c r="I846" s="66" t="str">
        <f>H846&amp;"/"&amp;451</f>
        <v>360/451</v>
      </c>
      <c r="J846" s="68">
        <f>H846/451</f>
        <v>0.79822616407982261</v>
      </c>
      <c r="K846" s="18" t="s">
        <v>44</v>
      </c>
      <c r="L846" s="18" t="s">
        <v>45</v>
      </c>
      <c r="M846" s="58" t="s">
        <v>65</v>
      </c>
      <c r="N846" s="18">
        <f>[1]!f_prt_stocktonav(C846,"2017/03/31")</f>
        <v>88.186111450195313</v>
      </c>
      <c r="O846" s="20" t="str">
        <f>[1]!f_info_fundmanager(C846)</f>
        <v>陈鹏</v>
      </c>
      <c r="P846" s="21">
        <v>6.1753424657534248</v>
      </c>
      <c r="Q846" s="34" t="s">
        <v>3576</v>
      </c>
      <c r="R846" s="34" t="s">
        <v>3577</v>
      </c>
      <c r="S846" s="34" t="s">
        <v>705</v>
      </c>
      <c r="T846" s="34">
        <v>20040512</v>
      </c>
      <c r="U846" s="45">
        <v>10.4841123855</v>
      </c>
      <c r="V846" s="46">
        <v>11.5825003952</v>
      </c>
      <c r="W846" s="34" t="s">
        <v>231</v>
      </c>
      <c r="X846" s="34" t="s">
        <v>44</v>
      </c>
      <c r="Y846" s="34" t="s">
        <v>45</v>
      </c>
      <c r="Z846" s="34" t="s">
        <v>65</v>
      </c>
      <c r="AA846" s="34"/>
      <c r="AB846" s="34"/>
      <c r="AC846" s="22">
        <v>0.90015441894531245</v>
      </c>
      <c r="AD846" s="23" t="s">
        <v>1767</v>
      </c>
      <c r="AE846" s="24">
        <v>5.9452054794520546</v>
      </c>
      <c r="AF846" s="25">
        <v>0.14804520204082183</v>
      </c>
      <c r="AG846" s="26">
        <v>3.6770865730080482E-2</v>
      </c>
      <c r="AH846" s="26">
        <v>6.8157725650155987E-2</v>
      </c>
      <c r="AI846" s="27">
        <v>0.61385427432820761</v>
      </c>
      <c r="AJ846" s="27">
        <v>0.25602597097314506</v>
      </c>
      <c r="AK846" s="27">
        <v>0.32561281042225193</v>
      </c>
      <c r="AL846" s="28" t="s">
        <v>3578</v>
      </c>
      <c r="AM846" s="29">
        <v>1</v>
      </c>
      <c r="AN846" s="29">
        <v>3</v>
      </c>
      <c r="AO846" s="29" t="s">
        <v>48</v>
      </c>
      <c r="AP846" s="47" t="s">
        <v>3579</v>
      </c>
      <c r="AQ846" s="28">
        <v>0</v>
      </c>
      <c r="AR846" s="26">
        <v>1.4999999999999999E-2</v>
      </c>
      <c r="AS846" s="26">
        <v>0</v>
      </c>
    </row>
    <row r="847" spans="1:45" x14ac:dyDescent="0.15">
      <c r="A847" s="64">
        <v>78</v>
      </c>
      <c r="B847" s="64">
        <v>231</v>
      </c>
      <c r="C847" s="11">
        <v>1764</v>
      </c>
      <c r="D847" s="61">
        <v>641</v>
      </c>
      <c r="E847" s="61">
        <v>-2.4427481065071601E-3</v>
      </c>
      <c r="F847" s="61">
        <v>43</v>
      </c>
      <c r="G847" s="61">
        <v>0.338311196198117</v>
      </c>
      <c r="H847" s="66">
        <v>361</v>
      </c>
      <c r="I847" s="66" t="str">
        <f>H847&amp;"/"&amp;451</f>
        <v>361/451</v>
      </c>
      <c r="J847" s="68">
        <f>H847/451</f>
        <v>0.80044345898004432</v>
      </c>
      <c r="K847" s="18" t="s">
        <v>44</v>
      </c>
      <c r="L847" s="18" t="s">
        <v>45</v>
      </c>
      <c r="M847" s="58" t="s">
        <v>65</v>
      </c>
      <c r="N847" s="18">
        <f>[1]!f_prt_stocktonav(C847,"2017/03/31")</f>
        <v>91.085601806640625</v>
      </c>
      <c r="O847" s="20" t="str">
        <f>[1]!f_info_fundmanager(C847)</f>
        <v>余昊</v>
      </c>
      <c r="P847" s="21">
        <v>0.81369863013698629</v>
      </c>
      <c r="Q847" s="34" t="s">
        <v>446</v>
      </c>
      <c r="R847" s="34" t="s">
        <v>447</v>
      </c>
      <c r="S847" s="34" t="s">
        <v>132</v>
      </c>
      <c r="T847" s="34">
        <v>20160527</v>
      </c>
      <c r="U847" s="45">
        <v>9.8220516348999993</v>
      </c>
      <c r="V847" s="46">
        <v>8.2671520427999994</v>
      </c>
      <c r="W847" s="34" t="s">
        <v>3776</v>
      </c>
      <c r="X847" s="34" t="s">
        <v>44</v>
      </c>
      <c r="Y847" s="34" t="s">
        <v>45</v>
      </c>
      <c r="Z847" s="34" t="s">
        <v>65</v>
      </c>
      <c r="AA847" s="34"/>
      <c r="AB847" s="34"/>
      <c r="AC847" s="22">
        <v>0.94949127197265626</v>
      </c>
      <c r="AD847" s="23" t="s">
        <v>448</v>
      </c>
      <c r="AE847" s="24">
        <v>0.58356164383561648</v>
      </c>
      <c r="AF847" s="25">
        <v>-2.8172472773869917E-2</v>
      </c>
      <c r="AG847" s="26">
        <v>0</v>
      </c>
      <c r="AH847" s="26">
        <v>0</v>
      </c>
      <c r="AI847" s="27">
        <v>-0.34468139465615472</v>
      </c>
      <c r="AJ847" s="27">
        <v>-0.34468139465615472</v>
      </c>
      <c r="AK847" s="27">
        <v>-0.34468139465615472</v>
      </c>
      <c r="AL847" s="28" t="s">
        <v>176</v>
      </c>
      <c r="AM847" s="29" t="s">
        <v>48</v>
      </c>
      <c r="AN847" s="29" t="s">
        <v>48</v>
      </c>
      <c r="AO847" s="29" t="s">
        <v>48</v>
      </c>
      <c r="AP847" s="47" t="s">
        <v>449</v>
      </c>
      <c r="AQ847" s="28">
        <v>0</v>
      </c>
      <c r="AR847" s="26">
        <v>1.4999999999999999E-2</v>
      </c>
      <c r="AS847" s="26">
        <v>0</v>
      </c>
    </row>
    <row r="848" spans="1:45" x14ac:dyDescent="0.15">
      <c r="A848" s="64">
        <v>922</v>
      </c>
      <c r="B848" s="64">
        <v>33</v>
      </c>
      <c r="C848" s="11">
        <v>161606</v>
      </c>
      <c r="D848" s="61">
        <v>644</v>
      </c>
      <c r="E848" s="61">
        <v>-2.4730659692651798E-3</v>
      </c>
      <c r="F848" s="61">
        <v>247</v>
      </c>
      <c r="G848" s="61">
        <v>6.5477435342208207E-2</v>
      </c>
      <c r="H848" s="66">
        <v>362</v>
      </c>
      <c r="I848" s="66" t="str">
        <f>H848&amp;"/"&amp;451</f>
        <v>362/451</v>
      </c>
      <c r="J848" s="68">
        <f>H848/451</f>
        <v>0.80266075388026603</v>
      </c>
      <c r="K848" s="18" t="s">
        <v>44</v>
      </c>
      <c r="L848" s="18" t="s">
        <v>45</v>
      </c>
      <c r="M848" s="58" t="s">
        <v>65</v>
      </c>
      <c r="N848" s="18">
        <f>[1]!f_prt_stocktonav(C848,"2017/03/31")</f>
        <v>94.541656494140625</v>
      </c>
      <c r="O848" s="20" t="str">
        <f>[1]!f_info_fundmanager(C848)</f>
        <v>邹曦</v>
      </c>
      <c r="P848" s="21">
        <v>4.7452054794520544</v>
      </c>
      <c r="Q848" s="34" t="s">
        <v>3583</v>
      </c>
      <c r="R848" s="34" t="s">
        <v>3584</v>
      </c>
      <c r="S848" s="34" t="s">
        <v>230</v>
      </c>
      <c r="T848" s="34">
        <v>20040429</v>
      </c>
      <c r="U848" s="45">
        <v>12.722656342000001</v>
      </c>
      <c r="V848" s="46">
        <v>14.741936600000001</v>
      </c>
      <c r="W848" s="34" t="s">
        <v>201</v>
      </c>
      <c r="X848" s="34" t="s">
        <v>44</v>
      </c>
      <c r="Y848" s="34" t="s">
        <v>45</v>
      </c>
      <c r="Z848" s="34" t="s">
        <v>65</v>
      </c>
      <c r="AA848" s="34"/>
      <c r="AB848" s="34"/>
      <c r="AC848" s="22">
        <v>0.95013046264648438</v>
      </c>
      <c r="AD848" s="23" t="s">
        <v>3585</v>
      </c>
      <c r="AE848" s="24">
        <v>4.515068493150685</v>
      </c>
      <c r="AF848" s="25">
        <v>0.10192913598600505</v>
      </c>
      <c r="AG848" s="26">
        <v>8.1320729936728883E-2</v>
      </c>
      <c r="AH848" s="26">
        <v>9.5041094304371132E-2</v>
      </c>
      <c r="AI848" s="27">
        <v>0.43461958459459171</v>
      </c>
      <c r="AJ848" s="27">
        <v>0.3528977198764221</v>
      </c>
      <c r="AK848" s="27">
        <v>0.41167069993145711</v>
      </c>
      <c r="AL848" s="28" t="s">
        <v>1961</v>
      </c>
      <c r="AM848" s="29">
        <v>3</v>
      </c>
      <c r="AN848" s="29">
        <v>1</v>
      </c>
      <c r="AO848" s="29" t="s">
        <v>48</v>
      </c>
      <c r="AP848" s="47" t="s">
        <v>1667</v>
      </c>
      <c r="AQ848" s="28" t="s">
        <v>3586</v>
      </c>
      <c r="AR848" s="26">
        <v>1.4999999999999999E-2</v>
      </c>
      <c r="AS848" s="26">
        <v>0</v>
      </c>
    </row>
    <row r="849" spans="1:45" x14ac:dyDescent="0.15">
      <c r="A849" s="64">
        <v>705</v>
      </c>
      <c r="B849" s="64">
        <v>736</v>
      </c>
      <c r="C849" s="11">
        <v>620004</v>
      </c>
      <c r="D849" s="61">
        <v>649</v>
      </c>
      <c r="E849" s="61">
        <v>-2.5120318073874001E-3</v>
      </c>
      <c r="F849" s="61">
        <v>15</v>
      </c>
      <c r="G849" s="61">
        <v>0.15527289870946501</v>
      </c>
      <c r="H849" s="66">
        <v>363</v>
      </c>
      <c r="I849" s="66" t="str">
        <f>H849&amp;"/"&amp;451</f>
        <v>363/451</v>
      </c>
      <c r="J849" s="68">
        <f>H849/451</f>
        <v>0.80487804878048785</v>
      </c>
      <c r="K849" s="18" t="s">
        <v>44</v>
      </c>
      <c r="L849" s="18" t="s">
        <v>45</v>
      </c>
      <c r="M849" s="58" t="s">
        <v>65</v>
      </c>
      <c r="N849" s="18">
        <f>[1]!f_prt_stocktonav(C849,"2017/03/31")</f>
        <v>78.901107788085937</v>
      </c>
      <c r="O849" s="20" t="str">
        <f>[1]!f_info_fundmanager(C849)</f>
        <v>缪玮彬</v>
      </c>
      <c r="P849" s="21">
        <v>0.28767123287671231</v>
      </c>
      <c r="Q849" s="34" t="s">
        <v>2796</v>
      </c>
      <c r="R849" s="34" t="s">
        <v>2797</v>
      </c>
      <c r="S849" s="34" t="s">
        <v>2275</v>
      </c>
      <c r="T849" s="34">
        <v>20090911</v>
      </c>
      <c r="U849" s="45">
        <v>0.2410014979</v>
      </c>
      <c r="V849" s="46">
        <v>0.26512923770000002</v>
      </c>
      <c r="W849" s="34" t="s">
        <v>201</v>
      </c>
      <c r="X849" s="34" t="s">
        <v>44</v>
      </c>
      <c r="Y849" s="34" t="s">
        <v>45</v>
      </c>
      <c r="Z849" s="34" t="s">
        <v>65</v>
      </c>
      <c r="AA849" s="34"/>
      <c r="AB849" s="34"/>
      <c r="AC849" s="22">
        <v>0.82270072937011718</v>
      </c>
      <c r="AD849" s="23" t="s">
        <v>2798</v>
      </c>
      <c r="AE849" s="24">
        <v>5.7534246575342465E-2</v>
      </c>
      <c r="AF849" s="25">
        <v>-5.1426626296271483E-3</v>
      </c>
      <c r="AG849" s="26">
        <v>2.3567882524035966E-2</v>
      </c>
      <c r="AH849" s="26">
        <v>4.0398791758225805E-2</v>
      </c>
      <c r="AI849" s="27">
        <v>4.8194587009766351E-2</v>
      </c>
      <c r="AJ849" s="27">
        <v>0.18175376279551045</v>
      </c>
      <c r="AK849" s="27">
        <v>0.22870611323476575</v>
      </c>
      <c r="AL849" s="28" t="s">
        <v>2799</v>
      </c>
      <c r="AM849" s="29">
        <v>1</v>
      </c>
      <c r="AN849" s="29">
        <v>4</v>
      </c>
      <c r="AO849" s="29" t="s">
        <v>48</v>
      </c>
      <c r="AP849" s="47" t="s">
        <v>702</v>
      </c>
      <c r="AQ849" s="28">
        <v>0</v>
      </c>
      <c r="AR849" s="26">
        <v>1.4999999999999999E-2</v>
      </c>
      <c r="AS849" s="26">
        <v>0</v>
      </c>
    </row>
    <row r="850" spans="1:45" x14ac:dyDescent="0.15">
      <c r="A850" s="64">
        <v>248</v>
      </c>
      <c r="B850" s="64">
        <v>392</v>
      </c>
      <c r="C850" s="11">
        <v>1366</v>
      </c>
      <c r="D850" s="61">
        <v>655</v>
      </c>
      <c r="E850" s="61">
        <v>-2.56017276293783E-3</v>
      </c>
      <c r="F850" s="61">
        <v>91</v>
      </c>
      <c r="G850" s="61">
        <v>0.18946085552588399</v>
      </c>
      <c r="H850" s="66">
        <v>364</v>
      </c>
      <c r="I850" s="66" t="str">
        <f>H850&amp;"/"&amp;451</f>
        <v>364/451</v>
      </c>
      <c r="J850" s="68">
        <f>H850/451</f>
        <v>0.80709534368070956</v>
      </c>
      <c r="K850" s="18" t="s">
        <v>44</v>
      </c>
      <c r="L850" s="18" t="s">
        <v>45</v>
      </c>
      <c r="M850" s="58" t="s">
        <v>65</v>
      </c>
      <c r="N850" s="18">
        <f>[1]!f_prt_stocktonav(C850,"2017/03/31")</f>
        <v>87.655784606933594</v>
      </c>
      <c r="O850" s="20" t="str">
        <f>[1]!f_info_fundmanager(C850)</f>
        <v>于利强</v>
      </c>
      <c r="P850" s="21">
        <v>1.7917808219178082</v>
      </c>
      <c r="Q850" s="34" t="s">
        <v>1149</v>
      </c>
      <c r="R850" s="34" t="s">
        <v>1150</v>
      </c>
      <c r="S850" s="34" t="s">
        <v>273</v>
      </c>
      <c r="T850" s="34">
        <v>20150616</v>
      </c>
      <c r="U850" s="45">
        <v>4.34013209</v>
      </c>
      <c r="V850" s="46">
        <v>6.5771481816000001</v>
      </c>
      <c r="W850" s="34" t="s">
        <v>3789</v>
      </c>
      <c r="X850" s="34" t="s">
        <v>44</v>
      </c>
      <c r="Y850" s="17" t="s">
        <v>45</v>
      </c>
      <c r="Z850" s="17" t="s">
        <v>65</v>
      </c>
      <c r="AA850" s="34"/>
      <c r="AB850" s="34"/>
      <c r="AC850" s="22">
        <v>0.89038032531738276</v>
      </c>
      <c r="AD850" s="23" t="s">
        <v>1151</v>
      </c>
      <c r="AE850" s="24">
        <v>1.5616438356164384</v>
      </c>
      <c r="AF850" s="25">
        <v>-0.17246374405245601</v>
      </c>
      <c r="AG850" s="26">
        <v>0</v>
      </c>
      <c r="AH850" s="26">
        <v>0</v>
      </c>
      <c r="AI850" s="27">
        <v>-1.116566288612451</v>
      </c>
      <c r="AJ850" s="27">
        <v>-1.116566288612451</v>
      </c>
      <c r="AK850" s="27">
        <v>-1.116566288612451</v>
      </c>
      <c r="AL850" s="28" t="s">
        <v>226</v>
      </c>
      <c r="AM850" s="29" t="s">
        <v>48</v>
      </c>
      <c r="AN850" s="29" t="s">
        <v>48</v>
      </c>
      <c r="AO850" s="29" t="s">
        <v>48</v>
      </c>
      <c r="AP850" s="47" t="s">
        <v>559</v>
      </c>
      <c r="AQ850" s="28">
        <v>0</v>
      </c>
      <c r="AR850" s="26">
        <v>1.4999999999999999E-2</v>
      </c>
      <c r="AS850" s="26">
        <v>0</v>
      </c>
    </row>
    <row r="851" spans="1:45" x14ac:dyDescent="0.15">
      <c r="A851" s="64">
        <v>796</v>
      </c>
      <c r="B851" s="64">
        <v>218</v>
      </c>
      <c r="C851" s="11">
        <v>260110</v>
      </c>
      <c r="D851" s="61">
        <v>657</v>
      </c>
      <c r="E851" s="61">
        <v>-2.5702212865133002E-3</v>
      </c>
      <c r="F851" s="61">
        <v>127</v>
      </c>
      <c r="G851" s="61">
        <v>4.9854495090233597E-2</v>
      </c>
      <c r="H851" s="66">
        <v>365</v>
      </c>
      <c r="I851" s="66" t="str">
        <f>H851&amp;"/"&amp;451</f>
        <v>365/451</v>
      </c>
      <c r="J851" s="68">
        <f>H851/451</f>
        <v>0.80931263858093128</v>
      </c>
      <c r="K851" s="18" t="s">
        <v>44</v>
      </c>
      <c r="L851" s="18" t="s">
        <v>45</v>
      </c>
      <c r="M851" s="58" t="s">
        <v>65</v>
      </c>
      <c r="N851" s="18">
        <f>[1]!f_prt_stocktonav(C851,"2017/03/31")</f>
        <v>91.463874816894531</v>
      </c>
      <c r="O851" s="20" t="str">
        <f>[1]!f_info_fundmanager(C851)</f>
        <v>余广</v>
      </c>
      <c r="P851" s="21">
        <v>2.4246575342465753</v>
      </c>
      <c r="Q851" s="34" t="s">
        <v>3107</v>
      </c>
      <c r="R851" s="34" t="s">
        <v>3108</v>
      </c>
      <c r="S851" s="34" t="s">
        <v>353</v>
      </c>
      <c r="T851" s="34">
        <v>20070618</v>
      </c>
      <c r="U851" s="45">
        <v>28.494543421100001</v>
      </c>
      <c r="V851" s="46">
        <v>29.920225995100001</v>
      </c>
      <c r="W851" s="34" t="s">
        <v>231</v>
      </c>
      <c r="X851" s="34" t="s">
        <v>44</v>
      </c>
      <c r="Y851" s="34" t="s">
        <v>45</v>
      </c>
      <c r="Z851" s="34" t="s">
        <v>65</v>
      </c>
      <c r="AA851" s="34"/>
      <c r="AB851" s="34"/>
      <c r="AC851" s="22">
        <v>0.86913475036621091</v>
      </c>
      <c r="AD851" s="23" t="s">
        <v>2403</v>
      </c>
      <c r="AE851" s="24">
        <v>2.1945205479452055</v>
      </c>
      <c r="AF851" s="25">
        <v>2.0258190016266608E-2</v>
      </c>
      <c r="AG851" s="26">
        <v>0.11063255163271357</v>
      </c>
      <c r="AH851" s="26">
        <v>0.12434789865149343</v>
      </c>
      <c r="AI851" s="27">
        <v>0.14996817662546263</v>
      </c>
      <c r="AJ851" s="27">
        <v>0.46743111533889292</v>
      </c>
      <c r="AK851" s="27">
        <v>0.53609660613745058</v>
      </c>
      <c r="AL851" s="28" t="s">
        <v>3080</v>
      </c>
      <c r="AM851" s="29">
        <v>3</v>
      </c>
      <c r="AN851" s="29">
        <v>3</v>
      </c>
      <c r="AO851" s="29" t="s">
        <v>48</v>
      </c>
      <c r="AP851" s="47" t="s">
        <v>2920</v>
      </c>
      <c r="AQ851" s="28">
        <v>0</v>
      </c>
      <c r="AR851" s="26">
        <v>1.4999999999999999E-2</v>
      </c>
      <c r="AS851" s="26">
        <v>0</v>
      </c>
    </row>
    <row r="852" spans="1:45" x14ac:dyDescent="0.15">
      <c r="A852" s="64">
        <v>773</v>
      </c>
      <c r="B852" s="64">
        <v>582</v>
      </c>
      <c r="C852" s="11">
        <v>350005</v>
      </c>
      <c r="D852" s="61">
        <v>658</v>
      </c>
      <c r="E852" s="61">
        <v>-2.6036317248653101E-3</v>
      </c>
      <c r="F852" s="61">
        <v>96</v>
      </c>
      <c r="G852" s="61">
        <v>0.239947400275208</v>
      </c>
      <c r="H852" s="66">
        <v>366</v>
      </c>
      <c r="I852" s="66" t="str">
        <f>H852&amp;"/"&amp;451</f>
        <v>366/451</v>
      </c>
      <c r="J852" s="68">
        <f>H852/451</f>
        <v>0.81152993348115299</v>
      </c>
      <c r="K852" s="18" t="s">
        <v>44</v>
      </c>
      <c r="L852" s="18" t="s">
        <v>87</v>
      </c>
      <c r="M852" s="58" t="s">
        <v>65</v>
      </c>
      <c r="N852" s="18">
        <f>[1]!f_prt_stocktonav(C852,"2017/03/31")</f>
        <v>83.264328002929688</v>
      </c>
      <c r="O852" s="20" t="str">
        <f>[1]!f_info_fundmanager(C852)</f>
        <v>胡耀文</v>
      </c>
      <c r="P852" s="21">
        <v>1.8273972602739725</v>
      </c>
      <c r="Q852" s="34" t="s">
        <v>3025</v>
      </c>
      <c r="R852" s="34" t="s">
        <v>3026</v>
      </c>
      <c r="S852" s="34" t="s">
        <v>2466</v>
      </c>
      <c r="T852" s="34">
        <v>20080508</v>
      </c>
      <c r="U852" s="45">
        <v>0.34264228889999998</v>
      </c>
      <c r="V852" s="46">
        <v>0.37347853510000001</v>
      </c>
      <c r="W852" s="34" t="s">
        <v>231</v>
      </c>
      <c r="X852" s="34" t="s">
        <v>41</v>
      </c>
      <c r="Y852" s="17" t="s">
        <v>42</v>
      </c>
      <c r="Z852" s="17" t="s">
        <v>181</v>
      </c>
      <c r="AA852" s="34"/>
      <c r="AB852" s="34"/>
      <c r="AC852" s="22">
        <v>0.52279739379882817</v>
      </c>
      <c r="AD852" s="23" t="s">
        <v>3027</v>
      </c>
      <c r="AE852" s="24">
        <v>1.5972602739726027</v>
      </c>
      <c r="AF852" s="25">
        <v>4.7325033750438505E-2</v>
      </c>
      <c r="AG852" s="26">
        <v>4.1086510800824261E-2</v>
      </c>
      <c r="AH852" s="26">
        <v>8.9885990677164518E-2</v>
      </c>
      <c r="AI852" s="27">
        <v>0.25340865339114971</v>
      </c>
      <c r="AJ852" s="27">
        <v>0.23616866283313862</v>
      </c>
      <c r="AK852" s="27">
        <v>0.38706743348049194</v>
      </c>
      <c r="AL852" s="28" t="s">
        <v>3028</v>
      </c>
      <c r="AM852" s="29">
        <v>2</v>
      </c>
      <c r="AN852" s="29">
        <v>2</v>
      </c>
      <c r="AO852" s="29" t="s">
        <v>48</v>
      </c>
      <c r="AP852" s="47" t="s">
        <v>3029</v>
      </c>
      <c r="AQ852" s="28">
        <v>0</v>
      </c>
      <c r="AR852" s="26">
        <v>1.4999999999999999E-2</v>
      </c>
      <c r="AS852" s="26">
        <v>0</v>
      </c>
    </row>
    <row r="853" spans="1:45" x14ac:dyDescent="0.15">
      <c r="A853" s="64">
        <v>123</v>
      </c>
      <c r="B853" s="64">
        <v>393</v>
      </c>
      <c r="C853" s="11">
        <v>2305</v>
      </c>
      <c r="D853" s="61">
        <v>664</v>
      </c>
      <c r="E853" s="61">
        <v>-2.7140335266831999E-3</v>
      </c>
      <c r="F853" s="61">
        <v>58</v>
      </c>
      <c r="G853" s="61">
        <v>0.16431981510162499</v>
      </c>
      <c r="H853" s="66">
        <v>367</v>
      </c>
      <c r="I853" s="66" t="str">
        <f>H853&amp;"/"&amp;451</f>
        <v>367/451</v>
      </c>
      <c r="J853" s="68">
        <f>H853/451</f>
        <v>0.8137472283813747</v>
      </c>
      <c r="K853" s="18" t="s">
        <v>44</v>
      </c>
      <c r="L853" s="18" t="s">
        <v>45</v>
      </c>
      <c r="M853" s="58" t="s">
        <v>65</v>
      </c>
      <c r="N853" s="18">
        <f>[1]!f_prt_stocktonav(C853,"2017/03/31")</f>
        <v>87.651458740234375</v>
      </c>
      <c r="O853" s="20" t="str">
        <f>[1]!f_info_fundmanager(C853)</f>
        <v>赵大年,翟云飞</v>
      </c>
      <c r="P853" s="21">
        <v>1.1534246575342466</v>
      </c>
      <c r="Q853" s="34" t="s">
        <v>632</v>
      </c>
      <c r="R853" s="34" t="s">
        <v>633</v>
      </c>
      <c r="S853" s="34" t="s">
        <v>634</v>
      </c>
      <c r="T853" s="34">
        <v>20160204</v>
      </c>
      <c r="U853" s="45">
        <v>0.74462398799999996</v>
      </c>
      <c r="V853" s="46">
        <v>0.47552261260000001</v>
      </c>
      <c r="W853" s="34" t="s">
        <v>3776</v>
      </c>
      <c r="X853" s="34" t="s">
        <v>44</v>
      </c>
      <c r="Y853" s="34" t="s">
        <v>45</v>
      </c>
      <c r="Z853" s="34" t="s">
        <v>65</v>
      </c>
      <c r="AA853" s="34"/>
      <c r="AB853" s="34"/>
      <c r="AC853" s="22">
        <v>0.84576477050781251</v>
      </c>
      <c r="AD853" s="23" t="s">
        <v>635</v>
      </c>
      <c r="AE853" s="24">
        <v>0.92328767123287669</v>
      </c>
      <c r="AF853" s="25">
        <v>9.6050774961301322E-2</v>
      </c>
      <c r="AG853" s="26">
        <v>0</v>
      </c>
      <c r="AH853" s="26">
        <v>0</v>
      </c>
      <c r="AI853" s="27">
        <v>0.65534724124694987</v>
      </c>
      <c r="AJ853" s="27">
        <v>0.65534724124694987</v>
      </c>
      <c r="AK853" s="27">
        <v>0.65534724124694987</v>
      </c>
      <c r="AL853" s="28" t="s">
        <v>636</v>
      </c>
      <c r="AM853" s="29" t="s">
        <v>48</v>
      </c>
      <c r="AN853" s="29" t="s">
        <v>48</v>
      </c>
      <c r="AO853" s="29" t="s">
        <v>48</v>
      </c>
      <c r="AP853" s="47" t="s">
        <v>637</v>
      </c>
      <c r="AQ853" s="28">
        <v>0</v>
      </c>
      <c r="AR853" s="26">
        <v>1.4999999999999999E-2</v>
      </c>
      <c r="AS853" s="26">
        <v>0</v>
      </c>
    </row>
    <row r="854" spans="1:45" x14ac:dyDescent="0.15">
      <c r="A854" s="64">
        <v>42</v>
      </c>
      <c r="B854" s="64">
        <v>121</v>
      </c>
      <c r="C854" s="11">
        <v>2860</v>
      </c>
      <c r="D854" s="61">
        <v>668</v>
      </c>
      <c r="E854" s="61">
        <v>-2.74760482019135E-3</v>
      </c>
      <c r="F854" s="61">
        <v>29</v>
      </c>
      <c r="G854" s="61">
        <v>0.45629457031045301</v>
      </c>
      <c r="H854" s="66">
        <v>368</v>
      </c>
      <c r="I854" s="66" t="str">
        <f>H854&amp;"/"&amp;451</f>
        <v>368/451</v>
      </c>
      <c r="J854" s="68">
        <f>H854/451</f>
        <v>0.81596452328159641</v>
      </c>
      <c r="K854" s="18" t="s">
        <v>44</v>
      </c>
      <c r="L854" s="18" t="s">
        <v>45</v>
      </c>
      <c r="M854" s="58" t="s">
        <v>65</v>
      </c>
      <c r="N854" s="18">
        <f>[1]!f_prt_stocktonav(C854,"2017/03/31")</f>
        <v>93.26666259765625</v>
      </c>
      <c r="O854" s="20" t="str">
        <f>[1]!f_info_fundmanager(C854)</f>
        <v>曲扬</v>
      </c>
      <c r="P854" s="21">
        <v>0.58356164383561648</v>
      </c>
      <c r="Q854" s="34" t="s">
        <v>267</v>
      </c>
      <c r="R854" s="34" t="s">
        <v>268</v>
      </c>
      <c r="S854" s="34" t="s">
        <v>78</v>
      </c>
      <c r="T854" s="34">
        <v>20160830</v>
      </c>
      <c r="U854" s="45">
        <v>19.997684593100001</v>
      </c>
      <c r="V854" s="46">
        <v>19.5210585998</v>
      </c>
      <c r="W854" s="34" t="s">
        <v>201</v>
      </c>
      <c r="X854" s="34" t="s">
        <v>44</v>
      </c>
      <c r="Y854" s="34" t="s">
        <v>45</v>
      </c>
      <c r="Z854" s="34" t="s">
        <v>65</v>
      </c>
      <c r="AA854" s="34"/>
      <c r="AB854" s="34"/>
      <c r="AC854" s="22">
        <v>0.94236846923828121</v>
      </c>
      <c r="AD854" s="23" t="s">
        <v>119</v>
      </c>
      <c r="AE854" s="24">
        <v>0.35342465753424657</v>
      </c>
      <c r="AF854" s="25">
        <v>-3.7784687476850709E-2</v>
      </c>
      <c r="AG854" s="26">
        <v>0</v>
      </c>
      <c r="AH854" s="26">
        <v>0</v>
      </c>
      <c r="AI854" s="27">
        <v>-0.30478818183552686</v>
      </c>
      <c r="AJ854" s="27">
        <v>-0.30478818183552686</v>
      </c>
      <c r="AK854" s="27">
        <v>-0.30478818183552686</v>
      </c>
      <c r="AL854" s="28" t="s">
        <v>269</v>
      </c>
      <c r="AM854" s="29" t="s">
        <v>48</v>
      </c>
      <c r="AN854" s="29" t="s">
        <v>48</v>
      </c>
      <c r="AO854" s="29" t="s">
        <v>48</v>
      </c>
      <c r="AP854" s="47" t="s">
        <v>270</v>
      </c>
      <c r="AQ854" s="28">
        <v>0</v>
      </c>
      <c r="AR854" s="26">
        <v>1.4999999999999999E-2</v>
      </c>
      <c r="AS854" s="26">
        <v>0</v>
      </c>
    </row>
    <row r="855" spans="1:45" x14ac:dyDescent="0.15">
      <c r="A855" s="64">
        <v>771</v>
      </c>
      <c r="B855" s="64">
        <v>268</v>
      </c>
      <c r="C855" s="11">
        <v>70013</v>
      </c>
      <c r="D855" s="61">
        <v>670</v>
      </c>
      <c r="E855" s="61">
        <v>-2.7547543642515702E-3</v>
      </c>
      <c r="F855" s="61">
        <v>103</v>
      </c>
      <c r="G855" s="61">
        <v>0.154874859040006</v>
      </c>
      <c r="H855" s="66">
        <v>369</v>
      </c>
      <c r="I855" s="66" t="str">
        <f>H855&amp;"/"&amp;451</f>
        <v>369/451</v>
      </c>
      <c r="J855" s="68">
        <f>H855/451</f>
        <v>0.81818181818181823</v>
      </c>
      <c r="K855" s="18" t="s">
        <v>44</v>
      </c>
      <c r="L855" s="19" t="s">
        <v>45</v>
      </c>
      <c r="M855" s="59" t="s">
        <v>65</v>
      </c>
      <c r="N855" s="18">
        <f>[1]!f_prt_stocktonav(C855,"2017/03/31")</f>
        <v>90.074264526367188</v>
      </c>
      <c r="O855" s="20" t="str">
        <f>[1]!f_info_fundmanager(C855)</f>
        <v>陈少平</v>
      </c>
      <c r="P855" s="21">
        <v>1.9753424657534246</v>
      </c>
      <c r="Q855" s="32" t="s">
        <v>3020</v>
      </c>
      <c r="R855" s="13" t="s">
        <v>3021</v>
      </c>
      <c r="S855" s="13" t="s">
        <v>92</v>
      </c>
      <c r="T855" s="13">
        <v>20080527</v>
      </c>
      <c r="U855" s="14">
        <v>46.988294125199999</v>
      </c>
      <c r="V855" s="15" t="s">
        <v>39</v>
      </c>
      <c r="W855" s="16" t="s">
        <v>40</v>
      </c>
      <c r="X855" s="17" t="s">
        <v>44</v>
      </c>
      <c r="Y855" s="17" t="s">
        <v>45</v>
      </c>
      <c r="Z855" s="17" t="s">
        <v>274</v>
      </c>
      <c r="AA855" s="13"/>
      <c r="AB855" s="13"/>
      <c r="AC855" s="22">
        <v>0.90169883728027345</v>
      </c>
      <c r="AD855" s="23" t="s">
        <v>104</v>
      </c>
      <c r="AE855" s="24">
        <v>1.7452054794520548</v>
      </c>
      <c r="AF855" s="25">
        <v>0.17518517872744474</v>
      </c>
      <c r="AG855" s="26">
        <v>0.19847248866420109</v>
      </c>
      <c r="AH855" s="26">
        <v>0.20595566457668846</v>
      </c>
      <c r="AI855" s="27">
        <v>0.75669641319393788</v>
      </c>
      <c r="AJ855" s="27">
        <v>0.70919947254860882</v>
      </c>
      <c r="AK855" s="27">
        <v>0.81361602780251341</v>
      </c>
      <c r="AL855" s="28" t="s">
        <v>2607</v>
      </c>
      <c r="AM855" s="29">
        <v>4</v>
      </c>
      <c r="AN855" s="29">
        <v>4</v>
      </c>
      <c r="AO855" s="29" t="s">
        <v>48</v>
      </c>
      <c r="AP855" s="23" t="s">
        <v>2175</v>
      </c>
      <c r="AQ855" s="30">
        <v>0</v>
      </c>
      <c r="AR855" s="31">
        <v>1.4999999999999999E-2</v>
      </c>
      <c r="AS855" s="31">
        <v>0</v>
      </c>
    </row>
    <row r="856" spans="1:45" x14ac:dyDescent="0.15">
      <c r="A856" s="64">
        <v>928</v>
      </c>
      <c r="B856" s="64">
        <v>741</v>
      </c>
      <c r="C856" s="11">
        <v>519003</v>
      </c>
      <c r="D856" s="61">
        <v>671</v>
      </c>
      <c r="E856" s="61">
        <v>-2.75555629537972E-3</v>
      </c>
      <c r="F856" s="61">
        <v>95</v>
      </c>
      <c r="G856" s="61">
        <v>9.3800451293169801E-2</v>
      </c>
      <c r="H856" s="66">
        <v>370</v>
      </c>
      <c r="I856" s="66" t="str">
        <f>H856&amp;"/"&amp;451</f>
        <v>370/451</v>
      </c>
      <c r="J856" s="68">
        <f>H856/451</f>
        <v>0.82039911308203994</v>
      </c>
      <c r="K856" s="18" t="s">
        <v>44</v>
      </c>
      <c r="L856" s="18" t="s">
        <v>45</v>
      </c>
      <c r="M856" s="58" t="s">
        <v>65</v>
      </c>
      <c r="N856" s="18">
        <f>[1]!f_prt_stocktonav(C856,"2017/03/31")</f>
        <v>78.693046569824219</v>
      </c>
      <c r="O856" s="20" t="str">
        <f>[1]!f_info_fundmanager(C856)</f>
        <v>周雪军</v>
      </c>
      <c r="P856" s="21">
        <v>1.810958904109589</v>
      </c>
      <c r="Q856" s="34" t="s">
        <v>3610</v>
      </c>
      <c r="R856" s="34" t="s">
        <v>3611</v>
      </c>
      <c r="S856" s="34" t="s">
        <v>496</v>
      </c>
      <c r="T856" s="34">
        <v>20040312</v>
      </c>
      <c r="U856" s="45">
        <v>22.6749387851</v>
      </c>
      <c r="V856" s="46">
        <v>20.613331107899999</v>
      </c>
      <c r="W856" s="34" t="s">
        <v>231</v>
      </c>
      <c r="X856" s="34" t="s">
        <v>44</v>
      </c>
      <c r="Y856" s="34" t="s">
        <v>45</v>
      </c>
      <c r="Z856" s="34" t="s">
        <v>65</v>
      </c>
      <c r="AA856" s="34"/>
      <c r="AB856" s="34"/>
      <c r="AC856" s="22">
        <v>0.74799438476562496</v>
      </c>
      <c r="AD856" s="23" t="s">
        <v>497</v>
      </c>
      <c r="AE856" s="24">
        <v>1.5808219178082192</v>
      </c>
      <c r="AF856" s="25">
        <v>9.7110173502679795E-2</v>
      </c>
      <c r="AG856" s="26">
        <v>0.1184602648587376</v>
      </c>
      <c r="AH856" s="26">
        <v>7.8581111300430218E-2</v>
      </c>
      <c r="AI856" s="27">
        <v>0.46812218752356993</v>
      </c>
      <c r="AJ856" s="27">
        <v>0.47016647982808801</v>
      </c>
      <c r="AK856" s="27">
        <v>0.37599857600418596</v>
      </c>
      <c r="AL856" s="28" t="s">
        <v>3612</v>
      </c>
      <c r="AM856" s="29">
        <v>1</v>
      </c>
      <c r="AN856" s="29">
        <v>1</v>
      </c>
      <c r="AO856" s="29" t="s">
        <v>48</v>
      </c>
      <c r="AP856" s="47" t="s">
        <v>3613</v>
      </c>
      <c r="AQ856" s="28">
        <v>0</v>
      </c>
      <c r="AR856" s="26">
        <v>1.4999999999999999E-2</v>
      </c>
      <c r="AS856" s="26">
        <v>0</v>
      </c>
    </row>
    <row r="857" spans="1:45" x14ac:dyDescent="0.15">
      <c r="A857" s="64">
        <v>379</v>
      </c>
      <c r="B857" s="64">
        <v>258</v>
      </c>
      <c r="C857" s="11">
        <v>717</v>
      </c>
      <c r="D857" s="61">
        <v>673</v>
      </c>
      <c r="E857" s="61">
        <v>-2.7594906101333799E-3</v>
      </c>
      <c r="F857" s="61">
        <v>113</v>
      </c>
      <c r="G857" s="61">
        <v>0.11103805875075901</v>
      </c>
      <c r="H857" s="66">
        <v>371</v>
      </c>
      <c r="I857" s="66" t="str">
        <f>H857&amp;"/"&amp;451</f>
        <v>371/451</v>
      </c>
      <c r="J857" s="68">
        <f>H857/451</f>
        <v>0.82261640798226165</v>
      </c>
      <c r="K857" s="18" t="s">
        <v>44</v>
      </c>
      <c r="L857" s="18" t="s">
        <v>45</v>
      </c>
      <c r="M857" s="58" t="s">
        <v>65</v>
      </c>
      <c r="N857" s="18">
        <f>[1]!f_prt_stocktonav(C857,"2017/03/31")</f>
        <v>90.310234069824219</v>
      </c>
      <c r="O857" s="20" t="str">
        <f>[1]!f_info_fundmanager(C857)</f>
        <v>张延闽</v>
      </c>
      <c r="P857" s="21">
        <v>2.2054794520547945</v>
      </c>
      <c r="Q857" s="34" t="s">
        <v>1652</v>
      </c>
      <c r="R857" s="34" t="s">
        <v>1653</v>
      </c>
      <c r="S857" s="34" t="s">
        <v>230</v>
      </c>
      <c r="T857" s="34">
        <v>20150116</v>
      </c>
      <c r="U857" s="45">
        <v>1.1265749761999999</v>
      </c>
      <c r="V857" s="46">
        <v>1.2073030123999999</v>
      </c>
      <c r="W857" s="34" t="s">
        <v>3789</v>
      </c>
      <c r="X857" s="34" t="s">
        <v>44</v>
      </c>
      <c r="Y857" s="17" t="s">
        <v>45</v>
      </c>
      <c r="Z857" s="17" t="s">
        <v>65</v>
      </c>
      <c r="AA857" s="34"/>
      <c r="AB857" s="34"/>
      <c r="AC857" s="22">
        <v>0.88892967224121089</v>
      </c>
      <c r="AD857" s="23" t="s">
        <v>299</v>
      </c>
      <c r="AE857" s="24">
        <v>1.9753424657534246</v>
      </c>
      <c r="AF857" s="25">
        <v>5.8026097297885659E-2</v>
      </c>
      <c r="AG857" s="26">
        <v>0</v>
      </c>
      <c r="AH857" s="26">
        <v>0</v>
      </c>
      <c r="AI857" s="27">
        <v>0.29309419370476181</v>
      </c>
      <c r="AJ857" s="27">
        <v>0.29309419370476181</v>
      </c>
      <c r="AK857" s="27">
        <v>0.29309419370476181</v>
      </c>
      <c r="AL857" s="28" t="s">
        <v>1428</v>
      </c>
      <c r="AM857" s="29" t="s">
        <v>48</v>
      </c>
      <c r="AN857" s="29" t="s">
        <v>48</v>
      </c>
      <c r="AO857" s="29" t="s">
        <v>48</v>
      </c>
      <c r="AP857" s="47" t="s">
        <v>1654</v>
      </c>
      <c r="AQ857" s="28" t="s">
        <v>235</v>
      </c>
      <c r="AR857" s="26">
        <v>1.4999999999999999E-2</v>
      </c>
      <c r="AS857" s="26">
        <v>0</v>
      </c>
    </row>
    <row r="858" spans="1:45" x14ac:dyDescent="0.15">
      <c r="A858" s="64">
        <v>691</v>
      </c>
      <c r="B858" s="64">
        <v>271</v>
      </c>
      <c r="C858" s="11">
        <v>470008</v>
      </c>
      <c r="D858" s="61">
        <v>674</v>
      </c>
      <c r="E858" s="61">
        <v>-2.76483380407898E-3</v>
      </c>
      <c r="F858" s="61">
        <v>372</v>
      </c>
      <c r="G858" s="61">
        <v>7.38609294105891E-3</v>
      </c>
      <c r="H858" s="66">
        <v>372</v>
      </c>
      <c r="I858" s="66" t="str">
        <f>H858&amp;"/"&amp;451</f>
        <v>372/451</v>
      </c>
      <c r="J858" s="68">
        <f>H858/451</f>
        <v>0.82483370288248337</v>
      </c>
      <c r="K858" s="18" t="s">
        <v>44</v>
      </c>
      <c r="L858" s="18" t="s">
        <v>45</v>
      </c>
      <c r="M858" s="58" t="s">
        <v>65</v>
      </c>
      <c r="N858" s="18">
        <f>[1]!f_prt_stocktonav(C858,"2017/03/31")</f>
        <v>90.036827087402344</v>
      </c>
      <c r="O858" s="20" t="str">
        <f>[1]!f_info_fundmanager(C858)</f>
        <v>顾耀强</v>
      </c>
      <c r="P858" s="21">
        <v>7.2767123287671236</v>
      </c>
      <c r="Q858" s="34" t="s">
        <v>2752</v>
      </c>
      <c r="R858" s="34" t="s">
        <v>2753</v>
      </c>
      <c r="S858" s="34" t="s">
        <v>331</v>
      </c>
      <c r="T858" s="34">
        <v>20091222</v>
      </c>
      <c r="U858" s="45">
        <v>13.892652333899999</v>
      </c>
      <c r="V858" s="46">
        <v>16.1802473276</v>
      </c>
      <c r="W858" s="34" t="s">
        <v>201</v>
      </c>
      <c r="X858" s="34" t="s">
        <v>44</v>
      </c>
      <c r="Y858" s="34" t="s">
        <v>45</v>
      </c>
      <c r="Z858" s="34" t="s">
        <v>65</v>
      </c>
      <c r="AA858" s="34"/>
      <c r="AB858" s="34"/>
      <c r="AC858" s="22">
        <v>0.89826789855957034</v>
      </c>
      <c r="AD858" s="23" t="s">
        <v>2371</v>
      </c>
      <c r="AE858" s="24">
        <v>7.0465753424657533</v>
      </c>
      <c r="AF858" s="25">
        <v>7.2945599371079251E-2</v>
      </c>
      <c r="AG858" s="26">
        <v>0.16295860769153905</v>
      </c>
      <c r="AH858" s="26">
        <v>0.12566809425799752</v>
      </c>
      <c r="AI858" s="27">
        <v>0.33590697239909012</v>
      </c>
      <c r="AJ858" s="27">
        <v>0.53030245349211191</v>
      </c>
      <c r="AK858" s="27">
        <v>0.48027371500685218</v>
      </c>
      <c r="AL858" s="28" t="s">
        <v>726</v>
      </c>
      <c r="AM858" s="29">
        <v>2</v>
      </c>
      <c r="AN858" s="29">
        <v>3</v>
      </c>
      <c r="AO858" s="29" t="s">
        <v>48</v>
      </c>
      <c r="AP858" s="47" t="s">
        <v>334</v>
      </c>
      <c r="AQ858" s="28">
        <v>0</v>
      </c>
      <c r="AR858" s="26">
        <v>1.4999999999999999E-2</v>
      </c>
      <c r="AS858" s="26">
        <v>0</v>
      </c>
    </row>
    <row r="859" spans="1:45" x14ac:dyDescent="0.15">
      <c r="A859" s="64">
        <v>829</v>
      </c>
      <c r="B859" s="64">
        <v>90</v>
      </c>
      <c r="C859" s="11">
        <v>481004</v>
      </c>
      <c r="D859" s="61">
        <v>675</v>
      </c>
      <c r="E859" s="61">
        <v>-2.76663937296843E-3</v>
      </c>
      <c r="F859" s="61">
        <v>24</v>
      </c>
      <c r="G859" s="61">
        <v>0.116415562536814</v>
      </c>
      <c r="H859" s="66">
        <v>373</v>
      </c>
      <c r="I859" s="66" t="str">
        <f>H859&amp;"/"&amp;451</f>
        <v>373/451</v>
      </c>
      <c r="J859" s="68">
        <f>H859/451</f>
        <v>0.82705099778270508</v>
      </c>
      <c r="K859" s="18" t="s">
        <v>44</v>
      </c>
      <c r="L859" s="18" t="s">
        <v>45</v>
      </c>
      <c r="M859" s="58" t="s">
        <v>65</v>
      </c>
      <c r="N859" s="18">
        <f>[1]!f_prt_stocktonav(C859,"2017/03/31")</f>
        <v>93.7420654296875</v>
      </c>
      <c r="O859" s="20" t="str">
        <f>[1]!f_info_fundmanager(C859)</f>
        <v>胡文彪</v>
      </c>
      <c r="P859" s="21">
        <v>0.44931506849315067</v>
      </c>
      <c r="Q859" s="34" t="s">
        <v>3224</v>
      </c>
      <c r="R859" s="34" t="s">
        <v>3225</v>
      </c>
      <c r="S859" s="34" t="s">
        <v>523</v>
      </c>
      <c r="T859" s="34">
        <v>20061206</v>
      </c>
      <c r="U859" s="45">
        <v>14.404809236</v>
      </c>
      <c r="V859" s="46">
        <v>19.2436144779</v>
      </c>
      <c r="W859" s="34" t="s">
        <v>231</v>
      </c>
      <c r="X859" s="34" t="s">
        <v>44</v>
      </c>
      <c r="Y859" s="34" t="s">
        <v>45</v>
      </c>
      <c r="Z859" s="34" t="s">
        <v>274</v>
      </c>
      <c r="AA859" s="34"/>
      <c r="AB859" s="34"/>
      <c r="AC859" s="22">
        <v>0.94917617797851561</v>
      </c>
      <c r="AD859" s="23" t="s">
        <v>3226</v>
      </c>
      <c r="AE859" s="24">
        <v>3.7287671232876711</v>
      </c>
      <c r="AF859" s="25">
        <v>5.9381664930298506E-2</v>
      </c>
      <c r="AG859" s="26">
        <v>-1.2144074153341733E-2</v>
      </c>
      <c r="AH859" s="26">
        <v>4.5832357772211063E-2</v>
      </c>
      <c r="AI859" s="27">
        <v>0.29491896147322261</v>
      </c>
      <c r="AJ859" s="27">
        <v>0.13304548466602795</v>
      </c>
      <c r="AK859" s="27">
        <v>0.25640759434305044</v>
      </c>
      <c r="AL859" s="28" t="s">
        <v>1459</v>
      </c>
      <c r="AM859" s="29">
        <v>1</v>
      </c>
      <c r="AN859" s="29">
        <v>1</v>
      </c>
      <c r="AO859" s="29" t="s">
        <v>48</v>
      </c>
      <c r="AP859" s="47" t="s">
        <v>255</v>
      </c>
      <c r="AQ859" s="28">
        <v>0</v>
      </c>
      <c r="AR859" s="26">
        <v>1.4999999999999999E-2</v>
      </c>
      <c r="AS859" s="26">
        <v>0</v>
      </c>
    </row>
    <row r="860" spans="1:45" x14ac:dyDescent="0.15">
      <c r="A860" s="64">
        <v>800</v>
      </c>
      <c r="B860" s="64">
        <v>266</v>
      </c>
      <c r="C860" s="11">
        <v>460002</v>
      </c>
      <c r="D860" s="61">
        <v>677</v>
      </c>
      <c r="E860" s="61">
        <v>-2.7884700135983299E-3</v>
      </c>
      <c r="F860" s="61">
        <v>258</v>
      </c>
      <c r="G860" s="61">
        <v>8.4790565383485693E-3</v>
      </c>
      <c r="H860" s="66">
        <v>374</v>
      </c>
      <c r="I860" s="66" t="str">
        <f>H860&amp;"/"&amp;451</f>
        <v>374/451</v>
      </c>
      <c r="J860" s="68">
        <f>H860/451</f>
        <v>0.82926829268292679</v>
      </c>
      <c r="K860" s="18" t="s">
        <v>44</v>
      </c>
      <c r="L860" s="19" t="s">
        <v>45</v>
      </c>
      <c r="M860" s="59" t="s">
        <v>65</v>
      </c>
      <c r="N860" s="18">
        <f>[1]!f_prt_stocktonav(C860,"2017/03/31")</f>
        <v>90.115348815917969</v>
      </c>
      <c r="O860" s="20" t="str">
        <f>[1]!f_info_fundmanager(C860)</f>
        <v>方伦煜</v>
      </c>
      <c r="P860" s="21">
        <v>4.9534246575342467</v>
      </c>
      <c r="Q860" s="32" t="s">
        <v>3120</v>
      </c>
      <c r="R860" s="13" t="s">
        <v>3121</v>
      </c>
      <c r="S860" s="13" t="s">
        <v>880</v>
      </c>
      <c r="T860" s="13">
        <v>20070529</v>
      </c>
      <c r="U860" s="14">
        <v>12.2601756855</v>
      </c>
      <c r="V860" s="15" t="s">
        <v>39</v>
      </c>
      <c r="W860" s="16" t="s">
        <v>40</v>
      </c>
      <c r="X860" s="17" t="s">
        <v>44</v>
      </c>
      <c r="Y860" s="17" t="s">
        <v>45</v>
      </c>
      <c r="Z860" s="17" t="s">
        <v>65</v>
      </c>
      <c r="AA860" s="13"/>
      <c r="AB860" s="13"/>
      <c r="AC860" s="22">
        <v>0.8118708038330078</v>
      </c>
      <c r="AD860" s="23" t="s">
        <v>1483</v>
      </c>
      <c r="AE860" s="24">
        <v>4.7232876712328764</v>
      </c>
      <c r="AF860" s="25">
        <v>4.8389097279868176E-2</v>
      </c>
      <c r="AG860" s="26">
        <v>0.18510699294254596</v>
      </c>
      <c r="AH860" s="26">
        <v>0.15133231564872229</v>
      </c>
      <c r="AI860" s="27">
        <v>0.2570656862872962</v>
      </c>
      <c r="AJ860" s="27">
        <v>0.66918409366434672</v>
      </c>
      <c r="AK860" s="27">
        <v>0.59673181544585285</v>
      </c>
      <c r="AL860" s="28" t="s">
        <v>3122</v>
      </c>
      <c r="AM860" s="29">
        <v>5</v>
      </c>
      <c r="AN860" s="29">
        <v>4</v>
      </c>
      <c r="AO860" s="29" t="s">
        <v>48</v>
      </c>
      <c r="AP860" s="23">
        <v>0</v>
      </c>
      <c r="AQ860" s="30">
        <v>0</v>
      </c>
      <c r="AR860" s="31">
        <v>1.4999999999999999E-2</v>
      </c>
      <c r="AS860" s="31">
        <v>0</v>
      </c>
    </row>
    <row r="861" spans="1:45" x14ac:dyDescent="0.15">
      <c r="A861" s="64">
        <v>367</v>
      </c>
      <c r="B861" s="64">
        <v>94</v>
      </c>
      <c r="C861" s="11">
        <v>985</v>
      </c>
      <c r="D861" s="61">
        <v>681</v>
      </c>
      <c r="E861" s="61">
        <v>-2.8058829505780798E-3</v>
      </c>
      <c r="F861" s="61">
        <v>110</v>
      </c>
      <c r="G861" s="61">
        <v>3.2032241985815099E-2</v>
      </c>
      <c r="H861" s="66">
        <v>375</v>
      </c>
      <c r="I861" s="66" t="str">
        <f>H861&amp;"/"&amp;451</f>
        <v>375/451</v>
      </c>
      <c r="J861" s="68">
        <f>H861/451</f>
        <v>0.83148558758314861</v>
      </c>
      <c r="K861" s="18" t="s">
        <v>44</v>
      </c>
      <c r="L861" s="18" t="s">
        <v>45</v>
      </c>
      <c r="M861" s="58" t="s">
        <v>65</v>
      </c>
      <c r="N861" s="18">
        <f>[1]!f_prt_stocktonav(C861,"2017/03/31")</f>
        <v>93.700607299804687</v>
      </c>
      <c r="O861" s="20" t="str">
        <f>[1]!f_info_fundmanager(C861)</f>
        <v>郭东谋</v>
      </c>
      <c r="P861" s="21">
        <v>2.1589041095890411</v>
      </c>
      <c r="Q861" s="34" t="s">
        <v>1608</v>
      </c>
      <c r="R861" s="34" t="s">
        <v>1609</v>
      </c>
      <c r="S861" s="34" t="s">
        <v>92</v>
      </c>
      <c r="T861" s="34">
        <v>20150202</v>
      </c>
      <c r="U861" s="45">
        <v>18.699145991799998</v>
      </c>
      <c r="V861" s="46">
        <v>19.3115168446</v>
      </c>
      <c r="W861" s="34" t="s">
        <v>1235</v>
      </c>
      <c r="X861" s="34" t="s">
        <v>44</v>
      </c>
      <c r="Y861" s="34" t="s">
        <v>45</v>
      </c>
      <c r="Z861" s="34" t="s">
        <v>65</v>
      </c>
      <c r="AA861" s="34"/>
      <c r="AB861" s="34"/>
      <c r="AC861" s="22">
        <v>0.94066558837890624</v>
      </c>
      <c r="AD861" s="23" t="s">
        <v>1610</v>
      </c>
      <c r="AE861" s="24">
        <v>1.9287671232876713</v>
      </c>
      <c r="AF861" s="25">
        <v>4.953004831672625E-2</v>
      </c>
      <c r="AG861" s="26">
        <v>0</v>
      </c>
      <c r="AH861" s="26">
        <v>0</v>
      </c>
      <c r="AI861" s="27">
        <v>0.29295932930318347</v>
      </c>
      <c r="AJ861" s="27">
        <v>0.29295932930318347</v>
      </c>
      <c r="AK861" s="27">
        <v>0.29295932930318347</v>
      </c>
      <c r="AL861" s="28" t="s">
        <v>208</v>
      </c>
      <c r="AM861" s="29" t="s">
        <v>48</v>
      </c>
      <c r="AN861" s="29" t="s">
        <v>48</v>
      </c>
      <c r="AO861" s="29" t="s">
        <v>48</v>
      </c>
      <c r="AP861" s="47" t="s">
        <v>249</v>
      </c>
      <c r="AQ861" s="28">
        <v>0</v>
      </c>
      <c r="AR861" s="26">
        <v>1.4999999999999999E-2</v>
      </c>
      <c r="AS861" s="26">
        <v>0</v>
      </c>
    </row>
    <row r="862" spans="1:45" x14ac:dyDescent="0.15">
      <c r="A862" s="64">
        <v>108</v>
      </c>
      <c r="B862" s="64">
        <v>417</v>
      </c>
      <c r="C862" s="11">
        <v>1701</v>
      </c>
      <c r="D862" s="61">
        <v>682</v>
      </c>
      <c r="E862" s="61">
        <v>-2.8196192138908601E-3</v>
      </c>
      <c r="F862" s="61">
        <v>41</v>
      </c>
      <c r="G862" s="61">
        <v>0.18086176175242</v>
      </c>
      <c r="H862" s="66">
        <v>376</v>
      </c>
      <c r="I862" s="66" t="str">
        <f>H862&amp;"/"&amp;451</f>
        <v>376/451</v>
      </c>
      <c r="J862" s="68">
        <f>H862/451</f>
        <v>0.83370288248337032</v>
      </c>
      <c r="K862" s="18" t="s">
        <v>44</v>
      </c>
      <c r="L862" s="18" t="s">
        <v>45</v>
      </c>
      <c r="M862" s="58" t="s">
        <v>65</v>
      </c>
      <c r="N862" s="18">
        <f>[1]!f_prt_stocktonav(C862,"2017/03/31")</f>
        <v>87.011917114257813</v>
      </c>
      <c r="O862" s="20" t="str">
        <f>[1]!f_info_fundmanager(C862)</f>
        <v>孔学兵</v>
      </c>
      <c r="P862" s="21">
        <v>0.76986301369863008</v>
      </c>
      <c r="Q862" s="34" t="s">
        <v>573</v>
      </c>
      <c r="R862" s="34" t="s">
        <v>574</v>
      </c>
      <c r="S862" s="34" t="s">
        <v>575</v>
      </c>
      <c r="T862" s="34">
        <v>20160318</v>
      </c>
      <c r="U862" s="45">
        <v>0.25808822790000002</v>
      </c>
      <c r="V862" s="46">
        <v>0.21364880529999999</v>
      </c>
      <c r="W862" s="34" t="s">
        <v>3776</v>
      </c>
      <c r="X862" s="34" t="s">
        <v>44</v>
      </c>
      <c r="Y862" s="34" t="s">
        <v>45</v>
      </c>
      <c r="Z862" s="34" t="s">
        <v>65</v>
      </c>
      <c r="AA862" s="34"/>
      <c r="AB862" s="34"/>
      <c r="AC862" s="22">
        <v>0.89317565917968755</v>
      </c>
      <c r="AD862" s="23" t="s">
        <v>576</v>
      </c>
      <c r="AE862" s="24">
        <v>0.53972602739726028</v>
      </c>
      <c r="AF862" s="25">
        <v>-5.1499986870601644E-2</v>
      </c>
      <c r="AG862" s="26">
        <v>0</v>
      </c>
      <c r="AH862" s="26">
        <v>0</v>
      </c>
      <c r="AI862" s="27">
        <v>-0.42259670706310842</v>
      </c>
      <c r="AJ862" s="27">
        <v>-0.42259670706310842</v>
      </c>
      <c r="AK862" s="27">
        <v>-0.42259670706310842</v>
      </c>
      <c r="AL862" s="28" t="s">
        <v>240</v>
      </c>
      <c r="AM862" s="29" t="s">
        <v>48</v>
      </c>
      <c r="AN862" s="29" t="s">
        <v>48</v>
      </c>
      <c r="AO862" s="29" t="s">
        <v>48</v>
      </c>
      <c r="AP862" s="47" t="s">
        <v>209</v>
      </c>
      <c r="AQ862" s="28">
        <v>0</v>
      </c>
      <c r="AR862" s="26">
        <v>1.4999999999999999E-2</v>
      </c>
      <c r="AS862" s="26">
        <v>0</v>
      </c>
    </row>
    <row r="863" spans="1:45" x14ac:dyDescent="0.15">
      <c r="A863" s="64">
        <v>455</v>
      </c>
      <c r="B863" s="64">
        <v>247</v>
      </c>
      <c r="C863" s="11">
        <v>584</v>
      </c>
      <c r="D863" s="61">
        <v>690</v>
      </c>
      <c r="E863" s="61">
        <v>-2.8939480566748999E-3</v>
      </c>
      <c r="F863" s="61">
        <v>141</v>
      </c>
      <c r="G863" s="61">
        <v>6.2173959295698397E-2</v>
      </c>
      <c r="H863" s="66">
        <v>377</v>
      </c>
      <c r="I863" s="66" t="str">
        <f>H863&amp;"/"&amp;451</f>
        <v>377/451</v>
      </c>
      <c r="J863" s="68">
        <f>H863/451</f>
        <v>0.83592017738359203</v>
      </c>
      <c r="K863" s="18" t="s">
        <v>44</v>
      </c>
      <c r="L863" s="18" t="s">
        <v>45</v>
      </c>
      <c r="M863" s="58" t="s">
        <v>65</v>
      </c>
      <c r="N863" s="18">
        <f>[1]!f_prt_stocktonav(C863,"2017/03/31")</f>
        <v>90.620170593261719</v>
      </c>
      <c r="O863" s="20" t="str">
        <f>[1]!f_info_fundmanager(C863)</f>
        <v>崔建波,李会忠</v>
      </c>
      <c r="P863" s="21">
        <v>2.7041095890410958</v>
      </c>
      <c r="Q863" s="34" t="s">
        <v>1935</v>
      </c>
      <c r="R863" s="34" t="s">
        <v>1936</v>
      </c>
      <c r="S863" s="34" t="s">
        <v>569</v>
      </c>
      <c r="T863" s="34">
        <v>20140416</v>
      </c>
      <c r="U863" s="45">
        <v>2.4157036879999998</v>
      </c>
      <c r="V863" s="46">
        <v>2.5316419567000001</v>
      </c>
      <c r="W863" s="34" t="s">
        <v>3776</v>
      </c>
      <c r="X863" s="34" t="s">
        <v>41</v>
      </c>
      <c r="Y863" s="34" t="s">
        <v>42</v>
      </c>
      <c r="Z863" s="34" t="s">
        <v>181</v>
      </c>
      <c r="AA863" s="34"/>
      <c r="AB863" s="34"/>
      <c r="AC863" s="22">
        <v>0.61211174011230474</v>
      </c>
      <c r="AD863" s="23" t="s">
        <v>1937</v>
      </c>
      <c r="AE863" s="24">
        <v>2.473972602739726</v>
      </c>
      <c r="AF863" s="25">
        <v>0.21899773485531271</v>
      </c>
      <c r="AG863" s="26">
        <v>0</v>
      </c>
      <c r="AH863" s="26">
        <v>0</v>
      </c>
      <c r="AI863" s="27">
        <v>0.80670384860491806</v>
      </c>
      <c r="AJ863" s="27">
        <v>0.80670384860491806</v>
      </c>
      <c r="AK863" s="27">
        <v>0.80670384860491806</v>
      </c>
      <c r="AL863" s="28" t="s">
        <v>1938</v>
      </c>
      <c r="AM863" s="29" t="s">
        <v>48</v>
      </c>
      <c r="AN863" s="29" t="s">
        <v>48</v>
      </c>
      <c r="AO863" s="29" t="s">
        <v>48</v>
      </c>
      <c r="AP863" s="47">
        <v>0</v>
      </c>
      <c r="AQ863" s="28">
        <v>0</v>
      </c>
      <c r="AR863" s="26">
        <v>1.4999999999999999E-2</v>
      </c>
      <c r="AS863" s="26">
        <v>5.0000000000000001E-3</v>
      </c>
    </row>
    <row r="864" spans="1:45" x14ac:dyDescent="0.15">
      <c r="A864" s="64">
        <v>551</v>
      </c>
      <c r="B864" s="64">
        <v>653</v>
      </c>
      <c r="C864" s="11">
        <v>163822</v>
      </c>
      <c r="D864" s="61">
        <v>692</v>
      </c>
      <c r="E864" s="61">
        <v>-2.9213286107662899E-3</v>
      </c>
      <c r="F864" s="61">
        <v>240</v>
      </c>
      <c r="G864" s="61">
        <v>6.1752876906869397E-2</v>
      </c>
      <c r="H864" s="66">
        <v>378</v>
      </c>
      <c r="I864" s="66" t="str">
        <f>H864&amp;"/"&amp;451</f>
        <v>378/451</v>
      </c>
      <c r="J864" s="68">
        <f>H864/451</f>
        <v>0.83813747228381374</v>
      </c>
      <c r="K864" s="18" t="s">
        <v>44</v>
      </c>
      <c r="L864" s="18" t="s">
        <v>87</v>
      </c>
      <c r="M864" s="58" t="s">
        <v>65</v>
      </c>
      <c r="N864" s="18">
        <f>[1]!f_prt_stocktonav(C864,"2017/03/31")</f>
        <v>81.327384948730469</v>
      </c>
      <c r="O864" s="20" t="str">
        <f>[1]!f_info_fundmanager(C864)</f>
        <v>史彬</v>
      </c>
      <c r="P864" s="21">
        <v>4.6849315068493151</v>
      </c>
      <c r="Q864" s="34" t="s">
        <v>2286</v>
      </c>
      <c r="R864" s="34" t="s">
        <v>2287</v>
      </c>
      <c r="S864" s="34" t="s">
        <v>71</v>
      </c>
      <c r="T864" s="34">
        <v>20120725</v>
      </c>
      <c r="U864" s="45">
        <v>3.4246212895000001</v>
      </c>
      <c r="V864" s="46">
        <v>3.6124295243</v>
      </c>
      <c r="W864" s="34" t="s">
        <v>3789</v>
      </c>
      <c r="X864" s="34" t="s">
        <v>44</v>
      </c>
      <c r="Y864" s="34" t="s">
        <v>45</v>
      </c>
      <c r="Z864" s="34" t="s">
        <v>65</v>
      </c>
      <c r="AA864" s="34"/>
      <c r="AB864" s="34"/>
      <c r="AC864" s="22">
        <v>0.86821395874023433</v>
      </c>
      <c r="AD864" s="23" t="s">
        <v>1550</v>
      </c>
      <c r="AE864" s="24">
        <v>4.4547945205479449</v>
      </c>
      <c r="AF864" s="25">
        <v>0.15451930660534918</v>
      </c>
      <c r="AG864" s="26">
        <v>0.16765878881047769</v>
      </c>
      <c r="AH864" s="26">
        <v>0</v>
      </c>
      <c r="AI864" s="27">
        <v>0.54870701268728228</v>
      </c>
      <c r="AJ864" s="27">
        <v>0.55423652549150404</v>
      </c>
      <c r="AK864" s="27">
        <v>0.54870701268728228</v>
      </c>
      <c r="AL864" s="28" t="s">
        <v>1459</v>
      </c>
      <c r="AM864" s="29">
        <v>2</v>
      </c>
      <c r="AN864" s="29">
        <v>3</v>
      </c>
      <c r="AO864" s="29" t="s">
        <v>48</v>
      </c>
      <c r="AP864" s="47" t="s">
        <v>845</v>
      </c>
      <c r="AQ864" s="28">
        <v>0</v>
      </c>
      <c r="AR864" s="26">
        <v>1.4999999999999999E-2</v>
      </c>
      <c r="AS864" s="26">
        <v>0</v>
      </c>
    </row>
    <row r="865" spans="1:45" x14ac:dyDescent="0.15">
      <c r="A865" s="64">
        <v>797</v>
      </c>
      <c r="B865" s="64">
        <v>771</v>
      </c>
      <c r="C865" s="11">
        <v>240010</v>
      </c>
      <c r="D865" s="61">
        <v>694</v>
      </c>
      <c r="E865" s="61">
        <v>-2.9293093688051398E-3</v>
      </c>
      <c r="F865" s="61">
        <v>142</v>
      </c>
      <c r="G865" s="61">
        <v>2.1882228326003902E-3</v>
      </c>
      <c r="H865" s="66">
        <v>379</v>
      </c>
      <c r="I865" s="66" t="str">
        <f>H865&amp;"/"&amp;451</f>
        <v>379/451</v>
      </c>
      <c r="J865" s="68">
        <f>H865/451</f>
        <v>0.84035476718403546</v>
      </c>
      <c r="K865" s="18" t="s">
        <v>44</v>
      </c>
      <c r="L865" s="18" t="s">
        <v>45</v>
      </c>
      <c r="M865" s="58" t="s">
        <v>65</v>
      </c>
      <c r="N865" s="18">
        <f>[1]!f_prt_stocktonav(C865,"2017/03/31")</f>
        <v>77.569816589355469</v>
      </c>
      <c r="O865" s="20" t="str">
        <f>[1]!f_info_fundmanager(C865)</f>
        <v>闫旭</v>
      </c>
      <c r="P865" s="21">
        <v>2.7287671232876711</v>
      </c>
      <c r="Q865" s="34" t="s">
        <v>3109</v>
      </c>
      <c r="R865" s="34" t="s">
        <v>3110</v>
      </c>
      <c r="S865" s="34" t="s">
        <v>737</v>
      </c>
      <c r="T865" s="34">
        <v>20070614</v>
      </c>
      <c r="U865" s="45">
        <v>28.0272583926</v>
      </c>
      <c r="V865" s="46">
        <v>30.4426870737</v>
      </c>
      <c r="W865" s="34" t="s">
        <v>231</v>
      </c>
      <c r="X865" s="34" t="s">
        <v>44</v>
      </c>
      <c r="Y865" s="34" t="s">
        <v>45</v>
      </c>
      <c r="Z865" s="34" t="s">
        <v>274</v>
      </c>
      <c r="AA865" s="34"/>
      <c r="AB865" s="34"/>
      <c r="AC865" s="22">
        <v>0.76599937438964849</v>
      </c>
      <c r="AD865" s="23" t="s">
        <v>1480</v>
      </c>
      <c r="AE865" s="24">
        <v>2.4986301369863013</v>
      </c>
      <c r="AF865" s="25">
        <v>3.2809417596163071E-2</v>
      </c>
      <c r="AG865" s="26">
        <v>8.9698741693260656E-2</v>
      </c>
      <c r="AH865" s="26">
        <v>0.11580039816868526</v>
      </c>
      <c r="AI865" s="27">
        <v>0.19648385898076792</v>
      </c>
      <c r="AJ865" s="27">
        <v>0.3758699764017791</v>
      </c>
      <c r="AK865" s="27">
        <v>0.4993952134004162</v>
      </c>
      <c r="AL865" s="28" t="s">
        <v>3111</v>
      </c>
      <c r="AM865" s="29">
        <v>3</v>
      </c>
      <c r="AN865" s="29">
        <v>2</v>
      </c>
      <c r="AO865" s="29" t="s">
        <v>48</v>
      </c>
      <c r="AP865" s="47" t="s">
        <v>739</v>
      </c>
      <c r="AQ865" s="28">
        <v>0</v>
      </c>
      <c r="AR865" s="26">
        <v>1.4999999999999999E-2</v>
      </c>
      <c r="AS865" s="26">
        <v>0</v>
      </c>
    </row>
    <row r="866" spans="1:45" x14ac:dyDescent="0.15">
      <c r="A866" s="64">
        <v>571</v>
      </c>
      <c r="B866" s="64">
        <v>256</v>
      </c>
      <c r="C866" s="11">
        <v>90018</v>
      </c>
      <c r="D866" s="61">
        <v>695</v>
      </c>
      <c r="E866" s="61">
        <v>-2.9395954790893499E-3</v>
      </c>
      <c r="F866" s="61">
        <v>97</v>
      </c>
      <c r="G866" s="61">
        <v>9.1734216254855894E-2</v>
      </c>
      <c r="H866" s="66">
        <v>380</v>
      </c>
      <c r="I866" s="66" t="str">
        <f>H866&amp;"/"&amp;451</f>
        <v>380/451</v>
      </c>
      <c r="J866" s="68">
        <f>H866/451</f>
        <v>0.84257206208425717</v>
      </c>
      <c r="K866" s="18" t="s">
        <v>44</v>
      </c>
      <c r="L866" s="18" t="s">
        <v>45</v>
      </c>
      <c r="M866" s="58" t="s">
        <v>65</v>
      </c>
      <c r="N866" s="18">
        <f>[1]!f_prt_stocktonav(C866,"2017/03/31")</f>
        <v>90.461174011230469</v>
      </c>
      <c r="O866" s="20" t="str">
        <f>[1]!f_info_fundmanager(C866)</f>
        <v>周德昕</v>
      </c>
      <c r="P866" s="21">
        <v>1.8575342465753424</v>
      </c>
      <c r="Q866" s="34" t="s">
        <v>2354</v>
      </c>
      <c r="R866" s="34" t="s">
        <v>2355</v>
      </c>
      <c r="S866" s="34" t="s">
        <v>486</v>
      </c>
      <c r="T866" s="34">
        <v>20120320</v>
      </c>
      <c r="U866" s="45">
        <v>1.2166412574000001</v>
      </c>
      <c r="V866" s="46">
        <v>1.2967436295999999</v>
      </c>
      <c r="W866" s="34" t="s">
        <v>1235</v>
      </c>
      <c r="X866" s="34" t="s">
        <v>44</v>
      </c>
      <c r="Y866" s="34" t="s">
        <v>45</v>
      </c>
      <c r="Z866" s="34" t="s">
        <v>337</v>
      </c>
      <c r="AA866" s="34"/>
      <c r="AB866" s="34"/>
      <c r="AC866" s="22">
        <v>0.84147941589355468</v>
      </c>
      <c r="AD866" s="23" t="s">
        <v>2356</v>
      </c>
      <c r="AE866" s="24">
        <v>1.6273972602739726</v>
      </c>
      <c r="AF866" s="25">
        <v>0.19499009072717599</v>
      </c>
      <c r="AG866" s="26">
        <v>0.2031572043905929</v>
      </c>
      <c r="AH866" s="26">
        <v>0</v>
      </c>
      <c r="AI866" s="27">
        <v>0.74240202315206671</v>
      </c>
      <c r="AJ866" s="27">
        <v>0.71520959392130834</v>
      </c>
      <c r="AK866" s="27">
        <v>0.74240202315206671</v>
      </c>
      <c r="AL866" s="28" t="s">
        <v>2357</v>
      </c>
      <c r="AM866" s="29">
        <v>4</v>
      </c>
      <c r="AN866" s="29">
        <v>2</v>
      </c>
      <c r="AO866" s="29" t="s">
        <v>48</v>
      </c>
      <c r="AP866" s="47" t="s">
        <v>227</v>
      </c>
      <c r="AQ866" s="28">
        <v>0</v>
      </c>
      <c r="AR866" s="26">
        <v>1.4999999999999999E-2</v>
      </c>
      <c r="AS866" s="26">
        <v>0</v>
      </c>
    </row>
    <row r="867" spans="1:45" x14ac:dyDescent="0.15">
      <c r="A867" s="64">
        <v>833</v>
      </c>
      <c r="B867" s="64">
        <v>103</v>
      </c>
      <c r="C867" s="11">
        <v>21</v>
      </c>
      <c r="D867" s="61">
        <v>698</v>
      </c>
      <c r="E867" s="61">
        <v>-2.9690688648845399E-3</v>
      </c>
      <c r="F867" s="61">
        <v>203</v>
      </c>
      <c r="G867" s="61">
        <v>3.7802873441582701E-4</v>
      </c>
      <c r="H867" s="66">
        <v>381</v>
      </c>
      <c r="I867" s="66" t="str">
        <f>H867&amp;"/"&amp;451</f>
        <v>381/451</v>
      </c>
      <c r="J867" s="68">
        <f>H867/451</f>
        <v>0.84478935698447899</v>
      </c>
      <c r="K867" s="18" t="s">
        <v>44</v>
      </c>
      <c r="L867" s="18" t="s">
        <v>86</v>
      </c>
      <c r="M867" s="58" t="s">
        <v>65</v>
      </c>
      <c r="N867" s="18">
        <f>[1]!f_prt_stocktonav(C867,"2017/03/31")</f>
        <v>93.573143005371094</v>
      </c>
      <c r="O867" s="20" t="str">
        <f>[1]!f_info_fundmanager(C867)</f>
        <v>刘平,孙轶佳,郑晓辉</v>
      </c>
      <c r="P867" s="21">
        <v>3.893150684931507</v>
      </c>
      <c r="Q867" s="34" t="s">
        <v>3239</v>
      </c>
      <c r="R867" s="34" t="s">
        <v>3240</v>
      </c>
      <c r="S867" s="34" t="s">
        <v>143</v>
      </c>
      <c r="T867" s="34">
        <v>20061124</v>
      </c>
      <c r="U867" s="45">
        <v>64.634743495799995</v>
      </c>
      <c r="V867" s="46">
        <v>68.525631286899994</v>
      </c>
      <c r="W867" s="34" t="s">
        <v>231</v>
      </c>
      <c r="X867" s="34" t="s">
        <v>44</v>
      </c>
      <c r="Y867" s="34" t="s">
        <v>45</v>
      </c>
      <c r="Z867" s="34" t="s">
        <v>65</v>
      </c>
      <c r="AA867" s="34"/>
      <c r="AB867" s="34"/>
      <c r="AC867" s="22">
        <v>0.88352470397949223</v>
      </c>
      <c r="AD867" s="23" t="s">
        <v>3241</v>
      </c>
      <c r="AE867" s="24">
        <v>3.6630136986301371</v>
      </c>
      <c r="AF867" s="25">
        <v>0.123566879430554</v>
      </c>
      <c r="AG867" s="26">
        <v>8.2731029526745825E-2</v>
      </c>
      <c r="AH867" s="26">
        <v>7.7136766240347709E-2</v>
      </c>
      <c r="AI867" s="27">
        <v>0.51575454690037814</v>
      </c>
      <c r="AJ867" s="27">
        <v>0.36737501756953694</v>
      </c>
      <c r="AK867" s="27">
        <v>0.36151935513121203</v>
      </c>
      <c r="AL867" s="28" t="s">
        <v>3242</v>
      </c>
      <c r="AM867" s="29">
        <v>2</v>
      </c>
      <c r="AN867" s="29">
        <v>3</v>
      </c>
      <c r="AO867" s="29" t="s">
        <v>48</v>
      </c>
      <c r="AP867" s="47" t="s">
        <v>592</v>
      </c>
      <c r="AQ867" s="28">
        <v>0</v>
      </c>
      <c r="AR867" s="26">
        <v>1.4999999999999999E-2</v>
      </c>
      <c r="AS867" s="26">
        <v>0</v>
      </c>
    </row>
    <row r="868" spans="1:45" x14ac:dyDescent="0.15">
      <c r="A868" s="64">
        <v>79</v>
      </c>
      <c r="B868" s="64">
        <v>556</v>
      </c>
      <c r="C868" s="11">
        <v>161232</v>
      </c>
      <c r="D868" s="61">
        <v>699</v>
      </c>
      <c r="E868" s="61">
        <v>-2.9831287515266099E-3</v>
      </c>
      <c r="F868" s="61">
        <v>43</v>
      </c>
      <c r="G868" s="61">
        <v>6.4850738030635497E-3</v>
      </c>
      <c r="H868" s="66">
        <v>382</v>
      </c>
      <c r="I868" s="66" t="str">
        <f>H868&amp;"/"&amp;451</f>
        <v>382/451</v>
      </c>
      <c r="J868" s="68">
        <f>H868/451</f>
        <v>0.8470066518847007</v>
      </c>
      <c r="K868" s="18" t="s">
        <v>44</v>
      </c>
      <c r="L868" s="18" t="s">
        <v>45</v>
      </c>
      <c r="M868" s="58" t="s">
        <v>65</v>
      </c>
      <c r="N868" s="18">
        <f>[1]!f_prt_stocktonav(C868,"2017/03/31")</f>
        <v>83.927055358886719</v>
      </c>
      <c r="O868" s="20" t="str">
        <f>[1]!f_info_fundmanager(C868)</f>
        <v>杨冬冬,吴潇</v>
      </c>
      <c r="P868" s="21">
        <v>0.84383561643835614</v>
      </c>
      <c r="Q868" s="34" t="s">
        <v>450</v>
      </c>
      <c r="R868" s="34" t="s">
        <v>451</v>
      </c>
      <c r="S868" s="34" t="s">
        <v>452</v>
      </c>
      <c r="T868" s="34">
        <v>20160525</v>
      </c>
      <c r="U868" s="45">
        <v>15.4821195288</v>
      </c>
      <c r="V868" s="46">
        <v>15.9046760019</v>
      </c>
      <c r="W868" s="34" t="s">
        <v>3776</v>
      </c>
      <c r="X868" s="34" t="s">
        <v>44</v>
      </c>
      <c r="Y868" s="34" t="s">
        <v>45</v>
      </c>
      <c r="Z868" s="34" t="s">
        <v>65</v>
      </c>
      <c r="AA868" s="34"/>
      <c r="AB868" s="34"/>
      <c r="AC868" s="22">
        <v>0.81970108032226563</v>
      </c>
      <c r="AD868" s="23" t="s">
        <v>453</v>
      </c>
      <c r="AE868" s="24">
        <v>0.61369863013698633</v>
      </c>
      <c r="AF868" s="25">
        <v>-3.7701018687160248E-2</v>
      </c>
      <c r="AG868" s="26">
        <v>0</v>
      </c>
      <c r="AH868" s="26">
        <v>0</v>
      </c>
      <c r="AI868" s="27">
        <v>-1.3498668903614</v>
      </c>
      <c r="AJ868" s="27">
        <v>-1.3498668903614</v>
      </c>
      <c r="AK868" s="27">
        <v>-1.3498668903614</v>
      </c>
      <c r="AL868" s="28" t="s">
        <v>436</v>
      </c>
      <c r="AM868" s="29" t="s">
        <v>48</v>
      </c>
      <c r="AN868" s="29" t="s">
        <v>48</v>
      </c>
      <c r="AO868" s="29" t="s">
        <v>48</v>
      </c>
      <c r="AP868" s="47">
        <v>0</v>
      </c>
      <c r="AQ868" s="28">
        <v>0</v>
      </c>
      <c r="AR868" s="26">
        <v>1.4999999999999999E-2</v>
      </c>
      <c r="AS868" s="26">
        <v>0</v>
      </c>
    </row>
    <row r="869" spans="1:45" x14ac:dyDescent="0.15">
      <c r="A869" s="64">
        <v>434</v>
      </c>
      <c r="B869" s="64">
        <v>512</v>
      </c>
      <c r="C869" s="11">
        <v>554</v>
      </c>
      <c r="D869" s="61">
        <v>700</v>
      </c>
      <c r="E869" s="61">
        <v>-2.9958609525639699E-3</v>
      </c>
      <c r="F869" s="61">
        <v>88</v>
      </c>
      <c r="G869" s="61">
        <v>0.106673237700575</v>
      </c>
      <c r="H869" s="66">
        <v>383</v>
      </c>
      <c r="I869" s="66" t="str">
        <f>H869&amp;"/"&amp;451</f>
        <v>383/451</v>
      </c>
      <c r="J869" s="68">
        <f>H869/451</f>
        <v>0.84922394678492241</v>
      </c>
      <c r="K869" s="18" t="s">
        <v>44</v>
      </c>
      <c r="L869" s="18" t="s">
        <v>45</v>
      </c>
      <c r="M869" s="58" t="s">
        <v>65</v>
      </c>
      <c r="N869" s="18">
        <f>[1]!f_prt_stocktonav(C869,"2017/03/31")</f>
        <v>84.995979309082031</v>
      </c>
      <c r="O869" s="20" t="str">
        <f>[1]!f_info_fundmanager(C869)</f>
        <v>蔡望鹏</v>
      </c>
      <c r="P869" s="21">
        <v>1.6876712328767123</v>
      </c>
      <c r="Q869" s="34" t="s">
        <v>1859</v>
      </c>
      <c r="R869" s="34" t="s">
        <v>1860</v>
      </c>
      <c r="S869" s="34" t="s">
        <v>284</v>
      </c>
      <c r="T869" s="34">
        <v>20140609</v>
      </c>
      <c r="U869" s="45">
        <v>2.8464615705999998</v>
      </c>
      <c r="V869" s="46">
        <v>3.1077350470999998</v>
      </c>
      <c r="W869" s="34" t="s">
        <v>3776</v>
      </c>
      <c r="X869" s="34" t="s">
        <v>44</v>
      </c>
      <c r="Y869" s="34" t="s">
        <v>45</v>
      </c>
      <c r="Z869" s="34" t="s">
        <v>65</v>
      </c>
      <c r="AA869" s="34"/>
      <c r="AB869" s="34"/>
      <c r="AC869" s="22">
        <v>0.88797737121582032</v>
      </c>
      <c r="AD869" s="23" t="s">
        <v>1861</v>
      </c>
      <c r="AE869" s="24">
        <v>1.4575342465753425</v>
      </c>
      <c r="AF869" s="25">
        <v>0.14352829665347477</v>
      </c>
      <c r="AG869" s="26">
        <v>0</v>
      </c>
      <c r="AH869" s="26">
        <v>0</v>
      </c>
      <c r="AI869" s="27">
        <v>0.5221937411701747</v>
      </c>
      <c r="AJ869" s="27">
        <v>0.5221937411701747</v>
      </c>
      <c r="AK869" s="27">
        <v>0.5221937411701747</v>
      </c>
      <c r="AL869" s="28" t="s">
        <v>323</v>
      </c>
      <c r="AM869" s="29" t="s">
        <v>48</v>
      </c>
      <c r="AN869" s="29" t="s">
        <v>48</v>
      </c>
      <c r="AO869" s="29" t="s">
        <v>48</v>
      </c>
      <c r="AP869" s="47" t="s">
        <v>287</v>
      </c>
      <c r="AQ869" s="28">
        <v>0</v>
      </c>
      <c r="AR869" s="26">
        <v>1.4999999999999999E-2</v>
      </c>
      <c r="AS869" s="26">
        <v>0</v>
      </c>
    </row>
    <row r="870" spans="1:45" x14ac:dyDescent="0.15">
      <c r="A870" s="64">
        <v>608</v>
      </c>
      <c r="B870" s="64">
        <v>645</v>
      </c>
      <c r="C870" s="11">
        <v>519678</v>
      </c>
      <c r="D870" s="61">
        <v>708</v>
      </c>
      <c r="E870" s="61">
        <v>-3.0717008086817801E-3</v>
      </c>
      <c r="F870" s="61">
        <v>223</v>
      </c>
      <c r="G870" s="61">
        <v>3.6847148115806298E-2</v>
      </c>
      <c r="H870" s="66">
        <v>384</v>
      </c>
      <c r="I870" s="66" t="str">
        <f>H870&amp;"/"&amp;451</f>
        <v>384/451</v>
      </c>
      <c r="J870" s="68">
        <f>H870/451</f>
        <v>0.85144124168514412</v>
      </c>
      <c r="K870" s="18" t="s">
        <v>44</v>
      </c>
      <c r="L870" s="18" t="s">
        <v>45</v>
      </c>
      <c r="M870" s="58" t="s">
        <v>65</v>
      </c>
      <c r="N870" s="18">
        <f>[1]!f_prt_stocktonav(C870,"2017/03/31")</f>
        <v>81.571807861328125</v>
      </c>
      <c r="O870" s="20" t="str">
        <f>[1]!f_info_fundmanager(C870)</f>
        <v>卢轶乔</v>
      </c>
      <c r="P870" s="21">
        <v>4.2767123287671236</v>
      </c>
      <c r="Q870" s="34" t="s">
        <v>2476</v>
      </c>
      <c r="R870" s="34" t="s">
        <v>2477</v>
      </c>
      <c r="S870" s="34" t="s">
        <v>807</v>
      </c>
      <c r="T870" s="34">
        <v>20110729</v>
      </c>
      <c r="U870" s="45">
        <v>0.63735124229999995</v>
      </c>
      <c r="V870" s="46">
        <v>0.71391659519999995</v>
      </c>
      <c r="W870" s="34" t="s">
        <v>3776</v>
      </c>
      <c r="X870" s="34" t="s">
        <v>44</v>
      </c>
      <c r="Y870" s="34" t="s">
        <v>45</v>
      </c>
      <c r="Z870" s="34" t="s">
        <v>65</v>
      </c>
      <c r="AA870" s="34"/>
      <c r="AB870" s="34"/>
      <c r="AC870" s="22">
        <v>0.75217964172363283</v>
      </c>
      <c r="AD870" s="23" t="s">
        <v>2478</v>
      </c>
      <c r="AE870" s="24">
        <v>4.0465753424657533</v>
      </c>
      <c r="AF870" s="25">
        <v>6.4449494797749862E-2</v>
      </c>
      <c r="AG870" s="26">
        <v>6.7855773741429593E-2</v>
      </c>
      <c r="AH870" s="26">
        <v>8.750955485599278E-2</v>
      </c>
      <c r="AI870" s="27">
        <v>0.31175498739169327</v>
      </c>
      <c r="AJ870" s="27">
        <v>0.31310799256506944</v>
      </c>
      <c r="AK870" s="27">
        <v>0.38517140226645535</v>
      </c>
      <c r="AL870" s="28" t="s">
        <v>1750</v>
      </c>
      <c r="AM870" s="29">
        <v>2</v>
      </c>
      <c r="AN870" s="29">
        <v>3</v>
      </c>
      <c r="AO870" s="29" t="s">
        <v>48</v>
      </c>
      <c r="AP870" s="47" t="s">
        <v>101</v>
      </c>
      <c r="AQ870" s="28">
        <v>0</v>
      </c>
      <c r="AR870" s="26">
        <v>1.4999999999999999E-2</v>
      </c>
      <c r="AS870" s="26">
        <v>0</v>
      </c>
    </row>
    <row r="871" spans="1:45" x14ac:dyDescent="0.15">
      <c r="A871" s="64">
        <v>190</v>
      </c>
      <c r="B871" s="64">
        <v>834</v>
      </c>
      <c r="C871" s="11">
        <v>1708</v>
      </c>
      <c r="D871" s="61">
        <v>712</v>
      </c>
      <c r="E871" s="61">
        <v>-3.1073707655623999E-3</v>
      </c>
      <c r="F871" s="61">
        <v>79</v>
      </c>
      <c r="G871" s="61">
        <v>3.5496533990765002E-2</v>
      </c>
      <c r="H871" s="66">
        <v>385</v>
      </c>
      <c r="I871" s="66" t="str">
        <f>H871&amp;"/"&amp;451</f>
        <v>385/451</v>
      </c>
      <c r="J871" s="68">
        <f>H871/451</f>
        <v>0.85365853658536583</v>
      </c>
      <c r="K871" s="18" t="s">
        <v>44</v>
      </c>
      <c r="L871" s="18" t="s">
        <v>45</v>
      </c>
      <c r="M871" s="58" t="s">
        <v>65</v>
      </c>
      <c r="N871" s="18">
        <f>[1]!f_prt_stocktonav(C871,"2017/03/31")</f>
        <v>75.514350891113281</v>
      </c>
      <c r="O871" s="20" t="str">
        <f>[1]!f_info_fundmanager(C871)</f>
        <v>孙继青</v>
      </c>
      <c r="P871" s="21">
        <v>1.5616438356164384</v>
      </c>
      <c r="Q871" s="34" t="s">
        <v>922</v>
      </c>
      <c r="R871" s="34" t="s">
        <v>923</v>
      </c>
      <c r="S871" s="34" t="s">
        <v>180</v>
      </c>
      <c r="T871" s="34">
        <v>20150908</v>
      </c>
      <c r="U871" s="45">
        <v>0.56080007580000002</v>
      </c>
      <c r="V871" s="46">
        <v>0.72683455429999999</v>
      </c>
      <c r="W871" s="34" t="s">
        <v>201</v>
      </c>
      <c r="X871" s="34" t="s">
        <v>41</v>
      </c>
      <c r="Y871" s="34" t="s">
        <v>42</v>
      </c>
      <c r="Z871" s="34" t="s">
        <v>181</v>
      </c>
      <c r="AA871" s="34"/>
      <c r="AB871" s="34"/>
      <c r="AC871" s="22">
        <v>0.62497787475585942</v>
      </c>
      <c r="AD871" s="23" t="s">
        <v>924</v>
      </c>
      <c r="AE871" s="24">
        <v>1.3315068493150686</v>
      </c>
      <c r="AF871" s="25">
        <v>-0.14378424164542092</v>
      </c>
      <c r="AG871" s="26">
        <v>0</v>
      </c>
      <c r="AH871" s="26">
        <v>0</v>
      </c>
      <c r="AI871" s="27">
        <v>-0.81475439710646669</v>
      </c>
      <c r="AJ871" s="27">
        <v>-0.81475439710646669</v>
      </c>
      <c r="AK871" s="27">
        <v>-0.81475439710646669</v>
      </c>
      <c r="AL871" s="28" t="s">
        <v>409</v>
      </c>
      <c r="AM871" s="29" t="s">
        <v>48</v>
      </c>
      <c r="AN871" s="29" t="s">
        <v>48</v>
      </c>
      <c r="AO871" s="29" t="s">
        <v>48</v>
      </c>
      <c r="AP871" s="47" t="s">
        <v>310</v>
      </c>
      <c r="AQ871" s="28">
        <v>0</v>
      </c>
      <c r="AR871" s="26">
        <v>1.4999999999999999E-2</v>
      </c>
      <c r="AS871" s="26">
        <v>0</v>
      </c>
    </row>
    <row r="872" spans="1:45" x14ac:dyDescent="0.15">
      <c r="A872" s="64">
        <v>360</v>
      </c>
      <c r="B872" s="64">
        <v>202</v>
      </c>
      <c r="C872" s="11">
        <v>969</v>
      </c>
      <c r="D872" s="61">
        <v>714</v>
      </c>
      <c r="E872" s="61">
        <v>-3.1123775744719001E-3</v>
      </c>
      <c r="F872" s="61">
        <v>110</v>
      </c>
      <c r="G872" s="61">
        <v>4.88926283792206E-2</v>
      </c>
      <c r="H872" s="66">
        <v>386</v>
      </c>
      <c r="I872" s="66" t="str">
        <f>H872&amp;"/"&amp;451</f>
        <v>386/451</v>
      </c>
      <c r="J872" s="68">
        <f>H872/451</f>
        <v>0.85587583148558755</v>
      </c>
      <c r="K872" s="18" t="s">
        <v>44</v>
      </c>
      <c r="L872" s="18" t="s">
        <v>45</v>
      </c>
      <c r="M872" s="58" t="s">
        <v>65</v>
      </c>
      <c r="N872" s="18">
        <f>[1]!f_prt_stocktonav(C872,"2017/03/31")</f>
        <v>91.760665893554688</v>
      </c>
      <c r="O872" s="20" t="str">
        <f>[1]!f_info_fundmanager(C872)</f>
        <v>薛小波</v>
      </c>
      <c r="P872" s="21">
        <v>2.1479452054794521</v>
      </c>
      <c r="Q872" s="34" t="s">
        <v>1585</v>
      </c>
      <c r="R872" s="34" t="s">
        <v>1586</v>
      </c>
      <c r="S872" s="34" t="s">
        <v>78</v>
      </c>
      <c r="T872" s="34">
        <v>20150206</v>
      </c>
      <c r="U872" s="45">
        <v>6.6932104202999998</v>
      </c>
      <c r="V872" s="46">
        <v>7.7157803395000002</v>
      </c>
      <c r="W872" s="34" t="s">
        <v>1235</v>
      </c>
      <c r="X872" s="34" t="s">
        <v>44</v>
      </c>
      <c r="Y872" s="34" t="s">
        <v>45</v>
      </c>
      <c r="Z872" s="34" t="s">
        <v>65</v>
      </c>
      <c r="AA872" s="34"/>
      <c r="AB872" s="34"/>
      <c r="AC872" s="22">
        <v>0.93852432250976559</v>
      </c>
      <c r="AD872" s="23" t="s">
        <v>1471</v>
      </c>
      <c r="AE872" s="24">
        <v>1.9178082191780821</v>
      </c>
      <c r="AF872" s="25">
        <v>7.5177759270548705E-2</v>
      </c>
      <c r="AG872" s="26">
        <v>0</v>
      </c>
      <c r="AH872" s="26">
        <v>0</v>
      </c>
      <c r="AI872" s="27">
        <v>0.34186974388963598</v>
      </c>
      <c r="AJ872" s="27">
        <v>0.34186974388963598</v>
      </c>
      <c r="AK872" s="27">
        <v>0.34186974388963598</v>
      </c>
      <c r="AL872" s="28" t="s">
        <v>196</v>
      </c>
      <c r="AM872" s="29" t="s">
        <v>48</v>
      </c>
      <c r="AN872" s="29" t="s">
        <v>48</v>
      </c>
      <c r="AO872" s="29" t="s">
        <v>48</v>
      </c>
      <c r="AP872" s="47" t="s">
        <v>270</v>
      </c>
      <c r="AQ872" s="28">
        <v>0</v>
      </c>
      <c r="AR872" s="26">
        <v>1.4999999999999999E-2</v>
      </c>
      <c r="AS872" s="26">
        <v>0</v>
      </c>
    </row>
    <row r="873" spans="1:45" x14ac:dyDescent="0.15">
      <c r="A873" s="64">
        <v>91</v>
      </c>
      <c r="B873" s="64">
        <v>374</v>
      </c>
      <c r="C873" s="11">
        <v>1983</v>
      </c>
      <c r="D873" s="61">
        <v>716</v>
      </c>
      <c r="E873" s="61">
        <v>-3.1277118093110501E-3</v>
      </c>
      <c r="F873" s="61">
        <v>47</v>
      </c>
      <c r="G873" s="61">
        <v>0.27509942983507002</v>
      </c>
      <c r="H873" s="66">
        <v>387</v>
      </c>
      <c r="I873" s="66" t="str">
        <f>H873&amp;"/"&amp;451</f>
        <v>387/451</v>
      </c>
      <c r="J873" s="68">
        <f>H873/451</f>
        <v>0.85809312638580926</v>
      </c>
      <c r="K873" s="18" t="s">
        <v>44</v>
      </c>
      <c r="L873" s="18" t="s">
        <v>45</v>
      </c>
      <c r="M873" s="58" t="s">
        <v>65</v>
      </c>
      <c r="N873" s="18">
        <f>[1]!f_prt_stocktonav(C873,"2017/03/31")</f>
        <v>88.004669189453125</v>
      </c>
      <c r="O873" s="20" t="str">
        <f>[1]!f_info_fundmanager(C873)</f>
        <v>张腾</v>
      </c>
      <c r="P873" s="21">
        <v>0.92328767123287669</v>
      </c>
      <c r="Q873" s="34" t="s">
        <v>498</v>
      </c>
      <c r="R873" s="34" t="s">
        <v>499</v>
      </c>
      <c r="S873" s="34" t="s">
        <v>85</v>
      </c>
      <c r="T873" s="34">
        <v>20160428</v>
      </c>
      <c r="U873" s="45">
        <v>3.9573345028000002</v>
      </c>
      <c r="V873" s="46">
        <v>5.3832272879999996</v>
      </c>
      <c r="W873" s="34" t="s">
        <v>3776</v>
      </c>
      <c r="X873" s="34" t="s">
        <v>44</v>
      </c>
      <c r="Y873" s="17" t="s">
        <v>45</v>
      </c>
      <c r="Z873" s="17" t="s">
        <v>65</v>
      </c>
      <c r="AA873" s="34"/>
      <c r="AB873" s="34"/>
      <c r="AC873" s="22">
        <v>0.81743179321289061</v>
      </c>
      <c r="AD873" s="23" t="s">
        <v>500</v>
      </c>
      <c r="AE873" s="24">
        <v>0.69315068493150689</v>
      </c>
      <c r="AF873" s="25">
        <v>-0.1126562804905664</v>
      </c>
      <c r="AG873" s="26">
        <v>0</v>
      </c>
      <c r="AH873" s="26">
        <v>0</v>
      </c>
      <c r="AI873" s="27">
        <v>-0.90441171549095323</v>
      </c>
      <c r="AJ873" s="27">
        <v>-0.90441171549095323</v>
      </c>
      <c r="AK873" s="27">
        <v>-0.90441171549095323</v>
      </c>
      <c r="AL873" s="28" t="s">
        <v>501</v>
      </c>
      <c r="AM873" s="29" t="s">
        <v>48</v>
      </c>
      <c r="AN873" s="29" t="s">
        <v>48</v>
      </c>
      <c r="AO873" s="29" t="s">
        <v>48</v>
      </c>
      <c r="AP873" s="47" t="s">
        <v>502</v>
      </c>
      <c r="AQ873" s="28">
        <v>0</v>
      </c>
      <c r="AR873" s="26">
        <v>1.4999999999999999E-2</v>
      </c>
      <c r="AS873" s="26">
        <v>0</v>
      </c>
    </row>
    <row r="874" spans="1:45" x14ac:dyDescent="0.15">
      <c r="A874" s="64">
        <v>281</v>
      </c>
      <c r="B874" s="64">
        <v>949</v>
      </c>
      <c r="C874" s="11">
        <v>1218</v>
      </c>
      <c r="D874" s="61">
        <v>726</v>
      </c>
      <c r="E874" s="61">
        <v>-3.2366913564230299E-3</v>
      </c>
      <c r="F874" s="61">
        <v>95</v>
      </c>
      <c r="G874" s="61">
        <v>1.12128484844302E-2</v>
      </c>
      <c r="H874" s="66">
        <v>388</v>
      </c>
      <c r="I874" s="66" t="str">
        <f>H874&amp;"/"&amp;451</f>
        <v>388/451</v>
      </c>
      <c r="J874" s="68">
        <f>H874/451</f>
        <v>0.86031042128603108</v>
      </c>
      <c r="K874" s="18" t="s">
        <v>44</v>
      </c>
      <c r="L874" s="18" t="s">
        <v>45</v>
      </c>
      <c r="M874" s="58" t="s">
        <v>65</v>
      </c>
      <c r="N874" s="18">
        <f>[1]!f_prt_stocktonav(C874,"2017/03/31")</f>
        <v>70.394691467285156</v>
      </c>
      <c r="O874" s="20" t="str">
        <f>[1]!f_info_fundmanager(C874)</f>
        <v>桑俊</v>
      </c>
      <c r="P874" s="21">
        <v>1.8684931506849316</v>
      </c>
      <c r="Q874" s="34" t="s">
        <v>1291</v>
      </c>
      <c r="R874" s="34" t="s">
        <v>1292</v>
      </c>
      <c r="S874" s="34" t="s">
        <v>452</v>
      </c>
      <c r="T874" s="34">
        <v>20150519</v>
      </c>
      <c r="U874" s="45">
        <v>11.5523888896</v>
      </c>
      <c r="V874" s="46">
        <v>12.7422525266</v>
      </c>
      <c r="W874" s="34" t="s">
        <v>1235</v>
      </c>
      <c r="X874" s="34" t="s">
        <v>41</v>
      </c>
      <c r="Y874" s="34" t="s">
        <v>42</v>
      </c>
      <c r="Z874" s="34" t="s">
        <v>181</v>
      </c>
      <c r="AA874" s="34"/>
      <c r="AB874" s="34"/>
      <c r="AC874" s="22">
        <v>0.60836845397949224</v>
      </c>
      <c r="AD874" s="23" t="s">
        <v>1293</v>
      </c>
      <c r="AE874" s="24">
        <v>1.6383561643835616</v>
      </c>
      <c r="AF874" s="25">
        <v>-0.19569959029692938</v>
      </c>
      <c r="AG874" s="26">
        <v>0</v>
      </c>
      <c r="AH874" s="26">
        <v>0</v>
      </c>
      <c r="AI874" s="27">
        <v>-1.1224170606446728</v>
      </c>
      <c r="AJ874" s="27">
        <v>-1.1224170606446728</v>
      </c>
      <c r="AK874" s="27">
        <v>-1.1224170606446728</v>
      </c>
      <c r="AL874" s="28" t="s">
        <v>436</v>
      </c>
      <c r="AM874" s="29" t="s">
        <v>48</v>
      </c>
      <c r="AN874" s="29" t="s">
        <v>48</v>
      </c>
      <c r="AO874" s="29" t="s">
        <v>48</v>
      </c>
      <c r="AP874" s="47" t="s">
        <v>209</v>
      </c>
      <c r="AQ874" s="28">
        <v>0</v>
      </c>
      <c r="AR874" s="26">
        <v>1.4999999999999999E-2</v>
      </c>
      <c r="AS874" s="26">
        <v>0</v>
      </c>
    </row>
    <row r="875" spans="1:45" x14ac:dyDescent="0.15">
      <c r="A875" s="64">
        <v>47</v>
      </c>
      <c r="B875" s="64">
        <v>243</v>
      </c>
      <c r="C875" s="11">
        <v>519773</v>
      </c>
      <c r="D875" s="61">
        <v>727</v>
      </c>
      <c r="E875" s="61">
        <v>-3.2419480212272302E-3</v>
      </c>
      <c r="F875" s="61">
        <v>31</v>
      </c>
      <c r="G875" s="61">
        <v>0.17171150077157099</v>
      </c>
      <c r="H875" s="66">
        <v>389</v>
      </c>
      <c r="I875" s="66" t="str">
        <f>H875&amp;"/"&amp;451</f>
        <v>389/451</v>
      </c>
      <c r="J875" s="68">
        <f>H875/451</f>
        <v>0.86252771618625279</v>
      </c>
      <c r="K875" s="18" t="s">
        <v>44</v>
      </c>
      <c r="L875" s="18" t="s">
        <v>45</v>
      </c>
      <c r="M875" s="58" t="s">
        <v>65</v>
      </c>
      <c r="N875" s="18">
        <f>[1]!f_prt_stocktonav(C875,"2017/03/31")</f>
        <v>90.712089538574219</v>
      </c>
      <c r="O875" s="20" t="str">
        <f>[1]!f_info_fundmanager(C875)</f>
        <v>芮晨</v>
      </c>
      <c r="P875" s="21">
        <v>0.62191780821917808</v>
      </c>
      <c r="Q875" s="34" t="s">
        <v>293</v>
      </c>
      <c r="R875" s="34" t="s">
        <v>294</v>
      </c>
      <c r="S875" s="34" t="s">
        <v>138</v>
      </c>
      <c r="T875" s="34">
        <v>20160816</v>
      </c>
      <c r="U875" s="45">
        <v>14.559888582599999</v>
      </c>
      <c r="V875" s="46">
        <v>21.8466236933</v>
      </c>
      <c r="W875" s="34" t="s">
        <v>201</v>
      </c>
      <c r="X875" s="34" t="s">
        <v>44</v>
      </c>
      <c r="Y875" s="34" t="s">
        <v>45</v>
      </c>
      <c r="Z875" s="34" t="s">
        <v>65</v>
      </c>
      <c r="AA875" s="34"/>
      <c r="AB875" s="34"/>
      <c r="AC875" s="22">
        <v>0.84108428955078129</v>
      </c>
      <c r="AD875" s="23" t="s">
        <v>295</v>
      </c>
      <c r="AE875" s="24">
        <v>0.39178082191780822</v>
      </c>
      <c r="AF875" s="25">
        <v>-0.14857486326958935</v>
      </c>
      <c r="AG875" s="26">
        <v>0</v>
      </c>
      <c r="AH875" s="26">
        <v>0</v>
      </c>
      <c r="AI875" s="27">
        <v>-1.0452428760414263</v>
      </c>
      <c r="AJ875" s="27">
        <v>-1.0452428760414263</v>
      </c>
      <c r="AK875" s="27">
        <v>-1.0452428760414263</v>
      </c>
      <c r="AL875" s="28" t="s">
        <v>140</v>
      </c>
      <c r="AM875" s="29" t="s">
        <v>48</v>
      </c>
      <c r="AN875" s="29" t="s">
        <v>48</v>
      </c>
      <c r="AO875" s="29" t="s">
        <v>48</v>
      </c>
      <c r="AP875" s="47" t="s">
        <v>296</v>
      </c>
      <c r="AQ875" s="28">
        <v>0</v>
      </c>
      <c r="AR875" s="26">
        <v>1.4999999999999999E-2</v>
      </c>
      <c r="AS875" s="26">
        <v>0</v>
      </c>
    </row>
    <row r="876" spans="1:45" x14ac:dyDescent="0.15">
      <c r="A876" s="64">
        <v>520</v>
      </c>
      <c r="B876" s="64">
        <v>777</v>
      </c>
      <c r="C876" s="11">
        <v>630015</v>
      </c>
      <c r="D876" s="61">
        <v>737</v>
      </c>
      <c r="E876" s="61">
        <v>-3.3089437578265302E-3</v>
      </c>
      <c r="F876" s="61">
        <v>82</v>
      </c>
      <c r="G876" s="61">
        <v>6.7424867683045397E-2</v>
      </c>
      <c r="H876" s="66">
        <v>390</v>
      </c>
      <c r="I876" s="66" t="str">
        <f>H876&amp;"/"&amp;451</f>
        <v>390/451</v>
      </c>
      <c r="J876" s="68">
        <f>H876/451</f>
        <v>0.8647450110864745</v>
      </c>
      <c r="K876" s="18" t="s">
        <v>44</v>
      </c>
      <c r="L876" s="18" t="s">
        <v>64</v>
      </c>
      <c r="M876" s="58" t="s">
        <v>65</v>
      </c>
      <c r="N876" s="18">
        <f>[1]!f_prt_stocktonav(C876,"2017/03/31")</f>
        <v>77.382369995117188</v>
      </c>
      <c r="O876" s="20" t="str">
        <f>[1]!f_info_fundmanager(C876)</f>
        <v>王东旋</v>
      </c>
      <c r="P876" s="21">
        <v>1.558904109589041</v>
      </c>
      <c r="Q876" s="34" t="s">
        <v>2176</v>
      </c>
      <c r="R876" s="34" t="s">
        <v>2177</v>
      </c>
      <c r="S876" s="34" t="s">
        <v>387</v>
      </c>
      <c r="T876" s="34">
        <v>20130409</v>
      </c>
      <c r="U876" s="45">
        <v>11.433312558400001</v>
      </c>
      <c r="V876" s="46">
        <v>13.2293190454</v>
      </c>
      <c r="W876" s="34" t="s">
        <v>3776</v>
      </c>
      <c r="X876" s="34" t="s">
        <v>44</v>
      </c>
      <c r="Y876" s="34" t="s">
        <v>45</v>
      </c>
      <c r="Z876" s="34" t="s">
        <v>65</v>
      </c>
      <c r="AA876" s="34"/>
      <c r="AB876" s="34"/>
      <c r="AC876" s="22">
        <v>0.8597616577148437</v>
      </c>
      <c r="AD876" s="23" t="s">
        <v>2178</v>
      </c>
      <c r="AE876" s="24">
        <v>1.3287671232876712</v>
      </c>
      <c r="AF876" s="25">
        <v>0.23324850763721058</v>
      </c>
      <c r="AG876" s="26">
        <v>0.21779536516048245</v>
      </c>
      <c r="AH876" s="26">
        <v>0</v>
      </c>
      <c r="AI876" s="27">
        <v>0.81599735059607115</v>
      </c>
      <c r="AJ876" s="27">
        <v>0.74039114842479115</v>
      </c>
      <c r="AK876" s="27">
        <v>0.81599735059607115</v>
      </c>
      <c r="AL876" s="28" t="s">
        <v>240</v>
      </c>
      <c r="AM876" s="29" t="s">
        <v>48</v>
      </c>
      <c r="AN876" s="29" t="s">
        <v>48</v>
      </c>
      <c r="AO876" s="29" t="s">
        <v>48</v>
      </c>
      <c r="AP876" s="47" t="s">
        <v>1525</v>
      </c>
      <c r="AQ876" s="28">
        <v>0</v>
      </c>
      <c r="AR876" s="26">
        <v>1.4999999999999999E-2</v>
      </c>
      <c r="AS876" s="26">
        <v>0</v>
      </c>
    </row>
    <row r="877" spans="1:45" x14ac:dyDescent="0.15">
      <c r="A877" s="64">
        <v>23</v>
      </c>
      <c r="B877" s="64">
        <v>253</v>
      </c>
      <c r="C877" s="11">
        <v>3624</v>
      </c>
      <c r="D877" s="61">
        <v>739</v>
      </c>
      <c r="E877" s="61">
        <v>-3.3313651717674499E-3</v>
      </c>
      <c r="F877" s="61">
        <v>21</v>
      </c>
      <c r="G877" s="61">
        <v>0.35973606579022699</v>
      </c>
      <c r="H877" s="66">
        <v>391</v>
      </c>
      <c r="I877" s="66" t="str">
        <f>H877&amp;"/"&amp;451</f>
        <v>391/451</v>
      </c>
      <c r="J877" s="68">
        <f>H877/451</f>
        <v>0.86696230598669621</v>
      </c>
      <c r="K877" s="18" t="s">
        <v>44</v>
      </c>
      <c r="L877" s="19" t="s">
        <v>87</v>
      </c>
      <c r="M877" s="59" t="s">
        <v>65</v>
      </c>
      <c r="N877" s="18">
        <f>[1]!f_prt_stocktonav(C877,"2017/03/31")</f>
        <v>90.467704772949219</v>
      </c>
      <c r="O877" s="20" t="str">
        <f>[1]!f_info_fundmanager(C877)</f>
        <v>李游</v>
      </c>
      <c r="P877" s="21">
        <v>0.40821917808219177</v>
      </c>
      <c r="Q877" s="12" t="s">
        <v>168</v>
      </c>
      <c r="R877" s="13" t="s">
        <v>169</v>
      </c>
      <c r="S877" s="13" t="s">
        <v>159</v>
      </c>
      <c r="T877" s="13">
        <v>20161102</v>
      </c>
      <c r="U877" s="14">
        <v>0.12584492019999999</v>
      </c>
      <c r="V877" s="15" t="s">
        <v>72</v>
      </c>
      <c r="W877" s="16" t="s">
        <v>40</v>
      </c>
      <c r="X877" s="34" t="s">
        <v>41</v>
      </c>
      <c r="Y877" s="17" t="s">
        <v>42</v>
      </c>
      <c r="Z877" s="17" t="s">
        <v>43</v>
      </c>
      <c r="AA877" s="13"/>
      <c r="AB877" s="13"/>
      <c r="AC877" s="22">
        <v>0</v>
      </c>
      <c r="AD877" s="23" t="s">
        <v>170</v>
      </c>
      <c r="AE877" s="24">
        <v>0.17808219178082191</v>
      </c>
      <c r="AF877" s="25">
        <v>-0.18976527473334215</v>
      </c>
      <c r="AG877" s="26">
        <v>0</v>
      </c>
      <c r="AH877" s="26">
        <v>0</v>
      </c>
      <c r="AI877" s="27">
        <v>-1.0639160750112089</v>
      </c>
      <c r="AJ877" s="27">
        <v>-1.0639160750112089</v>
      </c>
      <c r="AK877" s="27">
        <v>-1.0639160750112089</v>
      </c>
      <c r="AL877" s="28" t="s">
        <v>171</v>
      </c>
      <c r="AM877" s="29" t="s">
        <v>48</v>
      </c>
      <c r="AN877" s="29" t="s">
        <v>48</v>
      </c>
      <c r="AO877" s="29" t="s">
        <v>48</v>
      </c>
      <c r="AP877" s="23" t="s">
        <v>172</v>
      </c>
      <c r="AQ877" s="30">
        <v>0</v>
      </c>
      <c r="AR877" s="31">
        <v>1.4999999999999999E-2</v>
      </c>
      <c r="AS877" s="31">
        <v>0</v>
      </c>
    </row>
    <row r="878" spans="1:45" x14ac:dyDescent="0.15">
      <c r="A878" s="64">
        <v>716</v>
      </c>
      <c r="B878" s="64">
        <v>536</v>
      </c>
      <c r="C878" s="11">
        <v>161810</v>
      </c>
      <c r="D878" s="61">
        <v>746</v>
      </c>
      <c r="E878" s="61">
        <v>-3.3945765718611698E-3</v>
      </c>
      <c r="F878" s="61">
        <v>38</v>
      </c>
      <c r="G878" s="61">
        <v>1.6017814558785599E-2</v>
      </c>
      <c r="H878" s="66">
        <v>392</v>
      </c>
      <c r="I878" s="66" t="str">
        <f>H878&amp;"/"&amp;451</f>
        <v>392/451</v>
      </c>
      <c r="J878" s="68">
        <f>H878/451</f>
        <v>0.86917960088691792</v>
      </c>
      <c r="K878" s="18" t="s">
        <v>44</v>
      </c>
      <c r="L878" s="18" t="s">
        <v>45</v>
      </c>
      <c r="M878" s="58" t="s">
        <v>65</v>
      </c>
      <c r="N878" s="18">
        <f>[1]!f_prt_stocktonav(C878,"2017/03/31")</f>
        <v>84.394508361816406</v>
      </c>
      <c r="O878" s="20" t="str">
        <f>[1]!f_info_fundmanager(C878)</f>
        <v>倪明,刘辉</v>
      </c>
      <c r="P878" s="21">
        <v>0.72876712328767124</v>
      </c>
      <c r="Q878" s="34" t="s">
        <v>2833</v>
      </c>
      <c r="R878" s="34" t="s">
        <v>2834</v>
      </c>
      <c r="S878" s="34" t="s">
        <v>57</v>
      </c>
      <c r="T878" s="34">
        <v>20090701</v>
      </c>
      <c r="U878" s="45">
        <v>6.0560198259</v>
      </c>
      <c r="V878" s="46">
        <v>7.0767686305000002</v>
      </c>
      <c r="W878" s="34" t="s">
        <v>1235</v>
      </c>
      <c r="X878" s="34" t="s">
        <v>44</v>
      </c>
      <c r="Y878" s="34" t="s">
        <v>45</v>
      </c>
      <c r="Z878" s="34" t="s">
        <v>65</v>
      </c>
      <c r="AA878" s="34"/>
      <c r="AB878" s="34"/>
      <c r="AC878" s="22">
        <v>0.87008598327636721</v>
      </c>
      <c r="AD878" s="23" t="s">
        <v>2835</v>
      </c>
      <c r="AE878" s="24">
        <v>0.49863013698630138</v>
      </c>
      <c r="AF878" s="25">
        <v>6.1278572396447961E-2</v>
      </c>
      <c r="AG878" s="26">
        <v>0.26351790764372085</v>
      </c>
      <c r="AH878" s="26">
        <v>0.1995235111959508</v>
      </c>
      <c r="AI878" s="27">
        <v>0.33962063323584935</v>
      </c>
      <c r="AJ878" s="27">
        <v>0.8733489933246068</v>
      </c>
      <c r="AK878" s="27">
        <v>0.769235348632055</v>
      </c>
      <c r="AL878" s="28" t="s">
        <v>1459</v>
      </c>
      <c r="AM878" s="29">
        <v>5</v>
      </c>
      <c r="AN878" s="29">
        <v>5</v>
      </c>
      <c r="AO878" s="29" t="s">
        <v>48</v>
      </c>
      <c r="AP878" s="47" t="s">
        <v>2297</v>
      </c>
      <c r="AQ878" s="28">
        <v>0</v>
      </c>
      <c r="AR878" s="26">
        <v>1.4999999999999999E-2</v>
      </c>
      <c r="AS878" s="26">
        <v>0</v>
      </c>
    </row>
    <row r="879" spans="1:45" x14ac:dyDescent="0.15">
      <c r="A879" s="64">
        <v>645</v>
      </c>
      <c r="B879" s="64">
        <v>580</v>
      </c>
      <c r="C879" s="11">
        <v>70021</v>
      </c>
      <c r="D879" s="61">
        <v>754</v>
      </c>
      <c r="E879" s="61">
        <v>-3.4595682954204799E-3</v>
      </c>
      <c r="F879" s="61">
        <v>245</v>
      </c>
      <c r="G879" s="61">
        <v>2.3817558641445699E-3</v>
      </c>
      <c r="H879" s="66">
        <v>393</v>
      </c>
      <c r="I879" s="66" t="str">
        <f>H879&amp;"/"&amp;451</f>
        <v>393/451</v>
      </c>
      <c r="J879" s="68">
        <f>H879/451</f>
        <v>0.87139689578713964</v>
      </c>
      <c r="K879" s="18" t="s">
        <v>44</v>
      </c>
      <c r="L879" s="18" t="s">
        <v>87</v>
      </c>
      <c r="M879" s="58" t="s">
        <v>65</v>
      </c>
      <c r="N879" s="18">
        <f>[1]!f_prt_stocktonav(C879,"2017/03/31")</f>
        <v>83.303352355957031</v>
      </c>
      <c r="O879" s="20" t="str">
        <f>[1]!f_info_fundmanager(C879)</f>
        <v>齐海滔</v>
      </c>
      <c r="P879" s="21">
        <v>4.7041095890410958</v>
      </c>
      <c r="Q879" s="34" t="s">
        <v>2605</v>
      </c>
      <c r="R879" s="34" t="s">
        <v>2606</v>
      </c>
      <c r="S879" s="34" t="s">
        <v>92</v>
      </c>
      <c r="T879" s="34">
        <v>20101207</v>
      </c>
      <c r="U879" s="45">
        <v>6.6509758101000003</v>
      </c>
      <c r="V879" s="46">
        <v>7.3290561279000004</v>
      </c>
      <c r="W879" s="34" t="s">
        <v>3776</v>
      </c>
      <c r="X879" s="34" t="s">
        <v>44</v>
      </c>
      <c r="Y879" s="34" t="s">
        <v>45</v>
      </c>
      <c r="Z879" s="34" t="s">
        <v>65</v>
      </c>
      <c r="AA879" s="34"/>
      <c r="AB879" s="34"/>
      <c r="AC879" s="22">
        <v>0.85222290039062498</v>
      </c>
      <c r="AD879" s="23" t="s">
        <v>1818</v>
      </c>
      <c r="AE879" s="24">
        <v>4.4739726027397264</v>
      </c>
      <c r="AF879" s="25">
        <v>6.3685545957650413E-2</v>
      </c>
      <c r="AG879" s="26">
        <v>0.13887376214902569</v>
      </c>
      <c r="AH879" s="26">
        <v>0.13543355094573428</v>
      </c>
      <c r="AI879" s="27">
        <v>0.31012787200209346</v>
      </c>
      <c r="AJ879" s="27">
        <v>0.49160460255853722</v>
      </c>
      <c r="AK879" s="27">
        <v>0.52309003716973512</v>
      </c>
      <c r="AL879" s="28" t="s">
        <v>2607</v>
      </c>
      <c r="AM879" s="29">
        <v>2</v>
      </c>
      <c r="AN879" s="29">
        <v>2</v>
      </c>
      <c r="AO879" s="29" t="s">
        <v>48</v>
      </c>
      <c r="AP879" s="47" t="s">
        <v>249</v>
      </c>
      <c r="AQ879" s="28" t="s">
        <v>2293</v>
      </c>
      <c r="AR879" s="26">
        <v>1.4999999999999999E-2</v>
      </c>
      <c r="AS879" s="26">
        <v>0</v>
      </c>
    </row>
    <row r="880" spans="1:45" x14ac:dyDescent="0.15">
      <c r="A880" s="64">
        <v>89</v>
      </c>
      <c r="B880" s="64">
        <v>704</v>
      </c>
      <c r="C880" s="11">
        <v>2577</v>
      </c>
      <c r="D880" s="61">
        <v>758</v>
      </c>
      <c r="E880" s="61">
        <v>-3.5083658784451901E-3</v>
      </c>
      <c r="F880" s="61">
        <v>46</v>
      </c>
      <c r="G880" s="61">
        <v>2.65261956620968E-2</v>
      </c>
      <c r="H880" s="66">
        <v>394</v>
      </c>
      <c r="I880" s="66" t="str">
        <f>H880&amp;"/"&amp;451</f>
        <v>394/451</v>
      </c>
      <c r="J880" s="68">
        <f>H880/451</f>
        <v>0.87361419068736146</v>
      </c>
      <c r="K880" s="18" t="s">
        <v>44</v>
      </c>
      <c r="L880" s="18" t="s">
        <v>45</v>
      </c>
      <c r="M880" s="58" t="s">
        <v>65</v>
      </c>
      <c r="N880" s="18">
        <f>[1]!f_prt_stocktonav(C880,"2017/03/31")</f>
        <v>79.876533508300781</v>
      </c>
      <c r="O880" s="20" t="str">
        <f>[1]!f_info_fundmanager(C880)</f>
        <v>赵凤学</v>
      </c>
      <c r="P880" s="21">
        <v>0.90958904109589045</v>
      </c>
      <c r="Q880" s="34" t="s">
        <v>491</v>
      </c>
      <c r="R880" s="34" t="s">
        <v>492</v>
      </c>
      <c r="S880" s="34" t="s">
        <v>284</v>
      </c>
      <c r="T880" s="34">
        <v>20160503</v>
      </c>
      <c r="U880" s="45">
        <v>7.0780774497000003</v>
      </c>
      <c r="V880" s="46">
        <v>9.4303869123999995</v>
      </c>
      <c r="W880" s="34" t="s">
        <v>3776</v>
      </c>
      <c r="X880" s="34" t="s">
        <v>44</v>
      </c>
      <c r="Y880" s="17" t="s">
        <v>45</v>
      </c>
      <c r="Z880" s="17" t="s">
        <v>65</v>
      </c>
      <c r="AA880" s="34"/>
      <c r="AB880" s="34"/>
      <c r="AC880" s="22">
        <v>0.93572082519531252</v>
      </c>
      <c r="AD880" s="23" t="s">
        <v>493</v>
      </c>
      <c r="AE880" s="24">
        <v>0.67945205479452053</v>
      </c>
      <c r="AF880" s="25">
        <v>-4.1760609871005168E-2</v>
      </c>
      <c r="AG880" s="26">
        <v>0</v>
      </c>
      <c r="AH880" s="26">
        <v>0</v>
      </c>
      <c r="AI880" s="27">
        <v>-0.47680560618906492</v>
      </c>
      <c r="AJ880" s="27">
        <v>-0.47680560618906492</v>
      </c>
      <c r="AK880" s="27">
        <v>-0.47680560618906492</v>
      </c>
      <c r="AL880" s="28" t="s">
        <v>323</v>
      </c>
      <c r="AM880" s="29" t="s">
        <v>48</v>
      </c>
      <c r="AN880" s="29" t="s">
        <v>48</v>
      </c>
      <c r="AO880" s="29" t="s">
        <v>48</v>
      </c>
      <c r="AP880" s="47" t="s">
        <v>287</v>
      </c>
      <c r="AQ880" s="28">
        <v>0</v>
      </c>
      <c r="AR880" s="26">
        <v>1.4999999999999999E-2</v>
      </c>
      <c r="AS880" s="26">
        <v>0</v>
      </c>
    </row>
    <row r="881" spans="1:45" x14ac:dyDescent="0.15">
      <c r="A881" s="64">
        <v>827</v>
      </c>
      <c r="B881" s="64">
        <v>884</v>
      </c>
      <c r="C881" s="11">
        <v>290004</v>
      </c>
      <c r="D881" s="61">
        <v>759</v>
      </c>
      <c r="E881" s="61">
        <v>-3.5193621917474199E-3</v>
      </c>
      <c r="F881" s="61">
        <v>18</v>
      </c>
      <c r="G881" s="61">
        <v>0.123954754221262</v>
      </c>
      <c r="H881" s="66">
        <v>395</v>
      </c>
      <c r="I881" s="66" t="str">
        <f>H881&amp;"/"&amp;451</f>
        <v>395/451</v>
      </c>
      <c r="J881" s="68">
        <f>H881/451</f>
        <v>0.87583148558758317</v>
      </c>
      <c r="K881" s="18" t="s">
        <v>44</v>
      </c>
      <c r="L881" s="18" t="s">
        <v>86</v>
      </c>
      <c r="M881" s="58" t="s">
        <v>65</v>
      </c>
      <c r="N881" s="18">
        <f>[1]!f_prt_stocktonav(C881,"2017/03/31")</f>
        <v>73.292289733886719</v>
      </c>
      <c r="O881" s="20" t="str">
        <f>[1]!f_info_fundmanager(C881)</f>
        <v>刘杰</v>
      </c>
      <c r="P881" s="21">
        <v>0.32876712328767121</v>
      </c>
      <c r="Q881" s="34" t="s">
        <v>3217</v>
      </c>
      <c r="R881" s="34" t="s">
        <v>3218</v>
      </c>
      <c r="S881" s="34" t="s">
        <v>889</v>
      </c>
      <c r="T881" s="34">
        <v>20061215</v>
      </c>
      <c r="U881" s="45">
        <v>8.6661152038000004</v>
      </c>
      <c r="V881" s="46">
        <v>8.3872710602999998</v>
      </c>
      <c r="W881" s="34" t="s">
        <v>201</v>
      </c>
      <c r="X881" s="34" t="s">
        <v>41</v>
      </c>
      <c r="Y881" s="17" t="s">
        <v>42</v>
      </c>
      <c r="Z881" s="17" t="s">
        <v>181</v>
      </c>
      <c r="AA881" s="34"/>
      <c r="AB881" s="34"/>
      <c r="AC881" s="22">
        <v>0.66022903442382808</v>
      </c>
      <c r="AD881" s="23" t="s">
        <v>3219</v>
      </c>
      <c r="AE881" s="24">
        <v>9.8630136986301367E-2</v>
      </c>
      <c r="AF881" s="25">
        <v>5.4070750572760229E-2</v>
      </c>
      <c r="AG881" s="26">
        <v>0.10156163246834371</v>
      </c>
      <c r="AH881" s="26">
        <v>8.5864459408461435E-2</v>
      </c>
      <c r="AI881" s="27">
        <v>0.27776073062784851</v>
      </c>
      <c r="AJ881" s="27">
        <v>0.40090562718975881</v>
      </c>
      <c r="AK881" s="27">
        <v>0.38062133242266233</v>
      </c>
      <c r="AL881" s="28" t="s">
        <v>3220</v>
      </c>
      <c r="AM881" s="29">
        <v>2</v>
      </c>
      <c r="AN881" s="29">
        <v>3</v>
      </c>
      <c r="AO881" s="29" t="s">
        <v>48</v>
      </c>
      <c r="AP881" s="47" t="s">
        <v>101</v>
      </c>
      <c r="AQ881" s="28">
        <v>0</v>
      </c>
      <c r="AR881" s="26">
        <v>1.4999999999999999E-2</v>
      </c>
      <c r="AS881" s="26">
        <v>0</v>
      </c>
    </row>
    <row r="882" spans="1:45" x14ac:dyDescent="0.15">
      <c r="A882" s="64">
        <v>590</v>
      </c>
      <c r="B882" s="64">
        <v>519</v>
      </c>
      <c r="C882" s="11">
        <v>398061</v>
      </c>
      <c r="D882" s="61">
        <v>764</v>
      </c>
      <c r="E882" s="61">
        <v>-3.53832549645402E-3</v>
      </c>
      <c r="F882" s="61">
        <v>102</v>
      </c>
      <c r="G882" s="61">
        <v>0.22085093794520899</v>
      </c>
      <c r="H882" s="66">
        <v>396</v>
      </c>
      <c r="I882" s="66" t="str">
        <f>H882&amp;"/"&amp;451</f>
        <v>396/451</v>
      </c>
      <c r="J882" s="68">
        <f>H882/451</f>
        <v>0.87804878048780488</v>
      </c>
      <c r="K882" s="18" t="s">
        <v>44</v>
      </c>
      <c r="L882" s="18" t="s">
        <v>87</v>
      </c>
      <c r="M882" s="58" t="s">
        <v>65</v>
      </c>
      <c r="N882" s="18">
        <f>[1]!f_prt_stocktonav(C882,"2017/03/31")</f>
        <v>84.915573120117187</v>
      </c>
      <c r="O882" s="20" t="str">
        <f>[1]!f_info_fundmanager(C882)</f>
        <v>姚晨曦</v>
      </c>
      <c r="P882" s="21">
        <v>1.9561643835616438</v>
      </c>
      <c r="Q882" s="34" t="s">
        <v>2418</v>
      </c>
      <c r="R882" s="34" t="s">
        <v>2419</v>
      </c>
      <c r="S882" s="34" t="s">
        <v>505</v>
      </c>
      <c r="T882" s="34">
        <v>20111109</v>
      </c>
      <c r="U882" s="45">
        <v>4.0955901688000003</v>
      </c>
      <c r="V882" s="46">
        <v>5.0541626645999997</v>
      </c>
      <c r="W882" s="34" t="s">
        <v>201</v>
      </c>
      <c r="X882" s="34" t="s">
        <v>44</v>
      </c>
      <c r="Y882" s="34" t="s">
        <v>87</v>
      </c>
      <c r="Z882" s="34" t="s">
        <v>274</v>
      </c>
      <c r="AA882" s="34" t="s">
        <v>3774</v>
      </c>
      <c r="AB882" s="34"/>
      <c r="AC882" s="22">
        <v>0.83413909912109374</v>
      </c>
      <c r="AD882" s="23" t="s">
        <v>2420</v>
      </c>
      <c r="AE882" s="24">
        <v>1.726027397260274</v>
      </c>
      <c r="AF882" s="25">
        <v>0.18862173884142622</v>
      </c>
      <c r="AG882" s="26">
        <v>0.21068844938427067</v>
      </c>
      <c r="AH882" s="26">
        <v>0.19530614067087981</v>
      </c>
      <c r="AI882" s="27">
        <v>0.65396760813876442</v>
      </c>
      <c r="AJ882" s="27">
        <v>0.64317509137826923</v>
      </c>
      <c r="AK882" s="27">
        <v>0.66517957411428918</v>
      </c>
      <c r="AL882" s="33" t="s">
        <v>2421</v>
      </c>
      <c r="AM882" s="29">
        <v>3</v>
      </c>
      <c r="AN882" s="29">
        <v>4</v>
      </c>
      <c r="AO882" s="29" t="s">
        <v>48</v>
      </c>
      <c r="AP882" s="47" t="s">
        <v>2422</v>
      </c>
      <c r="AQ882" s="28">
        <v>0</v>
      </c>
      <c r="AR882" s="26">
        <v>1.4999999999999999E-2</v>
      </c>
      <c r="AS882" s="26">
        <v>0</v>
      </c>
    </row>
    <row r="883" spans="1:45" x14ac:dyDescent="0.15">
      <c r="A883" s="64">
        <v>720</v>
      </c>
      <c r="B883" s="64">
        <v>11</v>
      </c>
      <c r="C883" s="11">
        <v>398041</v>
      </c>
      <c r="D883" s="61">
        <v>765</v>
      </c>
      <c r="E883" s="61">
        <v>-3.5415139555973699E-3</v>
      </c>
      <c r="F883" s="61">
        <v>15</v>
      </c>
      <c r="G883" s="61">
        <v>0.118290925459967</v>
      </c>
      <c r="H883" s="66">
        <v>397</v>
      </c>
      <c r="I883" s="66" t="str">
        <f>H883&amp;"/"&amp;451</f>
        <v>397/451</v>
      </c>
      <c r="J883" s="68">
        <f>H883/451</f>
        <v>0.88026607538802659</v>
      </c>
      <c r="K883" s="18" t="s">
        <v>44</v>
      </c>
      <c r="L883" s="18" t="s">
        <v>64</v>
      </c>
      <c r="M883" s="58" t="s">
        <v>65</v>
      </c>
      <c r="N883" s="18">
        <f>[1]!f_prt_stocktonav(C883,"2017/03/31")</f>
        <v>94.816322326660156</v>
      </c>
      <c r="O883" s="20" t="str">
        <f>[1]!f_info_fundmanager(C883)</f>
        <v>彭海平</v>
      </c>
      <c r="P883" s="21">
        <v>0.27671232876712326</v>
      </c>
      <c r="Q883" s="34" t="s">
        <v>2846</v>
      </c>
      <c r="R883" s="34" t="s">
        <v>2847</v>
      </c>
      <c r="S883" s="34" t="s">
        <v>505</v>
      </c>
      <c r="T883" s="34">
        <v>20090624</v>
      </c>
      <c r="U883" s="45">
        <v>0.72419917219999996</v>
      </c>
      <c r="V883" s="46">
        <v>0.7342583452</v>
      </c>
      <c r="W883" s="34" t="s">
        <v>3776</v>
      </c>
      <c r="X883" s="34" t="s">
        <v>44</v>
      </c>
      <c r="Y883" s="34" t="s">
        <v>45</v>
      </c>
      <c r="Z883" s="34" t="s">
        <v>65</v>
      </c>
      <c r="AA883" s="34"/>
      <c r="AB883" s="34"/>
      <c r="AC883" s="22">
        <v>0.81944892883300779</v>
      </c>
      <c r="AD883" s="23" t="s">
        <v>2848</v>
      </c>
      <c r="AE883" s="24">
        <v>4.6575342465753428E-2</v>
      </c>
      <c r="AF883" s="25">
        <v>4.1986697085337976E-2</v>
      </c>
      <c r="AG883" s="26">
        <v>0.15254808034818379</v>
      </c>
      <c r="AH883" s="26">
        <v>9.0700004792071423E-2</v>
      </c>
      <c r="AI883" s="27">
        <v>0.23029580267415795</v>
      </c>
      <c r="AJ883" s="27">
        <v>0.61220357358603028</v>
      </c>
      <c r="AK883" s="27">
        <v>0.41225068093081491</v>
      </c>
      <c r="AL883" s="28" t="s">
        <v>2849</v>
      </c>
      <c r="AM883" s="29">
        <v>1</v>
      </c>
      <c r="AN883" s="29">
        <v>3</v>
      </c>
      <c r="AO883" s="29" t="s">
        <v>48</v>
      </c>
      <c r="AP883" s="47" t="s">
        <v>2850</v>
      </c>
      <c r="AQ883" s="28">
        <v>0</v>
      </c>
      <c r="AR883" s="26">
        <v>1.4999999999999999E-2</v>
      </c>
      <c r="AS883" s="26">
        <v>0</v>
      </c>
    </row>
    <row r="884" spans="1:45" x14ac:dyDescent="0.15">
      <c r="A884" s="64">
        <v>854</v>
      </c>
      <c r="B884" s="64">
        <v>632</v>
      </c>
      <c r="C884" s="11">
        <v>40005</v>
      </c>
      <c r="D884" s="61">
        <v>767</v>
      </c>
      <c r="E884" s="61">
        <v>-3.5694254611357301E-3</v>
      </c>
      <c r="F884" s="61">
        <v>75</v>
      </c>
      <c r="G884" s="61">
        <v>1.9255258902547399E-2</v>
      </c>
      <c r="H884" s="66">
        <v>398</v>
      </c>
      <c r="I884" s="66" t="str">
        <f>H884&amp;"/"&amp;451</f>
        <v>398/451</v>
      </c>
      <c r="J884" s="68">
        <f>H884/451</f>
        <v>0.8824833702882483</v>
      </c>
      <c r="K884" s="18" t="s">
        <v>44</v>
      </c>
      <c r="L884" s="18" t="s">
        <v>45</v>
      </c>
      <c r="M884" s="58" t="s">
        <v>65</v>
      </c>
      <c r="N884" s="18">
        <f>[1]!f_prt_stocktonav(C884,"2017/03/31")</f>
        <v>82.01165771484375</v>
      </c>
      <c r="O884" s="20" t="str">
        <f>[1]!f_info_fundmanager(C884)</f>
        <v>王春</v>
      </c>
      <c r="P884" s="21">
        <v>1.4246575342465753</v>
      </c>
      <c r="Q884" s="34" t="s">
        <v>3319</v>
      </c>
      <c r="R884" s="34" t="s">
        <v>3320</v>
      </c>
      <c r="S884" s="34" t="s">
        <v>63</v>
      </c>
      <c r="T884" s="34">
        <v>20060906</v>
      </c>
      <c r="U884" s="45">
        <v>21.744630533900001</v>
      </c>
      <c r="V884" s="46">
        <v>24.1170404099</v>
      </c>
      <c r="W884" s="34" t="s">
        <v>231</v>
      </c>
      <c r="X884" s="34" t="s">
        <v>44</v>
      </c>
      <c r="Y884" s="34" t="s">
        <v>45</v>
      </c>
      <c r="Z884" s="34" t="s">
        <v>274</v>
      </c>
      <c r="AA884" s="34"/>
      <c r="AB884" s="34"/>
      <c r="AC884" s="22">
        <v>0.80942314147949224</v>
      </c>
      <c r="AD884" s="23" t="s">
        <v>3321</v>
      </c>
      <c r="AE884" s="24">
        <v>1.1945205479452055</v>
      </c>
      <c r="AF884" s="25">
        <v>0.14859066624345996</v>
      </c>
      <c r="AG884" s="26">
        <v>9.7146124121641572E-2</v>
      </c>
      <c r="AH884" s="26">
        <v>0.10161455841905574</v>
      </c>
      <c r="AI884" s="27">
        <v>0.61486887100225285</v>
      </c>
      <c r="AJ884" s="27">
        <v>0.42393502892984397</v>
      </c>
      <c r="AK884" s="27">
        <v>0.45605374254360609</v>
      </c>
      <c r="AL884" s="28" t="s">
        <v>3322</v>
      </c>
      <c r="AM884" s="29">
        <v>4</v>
      </c>
      <c r="AN884" s="29">
        <v>3</v>
      </c>
      <c r="AO884" s="29" t="s">
        <v>48</v>
      </c>
      <c r="AP884" s="47" t="s">
        <v>3323</v>
      </c>
      <c r="AQ884" s="28" t="s">
        <v>3324</v>
      </c>
      <c r="AR884" s="26">
        <v>1.4999999999999999E-2</v>
      </c>
      <c r="AS884" s="26">
        <v>0</v>
      </c>
    </row>
    <row r="885" spans="1:45" x14ac:dyDescent="0.15">
      <c r="A885" s="64">
        <v>795</v>
      </c>
      <c r="B885" s="64">
        <v>219</v>
      </c>
      <c r="C885" s="11">
        <v>50009</v>
      </c>
      <c r="D885" s="61">
        <v>769</v>
      </c>
      <c r="E885" s="61">
        <v>-3.58470575738632E-3</v>
      </c>
      <c r="F885" s="61">
        <v>219</v>
      </c>
      <c r="G885" s="61">
        <v>4.21430222933515E-4</v>
      </c>
      <c r="H885" s="66">
        <v>399</v>
      </c>
      <c r="I885" s="66" t="str">
        <f>H885&amp;"/"&amp;451</f>
        <v>399/451</v>
      </c>
      <c r="J885" s="68">
        <f>H885/451</f>
        <v>0.88470066518847001</v>
      </c>
      <c r="K885" s="18" t="s">
        <v>44</v>
      </c>
      <c r="L885" s="18" t="s">
        <v>45</v>
      </c>
      <c r="M885" s="58" t="s">
        <v>65</v>
      </c>
      <c r="N885" s="18">
        <f>[1]!f_prt_stocktonav(C885,"2017/03/31")</f>
        <v>91.453048706054688</v>
      </c>
      <c r="O885" s="20" t="str">
        <f>[1]!f_info_fundmanager(C885)</f>
        <v>曾鹏</v>
      </c>
      <c r="P885" s="21">
        <v>4.2</v>
      </c>
      <c r="Q885" s="34" t="s">
        <v>3104</v>
      </c>
      <c r="R885" s="34" t="s">
        <v>3105</v>
      </c>
      <c r="S885" s="34" t="s">
        <v>413</v>
      </c>
      <c r="T885" s="34">
        <v>20070706</v>
      </c>
      <c r="U885" s="45">
        <v>37.842935445800002</v>
      </c>
      <c r="V885" s="46">
        <v>40.172828758800001</v>
      </c>
      <c r="W885" s="34" t="s">
        <v>201</v>
      </c>
      <c r="X885" s="34" t="s">
        <v>44</v>
      </c>
      <c r="Y885" s="34" t="s">
        <v>45</v>
      </c>
      <c r="Z885" s="34" t="s">
        <v>65</v>
      </c>
      <c r="AA885" s="34"/>
      <c r="AB885" s="34"/>
      <c r="AC885" s="22">
        <v>0.88733016967773437</v>
      </c>
      <c r="AD885" s="23" t="s">
        <v>3106</v>
      </c>
      <c r="AE885" s="24">
        <v>3.9698630136986299</v>
      </c>
      <c r="AF885" s="25">
        <v>3.9512212336667574E-5</v>
      </c>
      <c r="AG885" s="26">
        <v>4.7249254925563422E-2</v>
      </c>
      <c r="AH885" s="26">
        <v>3.8847010105262703E-2</v>
      </c>
      <c r="AI885" s="27">
        <v>8.1677179550105394E-2</v>
      </c>
      <c r="AJ885" s="27">
        <v>0.24961475976655206</v>
      </c>
      <c r="AK885" s="27">
        <v>0.22877084681492152</v>
      </c>
      <c r="AL885" s="28" t="s">
        <v>110</v>
      </c>
      <c r="AM885" s="29">
        <v>1</v>
      </c>
      <c r="AN885" s="29">
        <v>3</v>
      </c>
      <c r="AO885" s="29" t="s">
        <v>48</v>
      </c>
      <c r="AP885" s="47" t="s">
        <v>417</v>
      </c>
      <c r="AQ885" s="28">
        <v>0</v>
      </c>
      <c r="AR885" s="26">
        <v>1.4999999999999999E-2</v>
      </c>
      <c r="AS885" s="26">
        <v>0</v>
      </c>
    </row>
    <row r="886" spans="1:45" x14ac:dyDescent="0.15">
      <c r="A886" s="64">
        <v>728</v>
      </c>
      <c r="B886" s="64">
        <v>921</v>
      </c>
      <c r="C886" s="11">
        <v>180018</v>
      </c>
      <c r="D886" s="61">
        <v>770</v>
      </c>
      <c r="E886" s="61">
        <v>-3.5866168558861102E-3</v>
      </c>
      <c r="F886" s="61">
        <v>100</v>
      </c>
      <c r="G886" s="61">
        <v>3.2417931152438399E-2</v>
      </c>
      <c r="H886" s="66">
        <v>400</v>
      </c>
      <c r="I886" s="66" t="str">
        <f>H886&amp;"/"&amp;451</f>
        <v>400/451</v>
      </c>
      <c r="J886" s="68">
        <f>H886/451</f>
        <v>0.88691796008869184</v>
      </c>
      <c r="K886" s="18" t="s">
        <v>44</v>
      </c>
      <c r="L886" s="18" t="s">
        <v>87</v>
      </c>
      <c r="M886" s="58" t="s">
        <v>65</v>
      </c>
      <c r="N886" s="18">
        <f>[1]!f_prt_stocktonav(C886,"2017/03/31")</f>
        <v>71.658279418945313</v>
      </c>
      <c r="O886" s="20" t="str">
        <f>[1]!f_info_fundmanager(C886)</f>
        <v>唐能,周可彦</v>
      </c>
      <c r="P886" s="21">
        <v>1.904109589041096</v>
      </c>
      <c r="Q886" s="34" t="s">
        <v>2876</v>
      </c>
      <c r="R886" s="34" t="s">
        <v>2877</v>
      </c>
      <c r="S886" s="34" t="s">
        <v>57</v>
      </c>
      <c r="T886" s="34">
        <v>20090427</v>
      </c>
      <c r="U886" s="45">
        <v>2.7490144547000002</v>
      </c>
      <c r="V886" s="46">
        <v>2.8454027450999999</v>
      </c>
      <c r="W886" s="34" t="s">
        <v>3776</v>
      </c>
      <c r="X886" s="34" t="s">
        <v>41</v>
      </c>
      <c r="Y886" s="34" t="s">
        <v>42</v>
      </c>
      <c r="Z886" s="34" t="s">
        <v>181</v>
      </c>
      <c r="AA886" s="34"/>
      <c r="AB886" s="34"/>
      <c r="AC886" s="22">
        <v>0.62858428955078127</v>
      </c>
      <c r="AD886" s="23" t="s">
        <v>2878</v>
      </c>
      <c r="AE886" s="24">
        <v>1.6739726027397259</v>
      </c>
      <c r="AF886" s="25">
        <v>8.9589986392901277E-2</v>
      </c>
      <c r="AG886" s="26">
        <v>0.12831472472319017</v>
      </c>
      <c r="AH886" s="26">
        <v>0.13812952740185414</v>
      </c>
      <c r="AI886" s="27">
        <v>0.45834469056717708</v>
      </c>
      <c r="AJ886" s="27">
        <v>0.57804574995235025</v>
      </c>
      <c r="AK886" s="27">
        <v>0.65463499291317861</v>
      </c>
      <c r="AL886" s="28" t="s">
        <v>2879</v>
      </c>
      <c r="AM886" s="29">
        <v>3</v>
      </c>
      <c r="AN886" s="29">
        <v>3</v>
      </c>
      <c r="AO886" s="29" t="s">
        <v>48</v>
      </c>
      <c r="AP886" s="47" t="s">
        <v>2297</v>
      </c>
      <c r="AQ886" s="28">
        <v>0</v>
      </c>
      <c r="AR886" s="26">
        <v>1.4999999999999999E-2</v>
      </c>
      <c r="AS886" s="26">
        <v>0</v>
      </c>
    </row>
    <row r="887" spans="1:45" x14ac:dyDescent="0.15">
      <c r="A887" s="64">
        <v>390</v>
      </c>
      <c r="B887" s="64">
        <v>120</v>
      </c>
      <c r="C887" s="11">
        <v>519915</v>
      </c>
      <c r="D887" s="61">
        <v>772</v>
      </c>
      <c r="E887" s="61">
        <v>-3.5940004344927798E-3</v>
      </c>
      <c r="F887" s="61">
        <v>118</v>
      </c>
      <c r="G887" s="61">
        <v>0.11762571989243201</v>
      </c>
      <c r="H887" s="66">
        <v>401</v>
      </c>
      <c r="I887" s="66" t="str">
        <f>H887&amp;"/"&amp;451</f>
        <v>401/451</v>
      </c>
      <c r="J887" s="68">
        <f>H887/451</f>
        <v>0.88913525498891355</v>
      </c>
      <c r="K887" s="18" t="s">
        <v>44</v>
      </c>
      <c r="L887" s="18" t="s">
        <v>87</v>
      </c>
      <c r="M887" s="58" t="s">
        <v>65</v>
      </c>
      <c r="N887" s="18">
        <f>[1]!f_prt_stocktonav(C887,"2017/03/31")</f>
        <v>93.272109985351563</v>
      </c>
      <c r="O887" s="20" t="str">
        <f>[1]!f_info_fundmanager(C887)</f>
        <v>戴益强</v>
      </c>
      <c r="P887" s="21">
        <v>2.3013698630136985</v>
      </c>
      <c r="Q887" s="34" t="s">
        <v>1690</v>
      </c>
      <c r="R887" s="34" t="s">
        <v>1691</v>
      </c>
      <c r="S887" s="34" t="s">
        <v>396</v>
      </c>
      <c r="T887" s="34">
        <v>20141212</v>
      </c>
      <c r="U887" s="45">
        <v>6.1403978689000001</v>
      </c>
      <c r="V887" s="46">
        <v>9.2729480114000005</v>
      </c>
      <c r="W887" s="34" t="s">
        <v>3776</v>
      </c>
      <c r="X887" s="34" t="s">
        <v>44</v>
      </c>
      <c r="Y887" s="34" t="s">
        <v>87</v>
      </c>
      <c r="Z887" s="34" t="s">
        <v>65</v>
      </c>
      <c r="AA887" s="34" t="s">
        <v>3818</v>
      </c>
      <c r="AB887" s="34"/>
      <c r="AC887" s="22">
        <v>0.94735282897949213</v>
      </c>
      <c r="AD887" s="23" t="s">
        <v>1692</v>
      </c>
      <c r="AE887" s="24">
        <v>2.0712328767123287</v>
      </c>
      <c r="AF887" s="25">
        <v>2.0804989501889359E-2</v>
      </c>
      <c r="AG887" s="26">
        <v>0</v>
      </c>
      <c r="AH887" s="26">
        <v>0</v>
      </c>
      <c r="AI887" s="27">
        <v>0.20344562249444822</v>
      </c>
      <c r="AJ887" s="27">
        <v>0.20344562249444822</v>
      </c>
      <c r="AK887" s="27">
        <v>0.20344562249444822</v>
      </c>
      <c r="AL887" s="33" t="s">
        <v>167</v>
      </c>
      <c r="AM887" s="29">
        <v>3</v>
      </c>
      <c r="AN887" s="29">
        <v>4</v>
      </c>
      <c r="AO887" s="29" t="s">
        <v>48</v>
      </c>
      <c r="AP887" s="47" t="s">
        <v>1693</v>
      </c>
      <c r="AQ887" s="28">
        <v>0</v>
      </c>
      <c r="AR887" s="26">
        <v>1.4999999999999999E-2</v>
      </c>
      <c r="AS887" s="26">
        <v>0</v>
      </c>
    </row>
    <row r="888" spans="1:45" x14ac:dyDescent="0.15">
      <c r="A888" s="64">
        <v>731</v>
      </c>
      <c r="B888" s="64">
        <v>882</v>
      </c>
      <c r="C888" s="11">
        <v>161611</v>
      </c>
      <c r="D888" s="61">
        <v>775</v>
      </c>
      <c r="E888" s="61">
        <v>-3.6326710280840898E-3</v>
      </c>
      <c r="F888" s="61">
        <v>66</v>
      </c>
      <c r="G888" s="61">
        <v>7.3682924246486994E-2</v>
      </c>
      <c r="H888" s="66">
        <v>402</v>
      </c>
      <c r="I888" s="66" t="str">
        <f>H888&amp;"/"&amp;451</f>
        <v>402/451</v>
      </c>
      <c r="J888" s="68">
        <f>H888/451</f>
        <v>0.89135254988913526</v>
      </c>
      <c r="K888" s="18" t="s">
        <v>44</v>
      </c>
      <c r="L888" s="18" t="s">
        <v>45</v>
      </c>
      <c r="M888" s="58" t="s">
        <v>65</v>
      </c>
      <c r="N888" s="18">
        <f>[1]!f_prt_stocktonav(C888,"2017/03/31")</f>
        <v>73.411109924316406</v>
      </c>
      <c r="O888" s="20" t="str">
        <f>[1]!f_info_fundmanager(C888)</f>
        <v>林清源,付伟琦</v>
      </c>
      <c r="P888" s="21">
        <v>1.263013698630137</v>
      </c>
      <c r="Q888" s="34" t="s">
        <v>2885</v>
      </c>
      <c r="R888" s="34" t="s">
        <v>2886</v>
      </c>
      <c r="S888" s="34" t="s">
        <v>230</v>
      </c>
      <c r="T888" s="34">
        <v>20090422</v>
      </c>
      <c r="U888" s="45">
        <v>2.6190030472000001</v>
      </c>
      <c r="V888" s="46">
        <v>3.3945102824000002</v>
      </c>
      <c r="W888" s="34" t="s">
        <v>3776</v>
      </c>
      <c r="X888" s="34" t="s">
        <v>41</v>
      </c>
      <c r="Y888" s="17" t="s">
        <v>42</v>
      </c>
      <c r="Z888" s="17" t="s">
        <v>181</v>
      </c>
      <c r="AA888" s="34"/>
      <c r="AB888" s="34"/>
      <c r="AC888" s="22">
        <v>0.64791931152343751</v>
      </c>
      <c r="AD888" s="23" t="s">
        <v>2887</v>
      </c>
      <c r="AE888" s="24">
        <v>1.0328767123287672</v>
      </c>
      <c r="AF888" s="25">
        <v>-1.3939003892082802E-4</v>
      </c>
      <c r="AG888" s="26">
        <v>6.432231826127599E-2</v>
      </c>
      <c r="AH888" s="26">
        <v>8.0525523769785709E-2</v>
      </c>
      <c r="AI888" s="27">
        <v>8.3839398042752283E-2</v>
      </c>
      <c r="AJ888" s="27">
        <v>0.3164028690055371</v>
      </c>
      <c r="AK888" s="27">
        <v>0.36225605636920238</v>
      </c>
      <c r="AL888" s="28" t="s">
        <v>2888</v>
      </c>
      <c r="AM888" s="29">
        <v>2</v>
      </c>
      <c r="AN888" s="29">
        <v>4</v>
      </c>
      <c r="AO888" s="29" t="s">
        <v>48</v>
      </c>
      <c r="AP888" s="47" t="s">
        <v>1667</v>
      </c>
      <c r="AQ888" s="28" t="s">
        <v>235</v>
      </c>
      <c r="AR888" s="26">
        <v>1.4999999999999999E-2</v>
      </c>
      <c r="AS888" s="26">
        <v>0</v>
      </c>
    </row>
    <row r="889" spans="1:45" x14ac:dyDescent="0.15">
      <c r="A889" s="64">
        <v>181</v>
      </c>
      <c r="B889" s="64">
        <v>13</v>
      </c>
      <c r="C889" s="11">
        <v>1569</v>
      </c>
      <c r="D889" s="61">
        <v>778</v>
      </c>
      <c r="E889" s="61">
        <v>-3.6672845332461701E-3</v>
      </c>
      <c r="F889" s="61">
        <v>72</v>
      </c>
      <c r="G889" s="61">
        <v>3.4279072640979999E-2</v>
      </c>
      <c r="H889" s="66">
        <v>403</v>
      </c>
      <c r="I889" s="66" t="str">
        <f>H889&amp;"/"&amp;451</f>
        <v>403/451</v>
      </c>
      <c r="J889" s="68">
        <f>H889/451</f>
        <v>0.89356984478935697</v>
      </c>
      <c r="K889" s="18" t="s">
        <v>44</v>
      </c>
      <c r="L889" s="18" t="s">
        <v>45</v>
      </c>
      <c r="M889" s="58" t="s">
        <v>65</v>
      </c>
      <c r="N889" s="18">
        <f>[1]!f_prt_stocktonav(C889,"2017/03/31")</f>
        <v>94.81097412109375</v>
      </c>
      <c r="O889" s="20" t="str">
        <f>[1]!f_info_fundmanager(C889)</f>
        <v>车广路</v>
      </c>
      <c r="P889" s="21">
        <v>1.4273972602739726</v>
      </c>
      <c r="Q889" s="34" t="s">
        <v>887</v>
      </c>
      <c r="R889" s="34" t="s">
        <v>888</v>
      </c>
      <c r="S889" s="34" t="s">
        <v>889</v>
      </c>
      <c r="T889" s="34">
        <v>20151027</v>
      </c>
      <c r="U889" s="45">
        <v>2.5074258234000002</v>
      </c>
      <c r="V889" s="46">
        <v>2.6841566565999999</v>
      </c>
      <c r="W889" s="34" t="s">
        <v>1235</v>
      </c>
      <c r="X889" s="34" t="s">
        <v>44</v>
      </c>
      <c r="Y889" s="17" t="s">
        <v>45</v>
      </c>
      <c r="Z889" s="17" t="s">
        <v>65</v>
      </c>
      <c r="AA889" s="34"/>
      <c r="AB889" s="34"/>
      <c r="AC889" s="22">
        <v>0.87359268188476558</v>
      </c>
      <c r="AD889" s="23" t="s">
        <v>890</v>
      </c>
      <c r="AE889" s="24">
        <v>1.1972602739726028</v>
      </c>
      <c r="AF889" s="25">
        <v>-0.15175619975031729</v>
      </c>
      <c r="AG889" s="26">
        <v>0</v>
      </c>
      <c r="AH889" s="26">
        <v>0</v>
      </c>
      <c r="AI889" s="27">
        <v>-0.95025863298800128</v>
      </c>
      <c r="AJ889" s="27">
        <v>-0.95025863298800128</v>
      </c>
      <c r="AK889" s="27">
        <v>-0.95025863298800128</v>
      </c>
      <c r="AL889" s="28" t="s">
        <v>191</v>
      </c>
      <c r="AM889" s="29" t="s">
        <v>48</v>
      </c>
      <c r="AN889" s="29" t="s">
        <v>48</v>
      </c>
      <c r="AO889" s="29" t="s">
        <v>48</v>
      </c>
      <c r="AP889" s="47" t="s">
        <v>249</v>
      </c>
      <c r="AQ889" s="28">
        <v>0</v>
      </c>
      <c r="AR889" s="26">
        <v>1.4999999999999999E-2</v>
      </c>
      <c r="AS889" s="26">
        <v>0</v>
      </c>
    </row>
    <row r="890" spans="1:45" x14ac:dyDescent="0.15">
      <c r="A890" s="64">
        <v>886</v>
      </c>
      <c r="B890" s="64">
        <v>443</v>
      </c>
      <c r="C890" s="11">
        <v>163302</v>
      </c>
      <c r="D890" s="61">
        <v>779</v>
      </c>
      <c r="E890" s="61">
        <v>-3.6992594153927401E-3</v>
      </c>
      <c r="F890" s="61">
        <v>114</v>
      </c>
      <c r="G890" s="61">
        <v>4.6792709774089301E-2</v>
      </c>
      <c r="H890" s="66">
        <v>404</v>
      </c>
      <c r="I890" s="66" t="str">
        <f>H890&amp;"/"&amp;451</f>
        <v>404/451</v>
      </c>
      <c r="J890" s="68">
        <f>H890/451</f>
        <v>0.89578713968957868</v>
      </c>
      <c r="K890" s="18" t="s">
        <v>44</v>
      </c>
      <c r="L890" s="18" t="s">
        <v>45</v>
      </c>
      <c r="M890" s="58" t="s">
        <v>65</v>
      </c>
      <c r="N890" s="18">
        <f>[1]!f_prt_stocktonav(C890,"2017/03/31")</f>
        <v>86.421653747558594</v>
      </c>
      <c r="O890" s="20" t="str">
        <f>[1]!f_info_fundmanager(C890)</f>
        <v>王大鹏,徐达</v>
      </c>
      <c r="P890" s="21">
        <v>2.1890410958904107</v>
      </c>
      <c r="Q890" s="34" t="s">
        <v>3441</v>
      </c>
      <c r="R890" s="34" t="s">
        <v>3442</v>
      </c>
      <c r="S890" s="34" t="s">
        <v>378</v>
      </c>
      <c r="T890" s="34">
        <v>20050927</v>
      </c>
      <c r="U890" s="45">
        <v>7.8553426134000004</v>
      </c>
      <c r="V890" s="46">
        <v>7.7642402000999997</v>
      </c>
      <c r="W890" s="34" t="s">
        <v>231</v>
      </c>
      <c r="X890" s="34" t="s">
        <v>44</v>
      </c>
      <c r="Y890" s="34" t="s">
        <v>45</v>
      </c>
      <c r="Z890" s="34" t="s">
        <v>65</v>
      </c>
      <c r="AA890" s="34"/>
      <c r="AB890" s="34"/>
      <c r="AC890" s="22">
        <v>0.79084838867187501</v>
      </c>
      <c r="AD890" s="23" t="s">
        <v>3443</v>
      </c>
      <c r="AE890" s="24">
        <v>1.9589041095890412</v>
      </c>
      <c r="AF890" s="25">
        <v>0.19733373313276537</v>
      </c>
      <c r="AG890" s="26">
        <v>0.10390496102317437</v>
      </c>
      <c r="AH890" s="26">
        <v>8.31744858865575E-2</v>
      </c>
      <c r="AI890" s="27">
        <v>0.77082470318889984</v>
      </c>
      <c r="AJ890" s="27">
        <v>0.41475546716304357</v>
      </c>
      <c r="AK890" s="27">
        <v>0.37948789944581007</v>
      </c>
      <c r="AL890" s="28" t="s">
        <v>3444</v>
      </c>
      <c r="AM890" s="29">
        <v>2</v>
      </c>
      <c r="AN890" s="29">
        <v>1</v>
      </c>
      <c r="AO890" s="29" t="s">
        <v>48</v>
      </c>
      <c r="AP890" s="47" t="s">
        <v>2368</v>
      </c>
      <c r="AQ890" s="28">
        <v>0</v>
      </c>
      <c r="AR890" s="26">
        <v>1.4999999999999999E-2</v>
      </c>
      <c r="AS890" s="26">
        <v>0</v>
      </c>
    </row>
    <row r="891" spans="1:45" x14ac:dyDescent="0.15">
      <c r="A891" s="64">
        <v>66</v>
      </c>
      <c r="B891" s="64">
        <v>780</v>
      </c>
      <c r="C891" s="11">
        <v>2669</v>
      </c>
      <c r="D891" s="61">
        <v>781</v>
      </c>
      <c r="E891" s="61">
        <v>-3.7032190349293001E-3</v>
      </c>
      <c r="F891" s="61">
        <v>38</v>
      </c>
      <c r="G891" s="61">
        <v>3.1852641400915503E-2</v>
      </c>
      <c r="H891" s="66">
        <v>405</v>
      </c>
      <c r="I891" s="66" t="str">
        <f>H891&amp;"/"&amp;451</f>
        <v>405/451</v>
      </c>
      <c r="J891" s="68">
        <f>H891/451</f>
        <v>0.89800443458980039</v>
      </c>
      <c r="K891" s="18" t="s">
        <v>44</v>
      </c>
      <c r="L891" s="18" t="s">
        <v>45</v>
      </c>
      <c r="M891" s="58" t="s">
        <v>65</v>
      </c>
      <c r="N891" s="18">
        <f>[1]!f_prt_stocktonav(C891,"2017/03/31")</f>
        <v>77.263832092285156</v>
      </c>
      <c r="O891" s="20" t="str">
        <f>[1]!f_info_fundmanager(C891)</f>
        <v>赵媛媛</v>
      </c>
      <c r="P891" s="21">
        <v>0.75616438356164384</v>
      </c>
      <c r="Q891" s="34" t="s">
        <v>385</v>
      </c>
      <c r="R891" s="34" t="s">
        <v>386</v>
      </c>
      <c r="S891" s="34" t="s">
        <v>387</v>
      </c>
      <c r="T891" s="34">
        <v>20160628</v>
      </c>
      <c r="U891" s="45">
        <v>2.4569689886999999</v>
      </c>
      <c r="V891" s="46">
        <v>2.9860462137999999</v>
      </c>
      <c r="W891" s="34" t="s">
        <v>3776</v>
      </c>
      <c r="X891" s="34" t="s">
        <v>41</v>
      </c>
      <c r="Y891" s="34" t="s">
        <v>42</v>
      </c>
      <c r="Z891" s="34" t="s">
        <v>388</v>
      </c>
      <c r="AA891" s="34"/>
      <c r="AB891" s="34"/>
      <c r="AC891" s="22">
        <v>0.51457561492919923</v>
      </c>
      <c r="AD891" s="23" t="s">
        <v>389</v>
      </c>
      <c r="AE891" s="24">
        <v>0.52602739726027392</v>
      </c>
      <c r="AF891" s="25">
        <v>-4.6309628238397682E-2</v>
      </c>
      <c r="AG891" s="26">
        <v>0</v>
      </c>
      <c r="AH891" s="26">
        <v>0</v>
      </c>
      <c r="AI891" s="27">
        <v>-1.3886965593676781</v>
      </c>
      <c r="AJ891" s="27">
        <v>-1.3886965593676781</v>
      </c>
      <c r="AK891" s="27">
        <v>-1.3886965593676781</v>
      </c>
      <c r="AL891" s="28" t="s">
        <v>390</v>
      </c>
      <c r="AM891" s="29" t="s">
        <v>48</v>
      </c>
      <c r="AN891" s="29" t="s">
        <v>48</v>
      </c>
      <c r="AO891" s="29" t="s">
        <v>48</v>
      </c>
      <c r="AP891" s="47" t="s">
        <v>101</v>
      </c>
      <c r="AQ891" s="28">
        <v>0</v>
      </c>
      <c r="AR891" s="26">
        <v>1.4999999999999999E-2</v>
      </c>
      <c r="AS891" s="26">
        <v>0</v>
      </c>
    </row>
    <row r="892" spans="1:45" x14ac:dyDescent="0.15">
      <c r="A892" s="64">
        <v>420</v>
      </c>
      <c r="B892" s="64">
        <v>693</v>
      </c>
      <c r="C892" s="11">
        <v>689</v>
      </c>
      <c r="D892" s="61">
        <v>784</v>
      </c>
      <c r="E892" s="61">
        <v>-3.7547739760675899E-3</v>
      </c>
      <c r="F892" s="61">
        <v>134</v>
      </c>
      <c r="G892" s="61">
        <v>8.8440000727271095E-2</v>
      </c>
      <c r="H892" s="66">
        <v>406</v>
      </c>
      <c r="I892" s="66" t="str">
        <f>H892&amp;"/"&amp;451</f>
        <v>406/451</v>
      </c>
      <c r="J892" s="68">
        <f>H892/451</f>
        <v>0.90022172949002222</v>
      </c>
      <c r="K892" s="18" t="s">
        <v>44</v>
      </c>
      <c r="L892" s="18" t="s">
        <v>45</v>
      </c>
      <c r="M892" s="58" t="s">
        <v>65</v>
      </c>
      <c r="N892" s="18">
        <f>[1]!f_prt_stocktonav(C892,"2017/03/31")</f>
        <v>80.174064636230469</v>
      </c>
      <c r="O892" s="20" t="str">
        <f>[1]!f_info_fundmanager(C892)</f>
        <v>丁骏</v>
      </c>
      <c r="P892" s="21">
        <v>2.6136986301369864</v>
      </c>
      <c r="Q892" s="34" t="s">
        <v>1805</v>
      </c>
      <c r="R892" s="34" t="s">
        <v>1806</v>
      </c>
      <c r="S892" s="34" t="s">
        <v>78</v>
      </c>
      <c r="T892" s="34">
        <v>20140820</v>
      </c>
      <c r="U892" s="45">
        <v>2.6619930793000002</v>
      </c>
      <c r="V892" s="46">
        <v>2.7442876381999999</v>
      </c>
      <c r="W892" s="34" t="s">
        <v>3789</v>
      </c>
      <c r="X892" s="34" t="s">
        <v>44</v>
      </c>
      <c r="Y892" s="34" t="s">
        <v>45</v>
      </c>
      <c r="Z892" s="34" t="s">
        <v>65</v>
      </c>
      <c r="AA892" s="34"/>
      <c r="AB892" s="34"/>
      <c r="AC892" s="22">
        <v>0.87839996337890625</v>
      </c>
      <c r="AD892" s="23" t="s">
        <v>80</v>
      </c>
      <c r="AE892" s="24">
        <v>2.3835616438356166</v>
      </c>
      <c r="AF892" s="25">
        <v>3.3814732813084447E-2</v>
      </c>
      <c r="AG892" s="26">
        <v>0</v>
      </c>
      <c r="AH892" s="26">
        <v>0</v>
      </c>
      <c r="AI892" s="27">
        <v>0.20284806012255302</v>
      </c>
      <c r="AJ892" s="27">
        <v>0.20284806012255302</v>
      </c>
      <c r="AK892" s="27">
        <v>0.20284806012255302</v>
      </c>
      <c r="AL892" s="28" t="s">
        <v>196</v>
      </c>
      <c r="AM892" s="29" t="s">
        <v>48</v>
      </c>
      <c r="AN892" s="29" t="s">
        <v>48</v>
      </c>
      <c r="AO892" s="29" t="s">
        <v>48</v>
      </c>
      <c r="AP892" s="47" t="s">
        <v>270</v>
      </c>
      <c r="AQ892" s="28">
        <v>0</v>
      </c>
      <c r="AR892" s="26">
        <v>1.4999999999999999E-2</v>
      </c>
      <c r="AS892" s="26">
        <v>0</v>
      </c>
    </row>
    <row r="893" spans="1:45" x14ac:dyDescent="0.15">
      <c r="A893" s="64">
        <v>289</v>
      </c>
      <c r="B893" s="64">
        <v>15</v>
      </c>
      <c r="C893" s="11">
        <v>1268</v>
      </c>
      <c r="D893" s="61">
        <v>785</v>
      </c>
      <c r="E893" s="61">
        <v>-3.7635237436077999E-3</v>
      </c>
      <c r="F893" s="61">
        <v>96</v>
      </c>
      <c r="G893" s="61">
        <v>5.7815583425936699E-2</v>
      </c>
      <c r="H893" s="66">
        <v>407</v>
      </c>
      <c r="I893" s="66" t="str">
        <f>H893&amp;"/"&amp;451</f>
        <v>407/451</v>
      </c>
      <c r="J893" s="68">
        <f>H893/451</f>
        <v>0.90243902439024393</v>
      </c>
      <c r="K893" s="18" t="s">
        <v>44</v>
      </c>
      <c r="L893" s="18" t="s">
        <v>87</v>
      </c>
      <c r="M893" s="58" t="s">
        <v>65</v>
      </c>
      <c r="N893" s="18">
        <f>[1]!f_prt_stocktonav(C893,"2017/03/31")</f>
        <v>94.795387268066406</v>
      </c>
      <c r="O893" s="20" t="str">
        <f>[1]!f_info_fundmanager(C893)</f>
        <v>王海军</v>
      </c>
      <c r="P893" s="21">
        <v>1.8821917808219177</v>
      </c>
      <c r="Q893" s="34" t="s">
        <v>1320</v>
      </c>
      <c r="R893" s="34" t="s">
        <v>1321</v>
      </c>
      <c r="S893" s="34" t="s">
        <v>396</v>
      </c>
      <c r="T893" s="34">
        <v>20150514</v>
      </c>
      <c r="U893" s="45">
        <v>17.8607584003</v>
      </c>
      <c r="V893" s="46">
        <v>20.040976049200001</v>
      </c>
      <c r="W893" s="34" t="s">
        <v>201</v>
      </c>
      <c r="X893" s="34" t="s">
        <v>44</v>
      </c>
      <c r="Y893" s="34" t="s">
        <v>87</v>
      </c>
      <c r="Z893" s="34" t="s">
        <v>65</v>
      </c>
      <c r="AA893" s="34" t="s">
        <v>3804</v>
      </c>
      <c r="AB893" s="34"/>
      <c r="AC893" s="22">
        <v>0.94477554321289059</v>
      </c>
      <c r="AD893" s="23" t="s">
        <v>533</v>
      </c>
      <c r="AE893" s="24">
        <v>1.6520547945205479</v>
      </c>
      <c r="AF893" s="25">
        <v>-0.23844990067354854</v>
      </c>
      <c r="AG893" s="26">
        <v>0</v>
      </c>
      <c r="AH893" s="26">
        <v>0</v>
      </c>
      <c r="AI893" s="27">
        <v>-0.52162745607943084</v>
      </c>
      <c r="AJ893" s="27">
        <v>-0.52162745607943084</v>
      </c>
      <c r="AK893" s="27">
        <v>-0.52162745607943084</v>
      </c>
      <c r="AL893" s="33" t="s">
        <v>1103</v>
      </c>
      <c r="AM893" s="29" t="s">
        <v>48</v>
      </c>
      <c r="AN893" s="29" t="s">
        <v>48</v>
      </c>
      <c r="AO893" s="29" t="s">
        <v>48</v>
      </c>
      <c r="AP893" s="47" t="s">
        <v>1322</v>
      </c>
      <c r="AQ893" s="28" t="s">
        <v>608</v>
      </c>
      <c r="AR893" s="26">
        <v>1.4999999999999999E-2</v>
      </c>
      <c r="AS893" s="26">
        <v>0</v>
      </c>
    </row>
    <row r="894" spans="1:45" x14ac:dyDescent="0.15">
      <c r="A894" s="64">
        <v>910</v>
      </c>
      <c r="B894" s="64">
        <v>391</v>
      </c>
      <c r="C894" s="11">
        <v>360001</v>
      </c>
      <c r="D894" s="61">
        <v>789</v>
      </c>
      <c r="E894" s="61">
        <v>-3.8105879987086299E-3</v>
      </c>
      <c r="F894" s="61">
        <v>161</v>
      </c>
      <c r="G894" s="61">
        <v>1.3030084384758101E-8</v>
      </c>
      <c r="H894" s="66">
        <v>408</v>
      </c>
      <c r="I894" s="66" t="str">
        <f>H894&amp;"/"&amp;451</f>
        <v>408/451</v>
      </c>
      <c r="J894" s="68">
        <f>H894/451</f>
        <v>0.90465631929046564</v>
      </c>
      <c r="K894" s="18" t="s">
        <v>44</v>
      </c>
      <c r="L894" s="18" t="s">
        <v>64</v>
      </c>
      <c r="M894" s="58" t="s">
        <v>65</v>
      </c>
      <c r="N894" s="18">
        <f>[1]!f_prt_stocktonav(C894,"2017/03/31")</f>
        <v>87.678955078125</v>
      </c>
      <c r="O894" s="20" t="str">
        <f>[1]!f_info_fundmanager(C894)</f>
        <v>田大伟,赵大年,翟云飞,盛松</v>
      </c>
      <c r="P894" s="21">
        <v>3.095890410958904</v>
      </c>
      <c r="Q894" s="34" t="s">
        <v>3533</v>
      </c>
      <c r="R894" s="34" t="s">
        <v>3534</v>
      </c>
      <c r="S894" s="34" t="s">
        <v>634</v>
      </c>
      <c r="T894" s="34">
        <v>20040827</v>
      </c>
      <c r="U894" s="45">
        <v>33.879743663500001</v>
      </c>
      <c r="V894" s="46">
        <v>33.533930051299997</v>
      </c>
      <c r="W894" s="34" t="s">
        <v>231</v>
      </c>
      <c r="X894" s="34" t="s">
        <v>44</v>
      </c>
      <c r="Y894" s="34" t="s">
        <v>64</v>
      </c>
      <c r="Z894" s="34" t="s">
        <v>65</v>
      </c>
      <c r="AA894" s="34"/>
      <c r="AB894" s="34"/>
      <c r="AC894" s="22">
        <v>0.88064598083496093</v>
      </c>
      <c r="AD894" s="23" t="s">
        <v>3535</v>
      </c>
      <c r="AE894" s="24">
        <v>2.8657534246575342</v>
      </c>
      <c r="AF894" s="25">
        <v>0.13763185717766446</v>
      </c>
      <c r="AG894" s="26">
        <v>0.17888367014387049</v>
      </c>
      <c r="AH894" s="26">
        <v>0.14943865472645457</v>
      </c>
      <c r="AI894" s="27">
        <v>0.55284325394280143</v>
      </c>
      <c r="AJ894" s="27">
        <v>0.68283028969321968</v>
      </c>
      <c r="AK894" s="27">
        <v>0.62485772811147999</v>
      </c>
      <c r="AL894" s="28" t="s">
        <v>2842</v>
      </c>
      <c r="AM894" s="29">
        <v>3</v>
      </c>
      <c r="AN894" s="29">
        <v>3</v>
      </c>
      <c r="AO894" s="29" t="s">
        <v>48</v>
      </c>
      <c r="AP894" s="47" t="s">
        <v>3536</v>
      </c>
      <c r="AQ894" s="28">
        <v>0</v>
      </c>
      <c r="AR894" s="26">
        <v>1.4999999999999999E-2</v>
      </c>
      <c r="AS894" s="26">
        <v>0</v>
      </c>
    </row>
    <row r="895" spans="1:45" x14ac:dyDescent="0.15">
      <c r="A895" s="64">
        <v>457</v>
      </c>
      <c r="B895" s="64">
        <v>137</v>
      </c>
      <c r="C895" s="11">
        <v>574</v>
      </c>
      <c r="D895" s="61">
        <v>791</v>
      </c>
      <c r="E895" s="61">
        <v>-3.84135969910839E-3</v>
      </c>
      <c r="F895" s="61">
        <v>13</v>
      </c>
      <c r="G895" s="61">
        <v>9.7274258702650801E-2</v>
      </c>
      <c r="H895" s="66">
        <v>409</v>
      </c>
      <c r="I895" s="66" t="str">
        <f>H895&amp;"/"&amp;451</f>
        <v>409/451</v>
      </c>
      <c r="J895" s="68">
        <f>H895/451</f>
        <v>0.90687361419068735</v>
      </c>
      <c r="K895" s="18" t="s">
        <v>44</v>
      </c>
      <c r="L895" s="18" t="s">
        <v>45</v>
      </c>
      <c r="M895" s="58" t="s">
        <v>65</v>
      </c>
      <c r="N895" s="18">
        <f>[1]!f_prt_stocktonav(C895,"2017/03/31")</f>
        <v>92.944366455078125</v>
      </c>
      <c r="O895" s="20" t="str">
        <f>[1]!f_info_fundmanager(C895)</f>
        <v>段鹏程</v>
      </c>
      <c r="P895" s="21">
        <v>0.23561643835616439</v>
      </c>
      <c r="Q895" s="34" t="s">
        <v>1943</v>
      </c>
      <c r="R895" s="34" t="s">
        <v>1944</v>
      </c>
      <c r="S895" s="34" t="s">
        <v>402</v>
      </c>
      <c r="T895" s="34">
        <v>20140410</v>
      </c>
      <c r="U895" s="45">
        <v>23.9469418732</v>
      </c>
      <c r="V895" s="46">
        <v>28.556680477699999</v>
      </c>
      <c r="W895" s="34" t="s">
        <v>3776</v>
      </c>
      <c r="X895" s="34" t="s">
        <v>44</v>
      </c>
      <c r="Y895" s="34" t="s">
        <v>45</v>
      </c>
      <c r="Z895" s="34" t="s">
        <v>65</v>
      </c>
      <c r="AA895" s="34"/>
      <c r="AB895" s="34"/>
      <c r="AC895" s="22">
        <v>0.94682685852050785</v>
      </c>
      <c r="AD895" s="23" t="s">
        <v>832</v>
      </c>
      <c r="AE895" s="24">
        <v>5.4794520547945206E-3</v>
      </c>
      <c r="AF895" s="25">
        <v>0.31206059871779845</v>
      </c>
      <c r="AG895" s="26">
        <v>0</v>
      </c>
      <c r="AH895" s="26">
        <v>0</v>
      </c>
      <c r="AI895" s="27">
        <v>0.83113343011816676</v>
      </c>
      <c r="AJ895" s="27">
        <v>0.83113343011816676</v>
      </c>
      <c r="AK895" s="27">
        <v>0.83113343011816676</v>
      </c>
      <c r="AL895" s="28" t="s">
        <v>874</v>
      </c>
      <c r="AM895" s="29" t="s">
        <v>48</v>
      </c>
      <c r="AN895" s="29" t="s">
        <v>48</v>
      </c>
      <c r="AO895" s="29" t="s">
        <v>48</v>
      </c>
      <c r="AP895" s="47" t="s">
        <v>715</v>
      </c>
      <c r="AQ895" s="28">
        <v>0</v>
      </c>
      <c r="AR895" s="26">
        <v>1.4999999999999999E-2</v>
      </c>
      <c r="AS895" s="26">
        <v>0</v>
      </c>
    </row>
    <row r="896" spans="1:45" x14ac:dyDescent="0.15">
      <c r="A896" s="64">
        <v>872</v>
      </c>
      <c r="B896" s="64">
        <v>342</v>
      </c>
      <c r="C896" s="11">
        <v>163803</v>
      </c>
      <c r="D896" s="61">
        <v>797</v>
      </c>
      <c r="E896" s="61">
        <v>-3.8813408022038099E-3</v>
      </c>
      <c r="F896" s="61">
        <v>186</v>
      </c>
      <c r="G896" s="61">
        <v>7.5234822527499396E-3</v>
      </c>
      <c r="H896" s="66">
        <v>410</v>
      </c>
      <c r="I896" s="66" t="str">
        <f>H896&amp;"/"&amp;451</f>
        <v>410/451</v>
      </c>
      <c r="J896" s="68">
        <f>H896/451</f>
        <v>0.90909090909090906</v>
      </c>
      <c r="K896" s="18" t="s">
        <v>44</v>
      </c>
      <c r="L896" s="18" t="s">
        <v>45</v>
      </c>
      <c r="M896" s="58" t="s">
        <v>65</v>
      </c>
      <c r="N896" s="18">
        <f>[1]!f_prt_stocktonav(C896,"2017/03/31")</f>
        <v>88.65655517578125</v>
      </c>
      <c r="O896" s="20" t="str">
        <f>[1]!f_info_fundmanager(C896)</f>
        <v>辜岚</v>
      </c>
      <c r="P896" s="21">
        <v>3.5726027397260274</v>
      </c>
      <c r="Q896" s="34" t="s">
        <v>3387</v>
      </c>
      <c r="R896" s="34" t="s">
        <v>3388</v>
      </c>
      <c r="S896" s="34" t="s">
        <v>71</v>
      </c>
      <c r="T896" s="34">
        <v>20060317</v>
      </c>
      <c r="U896" s="45">
        <v>21.1316932778</v>
      </c>
      <c r="V896" s="46">
        <v>22.2042305455</v>
      </c>
      <c r="W896" s="34" t="s">
        <v>231</v>
      </c>
      <c r="X896" s="34" t="s">
        <v>44</v>
      </c>
      <c r="Y896" s="34" t="s">
        <v>45</v>
      </c>
      <c r="Z896" s="34" t="s">
        <v>65</v>
      </c>
      <c r="AA896" s="34"/>
      <c r="AB896" s="34"/>
      <c r="AC896" s="22">
        <v>0.82199661254882816</v>
      </c>
      <c r="AD896" s="23" t="s">
        <v>1449</v>
      </c>
      <c r="AE896" s="24">
        <v>3.3424657534246576</v>
      </c>
      <c r="AF896" s="25">
        <v>0.1429344530039578</v>
      </c>
      <c r="AG896" s="26">
        <v>0.1107570891750347</v>
      </c>
      <c r="AH896" s="26">
        <v>0.10259483739774167</v>
      </c>
      <c r="AI896" s="27">
        <v>0.5754259746710122</v>
      </c>
      <c r="AJ896" s="27">
        <v>0.41359225891008161</v>
      </c>
      <c r="AK896" s="27">
        <v>0.43716670458386558</v>
      </c>
      <c r="AL896" s="28" t="s">
        <v>3389</v>
      </c>
      <c r="AM896" s="29">
        <v>2</v>
      </c>
      <c r="AN896" s="29">
        <v>3</v>
      </c>
      <c r="AO896" s="29" t="s">
        <v>48</v>
      </c>
      <c r="AP896" s="47" t="s">
        <v>3390</v>
      </c>
      <c r="AQ896" s="28">
        <v>0</v>
      </c>
      <c r="AR896" s="26">
        <v>1.4999999999999999E-2</v>
      </c>
      <c r="AS896" s="26">
        <v>0</v>
      </c>
    </row>
    <row r="897" spans="1:45" x14ac:dyDescent="0.15">
      <c r="A897" s="64">
        <v>339</v>
      </c>
      <c r="B897" s="64">
        <v>320</v>
      </c>
      <c r="C897" s="11">
        <v>1054</v>
      </c>
      <c r="D897" s="61">
        <v>800</v>
      </c>
      <c r="E897" s="61">
        <v>-3.9030792009460201E-3</v>
      </c>
      <c r="F897" s="61">
        <v>104</v>
      </c>
      <c r="G897" s="61">
        <v>3.8842389801716101E-2</v>
      </c>
      <c r="H897" s="66">
        <v>411</v>
      </c>
      <c r="I897" s="66" t="str">
        <f>H897&amp;"/"&amp;451</f>
        <v>411/451</v>
      </c>
      <c r="J897" s="68">
        <f>H897/451</f>
        <v>0.91130820399113077</v>
      </c>
      <c r="K897" s="18" t="s">
        <v>44</v>
      </c>
      <c r="L897" s="18" t="s">
        <v>45</v>
      </c>
      <c r="M897" s="58" t="s">
        <v>65</v>
      </c>
      <c r="N897" s="18">
        <f>[1]!f_prt_stocktonav(C897,"2017/03/31")</f>
        <v>89.063919067382813</v>
      </c>
      <c r="O897" s="20" t="str">
        <f>[1]!f_info_fundmanager(C897)</f>
        <v>王君正,鄢耀</v>
      </c>
      <c r="P897" s="21">
        <v>2.0356164383561643</v>
      </c>
      <c r="Q897" s="34" t="s">
        <v>1503</v>
      </c>
      <c r="R897" s="34" t="s">
        <v>1504</v>
      </c>
      <c r="S897" s="34" t="s">
        <v>523</v>
      </c>
      <c r="T897" s="34">
        <v>20150319</v>
      </c>
      <c r="U897" s="45">
        <v>17.629087424400002</v>
      </c>
      <c r="V897" s="46">
        <v>17.836644733899998</v>
      </c>
      <c r="W897" s="34" t="s">
        <v>201</v>
      </c>
      <c r="X897" s="34" t="s">
        <v>44</v>
      </c>
      <c r="Y897" s="34" t="s">
        <v>45</v>
      </c>
      <c r="Z897" s="34" t="s">
        <v>65</v>
      </c>
      <c r="AA897" s="34"/>
      <c r="AB897" s="34"/>
      <c r="AC897" s="22">
        <v>0.88702156066894533</v>
      </c>
      <c r="AD897" s="23" t="s">
        <v>1505</v>
      </c>
      <c r="AE897" s="24">
        <v>1.8054794520547945</v>
      </c>
      <c r="AF897" s="25">
        <v>-2.7650355488980538E-2</v>
      </c>
      <c r="AG897" s="26">
        <v>0</v>
      </c>
      <c r="AH897" s="26">
        <v>0</v>
      </c>
      <c r="AI897" s="27">
        <v>6.2643034343620008E-2</v>
      </c>
      <c r="AJ897" s="27">
        <v>6.2643034343620008E-2</v>
      </c>
      <c r="AK897" s="27">
        <v>6.2643034343620008E-2</v>
      </c>
      <c r="AL897" s="28" t="s">
        <v>167</v>
      </c>
      <c r="AM897" s="29" t="s">
        <v>48</v>
      </c>
      <c r="AN897" s="29" t="s">
        <v>48</v>
      </c>
      <c r="AO897" s="29" t="s">
        <v>48</v>
      </c>
      <c r="AP897" s="47" t="s">
        <v>255</v>
      </c>
      <c r="AQ897" s="28">
        <v>0</v>
      </c>
      <c r="AR897" s="26">
        <v>1.4999999999999999E-2</v>
      </c>
      <c r="AS897" s="26">
        <v>0</v>
      </c>
    </row>
    <row r="898" spans="1:45" x14ac:dyDescent="0.15">
      <c r="A898" s="64">
        <v>338</v>
      </c>
      <c r="B898" s="64">
        <v>225</v>
      </c>
      <c r="C898" s="11">
        <v>400032</v>
      </c>
      <c r="D898" s="61">
        <v>801</v>
      </c>
      <c r="E898" s="61">
        <v>-3.9218417468428E-3</v>
      </c>
      <c r="F898" s="61">
        <v>22</v>
      </c>
      <c r="G898" s="61">
        <v>7.3048228988251293E-2</v>
      </c>
      <c r="H898" s="66">
        <v>412</v>
      </c>
      <c r="I898" s="66" t="str">
        <f>H898&amp;"/"&amp;451</f>
        <v>412/451</v>
      </c>
      <c r="J898" s="68">
        <f>H898/451</f>
        <v>0.91352549889135259</v>
      </c>
      <c r="K898" s="18" t="s">
        <v>44</v>
      </c>
      <c r="L898" s="18" t="s">
        <v>87</v>
      </c>
      <c r="M898" s="58" t="s">
        <v>65</v>
      </c>
      <c r="N898" s="18">
        <f>[1]!f_prt_stocktonav(C898,"2017/03/31")</f>
        <v>91.270195007324219</v>
      </c>
      <c r="O898" s="20" t="str">
        <f>[1]!f_info_fundmanager(C898)</f>
        <v>王晓伟</v>
      </c>
      <c r="P898" s="21">
        <v>0.40821917808219177</v>
      </c>
      <c r="Q898" s="34" t="s">
        <v>1500</v>
      </c>
      <c r="R898" s="34" t="s">
        <v>1501</v>
      </c>
      <c r="S898" s="34" t="s">
        <v>252</v>
      </c>
      <c r="T898" s="34">
        <v>20150323</v>
      </c>
      <c r="U898" s="45">
        <v>1.9237885446</v>
      </c>
      <c r="V898" s="46">
        <v>2.1224926906000001</v>
      </c>
      <c r="W898" s="34" t="s">
        <v>1235</v>
      </c>
      <c r="X898" s="34" t="s">
        <v>44</v>
      </c>
      <c r="Y898" s="34" t="s">
        <v>45</v>
      </c>
      <c r="Z898" s="34" t="s">
        <v>274</v>
      </c>
      <c r="AA898" s="34"/>
      <c r="AB898" s="34"/>
      <c r="AC898" s="22">
        <v>0.71562377929687504</v>
      </c>
      <c r="AD898" s="23" t="s">
        <v>1502</v>
      </c>
      <c r="AE898" s="24">
        <v>1.5232876712328767</v>
      </c>
      <c r="AF898" s="25">
        <v>-0.13681921144008313</v>
      </c>
      <c r="AG898" s="26">
        <v>0</v>
      </c>
      <c r="AH898" s="26">
        <v>0</v>
      </c>
      <c r="AI898" s="27">
        <v>-0.20354448755783339</v>
      </c>
      <c r="AJ898" s="27">
        <v>-0.20354448755783339</v>
      </c>
      <c r="AK898" s="27">
        <v>-0.20354448755783339</v>
      </c>
      <c r="AL898" s="28" t="s">
        <v>254</v>
      </c>
      <c r="AM898" s="29" t="s">
        <v>48</v>
      </c>
      <c r="AN898" s="29" t="s">
        <v>48</v>
      </c>
      <c r="AO898" s="29" t="s">
        <v>48</v>
      </c>
      <c r="AP898" s="47" t="s">
        <v>209</v>
      </c>
      <c r="AQ898" s="28">
        <v>0</v>
      </c>
      <c r="AR898" s="26">
        <v>1.4999999999999999E-2</v>
      </c>
      <c r="AS898" s="26">
        <v>0</v>
      </c>
    </row>
    <row r="899" spans="1:45" x14ac:dyDescent="0.15">
      <c r="A899" s="64">
        <v>251</v>
      </c>
      <c r="B899" s="64">
        <v>281</v>
      </c>
      <c r="C899" s="11">
        <v>1305</v>
      </c>
      <c r="D899" s="61">
        <v>808</v>
      </c>
      <c r="E899" s="61">
        <v>-4.0344550600595504E-3</v>
      </c>
      <c r="F899" s="61">
        <v>69</v>
      </c>
      <c r="G899" s="61">
        <v>8.8208098922879803E-3</v>
      </c>
      <c r="H899" s="66">
        <v>413</v>
      </c>
      <c r="I899" s="66" t="str">
        <f>H899&amp;"/"&amp;451</f>
        <v>413/451</v>
      </c>
      <c r="J899" s="68">
        <f>H899/451</f>
        <v>0.91574279379157431</v>
      </c>
      <c r="K899" s="18" t="s">
        <v>44</v>
      </c>
      <c r="L899" s="18" t="s">
        <v>45</v>
      </c>
      <c r="M899" s="58" t="s">
        <v>65</v>
      </c>
      <c r="N899" s="18">
        <f>[1]!f_prt_stocktonav(C899,"2017/03/31")</f>
        <v>89.79180908203125</v>
      </c>
      <c r="O899" s="20" t="str">
        <f>[1]!f_info_fundmanager(C899)</f>
        <v>吴祖尧,孟亚强</v>
      </c>
      <c r="P899" s="21">
        <v>1.3095890410958904</v>
      </c>
      <c r="Q899" s="34" t="s">
        <v>1160</v>
      </c>
      <c r="R899" s="34" t="s">
        <v>1161</v>
      </c>
      <c r="S899" s="34" t="s">
        <v>640</v>
      </c>
      <c r="T899" s="34">
        <v>20150610</v>
      </c>
      <c r="U899" s="45">
        <v>9.6587237949000002</v>
      </c>
      <c r="V899" s="46">
        <v>11.478594510500001</v>
      </c>
      <c r="W899" s="34" t="s">
        <v>3789</v>
      </c>
      <c r="X899" s="34" t="s">
        <v>44</v>
      </c>
      <c r="Y899" s="34" t="s">
        <v>45</v>
      </c>
      <c r="Z899" s="34" t="s">
        <v>817</v>
      </c>
      <c r="AA899" s="34"/>
      <c r="AB899" s="34"/>
      <c r="AC899" s="22">
        <v>0.90912643432617191</v>
      </c>
      <c r="AD899" s="23" t="s">
        <v>1162</v>
      </c>
      <c r="AE899" s="24">
        <v>1.0794520547945206</v>
      </c>
      <c r="AF899" s="25">
        <v>-0.23474770094204944</v>
      </c>
      <c r="AG899" s="26">
        <v>0</v>
      </c>
      <c r="AH899" s="26">
        <v>0</v>
      </c>
      <c r="AI899" s="27">
        <v>-1.2475132017170651</v>
      </c>
      <c r="AJ899" s="27">
        <v>-1.2475132017170651</v>
      </c>
      <c r="AK899" s="27">
        <v>-1.2475132017170651</v>
      </c>
      <c r="AL899" s="28" t="s">
        <v>678</v>
      </c>
      <c r="AM899" s="29" t="s">
        <v>48</v>
      </c>
      <c r="AN899" s="29" t="s">
        <v>48</v>
      </c>
      <c r="AO899" s="29" t="s">
        <v>48</v>
      </c>
      <c r="AP899" s="47" t="s">
        <v>643</v>
      </c>
      <c r="AQ899" s="28">
        <v>0</v>
      </c>
      <c r="AR899" s="26">
        <v>1.4999999999999999E-2</v>
      </c>
      <c r="AS899" s="26">
        <v>0</v>
      </c>
    </row>
    <row r="900" spans="1:45" x14ac:dyDescent="0.15">
      <c r="A900" s="64">
        <v>63</v>
      </c>
      <c r="B900" s="64">
        <v>472</v>
      </c>
      <c r="C900" s="11">
        <v>2849</v>
      </c>
      <c r="D900" s="61">
        <v>809</v>
      </c>
      <c r="E900" s="61">
        <v>-4.0409609470674398E-3</v>
      </c>
      <c r="F900" s="61">
        <v>38</v>
      </c>
      <c r="G900" s="61">
        <v>6.5158784177125903E-3</v>
      </c>
      <c r="H900" s="66">
        <v>414</v>
      </c>
      <c r="I900" s="66" t="str">
        <f>H900&amp;"/"&amp;451</f>
        <v>414/451</v>
      </c>
      <c r="J900" s="68">
        <f>H900/451</f>
        <v>0.91796008869179602</v>
      </c>
      <c r="K900" s="18" t="s">
        <v>44</v>
      </c>
      <c r="L900" s="18" t="s">
        <v>45</v>
      </c>
      <c r="M900" s="58" t="s">
        <v>65</v>
      </c>
      <c r="N900" s="18">
        <f>[1]!f_prt_stocktonav(C900,"2017/03/31")</f>
        <v>85.804527282714844</v>
      </c>
      <c r="O900" s="20" t="str">
        <f>[1]!f_info_fundmanager(C900)</f>
        <v>刘榕俊</v>
      </c>
      <c r="P900" s="21">
        <v>0.74794520547945209</v>
      </c>
      <c r="Q900" s="34" t="s">
        <v>370</v>
      </c>
      <c r="R900" s="34" t="s">
        <v>371</v>
      </c>
      <c r="S900" s="34" t="s">
        <v>372</v>
      </c>
      <c r="T900" s="34">
        <v>20160701</v>
      </c>
      <c r="U900" s="45">
        <v>0.19043238649999999</v>
      </c>
      <c r="V900" s="46">
        <v>0.20187749969999999</v>
      </c>
      <c r="W900" s="34" t="s">
        <v>201</v>
      </c>
      <c r="X900" s="34" t="s">
        <v>41</v>
      </c>
      <c r="Y900" s="34" t="s">
        <v>42</v>
      </c>
      <c r="Z900" s="34" t="s">
        <v>181</v>
      </c>
      <c r="AA900" s="34"/>
      <c r="AB900" s="34"/>
      <c r="AC900" s="22">
        <v>0.69726242065429689</v>
      </c>
      <c r="AD900" s="23" t="s">
        <v>373</v>
      </c>
      <c r="AE900" s="24">
        <v>0.51780821917808217</v>
      </c>
      <c r="AF900" s="25">
        <v>-9.863003125907055E-2</v>
      </c>
      <c r="AG900" s="26">
        <v>0</v>
      </c>
      <c r="AH900" s="26">
        <v>0</v>
      </c>
      <c r="AI900" s="27">
        <v>-1.4438658150679482</v>
      </c>
      <c r="AJ900" s="27">
        <v>-1.4438658150679482</v>
      </c>
      <c r="AK900" s="27">
        <v>-1.4438658150679482</v>
      </c>
      <c r="AL900" s="28" t="s">
        <v>374</v>
      </c>
      <c r="AM900" s="29" t="s">
        <v>48</v>
      </c>
      <c r="AN900" s="29" t="s">
        <v>48</v>
      </c>
      <c r="AO900" s="29" t="s">
        <v>48</v>
      </c>
      <c r="AP900" s="47" t="s">
        <v>375</v>
      </c>
      <c r="AQ900" s="28">
        <v>0</v>
      </c>
      <c r="AR900" s="26">
        <v>1.4999999999999999E-2</v>
      </c>
      <c r="AS900" s="26">
        <v>0</v>
      </c>
    </row>
    <row r="901" spans="1:45" x14ac:dyDescent="0.15">
      <c r="A901" s="64">
        <v>543</v>
      </c>
      <c r="B901" s="64">
        <v>608</v>
      </c>
      <c r="C901" s="11">
        <v>240022</v>
      </c>
      <c r="D901" s="61">
        <v>810</v>
      </c>
      <c r="E901" s="61">
        <v>-4.0942031874795703E-3</v>
      </c>
      <c r="F901" s="61">
        <v>236</v>
      </c>
      <c r="G901" s="61">
        <v>5.7515132079924002E-4</v>
      </c>
      <c r="H901" s="66">
        <v>415</v>
      </c>
      <c r="I901" s="66" t="str">
        <f>H901&amp;"/"&amp;451</f>
        <v>415/451</v>
      </c>
      <c r="J901" s="68">
        <f>H901/451</f>
        <v>0.92017738359201773</v>
      </c>
      <c r="K901" s="18" t="s">
        <v>44</v>
      </c>
      <c r="L901" s="18" t="s">
        <v>87</v>
      </c>
      <c r="M901" s="58" t="s">
        <v>65</v>
      </c>
      <c r="N901" s="18">
        <f>[1]!f_prt_stocktonav(C901,"2017/03/31")</f>
        <v>82.7166748046875</v>
      </c>
      <c r="O901" s="20" t="str">
        <f>[1]!f_info_fundmanager(C901)</f>
        <v>蔡目荣</v>
      </c>
      <c r="P901" s="21">
        <v>4.6109589041095891</v>
      </c>
      <c r="Q901" s="34" t="s">
        <v>2253</v>
      </c>
      <c r="R901" s="34" t="s">
        <v>2254</v>
      </c>
      <c r="S901" s="34" t="s">
        <v>737</v>
      </c>
      <c r="T901" s="34">
        <v>20120821</v>
      </c>
      <c r="U901" s="45">
        <v>3.9668527392000001</v>
      </c>
      <c r="V901" s="46">
        <v>2.7566839822000002</v>
      </c>
      <c r="W901" s="34" t="s">
        <v>1235</v>
      </c>
      <c r="X901" s="34" t="s">
        <v>44</v>
      </c>
      <c r="Y901" s="34" t="s">
        <v>45</v>
      </c>
      <c r="Z901" s="34" t="s">
        <v>65</v>
      </c>
      <c r="AA901" s="34"/>
      <c r="AB901" s="34"/>
      <c r="AC901" s="22">
        <v>0.81173568725585943</v>
      </c>
      <c r="AD901" s="23" t="s">
        <v>2255</v>
      </c>
      <c r="AE901" s="24">
        <v>4.3808219178082188</v>
      </c>
      <c r="AF901" s="25">
        <v>5.1652052267971538E-2</v>
      </c>
      <c r="AG901" s="26">
        <v>0.17914754198177074</v>
      </c>
      <c r="AH901" s="26">
        <v>0</v>
      </c>
      <c r="AI901" s="27">
        <v>0.26812959498226052</v>
      </c>
      <c r="AJ901" s="27">
        <v>0.70747161904887856</v>
      </c>
      <c r="AK901" s="27">
        <v>0.26812959498226052</v>
      </c>
      <c r="AL901" s="28" t="s">
        <v>2256</v>
      </c>
      <c r="AM901" s="29">
        <v>1</v>
      </c>
      <c r="AN901" s="29">
        <v>2</v>
      </c>
      <c r="AO901" s="29" t="s">
        <v>48</v>
      </c>
      <c r="AP901" s="47" t="s">
        <v>739</v>
      </c>
      <c r="AQ901" s="28">
        <v>0</v>
      </c>
      <c r="AR901" s="26">
        <v>1.4999999999999999E-2</v>
      </c>
      <c r="AS901" s="26">
        <v>0</v>
      </c>
    </row>
    <row r="902" spans="1:45" x14ac:dyDescent="0.15">
      <c r="A902" s="64">
        <v>563</v>
      </c>
      <c r="B902" s="64">
        <v>2</v>
      </c>
      <c r="C902" s="11">
        <v>450011</v>
      </c>
      <c r="D902" s="61">
        <v>814</v>
      </c>
      <c r="E902" s="61">
        <v>-4.1178920366465501E-3</v>
      </c>
      <c r="F902" s="61">
        <v>249</v>
      </c>
      <c r="G902" s="61">
        <v>2.0889661351961501E-3</v>
      </c>
      <c r="H902" s="66">
        <v>416</v>
      </c>
      <c r="I902" s="66" t="str">
        <f>H902&amp;"/"&amp;451</f>
        <v>416/451</v>
      </c>
      <c r="J902" s="68">
        <f>H902/451</f>
        <v>0.92239467849223944</v>
      </c>
      <c r="K902" s="18" t="s">
        <v>44</v>
      </c>
      <c r="L902" s="18" t="s">
        <v>45</v>
      </c>
      <c r="M902" s="58" t="s">
        <v>65</v>
      </c>
      <c r="N902" s="18">
        <f>[1]!f_prt_stocktonav(C902,"2017/03/31")</f>
        <v>95.329002380371094</v>
      </c>
      <c r="O902" s="20" t="str">
        <f>[1]!f_info_fundmanager(C902)</f>
        <v>徐荔蓉</v>
      </c>
      <c r="P902" s="21">
        <v>4.86027397260274</v>
      </c>
      <c r="Q902" s="34" t="s">
        <v>2322</v>
      </c>
      <c r="R902" s="34" t="s">
        <v>2323</v>
      </c>
      <c r="S902" s="34" t="s">
        <v>742</v>
      </c>
      <c r="T902" s="34">
        <v>20120522</v>
      </c>
      <c r="U902" s="45">
        <v>0.60876437689999996</v>
      </c>
      <c r="V902" s="46">
        <v>0.67841204479999995</v>
      </c>
      <c r="W902" s="34" t="s">
        <v>3789</v>
      </c>
      <c r="X902" s="34" t="s">
        <v>44</v>
      </c>
      <c r="Y902" s="34" t="s">
        <v>45</v>
      </c>
      <c r="Z902" s="34" t="s">
        <v>65</v>
      </c>
      <c r="AA902" s="34"/>
      <c r="AB902" s="34"/>
      <c r="AC902" s="22">
        <v>0.94316772460937504</v>
      </c>
      <c r="AD902" s="23" t="s">
        <v>2324</v>
      </c>
      <c r="AE902" s="24">
        <v>4.6301369863013697</v>
      </c>
      <c r="AF902" s="25">
        <v>5.0975380023187133E-2</v>
      </c>
      <c r="AG902" s="26">
        <v>4.2290695197117367E-2</v>
      </c>
      <c r="AH902" s="26">
        <v>0</v>
      </c>
      <c r="AI902" s="27">
        <v>0.28270166563068977</v>
      </c>
      <c r="AJ902" s="27">
        <v>0.29620890753394424</v>
      </c>
      <c r="AK902" s="27">
        <v>0.28270166563068977</v>
      </c>
      <c r="AL902" s="28" t="s">
        <v>2325</v>
      </c>
      <c r="AM902" s="29">
        <v>1</v>
      </c>
      <c r="AN902" s="29">
        <v>3</v>
      </c>
      <c r="AO902" s="29" t="s">
        <v>48</v>
      </c>
      <c r="AP902" s="47" t="s">
        <v>249</v>
      </c>
      <c r="AQ902" s="28">
        <v>0</v>
      </c>
      <c r="AR902" s="26">
        <v>1.4999999999999999E-2</v>
      </c>
      <c r="AS902" s="26">
        <v>0</v>
      </c>
    </row>
    <row r="903" spans="1:45" x14ac:dyDescent="0.15">
      <c r="A903" s="64">
        <v>824</v>
      </c>
      <c r="B903" s="64">
        <v>478</v>
      </c>
      <c r="C903" s="11">
        <v>213003</v>
      </c>
      <c r="D903" s="61">
        <v>824</v>
      </c>
      <c r="E903" s="61">
        <v>-4.2331271330252104E-3</v>
      </c>
      <c r="F903" s="61">
        <v>24</v>
      </c>
      <c r="G903" s="61">
        <v>2.2794028132417699E-2</v>
      </c>
      <c r="H903" s="66">
        <v>417</v>
      </c>
      <c r="I903" s="66" t="str">
        <f>H903&amp;"/"&amp;451</f>
        <v>417/451</v>
      </c>
      <c r="J903" s="68">
        <f>H903/451</f>
        <v>0.92461197339246115</v>
      </c>
      <c r="K903" s="18" t="s">
        <v>44</v>
      </c>
      <c r="L903" s="18" t="s">
        <v>45</v>
      </c>
      <c r="M903" s="58" t="s">
        <v>65</v>
      </c>
      <c r="N903" s="18">
        <f>[1]!f_prt_stocktonav(C903,"2017/03/31")</f>
        <v>85.712669372558594</v>
      </c>
      <c r="O903" s="20" t="str">
        <f>[1]!f_info_fundmanager(C903)</f>
        <v>李进,朱建明</v>
      </c>
      <c r="P903" s="21">
        <v>0.45753424657534247</v>
      </c>
      <c r="Q903" s="34" t="s">
        <v>3206</v>
      </c>
      <c r="R903" s="34" t="s">
        <v>3207</v>
      </c>
      <c r="S903" s="34" t="s">
        <v>402</v>
      </c>
      <c r="T903" s="34">
        <v>20070119</v>
      </c>
      <c r="U903" s="45">
        <v>31.405754949599999</v>
      </c>
      <c r="V903" s="46">
        <v>34.552678331000003</v>
      </c>
      <c r="W903" s="34" t="s">
        <v>231</v>
      </c>
      <c r="X903" s="34" t="s">
        <v>44</v>
      </c>
      <c r="Y903" s="34" t="s">
        <v>45</v>
      </c>
      <c r="Z903" s="34" t="s">
        <v>274</v>
      </c>
      <c r="AA903" s="34"/>
      <c r="AB903" s="34"/>
      <c r="AC903" s="22">
        <v>0.94296844482421871</v>
      </c>
      <c r="AD903" s="23" t="s">
        <v>3208</v>
      </c>
      <c r="AE903" s="24">
        <v>2.2821917808219179</v>
      </c>
      <c r="AF903" s="25">
        <v>7.4546251962520405E-2</v>
      </c>
      <c r="AG903" s="26">
        <v>0.23825712212498762</v>
      </c>
      <c r="AH903" s="26">
        <v>0.15251479669488144</v>
      </c>
      <c r="AI903" s="27">
        <v>0.34368031023511292</v>
      </c>
      <c r="AJ903" s="27">
        <v>0.69465561577146839</v>
      </c>
      <c r="AK903" s="27">
        <v>0.55329175929631236</v>
      </c>
      <c r="AL903" s="28" t="s">
        <v>3209</v>
      </c>
      <c r="AM903" s="29">
        <v>3</v>
      </c>
      <c r="AN903" s="29">
        <v>3</v>
      </c>
      <c r="AO903" s="29" t="s">
        <v>48</v>
      </c>
      <c r="AP903" s="47" t="s">
        <v>3210</v>
      </c>
      <c r="AQ903" s="28">
        <v>0</v>
      </c>
      <c r="AR903" s="26">
        <v>1.4999999999999999E-2</v>
      </c>
      <c r="AS903" s="26">
        <v>0</v>
      </c>
    </row>
    <row r="904" spans="1:45" x14ac:dyDescent="0.15">
      <c r="A904" s="64">
        <v>889</v>
      </c>
      <c r="B904" s="64">
        <v>42</v>
      </c>
      <c r="C904" s="11">
        <v>519005</v>
      </c>
      <c r="D904" s="61">
        <v>825</v>
      </c>
      <c r="E904" s="61">
        <v>-4.2524730074072897E-3</v>
      </c>
      <c r="F904" s="61">
        <v>119</v>
      </c>
      <c r="G904" s="61">
        <v>3.1238498386484001E-2</v>
      </c>
      <c r="H904" s="66">
        <v>418</v>
      </c>
      <c r="I904" s="66" t="str">
        <f>H904&amp;"/"&amp;451</f>
        <v>418/451</v>
      </c>
      <c r="J904" s="68">
        <f>H904/451</f>
        <v>0.92682926829268297</v>
      </c>
      <c r="K904" s="18" t="s">
        <v>44</v>
      </c>
      <c r="L904" s="18" t="s">
        <v>45</v>
      </c>
      <c r="M904" s="58" t="s">
        <v>65</v>
      </c>
      <c r="N904" s="18">
        <f>[1]!f_prt_stocktonav(C904,"2017/03/31")</f>
        <v>94.389984130859375</v>
      </c>
      <c r="O904" s="20" t="str">
        <f>[1]!f_info_fundmanager(C904)</f>
        <v>黄峰,吕越超</v>
      </c>
      <c r="P904" s="21">
        <v>2.2876712328767121</v>
      </c>
      <c r="Q904" s="34" t="s">
        <v>3450</v>
      </c>
      <c r="R904" s="34" t="s">
        <v>3451</v>
      </c>
      <c r="S904" s="34" t="s">
        <v>496</v>
      </c>
      <c r="T904" s="34">
        <v>20050729</v>
      </c>
      <c r="U904" s="45">
        <v>9.6425454743000003</v>
      </c>
      <c r="V904" s="46">
        <v>10.5730080866</v>
      </c>
      <c r="W904" s="34" t="s">
        <v>231</v>
      </c>
      <c r="X904" s="34" t="s">
        <v>44</v>
      </c>
      <c r="Y904" s="34" t="s">
        <v>45</v>
      </c>
      <c r="Z904" s="34" t="s">
        <v>65</v>
      </c>
      <c r="AA904" s="34"/>
      <c r="AB904" s="34"/>
      <c r="AC904" s="22">
        <v>0.88655143737792974</v>
      </c>
      <c r="AD904" s="23" t="s">
        <v>3452</v>
      </c>
      <c r="AE904" s="24">
        <v>2.0575342465753423</v>
      </c>
      <c r="AF904" s="25">
        <v>8.5150406397135323E-2</v>
      </c>
      <c r="AG904" s="26">
        <v>-1.3584025215319206E-2</v>
      </c>
      <c r="AH904" s="26">
        <v>7.4954856533078207E-3</v>
      </c>
      <c r="AI904" s="27">
        <v>0.38420159436365742</v>
      </c>
      <c r="AJ904" s="27">
        <v>4.3094070030218104E-2</v>
      </c>
      <c r="AK904" s="27">
        <v>0.10669657686353257</v>
      </c>
      <c r="AL904" s="28" t="s">
        <v>2037</v>
      </c>
      <c r="AM904" s="29">
        <v>1</v>
      </c>
      <c r="AN904" s="29">
        <v>2</v>
      </c>
      <c r="AO904" s="29" t="s">
        <v>48</v>
      </c>
      <c r="AP904" s="47" t="s">
        <v>2790</v>
      </c>
      <c r="AQ904" s="28">
        <v>0</v>
      </c>
      <c r="AR904" s="26">
        <v>1.4999999999999999E-2</v>
      </c>
      <c r="AS904" s="26">
        <v>0</v>
      </c>
    </row>
    <row r="905" spans="1:45" x14ac:dyDescent="0.15">
      <c r="A905" s="64">
        <v>35</v>
      </c>
      <c r="B905" s="64">
        <v>73</v>
      </c>
      <c r="C905" s="11">
        <v>2612</v>
      </c>
      <c r="D905" s="61">
        <v>826</v>
      </c>
      <c r="E905" s="61">
        <v>-4.2642913305597401E-3</v>
      </c>
      <c r="F905" s="61">
        <v>26</v>
      </c>
      <c r="G905" s="61">
        <v>0.124379202315638</v>
      </c>
      <c r="H905" s="66">
        <v>419</v>
      </c>
      <c r="I905" s="66" t="str">
        <f>H905&amp;"/"&amp;451</f>
        <v>419/451</v>
      </c>
      <c r="J905" s="68">
        <f>H905/451</f>
        <v>0.92904656319290468</v>
      </c>
      <c r="K905" s="18" t="s">
        <v>44</v>
      </c>
      <c r="L905" s="18" t="s">
        <v>45</v>
      </c>
      <c r="M905" s="58" t="s">
        <v>65</v>
      </c>
      <c r="N905" s="18">
        <f>[1]!f_prt_stocktonav(C905,"2017/03/31")</f>
        <v>94.030296325683594</v>
      </c>
      <c r="O905" s="20" t="str">
        <f>[1]!f_info_fundmanager(C905)</f>
        <v>商小虎,何天翔</v>
      </c>
      <c r="P905" s="21">
        <v>0.52602739726027392</v>
      </c>
      <c r="Q905" s="34" t="s">
        <v>228</v>
      </c>
      <c r="R905" s="34" t="s">
        <v>229</v>
      </c>
      <c r="S905" s="34" t="s">
        <v>230</v>
      </c>
      <c r="T905" s="34">
        <v>20160920</v>
      </c>
      <c r="U905" s="45">
        <v>1.1018644119000001</v>
      </c>
      <c r="V905" s="46">
        <v>2.7277750987</v>
      </c>
      <c r="W905" s="34" t="s">
        <v>201</v>
      </c>
      <c r="X905" s="34" t="s">
        <v>44</v>
      </c>
      <c r="Y905" s="34" t="s">
        <v>45</v>
      </c>
      <c r="Z905" s="34" t="s">
        <v>65</v>
      </c>
      <c r="AA905" s="34"/>
      <c r="AB905" s="34"/>
      <c r="AC905" s="22">
        <v>0.78204757690429683</v>
      </c>
      <c r="AD905" s="23" t="s">
        <v>232</v>
      </c>
      <c r="AE905" s="24">
        <v>0.29589041095890412</v>
      </c>
      <c r="AF905" s="25">
        <v>-9.574051112801453E-2</v>
      </c>
      <c r="AG905" s="26">
        <v>0</v>
      </c>
      <c r="AH905" s="26">
        <v>0</v>
      </c>
      <c r="AI905" s="27">
        <v>-0.73806781076931871</v>
      </c>
      <c r="AJ905" s="27">
        <v>-0.73806781076931871</v>
      </c>
      <c r="AK905" s="27">
        <v>-0.73806781076931871</v>
      </c>
      <c r="AL905" s="28" t="s">
        <v>233</v>
      </c>
      <c r="AM905" s="29" t="s">
        <v>48</v>
      </c>
      <c r="AN905" s="29" t="s">
        <v>48</v>
      </c>
      <c r="AO905" s="29" t="s">
        <v>48</v>
      </c>
      <c r="AP905" s="47" t="s">
        <v>234</v>
      </c>
      <c r="AQ905" s="28" t="s">
        <v>235</v>
      </c>
      <c r="AR905" s="26">
        <v>1.4999999999999999E-2</v>
      </c>
      <c r="AS905" s="26">
        <v>0</v>
      </c>
    </row>
    <row r="906" spans="1:45" x14ac:dyDescent="0.15">
      <c r="A906" s="64">
        <v>470</v>
      </c>
      <c r="B906" s="64">
        <v>786</v>
      </c>
      <c r="C906" s="11">
        <v>458</v>
      </c>
      <c r="D906" s="61">
        <v>830</v>
      </c>
      <c r="E906" s="61">
        <v>-4.4368919896123696E-3</v>
      </c>
      <c r="F906" s="61">
        <v>91</v>
      </c>
      <c r="G906" s="61">
        <v>3.06629673842016E-2</v>
      </c>
      <c r="H906" s="66">
        <v>420</v>
      </c>
      <c r="I906" s="66" t="str">
        <f>H906&amp;"/"&amp;451</f>
        <v>420/451</v>
      </c>
      <c r="J906" s="68">
        <f>H906/451</f>
        <v>0.9312638580931264</v>
      </c>
      <c r="K906" s="18" t="s">
        <v>44</v>
      </c>
      <c r="L906" s="18" t="s">
        <v>45</v>
      </c>
      <c r="M906" s="58" t="s">
        <v>65</v>
      </c>
      <c r="N906" s="18">
        <f>[1]!f_prt_stocktonav(C906,"2017/03/31")</f>
        <v>77.166763305664062</v>
      </c>
      <c r="O906" s="20" t="str">
        <f>[1]!f_info_fundmanager(C906)</f>
        <v>袁忠伟,刘杰</v>
      </c>
      <c r="P906" s="21">
        <v>1.7315068493150685</v>
      </c>
      <c r="Q906" s="34" t="s">
        <v>1995</v>
      </c>
      <c r="R906" s="34" t="s">
        <v>1996</v>
      </c>
      <c r="S906" s="34" t="s">
        <v>113</v>
      </c>
      <c r="T906" s="34">
        <v>20140305</v>
      </c>
      <c r="U906" s="45">
        <v>0.93758162060000005</v>
      </c>
      <c r="V906" s="46">
        <v>0.94966048309999995</v>
      </c>
      <c r="W906" s="34" t="s">
        <v>3789</v>
      </c>
      <c r="X906" s="34" t="s">
        <v>44</v>
      </c>
      <c r="Y906" s="34" t="s">
        <v>45</v>
      </c>
      <c r="Z906" s="34" t="s">
        <v>65</v>
      </c>
      <c r="AA906" s="34"/>
      <c r="AB906" s="34"/>
      <c r="AC906" s="22">
        <v>0.9324811553955078</v>
      </c>
      <c r="AD906" s="23" t="s">
        <v>1997</v>
      </c>
      <c r="AE906" s="24">
        <v>1.5013698630136987</v>
      </c>
      <c r="AF906" s="25">
        <v>0.10600443808242301</v>
      </c>
      <c r="AG906" s="26">
        <v>0</v>
      </c>
      <c r="AH906" s="26">
        <v>0</v>
      </c>
      <c r="AI906" s="27">
        <v>0.47343516421304777</v>
      </c>
      <c r="AJ906" s="27">
        <v>0.47343516421304777</v>
      </c>
      <c r="AK906" s="27">
        <v>0.47343516421304777</v>
      </c>
      <c r="AL906" s="28" t="s">
        <v>1998</v>
      </c>
      <c r="AM906" s="29" t="s">
        <v>48</v>
      </c>
      <c r="AN906" s="29" t="s">
        <v>48</v>
      </c>
      <c r="AO906" s="29" t="s">
        <v>48</v>
      </c>
      <c r="AP906" s="47" t="s">
        <v>1999</v>
      </c>
      <c r="AQ906" s="28" t="s">
        <v>2000</v>
      </c>
      <c r="AR906" s="26">
        <v>1.4999999999999999E-2</v>
      </c>
      <c r="AS906" s="26">
        <v>0</v>
      </c>
    </row>
    <row r="907" spans="1:45" x14ac:dyDescent="0.15">
      <c r="A907" s="64">
        <v>690</v>
      </c>
      <c r="B907" s="64">
        <v>811</v>
      </c>
      <c r="C907" s="11">
        <v>217013</v>
      </c>
      <c r="D907" s="61">
        <v>835</v>
      </c>
      <c r="E907" s="61">
        <v>-4.5088501359628799E-3</v>
      </c>
      <c r="F907" s="61">
        <v>100</v>
      </c>
      <c r="G907" s="61">
        <v>1.2391617989433199E-2</v>
      </c>
      <c r="H907" s="66">
        <v>421</v>
      </c>
      <c r="I907" s="66" t="str">
        <f>H907&amp;"/"&amp;451</f>
        <v>421/451</v>
      </c>
      <c r="J907" s="68">
        <f>H907/451</f>
        <v>0.93348115299334811</v>
      </c>
      <c r="K907" s="18" t="s">
        <v>44</v>
      </c>
      <c r="L907" s="18" t="s">
        <v>45</v>
      </c>
      <c r="M907" s="58" t="s">
        <v>65</v>
      </c>
      <c r="N907" s="18">
        <f>[1]!f_prt_stocktonav(C907,"2017/03/31")</f>
        <v>76.242324829101563</v>
      </c>
      <c r="O907" s="20" t="str">
        <f>[1]!f_info_fundmanager(C907)</f>
        <v>韩冰,张西林</v>
      </c>
      <c r="P907" s="21">
        <v>1.9068493150684931</v>
      </c>
      <c r="Q907" s="34" t="s">
        <v>2747</v>
      </c>
      <c r="R907" s="34" t="s">
        <v>2748</v>
      </c>
      <c r="S907" s="34" t="s">
        <v>165</v>
      </c>
      <c r="T907" s="34">
        <v>20091225</v>
      </c>
      <c r="U907" s="45">
        <v>1.7153540842999999</v>
      </c>
      <c r="V907" s="46">
        <v>1.8732146451</v>
      </c>
      <c r="W907" s="34" t="s">
        <v>3776</v>
      </c>
      <c r="X907" s="34" t="s">
        <v>44</v>
      </c>
      <c r="Y907" s="34" t="s">
        <v>45</v>
      </c>
      <c r="Z907" s="34" t="s">
        <v>274</v>
      </c>
      <c r="AA907" s="34"/>
      <c r="AB907" s="34"/>
      <c r="AC907" s="22">
        <v>0.80206626892089838</v>
      </c>
      <c r="AD907" s="23" t="s">
        <v>2749</v>
      </c>
      <c r="AE907" s="24">
        <v>1.6767123287671233</v>
      </c>
      <c r="AF907" s="25">
        <v>3.9526720638217938E-2</v>
      </c>
      <c r="AG907" s="26">
        <v>8.3931956288035181E-2</v>
      </c>
      <c r="AH907" s="26">
        <v>0.10007279205725439</v>
      </c>
      <c r="AI907" s="27">
        <v>0.22389581823068477</v>
      </c>
      <c r="AJ907" s="27">
        <v>0.37778365348675075</v>
      </c>
      <c r="AK907" s="27">
        <v>0.42604143557585339</v>
      </c>
      <c r="AL907" s="28" t="s">
        <v>2750</v>
      </c>
      <c r="AM907" s="29">
        <v>2</v>
      </c>
      <c r="AN907" s="29">
        <v>2</v>
      </c>
      <c r="AO907" s="29" t="s">
        <v>48</v>
      </c>
      <c r="AP907" s="47" t="s">
        <v>2751</v>
      </c>
      <c r="AQ907" s="28">
        <v>0</v>
      </c>
      <c r="AR907" s="26">
        <v>1.4999999999999999E-2</v>
      </c>
      <c r="AS907" s="26">
        <v>0</v>
      </c>
    </row>
    <row r="908" spans="1:45" x14ac:dyDescent="0.15">
      <c r="A908" s="64">
        <v>605</v>
      </c>
      <c r="B908" s="64">
        <v>484</v>
      </c>
      <c r="C908" s="11">
        <v>350008</v>
      </c>
      <c r="D908" s="61">
        <v>836</v>
      </c>
      <c r="E908" s="61">
        <v>-4.5292565539335299E-3</v>
      </c>
      <c r="F908" s="61">
        <v>105</v>
      </c>
      <c r="G908" s="61">
        <v>7.9804376814567798E-3</v>
      </c>
      <c r="H908" s="66">
        <v>422</v>
      </c>
      <c r="I908" s="66" t="str">
        <f>H908&amp;"/"&amp;451</f>
        <v>422/451</v>
      </c>
      <c r="J908" s="68">
        <f>H908/451</f>
        <v>0.93569844789356982</v>
      </c>
      <c r="K908" s="18" t="s">
        <v>44</v>
      </c>
      <c r="L908" s="18" t="s">
        <v>87</v>
      </c>
      <c r="M908" s="58" t="s">
        <v>65</v>
      </c>
      <c r="N908" s="18">
        <f>[1]!f_prt_stocktonav(C908,"2017/03/31")</f>
        <v>85.635475158691406</v>
      </c>
      <c r="O908" s="20" t="str">
        <f>[1]!f_info_fundmanager(C908)</f>
        <v>尹维国</v>
      </c>
      <c r="P908" s="21">
        <v>2.0136986301369864</v>
      </c>
      <c r="Q908" s="34" t="s">
        <v>2464</v>
      </c>
      <c r="R908" s="34" t="s">
        <v>2465</v>
      </c>
      <c r="S908" s="34" t="s">
        <v>2466</v>
      </c>
      <c r="T908" s="34">
        <v>20110804</v>
      </c>
      <c r="U908" s="45">
        <v>0.22617752899999999</v>
      </c>
      <c r="V908" s="46">
        <v>0.25334387549999998</v>
      </c>
      <c r="W908" s="34" t="s">
        <v>201</v>
      </c>
      <c r="X908" s="34" t="s">
        <v>44</v>
      </c>
      <c r="Y908" s="34" t="s">
        <v>45</v>
      </c>
      <c r="Z908" s="34" t="s">
        <v>65</v>
      </c>
      <c r="AA908" s="34"/>
      <c r="AB908" s="34"/>
      <c r="AC908" s="22">
        <v>0.82213081359863283</v>
      </c>
      <c r="AD908" s="23" t="s">
        <v>2467</v>
      </c>
      <c r="AE908" s="24">
        <v>1.7835616438356163</v>
      </c>
      <c r="AF908" s="25">
        <v>6.5489820917041808E-2</v>
      </c>
      <c r="AG908" s="26">
        <v>3.249984303121467E-2</v>
      </c>
      <c r="AH908" s="26">
        <v>8.9858097758098263E-2</v>
      </c>
      <c r="AI908" s="27">
        <v>0.31802693310928881</v>
      </c>
      <c r="AJ908" s="27">
        <v>0.20221303958188089</v>
      </c>
      <c r="AK908" s="27">
        <v>0.39782758871601392</v>
      </c>
      <c r="AL908" s="28" t="s">
        <v>2468</v>
      </c>
      <c r="AM908" s="29">
        <v>3</v>
      </c>
      <c r="AN908" s="29">
        <v>2</v>
      </c>
      <c r="AO908" s="29" t="s">
        <v>48</v>
      </c>
      <c r="AP908" s="47" t="s">
        <v>1909</v>
      </c>
      <c r="AQ908" s="28">
        <v>0</v>
      </c>
      <c r="AR908" s="26">
        <v>1.4999999999999999E-2</v>
      </c>
      <c r="AS908" s="26">
        <v>0</v>
      </c>
    </row>
    <row r="909" spans="1:45" x14ac:dyDescent="0.15">
      <c r="A909" s="64">
        <v>661</v>
      </c>
      <c r="B909" s="64">
        <v>916</v>
      </c>
      <c r="C909" s="11">
        <v>519095</v>
      </c>
      <c r="D909" s="61">
        <v>839</v>
      </c>
      <c r="E909" s="61">
        <v>-4.55321141708651E-3</v>
      </c>
      <c r="F909" s="61">
        <v>87</v>
      </c>
      <c r="G909" s="61">
        <v>3.58228772457029E-3</v>
      </c>
      <c r="H909" s="66">
        <v>423</v>
      </c>
      <c r="I909" s="66" t="str">
        <f>H909&amp;"/"&amp;451</f>
        <v>423/451</v>
      </c>
      <c r="J909" s="68">
        <f>H909/451</f>
        <v>0.93791574279379153</v>
      </c>
      <c r="K909" s="18" t="s">
        <v>44</v>
      </c>
      <c r="L909" s="18" t="s">
        <v>45</v>
      </c>
      <c r="M909" s="58" t="s">
        <v>65</v>
      </c>
      <c r="N909" s="18">
        <f>[1]!f_prt_stocktonav(C909,"2017/03/31")</f>
        <v>71.686347961425781</v>
      </c>
      <c r="O909" s="20" t="str">
        <f>[1]!f_info_fundmanager(C909)</f>
        <v>蔡春红,路文韬</v>
      </c>
      <c r="P909" s="21">
        <v>1.6602739726027398</v>
      </c>
      <c r="Q909" s="34" t="s">
        <v>2659</v>
      </c>
      <c r="R909" s="34" t="s">
        <v>2660</v>
      </c>
      <c r="S909" s="34" t="s">
        <v>569</v>
      </c>
      <c r="T909" s="34">
        <v>20100721</v>
      </c>
      <c r="U909" s="45">
        <v>1.4573091952999999</v>
      </c>
      <c r="V909" s="46">
        <v>1.4004221187000001</v>
      </c>
      <c r="W909" s="34" t="s">
        <v>3776</v>
      </c>
      <c r="X909" s="34" t="s">
        <v>44</v>
      </c>
      <c r="Y909" s="34" t="s">
        <v>45</v>
      </c>
      <c r="Z909" s="34" t="s">
        <v>65</v>
      </c>
      <c r="AA909" s="34"/>
      <c r="AB909" s="34"/>
      <c r="AC909" s="22">
        <v>0.74207313537597652</v>
      </c>
      <c r="AD909" s="23" t="s">
        <v>2661</v>
      </c>
      <c r="AE909" s="24">
        <v>1.4301369863013698</v>
      </c>
      <c r="AF909" s="25">
        <v>0.15009480203710646</v>
      </c>
      <c r="AG909" s="26">
        <v>0.20201976463154181</v>
      </c>
      <c r="AH909" s="26">
        <v>0.20319734015849389</v>
      </c>
      <c r="AI909" s="27">
        <v>0.63799924638197858</v>
      </c>
      <c r="AJ909" s="27">
        <v>0.71854567650535062</v>
      </c>
      <c r="AK909" s="27">
        <v>0.7822425839246232</v>
      </c>
      <c r="AL909" s="28" t="s">
        <v>1459</v>
      </c>
      <c r="AM909" s="29">
        <v>4</v>
      </c>
      <c r="AN909" s="29">
        <v>5</v>
      </c>
      <c r="AO909" s="29" t="s">
        <v>48</v>
      </c>
      <c r="AP909" s="47" t="s">
        <v>310</v>
      </c>
      <c r="AQ909" s="28">
        <v>0</v>
      </c>
      <c r="AR909" s="26">
        <v>1.4999999999999999E-2</v>
      </c>
      <c r="AS909" s="26">
        <v>0</v>
      </c>
    </row>
    <row r="910" spans="1:45" x14ac:dyDescent="0.15">
      <c r="A910" s="64">
        <v>186</v>
      </c>
      <c r="B910" s="64">
        <v>927</v>
      </c>
      <c r="C910" s="11">
        <v>1753</v>
      </c>
      <c r="D910" s="61">
        <v>847</v>
      </c>
      <c r="E910" s="61">
        <v>-4.6870416778509996E-3</v>
      </c>
      <c r="F910" s="61">
        <v>77</v>
      </c>
      <c r="G910" s="61">
        <v>5.4300941127509604E-3</v>
      </c>
      <c r="H910" s="66">
        <v>424</v>
      </c>
      <c r="I910" s="66" t="str">
        <f>H910&amp;"/"&amp;451</f>
        <v>424/451</v>
      </c>
      <c r="J910" s="68">
        <f>H910/451</f>
        <v>0.94013303769401335</v>
      </c>
      <c r="K910" s="18" t="s">
        <v>44</v>
      </c>
      <c r="L910" s="18" t="s">
        <v>45</v>
      </c>
      <c r="M910" s="58" t="s">
        <v>65</v>
      </c>
      <c r="N910" s="18">
        <f>[1]!f_prt_stocktonav(C910,"2017/03/31")</f>
        <v>71.251785278320312</v>
      </c>
      <c r="O910" s="20" t="str">
        <f>[1]!f_info_fundmanager(C910)</f>
        <v>侯世霞</v>
      </c>
      <c r="P910" s="21">
        <v>1.5205479452054795</v>
      </c>
      <c r="Q910" s="34" t="s">
        <v>909</v>
      </c>
      <c r="R910" s="34" t="s">
        <v>910</v>
      </c>
      <c r="S910" s="34" t="s">
        <v>911</v>
      </c>
      <c r="T910" s="34">
        <v>20150923</v>
      </c>
      <c r="U910" s="45">
        <v>1.1117511962</v>
      </c>
      <c r="V910" s="46">
        <v>1.3134967543</v>
      </c>
      <c r="W910" s="34" t="s">
        <v>1235</v>
      </c>
      <c r="X910" s="34" t="s">
        <v>44</v>
      </c>
      <c r="Y910" s="17" t="s">
        <v>45</v>
      </c>
      <c r="Z910" s="17" t="s">
        <v>65</v>
      </c>
      <c r="AA910" s="34"/>
      <c r="AB910" s="34"/>
      <c r="AC910" s="22">
        <v>0.78792114257812496</v>
      </c>
      <c r="AD910" s="23" t="s">
        <v>912</v>
      </c>
      <c r="AE910" s="24">
        <v>1.2904109589041095</v>
      </c>
      <c r="AF910" s="25">
        <v>-0.12764981579792878</v>
      </c>
      <c r="AG910" s="26">
        <v>0</v>
      </c>
      <c r="AH910" s="26">
        <v>0</v>
      </c>
      <c r="AI910" s="27">
        <v>-0.80785646129814492</v>
      </c>
      <c r="AJ910" s="27">
        <v>-0.80785646129814492</v>
      </c>
      <c r="AK910" s="27">
        <v>-0.80785646129814492</v>
      </c>
      <c r="AL910" s="28" t="s">
        <v>226</v>
      </c>
      <c r="AM910" s="29" t="s">
        <v>48</v>
      </c>
      <c r="AN910" s="29" t="s">
        <v>48</v>
      </c>
      <c r="AO910" s="29" t="s">
        <v>48</v>
      </c>
      <c r="AP910" s="47" t="s">
        <v>101</v>
      </c>
      <c r="AQ910" s="28">
        <v>0</v>
      </c>
      <c r="AR910" s="26">
        <v>1.4999999999999999E-2</v>
      </c>
      <c r="AS910" s="26">
        <v>0</v>
      </c>
    </row>
    <row r="911" spans="1:45" x14ac:dyDescent="0.15">
      <c r="A911" s="64">
        <v>602</v>
      </c>
      <c r="B911" s="64">
        <v>197</v>
      </c>
      <c r="C911" s="11">
        <v>110025</v>
      </c>
      <c r="D911" s="61">
        <v>848</v>
      </c>
      <c r="E911" s="61">
        <v>-4.6892854606959003E-3</v>
      </c>
      <c r="F911" s="61">
        <v>205</v>
      </c>
      <c r="G911" s="61">
        <v>1.1792888955079199E-3</v>
      </c>
      <c r="H911" s="66">
        <v>425</v>
      </c>
      <c r="I911" s="66" t="str">
        <f>H911&amp;"/"&amp;451</f>
        <v>425/451</v>
      </c>
      <c r="J911" s="68">
        <f>H911/451</f>
        <v>0.94235033259423506</v>
      </c>
      <c r="K911" s="18" t="s">
        <v>44</v>
      </c>
      <c r="L911" s="18" t="s">
        <v>87</v>
      </c>
      <c r="M911" s="58" t="s">
        <v>65</v>
      </c>
      <c r="N911" s="18">
        <f>[1]!f_prt_stocktonav(C911,"2017/03/31")</f>
        <v>91.877540588378906</v>
      </c>
      <c r="O911" s="20" t="str">
        <f>[1]!f_info_fundmanager(C911)</f>
        <v>王超</v>
      </c>
      <c r="P911" s="21">
        <v>3.9287671232876713</v>
      </c>
      <c r="Q911" s="39" t="s">
        <v>2453</v>
      </c>
      <c r="R911" s="39" t="s">
        <v>2454</v>
      </c>
      <c r="S911" s="39" t="s">
        <v>218</v>
      </c>
      <c r="T911" s="39">
        <v>20110816</v>
      </c>
      <c r="U911" s="48">
        <v>14.071080268399999</v>
      </c>
      <c r="V911" s="46">
        <v>8.9552675355000009</v>
      </c>
      <c r="W911" s="39" t="s">
        <v>3789</v>
      </c>
      <c r="X911" s="39" t="s">
        <v>44</v>
      </c>
      <c r="Y911" s="39" t="s">
        <v>87</v>
      </c>
      <c r="Z911" s="49" t="s">
        <v>65</v>
      </c>
      <c r="AA911" s="34" t="s">
        <v>3834</v>
      </c>
      <c r="AB911" s="34"/>
      <c r="AC911" s="22">
        <v>0.94363784790039063</v>
      </c>
      <c r="AD911" s="23" t="s">
        <v>1988</v>
      </c>
      <c r="AE911" s="24">
        <v>3.6986301369863015</v>
      </c>
      <c r="AF911" s="25">
        <v>-7.7461453230743826E-3</v>
      </c>
      <c r="AG911" s="26">
        <v>0.13841799013058442</v>
      </c>
      <c r="AH911" s="26">
        <v>8.7770310799246687E-3</v>
      </c>
      <c r="AI911" s="27">
        <v>2.7648055967304224E-2</v>
      </c>
      <c r="AJ911" s="27">
        <v>0.57475534294294428</v>
      </c>
      <c r="AK911" s="27">
        <v>0.10041890277986749</v>
      </c>
      <c r="AL911" s="40" t="s">
        <v>2456</v>
      </c>
      <c r="AM911" s="41">
        <v>1</v>
      </c>
      <c r="AN911" s="41">
        <v>1</v>
      </c>
      <c r="AO911" s="41" t="s">
        <v>48</v>
      </c>
      <c r="AP911" s="50" t="s">
        <v>2457</v>
      </c>
      <c r="AQ911" s="51">
        <v>0</v>
      </c>
      <c r="AR911" s="52">
        <v>1.4999999999999999E-2</v>
      </c>
      <c r="AS911" s="52">
        <v>0</v>
      </c>
    </row>
    <row r="912" spans="1:45" x14ac:dyDescent="0.15">
      <c r="A912" s="64">
        <v>100</v>
      </c>
      <c r="B912" s="64">
        <v>394</v>
      </c>
      <c r="C912" s="11">
        <v>2174</v>
      </c>
      <c r="D912" s="61">
        <v>853</v>
      </c>
      <c r="E912" s="61">
        <v>-4.7993698390454802E-3</v>
      </c>
      <c r="F912" s="61">
        <v>39</v>
      </c>
      <c r="G912" s="61">
        <v>1.3825042186546401E-2</v>
      </c>
      <c r="H912" s="66">
        <v>426</v>
      </c>
      <c r="I912" s="66" t="str">
        <f>H912&amp;"/"&amp;451</f>
        <v>426/451</v>
      </c>
      <c r="J912" s="68">
        <f>H912/451</f>
        <v>0.94456762749445677</v>
      </c>
      <c r="K912" s="18" t="s">
        <v>44</v>
      </c>
      <c r="L912" s="18" t="s">
        <v>45</v>
      </c>
      <c r="M912" s="58" t="s">
        <v>65</v>
      </c>
      <c r="N912" s="18">
        <f>[1]!f_prt_stocktonav(C912,"2017/03/31")</f>
        <v>87.618858337402344</v>
      </c>
      <c r="O912" s="20" t="str">
        <f>[1]!f_info_fundmanager(C912)</f>
        <v>薛子徵</v>
      </c>
      <c r="P912" s="21">
        <v>0.74794520547945209</v>
      </c>
      <c r="Q912" s="34" t="s">
        <v>540</v>
      </c>
      <c r="R912" s="34" t="s">
        <v>541</v>
      </c>
      <c r="S912" s="34" t="s">
        <v>252</v>
      </c>
      <c r="T912" s="34">
        <v>20160406</v>
      </c>
      <c r="U912" s="45">
        <v>0.43818085369999998</v>
      </c>
      <c r="V912" s="46">
        <v>0.58291006749999996</v>
      </c>
      <c r="W912" s="34" t="s">
        <v>3778</v>
      </c>
      <c r="X912" s="34" t="s">
        <v>41</v>
      </c>
      <c r="Y912" s="17" t="s">
        <v>42</v>
      </c>
      <c r="Z912" s="17" t="s">
        <v>181</v>
      </c>
      <c r="AA912" s="34"/>
      <c r="AB912" s="34"/>
      <c r="AC912" s="22">
        <v>0.58678909301757809</v>
      </c>
      <c r="AD912" s="23" t="s">
        <v>542</v>
      </c>
      <c r="AE912" s="24">
        <v>0.51780821917808217</v>
      </c>
      <c r="AF912" s="25">
        <v>3.2989703761175493E-2</v>
      </c>
      <c r="AG912" s="26">
        <v>0</v>
      </c>
      <c r="AH912" s="26">
        <v>0</v>
      </c>
      <c r="AI912" s="27">
        <v>0.23140854145489312</v>
      </c>
      <c r="AJ912" s="27">
        <v>0.23140854145489312</v>
      </c>
      <c r="AK912" s="27">
        <v>0.23140854145489312</v>
      </c>
      <c r="AL912" s="28" t="s">
        <v>254</v>
      </c>
      <c r="AM912" s="29" t="s">
        <v>48</v>
      </c>
      <c r="AN912" s="29" t="s">
        <v>48</v>
      </c>
      <c r="AO912" s="29" t="s">
        <v>48</v>
      </c>
      <c r="AP912" s="47" t="s">
        <v>255</v>
      </c>
      <c r="AQ912" s="28">
        <v>0</v>
      </c>
      <c r="AR912" s="26">
        <v>1.4999999999999999E-2</v>
      </c>
      <c r="AS912" s="26">
        <v>0</v>
      </c>
    </row>
    <row r="913" spans="1:45" x14ac:dyDescent="0.15">
      <c r="A913" s="64">
        <v>907</v>
      </c>
      <c r="B913" s="64">
        <v>364</v>
      </c>
      <c r="C913" s="11">
        <v>398001</v>
      </c>
      <c r="D913" s="61">
        <v>858</v>
      </c>
      <c r="E913" s="61">
        <v>-4.8594958222339503E-3</v>
      </c>
      <c r="F913" s="61">
        <v>102</v>
      </c>
      <c r="G913" s="61">
        <v>4.6766558548932101E-2</v>
      </c>
      <c r="H913" s="66">
        <v>427</v>
      </c>
      <c r="I913" s="66" t="str">
        <f>H913&amp;"/"&amp;451</f>
        <v>427/451</v>
      </c>
      <c r="J913" s="68">
        <f>H913/451</f>
        <v>0.94678492239467849</v>
      </c>
      <c r="K913" s="18" t="s">
        <v>44</v>
      </c>
      <c r="L913" s="18" t="s">
        <v>45</v>
      </c>
      <c r="M913" s="58" t="s">
        <v>65</v>
      </c>
      <c r="N913" s="18">
        <f>[1]!f_prt_stocktonav(C913,"2017/03/31")</f>
        <v>88.215530395507813</v>
      </c>
      <c r="O913" s="20" t="str">
        <f>[1]!f_info_fundmanager(C913)</f>
        <v>于航</v>
      </c>
      <c r="P913" s="21">
        <v>1.9561643835616438</v>
      </c>
      <c r="Q913" s="34" t="s">
        <v>3522</v>
      </c>
      <c r="R913" s="34" t="s">
        <v>3523</v>
      </c>
      <c r="S913" s="34" t="s">
        <v>505</v>
      </c>
      <c r="T913" s="34">
        <v>20040928</v>
      </c>
      <c r="U913" s="45">
        <v>14.700862564199999</v>
      </c>
      <c r="V913" s="46">
        <v>15.8403488038</v>
      </c>
      <c r="W913" s="34" t="s">
        <v>231</v>
      </c>
      <c r="X913" s="34" t="s">
        <v>44</v>
      </c>
      <c r="Y913" s="34" t="s">
        <v>45</v>
      </c>
      <c r="Z913" s="34" t="s">
        <v>65</v>
      </c>
      <c r="AA913" s="34"/>
      <c r="AB913" s="34"/>
      <c r="AC913" s="22">
        <v>0.80740287780761721</v>
      </c>
      <c r="AD913" s="23" t="s">
        <v>3524</v>
      </c>
      <c r="AE913" s="24">
        <v>1.726027397260274</v>
      </c>
      <c r="AF913" s="25">
        <v>0.13122699416766959</v>
      </c>
      <c r="AG913" s="26">
        <v>6.0590271213928348E-2</v>
      </c>
      <c r="AH913" s="26">
        <v>6.5630018928655387E-2</v>
      </c>
      <c r="AI913" s="27">
        <v>0.54800424953635074</v>
      </c>
      <c r="AJ913" s="27">
        <v>0.31024976170496971</v>
      </c>
      <c r="AK913" s="27">
        <v>0.3167491738539413</v>
      </c>
      <c r="AL913" s="28" t="s">
        <v>2463</v>
      </c>
      <c r="AM913" s="29">
        <v>1</v>
      </c>
      <c r="AN913" s="29">
        <v>3</v>
      </c>
      <c r="AO913" s="29" t="s">
        <v>48</v>
      </c>
      <c r="AP913" s="47" t="s">
        <v>3525</v>
      </c>
      <c r="AQ913" s="28" t="s">
        <v>3526</v>
      </c>
      <c r="AR913" s="26">
        <v>1.4999999999999999E-2</v>
      </c>
      <c r="AS913" s="26">
        <v>0</v>
      </c>
    </row>
    <row r="914" spans="1:45" x14ac:dyDescent="0.15">
      <c r="A914" s="64">
        <v>582</v>
      </c>
      <c r="B914" s="64">
        <v>779</v>
      </c>
      <c r="C914" s="11">
        <v>400015</v>
      </c>
      <c r="D914" s="61">
        <v>872</v>
      </c>
      <c r="E914" s="61">
        <v>-5.1272801948480098E-3</v>
      </c>
      <c r="F914" s="61">
        <v>100</v>
      </c>
      <c r="G914" s="61">
        <v>3.6340453291050499E-3</v>
      </c>
      <c r="H914" s="66">
        <v>428</v>
      </c>
      <c r="I914" s="66" t="str">
        <f>H914&amp;"/"&amp;451</f>
        <v>428/451</v>
      </c>
      <c r="J914" s="68">
        <f>H914/451</f>
        <v>0.9490022172949002</v>
      </c>
      <c r="K914" s="18" t="s">
        <v>44</v>
      </c>
      <c r="L914" s="18" t="s">
        <v>45</v>
      </c>
      <c r="M914" s="58" t="s">
        <v>65</v>
      </c>
      <c r="N914" s="18">
        <f>[1]!f_prt_stocktonav(C914,"2017/03/31")</f>
        <v>77.281623840332031</v>
      </c>
      <c r="O914" s="20" t="str">
        <f>[1]!f_info_fundmanager(C914)</f>
        <v>薛子徵</v>
      </c>
      <c r="P914" s="21">
        <v>1.9205479452054794</v>
      </c>
      <c r="Q914" s="34" t="s">
        <v>2394</v>
      </c>
      <c r="R914" s="34" t="s">
        <v>2395</v>
      </c>
      <c r="S914" s="34" t="s">
        <v>252</v>
      </c>
      <c r="T914" s="34">
        <v>20111228</v>
      </c>
      <c r="U914" s="45">
        <v>0.23473108819999999</v>
      </c>
      <c r="V914" s="46">
        <v>0.23840171299999999</v>
      </c>
      <c r="W914" s="34" t="s">
        <v>201</v>
      </c>
      <c r="X914" s="34" t="s">
        <v>41</v>
      </c>
      <c r="Y914" s="17" t="s">
        <v>42</v>
      </c>
      <c r="Z914" s="17" t="s">
        <v>181</v>
      </c>
      <c r="AA914" s="34"/>
      <c r="AB914" s="34"/>
      <c r="AC914" s="22">
        <v>0.64884277343749996</v>
      </c>
      <c r="AD914" s="23" t="s">
        <v>542</v>
      </c>
      <c r="AE914" s="24">
        <v>1.6904109589041096</v>
      </c>
      <c r="AF914" s="25">
        <v>0.14060398772575189</v>
      </c>
      <c r="AG914" s="26">
        <v>0.11425276464667246</v>
      </c>
      <c r="AH914" s="26">
        <v>0.14102897407607418</v>
      </c>
      <c r="AI914" s="27">
        <v>0.61787347347545218</v>
      </c>
      <c r="AJ914" s="27">
        <v>0.49053879791441257</v>
      </c>
      <c r="AK914" s="27">
        <v>0.61787347347545218</v>
      </c>
      <c r="AL914" s="28" t="s">
        <v>2396</v>
      </c>
      <c r="AM914" s="29">
        <v>3</v>
      </c>
      <c r="AN914" s="29">
        <v>3</v>
      </c>
      <c r="AO914" s="29" t="s">
        <v>48</v>
      </c>
      <c r="AP914" s="47" t="s">
        <v>427</v>
      </c>
      <c r="AQ914" s="28">
        <v>0</v>
      </c>
      <c r="AR914" s="26">
        <v>1.4999999999999999E-2</v>
      </c>
      <c r="AS914" s="26">
        <v>0</v>
      </c>
    </row>
    <row r="915" spans="1:45" x14ac:dyDescent="0.15">
      <c r="A915" s="64">
        <v>39</v>
      </c>
      <c r="B915" s="64">
        <v>368</v>
      </c>
      <c r="C915" s="11">
        <v>1614</v>
      </c>
      <c r="D915" s="61">
        <v>873</v>
      </c>
      <c r="E915" s="61">
        <v>-5.12939661349829E-3</v>
      </c>
      <c r="F915" s="61">
        <v>28</v>
      </c>
      <c r="G915" s="61">
        <v>1.6114237456458399E-2</v>
      </c>
      <c r="H915" s="66">
        <v>429</v>
      </c>
      <c r="I915" s="66" t="str">
        <f>H915&amp;"/"&amp;451</f>
        <v>429/451</v>
      </c>
      <c r="J915" s="68">
        <f>H915/451</f>
        <v>0.95121951219512191</v>
      </c>
      <c r="K915" s="18" t="s">
        <v>44</v>
      </c>
      <c r="L915" s="18" t="s">
        <v>45</v>
      </c>
      <c r="M915" s="58" t="s">
        <v>65</v>
      </c>
      <c r="N915" s="18">
        <f>[1]!f_prt_stocktonav(C915,"2017/03/31")</f>
        <v>88.138290405273438</v>
      </c>
      <c r="O915" s="20" t="str">
        <f>[1]!f_info_fundmanager(C915)</f>
        <v>朱晓栋,薛子徵</v>
      </c>
      <c r="P915" s="21">
        <v>0.56164383561643838</v>
      </c>
      <c r="Q915" s="34" t="s">
        <v>250</v>
      </c>
      <c r="R915" s="34" t="s">
        <v>251</v>
      </c>
      <c r="S915" s="34" t="s">
        <v>252</v>
      </c>
      <c r="T915" s="34">
        <v>20160907</v>
      </c>
      <c r="U915" s="45">
        <v>0.60728509340000003</v>
      </c>
      <c r="V915" s="46">
        <v>2.5398797071999999</v>
      </c>
      <c r="W915" s="34" t="s">
        <v>201</v>
      </c>
      <c r="X915" s="34" t="s">
        <v>41</v>
      </c>
      <c r="Y915" s="34" t="s">
        <v>42</v>
      </c>
      <c r="Z915" s="34" t="s">
        <v>43</v>
      </c>
      <c r="AA915" s="34"/>
      <c r="AB915" s="34"/>
      <c r="AC915" s="22">
        <v>0.41439033508300782</v>
      </c>
      <c r="AD915" s="23" t="s">
        <v>253</v>
      </c>
      <c r="AE915" s="24">
        <v>0.33150684931506852</v>
      </c>
      <c r="AF915" s="25">
        <v>-1.2532255599739806E-2</v>
      </c>
      <c r="AG915" s="26">
        <v>0</v>
      </c>
      <c r="AH915" s="26">
        <v>0</v>
      </c>
      <c r="AI915" s="27">
        <v>-0.52333347187879675</v>
      </c>
      <c r="AJ915" s="27">
        <v>-0.52333347187879675</v>
      </c>
      <c r="AK915" s="27">
        <v>-0.52333347187879675</v>
      </c>
      <c r="AL915" s="28" t="s">
        <v>254</v>
      </c>
      <c r="AM915" s="29" t="s">
        <v>48</v>
      </c>
      <c r="AN915" s="29" t="s">
        <v>48</v>
      </c>
      <c r="AO915" s="29" t="s">
        <v>48</v>
      </c>
      <c r="AP915" s="47" t="s">
        <v>255</v>
      </c>
      <c r="AQ915" s="28">
        <v>0</v>
      </c>
      <c r="AR915" s="26">
        <v>1.4999999999999999E-2</v>
      </c>
      <c r="AS915" s="26">
        <v>0</v>
      </c>
    </row>
    <row r="916" spans="1:45" x14ac:dyDescent="0.15">
      <c r="A916" s="64">
        <v>256</v>
      </c>
      <c r="B916" s="64">
        <v>5</v>
      </c>
      <c r="C916" s="11">
        <v>1409</v>
      </c>
      <c r="D916" s="61">
        <v>874</v>
      </c>
      <c r="E916" s="61">
        <v>-5.1377182209826804E-3</v>
      </c>
      <c r="F916" s="61">
        <v>93</v>
      </c>
      <c r="G916" s="61">
        <v>3.3141357462138999E-4</v>
      </c>
      <c r="H916" s="66">
        <v>430</v>
      </c>
      <c r="I916" s="66" t="str">
        <f>H916&amp;"/"&amp;451</f>
        <v>430/451</v>
      </c>
      <c r="J916" s="68">
        <f>H916/451</f>
        <v>0.95343680709534373</v>
      </c>
      <c r="K916" s="18" t="s">
        <v>44</v>
      </c>
      <c r="L916" s="18" t="s">
        <v>45</v>
      </c>
      <c r="M916" s="58" t="s">
        <v>65</v>
      </c>
      <c r="N916" s="18">
        <f>[1]!f_prt_stocktonav(C916,"2017/03/31")</f>
        <v>94.937789916992188</v>
      </c>
      <c r="O916" s="20" t="str">
        <f>[1]!f_info_fundmanager(C916)</f>
        <v>刘天任,单文,黄安乐</v>
      </c>
      <c r="P916" s="21">
        <v>1.821917808219178</v>
      </c>
      <c r="Q916" s="34" t="s">
        <v>1179</v>
      </c>
      <c r="R916" s="34" t="s">
        <v>1180</v>
      </c>
      <c r="S916" s="34" t="s">
        <v>523</v>
      </c>
      <c r="T916" s="34">
        <v>20150605</v>
      </c>
      <c r="U916" s="45">
        <v>70.630324676000001</v>
      </c>
      <c r="V916" s="46">
        <v>77.626754583600004</v>
      </c>
      <c r="W916" s="34" t="s">
        <v>3789</v>
      </c>
      <c r="X916" s="34" t="s">
        <v>44</v>
      </c>
      <c r="Y916" s="34" t="s">
        <v>45</v>
      </c>
      <c r="Z916" s="34" t="s">
        <v>65</v>
      </c>
      <c r="AA916" s="34"/>
      <c r="AB916" s="34"/>
      <c r="AC916" s="22">
        <v>0.94921195983886719</v>
      </c>
      <c r="AD916" s="23" t="s">
        <v>1181</v>
      </c>
      <c r="AE916" s="24">
        <v>1.5917808219178082</v>
      </c>
      <c r="AF916" s="25">
        <v>-0.38779930884229263</v>
      </c>
      <c r="AG916" s="26">
        <v>0</v>
      </c>
      <c r="AH916" s="26">
        <v>0</v>
      </c>
      <c r="AI916" s="27">
        <v>-1.0853541870262788</v>
      </c>
      <c r="AJ916" s="27">
        <v>-1.0853541870262788</v>
      </c>
      <c r="AK916" s="27">
        <v>-1.0853541870262788</v>
      </c>
      <c r="AL916" s="28" t="s">
        <v>489</v>
      </c>
      <c r="AM916" s="29" t="s">
        <v>48</v>
      </c>
      <c r="AN916" s="29" t="s">
        <v>48</v>
      </c>
      <c r="AO916" s="29" t="s">
        <v>48</v>
      </c>
      <c r="AP916" s="47" t="s">
        <v>255</v>
      </c>
      <c r="AQ916" s="28">
        <v>0</v>
      </c>
      <c r="AR916" s="26">
        <v>1.4999999999999999E-2</v>
      </c>
      <c r="AS916" s="26">
        <v>0</v>
      </c>
    </row>
    <row r="917" spans="1:45" x14ac:dyDescent="0.15">
      <c r="A917" s="64">
        <v>874</v>
      </c>
      <c r="B917" s="64">
        <v>141</v>
      </c>
      <c r="C917" s="11">
        <v>163503</v>
      </c>
      <c r="D917" s="61">
        <v>875</v>
      </c>
      <c r="E917" s="61">
        <v>-5.1637148615073201E-3</v>
      </c>
      <c r="F917" s="61">
        <v>96</v>
      </c>
      <c r="G917" s="61">
        <v>3.7938870795770499E-3</v>
      </c>
      <c r="H917" s="66">
        <v>431</v>
      </c>
      <c r="I917" s="66" t="str">
        <f>H917&amp;"/"&amp;451</f>
        <v>431/451</v>
      </c>
      <c r="J917" s="68">
        <f>H917/451</f>
        <v>0.95565410199556544</v>
      </c>
      <c r="K917" s="18" t="s">
        <v>44</v>
      </c>
      <c r="L917" s="18" t="s">
        <v>45</v>
      </c>
      <c r="M917" s="58" t="s">
        <v>65</v>
      </c>
      <c r="N917" s="18">
        <f>[1]!f_prt_stocktonav(C917,"2017/03/31")</f>
        <v>92.898162841796875</v>
      </c>
      <c r="O917" s="20" t="str">
        <f>[1]!f_info_fundmanager(C917)</f>
        <v>许家涵</v>
      </c>
      <c r="P917" s="21">
        <v>1.8301369863013699</v>
      </c>
      <c r="Q917" s="34" t="s">
        <v>3395</v>
      </c>
      <c r="R917" s="34" t="s">
        <v>3396</v>
      </c>
      <c r="S917" s="34" t="s">
        <v>2466</v>
      </c>
      <c r="T917" s="34">
        <v>20060120</v>
      </c>
      <c r="U917" s="45">
        <v>6.4085512348</v>
      </c>
      <c r="V917" s="46">
        <v>6.5004258983999996</v>
      </c>
      <c r="W917" s="34" t="s">
        <v>231</v>
      </c>
      <c r="X917" s="34" t="s">
        <v>44</v>
      </c>
      <c r="Y917" s="34" t="s">
        <v>45</v>
      </c>
      <c r="Z917" s="34" t="s">
        <v>65</v>
      </c>
      <c r="AA917" s="34"/>
      <c r="AB917" s="34"/>
      <c r="AC917" s="22">
        <v>0.76387626647949214</v>
      </c>
      <c r="AD917" s="23" t="s">
        <v>3397</v>
      </c>
      <c r="AE917" s="24">
        <v>1.6</v>
      </c>
      <c r="AF917" s="25">
        <v>9.8424952433189508E-2</v>
      </c>
      <c r="AG917" s="26">
        <v>3.5328725155431728E-2</v>
      </c>
      <c r="AH917" s="26">
        <v>7.6109347060808297E-2</v>
      </c>
      <c r="AI917" s="27">
        <v>0.43363407631555645</v>
      </c>
      <c r="AJ917" s="27">
        <v>0.21258833212349618</v>
      </c>
      <c r="AK917" s="27">
        <v>0.35637018075221055</v>
      </c>
      <c r="AL917" s="28" t="s">
        <v>3398</v>
      </c>
      <c r="AM917" s="29">
        <v>2</v>
      </c>
      <c r="AN917" s="29">
        <v>4</v>
      </c>
      <c r="AO917" s="29" t="s">
        <v>48</v>
      </c>
      <c r="AP917" s="47" t="s">
        <v>3029</v>
      </c>
      <c r="AQ917" s="28">
        <v>0</v>
      </c>
      <c r="AR917" s="26">
        <v>1.2000000476837159E-2</v>
      </c>
      <c r="AS917" s="26">
        <v>0</v>
      </c>
    </row>
    <row r="918" spans="1:45" x14ac:dyDescent="0.15">
      <c r="A918" s="64">
        <v>912</v>
      </c>
      <c r="B918" s="64">
        <v>606</v>
      </c>
      <c r="C918" s="11">
        <v>162204</v>
      </c>
      <c r="D918" s="61">
        <v>877</v>
      </c>
      <c r="E918" s="61">
        <v>-5.2601270580847096E-3</v>
      </c>
      <c r="F918" s="61">
        <v>104</v>
      </c>
      <c r="G918" s="61">
        <v>1.7155817893137601E-3</v>
      </c>
      <c r="H918" s="66">
        <v>432</v>
      </c>
      <c r="I918" s="66" t="str">
        <f>H918&amp;"/"&amp;451</f>
        <v>432/451</v>
      </c>
      <c r="J918" s="68">
        <f>H918/451</f>
        <v>0.95787139689578715</v>
      </c>
      <c r="K918" s="18" t="s">
        <v>44</v>
      </c>
      <c r="L918" s="18" t="s">
        <v>86</v>
      </c>
      <c r="M918" s="58" t="s">
        <v>65</v>
      </c>
      <c r="N918" s="18">
        <f>[1]!f_prt_stocktonav(C918,"2017/03/31")</f>
        <v>82.773185729980469</v>
      </c>
      <c r="O918" s="20" t="str">
        <f>[1]!f_info_fundmanager(C918)</f>
        <v>陈丹琳</v>
      </c>
      <c r="P918" s="21">
        <v>1.9945205479452055</v>
      </c>
      <c r="Q918" s="34" t="s">
        <v>3542</v>
      </c>
      <c r="R918" s="34" t="s">
        <v>3543</v>
      </c>
      <c r="S918" s="34" t="s">
        <v>263</v>
      </c>
      <c r="T918" s="34">
        <v>20040709</v>
      </c>
      <c r="U918" s="45">
        <v>4.4082682979000003</v>
      </c>
      <c r="V918" s="46">
        <v>4.7226357765999998</v>
      </c>
      <c r="W918" s="34" t="s">
        <v>231</v>
      </c>
      <c r="X918" s="34" t="s">
        <v>44</v>
      </c>
      <c r="Y918" s="34" t="s">
        <v>45</v>
      </c>
      <c r="Z918" s="34" t="s">
        <v>65</v>
      </c>
      <c r="AA918" s="34"/>
      <c r="AB918" s="34"/>
      <c r="AC918" s="22">
        <v>0.83119033813476562</v>
      </c>
      <c r="AD918" s="23" t="s">
        <v>1192</v>
      </c>
      <c r="AE918" s="24">
        <v>1.7643835616438357</v>
      </c>
      <c r="AF918" s="25">
        <v>0.1331594214436651</v>
      </c>
      <c r="AG918" s="26">
        <v>-4.804747579160229E-2</v>
      </c>
      <c r="AH918" s="26">
        <v>1.1632963146644304E-2</v>
      </c>
      <c r="AI918" s="27">
        <v>0.55472197212804797</v>
      </c>
      <c r="AJ918" s="27">
        <v>-7.8479498783193491E-2</v>
      </c>
      <c r="AK918" s="27">
        <v>0.12078698135907825</v>
      </c>
      <c r="AL918" s="28" t="s">
        <v>3544</v>
      </c>
      <c r="AM918" s="29">
        <v>1</v>
      </c>
      <c r="AN918" s="29">
        <v>1</v>
      </c>
      <c r="AO918" s="29" t="s">
        <v>48</v>
      </c>
      <c r="AP918" s="47" t="s">
        <v>2772</v>
      </c>
      <c r="AQ918" s="28">
        <v>0</v>
      </c>
      <c r="AR918" s="26">
        <v>1.4999999999999999E-2</v>
      </c>
      <c r="AS918" s="26">
        <v>0</v>
      </c>
    </row>
    <row r="919" spans="1:45" x14ac:dyDescent="0.15">
      <c r="A919" s="64">
        <v>794</v>
      </c>
      <c r="B919" s="64">
        <v>602</v>
      </c>
      <c r="C919" s="11">
        <v>481006</v>
      </c>
      <c r="D919" s="61">
        <v>880</v>
      </c>
      <c r="E919" s="61">
        <v>-5.3405000418708702E-3</v>
      </c>
      <c r="F919" s="61">
        <v>167</v>
      </c>
      <c r="G919" s="61">
        <v>1.52094185934126E-4</v>
      </c>
      <c r="H919" s="66">
        <v>433</v>
      </c>
      <c r="I919" s="66" t="str">
        <f>H919&amp;"/"&amp;451</f>
        <v>433/451</v>
      </c>
      <c r="J919" s="68">
        <f>H919/451</f>
        <v>0.96008869179600886</v>
      </c>
      <c r="K919" s="18" t="s">
        <v>44</v>
      </c>
      <c r="L919" s="18" t="s">
        <v>87</v>
      </c>
      <c r="M919" s="58" t="s">
        <v>65</v>
      </c>
      <c r="N919" s="18">
        <f>[1]!f_prt_stocktonav(C919,"2017/03/31")</f>
        <v>82.887054443359375</v>
      </c>
      <c r="O919" s="20" t="str">
        <f>[1]!f_info_fundmanager(C919)</f>
        <v>宋炳珅,杨柯,林念</v>
      </c>
      <c r="P919" s="21">
        <v>3.1945205479452055</v>
      </c>
      <c r="Q919" s="34" t="s">
        <v>3100</v>
      </c>
      <c r="R919" s="34" t="s">
        <v>3101</v>
      </c>
      <c r="S919" s="34" t="s">
        <v>523</v>
      </c>
      <c r="T919" s="34">
        <v>20070718</v>
      </c>
      <c r="U919" s="45">
        <v>5.6653449259000004</v>
      </c>
      <c r="V919" s="46">
        <v>5.9870262465000001</v>
      </c>
      <c r="W919" s="34" t="s">
        <v>231</v>
      </c>
      <c r="X919" s="34" t="s">
        <v>44</v>
      </c>
      <c r="Y919" s="34" t="s">
        <v>45</v>
      </c>
      <c r="Z919" s="34" t="s">
        <v>274</v>
      </c>
      <c r="AA919" s="34"/>
      <c r="AB919" s="34"/>
      <c r="AC919" s="22">
        <v>0.87156600952148433</v>
      </c>
      <c r="AD919" s="23" t="s">
        <v>3102</v>
      </c>
      <c r="AE919" s="24">
        <v>2.9643835616438357</v>
      </c>
      <c r="AF919" s="25">
        <v>-2.2927522404844525E-2</v>
      </c>
      <c r="AG919" s="26">
        <v>1.6872969242497371E-2</v>
      </c>
      <c r="AH919" s="26">
        <v>-8.950359150155629E-3</v>
      </c>
      <c r="AI919" s="27">
        <v>-8.5422550334644225E-3</v>
      </c>
      <c r="AJ919" s="27">
        <v>0.1943264523841656</v>
      </c>
      <c r="AK919" s="27">
        <v>5.4656762951501868E-2</v>
      </c>
      <c r="AL919" s="28" t="s">
        <v>3103</v>
      </c>
      <c r="AM919" s="29">
        <v>1</v>
      </c>
      <c r="AN919" s="29">
        <v>1</v>
      </c>
      <c r="AO919" s="29" t="s">
        <v>48</v>
      </c>
      <c r="AP919" s="47" t="s">
        <v>255</v>
      </c>
      <c r="AQ919" s="28">
        <v>0</v>
      </c>
      <c r="AR919" s="26">
        <v>1.4999999999999999E-2</v>
      </c>
      <c r="AS919" s="26">
        <v>0</v>
      </c>
    </row>
    <row r="920" spans="1:45" x14ac:dyDescent="0.15">
      <c r="A920" s="64">
        <v>678</v>
      </c>
      <c r="B920" s="64">
        <v>748</v>
      </c>
      <c r="C920" s="11">
        <v>519026</v>
      </c>
      <c r="D920" s="61">
        <v>883</v>
      </c>
      <c r="E920" s="61">
        <v>-5.4105221863601496E-3</v>
      </c>
      <c r="F920" s="61">
        <v>119</v>
      </c>
      <c r="G920" s="61">
        <v>2.29258838724316E-2</v>
      </c>
      <c r="H920" s="66">
        <v>434</v>
      </c>
      <c r="I920" s="66" t="str">
        <f>H920&amp;"/"&amp;451</f>
        <v>434/451</v>
      </c>
      <c r="J920" s="68">
        <f>H920/451</f>
        <v>0.96230598669623058</v>
      </c>
      <c r="K920" s="18" t="s">
        <v>44</v>
      </c>
      <c r="L920" s="18" t="s">
        <v>45</v>
      </c>
      <c r="M920" s="58" t="s">
        <v>65</v>
      </c>
      <c r="N920" s="18">
        <f>[1]!f_prt_stocktonav(C920,"2017/03/31")</f>
        <v>78.423149108886719</v>
      </c>
      <c r="O920" s="20" t="str">
        <f>[1]!f_info_fundmanager(C920)</f>
        <v>黄峰</v>
      </c>
      <c r="P920" s="21">
        <v>2.2876712328767121</v>
      </c>
      <c r="Q920" s="34" t="s">
        <v>2714</v>
      </c>
      <c r="R920" s="34" t="s">
        <v>2715</v>
      </c>
      <c r="S920" s="34" t="s">
        <v>496</v>
      </c>
      <c r="T920" s="34">
        <v>20100414</v>
      </c>
      <c r="U920" s="45">
        <v>1.5579119815</v>
      </c>
      <c r="V920" s="46">
        <v>1.6717973370999999</v>
      </c>
      <c r="W920" s="34" t="s">
        <v>3776</v>
      </c>
      <c r="X920" s="34" t="s">
        <v>44</v>
      </c>
      <c r="Y920" s="34" t="s">
        <v>45</v>
      </c>
      <c r="Z920" s="34" t="s">
        <v>65</v>
      </c>
      <c r="AA920" s="34"/>
      <c r="AB920" s="34"/>
      <c r="AC920" s="22">
        <v>0.76952148437500001</v>
      </c>
      <c r="AD920" s="23" t="s">
        <v>2036</v>
      </c>
      <c r="AE920" s="24">
        <v>2.0575342465753423</v>
      </c>
      <c r="AF920" s="25">
        <v>-2.3541453491289555E-2</v>
      </c>
      <c r="AG920" s="26">
        <v>-6.6689602613099752E-2</v>
      </c>
      <c r="AH920" s="26">
        <v>-5.7673974472919332E-3</v>
      </c>
      <c r="AI920" s="27">
        <v>-2.4132840189436421E-3</v>
      </c>
      <c r="AJ920" s="27">
        <v>-0.10088308141043344</v>
      </c>
      <c r="AK920" s="27">
        <v>7.7973108813674891E-2</v>
      </c>
      <c r="AL920" s="28" t="s">
        <v>2414</v>
      </c>
      <c r="AM920" s="29">
        <v>1</v>
      </c>
      <c r="AN920" s="29">
        <v>1</v>
      </c>
      <c r="AO920" s="29" t="s">
        <v>48</v>
      </c>
      <c r="AP920" s="47" t="s">
        <v>310</v>
      </c>
      <c r="AQ920" s="28">
        <v>0</v>
      </c>
      <c r="AR920" s="26">
        <v>1.4999999999999999E-2</v>
      </c>
      <c r="AS920" s="26">
        <v>0</v>
      </c>
    </row>
    <row r="921" spans="1:45" x14ac:dyDescent="0.15">
      <c r="A921" s="64">
        <v>752</v>
      </c>
      <c r="B921" s="64">
        <v>729</v>
      </c>
      <c r="C921" s="11">
        <v>260111</v>
      </c>
      <c r="D921" s="61">
        <v>884</v>
      </c>
      <c r="E921" s="61">
        <v>-5.4554163370962097E-3</v>
      </c>
      <c r="F921" s="61">
        <v>114</v>
      </c>
      <c r="G921" s="61">
        <v>8.94122198878213E-3</v>
      </c>
      <c r="H921" s="66">
        <v>435</v>
      </c>
      <c r="I921" s="66" t="str">
        <f>H921&amp;"/"&amp;451</f>
        <v>435/451</v>
      </c>
      <c r="J921" s="68">
        <f>H921/451</f>
        <v>0.96452328159645229</v>
      </c>
      <c r="K921" s="18" t="s">
        <v>44</v>
      </c>
      <c r="L921" s="18" t="s">
        <v>45</v>
      </c>
      <c r="M921" s="58" t="s">
        <v>65</v>
      </c>
      <c r="N921" s="18">
        <f>[1]!f_prt_stocktonav(C921,"2017/03/31")</f>
        <v>79.089828491210938</v>
      </c>
      <c r="O921" s="20" t="str">
        <f>[1]!f_info_fundmanager(C921)</f>
        <v>江科宏,徐喻军,万梦</v>
      </c>
      <c r="P921" s="21">
        <v>2.1753424657534248</v>
      </c>
      <c r="Q921" s="34" t="s">
        <v>2958</v>
      </c>
      <c r="R921" s="34" t="s">
        <v>2959</v>
      </c>
      <c r="S921" s="34" t="s">
        <v>353</v>
      </c>
      <c r="T921" s="34">
        <v>20081022</v>
      </c>
      <c r="U921" s="45">
        <v>1.5793739111</v>
      </c>
      <c r="V921" s="46">
        <v>0.41199766789999998</v>
      </c>
      <c r="W921" s="34" t="s">
        <v>231</v>
      </c>
      <c r="X921" s="34" t="s">
        <v>41</v>
      </c>
      <c r="Y921" s="17" t="s">
        <v>42</v>
      </c>
      <c r="Z921" s="17" t="s">
        <v>181</v>
      </c>
      <c r="AA921" s="34"/>
      <c r="AB921" s="34"/>
      <c r="AC921" s="22">
        <v>0.67831039428710938</v>
      </c>
      <c r="AD921" s="23" t="s">
        <v>1825</v>
      </c>
      <c r="AE921" s="24">
        <v>1.9452054794520548</v>
      </c>
      <c r="AF921" s="25">
        <v>6.1134176119019612E-2</v>
      </c>
      <c r="AG921" s="26">
        <v>5.8446584782388067E-2</v>
      </c>
      <c r="AH921" s="26">
        <v>6.493991447255576E-2</v>
      </c>
      <c r="AI921" s="27">
        <v>0.30176535837555529</v>
      </c>
      <c r="AJ921" s="27">
        <v>0.30303516789120671</v>
      </c>
      <c r="AK921" s="27">
        <v>0.31291799412988208</v>
      </c>
      <c r="AL921" s="28" t="s">
        <v>957</v>
      </c>
      <c r="AM921" s="29">
        <v>2</v>
      </c>
      <c r="AN921" s="29">
        <v>1</v>
      </c>
      <c r="AO921" s="29" t="s">
        <v>48</v>
      </c>
      <c r="AP921" s="47" t="s">
        <v>2920</v>
      </c>
      <c r="AQ921" s="28">
        <v>0</v>
      </c>
      <c r="AR921" s="26">
        <v>1.4999999999999999E-2</v>
      </c>
      <c r="AS921" s="26">
        <v>0</v>
      </c>
    </row>
    <row r="922" spans="1:45" x14ac:dyDescent="0.15">
      <c r="A922" s="64">
        <v>363</v>
      </c>
      <c r="B922" s="64">
        <v>922</v>
      </c>
      <c r="C922" s="11">
        <v>767</v>
      </c>
      <c r="D922" s="61">
        <v>887</v>
      </c>
      <c r="E922" s="61">
        <v>-5.48491723862454E-3</v>
      </c>
      <c r="F922" s="61">
        <v>110</v>
      </c>
      <c r="G922" s="61">
        <v>5.2219526047912398E-2</v>
      </c>
      <c r="H922" s="66">
        <v>436</v>
      </c>
      <c r="I922" s="66" t="str">
        <f>H922&amp;"/"&amp;451</f>
        <v>436/451</v>
      </c>
      <c r="J922" s="68">
        <f>H922/451</f>
        <v>0.96674057649667411</v>
      </c>
      <c r="K922" s="18" t="s">
        <v>44</v>
      </c>
      <c r="L922" s="18" t="s">
        <v>45</v>
      </c>
      <c r="M922" s="58" t="s">
        <v>65</v>
      </c>
      <c r="N922" s="18">
        <f>[1]!f_prt_stocktonav(C922,"2017/03/31")</f>
        <v>71.633499145507813</v>
      </c>
      <c r="O922" s="20" t="str">
        <f>[1]!f_info_fundmanager(C922)</f>
        <v>龚炜,张亮</v>
      </c>
      <c r="P922" s="21">
        <v>2.1534246575342464</v>
      </c>
      <c r="Q922" s="34" t="s">
        <v>1594</v>
      </c>
      <c r="R922" s="34" t="s">
        <v>1595</v>
      </c>
      <c r="S922" s="34" t="s">
        <v>1000</v>
      </c>
      <c r="T922" s="34">
        <v>20150204</v>
      </c>
      <c r="U922" s="45">
        <v>1.8009202069000001</v>
      </c>
      <c r="V922" s="46">
        <v>1.9207464151</v>
      </c>
      <c r="W922" s="34" t="s">
        <v>201</v>
      </c>
      <c r="X922" s="34" t="s">
        <v>41</v>
      </c>
      <c r="Y922" s="34" t="s">
        <v>42</v>
      </c>
      <c r="Z922" s="34" t="s">
        <v>181</v>
      </c>
      <c r="AA922" s="34"/>
      <c r="AB922" s="34"/>
      <c r="AC922" s="22">
        <v>0.66811836242675782</v>
      </c>
      <c r="AD922" s="23" t="s">
        <v>1596</v>
      </c>
      <c r="AE922" s="24">
        <v>1.9232876712328768</v>
      </c>
      <c r="AF922" s="25">
        <v>-1.4231317232988649E-2</v>
      </c>
      <c r="AG922" s="26">
        <v>0</v>
      </c>
      <c r="AH922" s="26">
        <v>0</v>
      </c>
      <c r="AI922" s="27">
        <v>0.11046981683633429</v>
      </c>
      <c r="AJ922" s="27">
        <v>0.11046981683633429</v>
      </c>
      <c r="AK922" s="27">
        <v>0.11046981683633429</v>
      </c>
      <c r="AL922" s="28" t="s">
        <v>720</v>
      </c>
      <c r="AM922" s="29" t="s">
        <v>48</v>
      </c>
      <c r="AN922" s="29" t="s">
        <v>48</v>
      </c>
      <c r="AO922" s="29" t="s">
        <v>48</v>
      </c>
      <c r="AP922" s="47" t="s">
        <v>1002</v>
      </c>
      <c r="AQ922" s="28">
        <v>0</v>
      </c>
      <c r="AR922" s="26">
        <v>1.4999999999999999E-2</v>
      </c>
      <c r="AS922" s="26">
        <v>0</v>
      </c>
    </row>
    <row r="923" spans="1:45" x14ac:dyDescent="0.15">
      <c r="A923" s="64">
        <v>481</v>
      </c>
      <c r="B923" s="64">
        <v>56</v>
      </c>
      <c r="C923" s="11">
        <v>519056</v>
      </c>
      <c r="D923" s="61">
        <v>888</v>
      </c>
      <c r="E923" s="61">
        <v>-5.4855727491276603E-3</v>
      </c>
      <c r="F923" s="61">
        <v>119</v>
      </c>
      <c r="G923" s="61">
        <v>3.7902619526940497E-2</v>
      </c>
      <c r="H923" s="66">
        <v>437</v>
      </c>
      <c r="I923" s="66" t="str">
        <f>H923&amp;"/"&amp;451</f>
        <v>437/451</v>
      </c>
      <c r="J923" s="68">
        <f>H923/451</f>
        <v>0.96895787139689582</v>
      </c>
      <c r="K923" s="18" t="s">
        <v>44</v>
      </c>
      <c r="L923" s="18" t="s">
        <v>45</v>
      </c>
      <c r="M923" s="58" t="s">
        <v>65</v>
      </c>
      <c r="N923" s="18">
        <f>[1]!f_prt_stocktonav(C923,"2017/03/31")</f>
        <v>94.253158569335938</v>
      </c>
      <c r="O923" s="20" t="str">
        <f>[1]!f_info_fundmanager(C923)</f>
        <v>黄峰</v>
      </c>
      <c r="P923" s="21">
        <v>2.2876712328767121</v>
      </c>
      <c r="Q923" s="34" t="s">
        <v>2034</v>
      </c>
      <c r="R923" s="34" t="s">
        <v>2035</v>
      </c>
      <c r="S923" s="34" t="s">
        <v>496</v>
      </c>
      <c r="T923" s="34">
        <v>20131219</v>
      </c>
      <c r="U923" s="45">
        <v>0.2926273036</v>
      </c>
      <c r="V923" s="46">
        <v>0.32135885060000002</v>
      </c>
      <c r="W923" s="34" t="s">
        <v>3776</v>
      </c>
      <c r="X923" s="34" t="s">
        <v>44</v>
      </c>
      <c r="Y923" s="34" t="s">
        <v>45</v>
      </c>
      <c r="Z923" s="34" t="s">
        <v>65</v>
      </c>
      <c r="AA923" s="34"/>
      <c r="AB923" s="34"/>
      <c r="AC923" s="22">
        <v>0.87981735229492186</v>
      </c>
      <c r="AD923" s="23" t="s">
        <v>2036</v>
      </c>
      <c r="AE923" s="24">
        <v>2.0575342465753423</v>
      </c>
      <c r="AF923" s="25">
        <v>-4.0841947423156943E-2</v>
      </c>
      <c r="AG923" s="26">
        <v>-4.5471673476091157E-2</v>
      </c>
      <c r="AH923" s="26">
        <v>0</v>
      </c>
      <c r="AI923" s="27">
        <v>2.0122706109339205E-2</v>
      </c>
      <c r="AJ923" s="27">
        <v>-2.1207117852661238E-2</v>
      </c>
      <c r="AK923" s="27">
        <v>2.0122706109339205E-2</v>
      </c>
      <c r="AL923" s="28" t="s">
        <v>2037</v>
      </c>
      <c r="AM923" s="29" t="s">
        <v>48</v>
      </c>
      <c r="AN923" s="29" t="s">
        <v>48</v>
      </c>
      <c r="AO923" s="29" t="s">
        <v>48</v>
      </c>
      <c r="AP923" s="47" t="s">
        <v>310</v>
      </c>
      <c r="AQ923" s="28">
        <v>0</v>
      </c>
      <c r="AR923" s="26">
        <v>1.4999999999999999E-2</v>
      </c>
      <c r="AS923" s="26">
        <v>0</v>
      </c>
    </row>
    <row r="924" spans="1:45" x14ac:dyDescent="0.15">
      <c r="A924" s="64">
        <v>437</v>
      </c>
      <c r="B924" s="64">
        <v>462</v>
      </c>
      <c r="C924" s="11">
        <v>519918</v>
      </c>
      <c r="D924" s="61">
        <v>890</v>
      </c>
      <c r="E924" s="61">
        <v>-5.5409719941105296E-3</v>
      </c>
      <c r="F924" s="61">
        <v>33</v>
      </c>
      <c r="G924" s="61">
        <v>3.1333402744186202E-2</v>
      </c>
      <c r="H924" s="66">
        <v>438</v>
      </c>
      <c r="I924" s="66" t="str">
        <f>H924&amp;"/"&amp;451</f>
        <v>438/451</v>
      </c>
      <c r="J924" s="68">
        <f>H924/451</f>
        <v>0.97117516629711753</v>
      </c>
      <c r="K924" s="18" t="s">
        <v>44</v>
      </c>
      <c r="L924" s="18" t="s">
        <v>45</v>
      </c>
      <c r="M924" s="58" t="s">
        <v>65</v>
      </c>
      <c r="N924" s="18">
        <f>[1]!f_prt_stocktonav(C924,"2017/03/31")</f>
        <v>86.059112548828125</v>
      </c>
      <c r="O924" s="20" t="str">
        <f>[1]!f_info_fundmanager(C924)</f>
        <v>佟巍</v>
      </c>
      <c r="P924" s="21">
        <v>0.61643835616438358</v>
      </c>
      <c r="Q924" s="34" t="s">
        <v>1870</v>
      </c>
      <c r="R924" s="34" t="s">
        <v>1871</v>
      </c>
      <c r="S924" s="34" t="s">
        <v>143</v>
      </c>
      <c r="T924" s="34">
        <v>20140530</v>
      </c>
      <c r="U924" s="45">
        <v>6.7338963261</v>
      </c>
      <c r="V924" s="46">
        <v>7.0618641200000001</v>
      </c>
      <c r="W924" s="34" t="s">
        <v>3776</v>
      </c>
      <c r="X924" s="34" t="s">
        <v>44</v>
      </c>
      <c r="Y924" s="34" t="s">
        <v>45</v>
      </c>
      <c r="Z924" s="34" t="s">
        <v>65</v>
      </c>
      <c r="AA924" s="34"/>
      <c r="AB924" s="34"/>
      <c r="AC924" s="22">
        <v>0.79260910034179688</v>
      </c>
      <c r="AD924" s="23" t="s">
        <v>1872</v>
      </c>
      <c r="AE924" s="24">
        <v>0.38630136986301372</v>
      </c>
      <c r="AF924" s="25">
        <v>0.14372911936023081</v>
      </c>
      <c r="AG924" s="26">
        <v>0</v>
      </c>
      <c r="AH924" s="26">
        <v>0</v>
      </c>
      <c r="AI924" s="27">
        <v>0.50988850150451481</v>
      </c>
      <c r="AJ924" s="27">
        <v>0.50988850150451481</v>
      </c>
      <c r="AK924" s="27">
        <v>0.50988850150451481</v>
      </c>
      <c r="AL924" s="28" t="s">
        <v>882</v>
      </c>
      <c r="AM924" s="29">
        <v>4</v>
      </c>
      <c r="AN924" s="29">
        <v>3</v>
      </c>
      <c r="AO924" s="29" t="s">
        <v>48</v>
      </c>
      <c r="AP924" s="47" t="s">
        <v>1873</v>
      </c>
      <c r="AQ924" s="28">
        <v>0</v>
      </c>
      <c r="AR924" s="26">
        <v>1.4999999999999999E-2</v>
      </c>
      <c r="AS924" s="26">
        <v>0</v>
      </c>
    </row>
    <row r="925" spans="1:45" x14ac:dyDescent="0.15">
      <c r="A925" s="64">
        <v>439</v>
      </c>
      <c r="B925" s="64">
        <v>387</v>
      </c>
      <c r="C925" s="11">
        <v>591</v>
      </c>
      <c r="D925" s="61">
        <v>895</v>
      </c>
      <c r="E925" s="61">
        <v>-5.7218632805532098E-3</v>
      </c>
      <c r="F925" s="61">
        <v>21</v>
      </c>
      <c r="G925" s="61">
        <v>2.27559712693669E-2</v>
      </c>
      <c r="H925" s="66">
        <v>439</v>
      </c>
      <c r="I925" s="66" t="str">
        <f>H925&amp;"/"&amp;451</f>
        <v>439/451</v>
      </c>
      <c r="J925" s="68">
        <f>H925/451</f>
        <v>0.97339246119733924</v>
      </c>
      <c r="K925" s="18" t="s">
        <v>44</v>
      </c>
      <c r="L925" s="18" t="s">
        <v>45</v>
      </c>
      <c r="M925" s="58" t="s">
        <v>65</v>
      </c>
      <c r="N925" s="18">
        <f>[1]!f_prt_stocktonav(C925,"2017/03/31")</f>
        <v>87.752601623535156</v>
      </c>
      <c r="O925" s="20" t="str">
        <f>[1]!f_info_fundmanager(C925)</f>
        <v>辜岚</v>
      </c>
      <c r="P925" s="21">
        <v>0.39178082191780822</v>
      </c>
      <c r="Q925" s="34" t="s">
        <v>1878</v>
      </c>
      <c r="R925" s="34" t="s">
        <v>1879</v>
      </c>
      <c r="S925" s="34" t="s">
        <v>71</v>
      </c>
      <c r="T925" s="34">
        <v>20140520</v>
      </c>
      <c r="U925" s="45">
        <v>0.9006894781</v>
      </c>
      <c r="V925" s="46">
        <v>0.91444570749999998</v>
      </c>
      <c r="W925" s="34" t="s">
        <v>3776</v>
      </c>
      <c r="X925" s="34" t="s">
        <v>44</v>
      </c>
      <c r="Y925" s="34" t="s">
        <v>45</v>
      </c>
      <c r="Z925" s="34" t="s">
        <v>65</v>
      </c>
      <c r="AA925" s="34"/>
      <c r="AB925" s="34"/>
      <c r="AC925" s="22">
        <v>0.84965850830078127</v>
      </c>
      <c r="AD925" s="23" t="s">
        <v>1449</v>
      </c>
      <c r="AE925" s="24">
        <v>0.16164383561643836</v>
      </c>
      <c r="AF925" s="25">
        <v>0.14094379791711797</v>
      </c>
      <c r="AG925" s="26">
        <v>0</v>
      </c>
      <c r="AH925" s="26">
        <v>0</v>
      </c>
      <c r="AI925" s="27">
        <v>0.53709239566608291</v>
      </c>
      <c r="AJ925" s="27">
        <v>0.53709239566608291</v>
      </c>
      <c r="AK925" s="27">
        <v>0.53709239566608291</v>
      </c>
      <c r="AL925" s="28" t="s">
        <v>167</v>
      </c>
      <c r="AM925" s="29" t="s">
        <v>48</v>
      </c>
      <c r="AN925" s="29" t="s">
        <v>48</v>
      </c>
      <c r="AO925" s="29" t="s">
        <v>48</v>
      </c>
      <c r="AP925" s="47" t="s">
        <v>845</v>
      </c>
      <c r="AQ925" s="28">
        <v>0</v>
      </c>
      <c r="AR925" s="26">
        <v>1.4999999999999999E-2</v>
      </c>
      <c r="AS925" s="26">
        <v>0</v>
      </c>
    </row>
    <row r="926" spans="1:45" x14ac:dyDescent="0.15">
      <c r="A926" s="64">
        <v>255</v>
      </c>
      <c r="B926" s="64">
        <v>600</v>
      </c>
      <c r="C926" s="11">
        <v>1297</v>
      </c>
      <c r="D926" s="61">
        <v>899</v>
      </c>
      <c r="E926" s="61">
        <v>-5.9197956526344103E-3</v>
      </c>
      <c r="F926" s="61">
        <v>35</v>
      </c>
      <c r="G926" s="61">
        <v>2.6135276164949699E-2</v>
      </c>
      <c r="H926" s="66">
        <v>440</v>
      </c>
      <c r="I926" s="66" t="str">
        <f>H926&amp;"/"&amp;451</f>
        <v>440/451</v>
      </c>
      <c r="J926" s="68">
        <f>H926/451</f>
        <v>0.97560975609756095</v>
      </c>
      <c r="K926" s="18" t="s">
        <v>44</v>
      </c>
      <c r="L926" s="18" t="s">
        <v>45</v>
      </c>
      <c r="M926" s="58" t="s">
        <v>65</v>
      </c>
      <c r="N926" s="18">
        <f>[1]!f_prt_stocktonav(C926,"2017/03/31")</f>
        <v>82.902908325195313</v>
      </c>
      <c r="O926" s="20" t="str">
        <f>[1]!f_info_fundmanager(C926)</f>
        <v>神爱前</v>
      </c>
      <c r="P926" s="21">
        <v>0.66027397260273968</v>
      </c>
      <c r="Q926" s="34" t="s">
        <v>1176</v>
      </c>
      <c r="R926" s="34" t="s">
        <v>1177</v>
      </c>
      <c r="S926" s="34" t="s">
        <v>344</v>
      </c>
      <c r="T926" s="34">
        <v>20150609</v>
      </c>
      <c r="U926" s="45">
        <v>7.3455000638000003</v>
      </c>
      <c r="V926" s="46">
        <v>8.4344740899000001</v>
      </c>
      <c r="W926" s="34" t="s">
        <v>3789</v>
      </c>
      <c r="X926" s="34" t="s">
        <v>44</v>
      </c>
      <c r="Y926" s="34" t="s">
        <v>45</v>
      </c>
      <c r="Z926" s="34" t="s">
        <v>65</v>
      </c>
      <c r="AA926" s="34"/>
      <c r="AB926" s="34"/>
      <c r="AC926" s="22">
        <v>0.76855781555175784</v>
      </c>
      <c r="AD926" s="23" t="s">
        <v>1178</v>
      </c>
      <c r="AE926" s="24">
        <v>0.43013698630136987</v>
      </c>
      <c r="AF926" s="25">
        <v>-0.31636268783081223</v>
      </c>
      <c r="AG926" s="26">
        <v>0</v>
      </c>
      <c r="AH926" s="26">
        <v>0</v>
      </c>
      <c r="AI926" s="27">
        <v>-1.0850391888953219</v>
      </c>
      <c r="AJ926" s="27">
        <v>-1.0850391888953219</v>
      </c>
      <c r="AK926" s="27">
        <v>-1.0850391888953219</v>
      </c>
      <c r="AL926" s="28" t="s">
        <v>208</v>
      </c>
      <c r="AM926" s="29" t="s">
        <v>48</v>
      </c>
      <c r="AN926" s="29" t="s">
        <v>48</v>
      </c>
      <c r="AO926" s="29" t="s">
        <v>48</v>
      </c>
      <c r="AP926" s="47" t="s">
        <v>334</v>
      </c>
      <c r="AQ926" s="28">
        <v>0</v>
      </c>
      <c r="AR926" s="26">
        <v>1.4999999999999999E-2</v>
      </c>
      <c r="AS926" s="26">
        <v>0</v>
      </c>
    </row>
    <row r="927" spans="1:45" x14ac:dyDescent="0.15">
      <c r="A927" s="64">
        <v>777</v>
      </c>
      <c r="B927" s="64">
        <v>207</v>
      </c>
      <c r="C927" s="11">
        <v>213008</v>
      </c>
      <c r="D927" s="61">
        <v>900</v>
      </c>
      <c r="E927" s="61">
        <v>-5.9386229735381296E-3</v>
      </c>
      <c r="F927" s="61">
        <v>13</v>
      </c>
      <c r="G927" s="61">
        <v>1.9332955135346601E-2</v>
      </c>
      <c r="H927" s="66">
        <v>441</v>
      </c>
      <c r="I927" s="66" t="str">
        <f>H927&amp;"/"&amp;451</f>
        <v>441/451</v>
      </c>
      <c r="J927" s="68">
        <f>H927/451</f>
        <v>0.97782705099778267</v>
      </c>
      <c r="K927" s="18" t="s">
        <v>44</v>
      </c>
      <c r="L927" s="18" t="s">
        <v>45</v>
      </c>
      <c r="M927" s="58" t="s">
        <v>65</v>
      </c>
      <c r="N927" s="18">
        <f>[1]!f_prt_stocktonav(C927,"2017/03/31")</f>
        <v>91.647598266601563</v>
      </c>
      <c r="O927" s="20" t="str">
        <f>[1]!f_info_fundmanager(C927)</f>
        <v>易祚兴</v>
      </c>
      <c r="P927" s="21">
        <v>0.23561643835616439</v>
      </c>
      <c r="Q927" s="34" t="s">
        <v>3039</v>
      </c>
      <c r="R927" s="34" t="s">
        <v>3040</v>
      </c>
      <c r="S927" s="34" t="s">
        <v>402</v>
      </c>
      <c r="T927" s="34">
        <v>20080415</v>
      </c>
      <c r="U927" s="45">
        <v>42.891789668800001</v>
      </c>
      <c r="V927" s="46">
        <v>48.107929028199997</v>
      </c>
      <c r="W927" s="34" t="s">
        <v>231</v>
      </c>
      <c r="X927" s="34" t="s">
        <v>44</v>
      </c>
      <c r="Y927" s="34" t="s">
        <v>45</v>
      </c>
      <c r="Z927" s="34" t="s">
        <v>274</v>
      </c>
      <c r="AA927" s="34"/>
      <c r="AB927" s="34"/>
      <c r="AC927" s="22">
        <v>0.94585861206054689</v>
      </c>
      <c r="AD927" s="23" t="s">
        <v>3041</v>
      </c>
      <c r="AE927" s="24">
        <v>6.1753424657534248</v>
      </c>
      <c r="AF927" s="25">
        <v>0.11419699560823669</v>
      </c>
      <c r="AG927" s="26">
        <v>0.21757925136277698</v>
      </c>
      <c r="AH927" s="26">
        <v>0.21119099007198661</v>
      </c>
      <c r="AI927" s="27">
        <v>0.45956196120712212</v>
      </c>
      <c r="AJ927" s="27">
        <v>0.65944926071023524</v>
      </c>
      <c r="AK927" s="27">
        <v>0.69856979015811627</v>
      </c>
      <c r="AL927" s="28" t="s">
        <v>2463</v>
      </c>
      <c r="AM927" s="29">
        <v>5</v>
      </c>
      <c r="AN927" s="29">
        <v>3</v>
      </c>
      <c r="AO927" s="29" t="s">
        <v>48</v>
      </c>
      <c r="AP927" s="47" t="s">
        <v>287</v>
      </c>
      <c r="AQ927" s="28" t="s">
        <v>2221</v>
      </c>
      <c r="AR927" s="26">
        <v>1.4999999999999999E-2</v>
      </c>
      <c r="AS927" s="26">
        <v>0</v>
      </c>
    </row>
    <row r="928" spans="1:45" x14ac:dyDescent="0.15">
      <c r="A928" s="64">
        <v>270</v>
      </c>
      <c r="B928" s="64">
        <v>639</v>
      </c>
      <c r="C928" s="11">
        <v>1195</v>
      </c>
      <c r="D928" s="61">
        <v>906</v>
      </c>
      <c r="E928" s="61">
        <v>-6.1519573651661304E-3</v>
      </c>
      <c r="F928" s="61">
        <v>94</v>
      </c>
      <c r="G928" s="61">
        <v>7.54251399668224E-3</v>
      </c>
      <c r="H928" s="66">
        <v>442</v>
      </c>
      <c r="I928" s="66" t="str">
        <f>H928&amp;"/"&amp;451</f>
        <v>442/451</v>
      </c>
      <c r="J928" s="68">
        <f>H928/451</f>
        <v>0.98004434589800449</v>
      </c>
      <c r="K928" s="18" t="s">
        <v>44</v>
      </c>
      <c r="L928" s="18" t="s">
        <v>45</v>
      </c>
      <c r="M928" s="58" t="s">
        <v>65</v>
      </c>
      <c r="N928" s="18">
        <f>[1]!f_prt_stocktonav(C928,"2017/03/31")</f>
        <v>81.869415283203125</v>
      </c>
      <c r="O928" s="20" t="str">
        <f>[1]!f_info_fundmanager(C928)</f>
        <v>杨柯</v>
      </c>
      <c r="P928" s="21">
        <v>1.8493150684931507</v>
      </c>
      <c r="Q928" s="34" t="s">
        <v>1243</v>
      </c>
      <c r="R928" s="34" t="s">
        <v>1244</v>
      </c>
      <c r="S928" s="34" t="s">
        <v>523</v>
      </c>
      <c r="T928" s="34">
        <v>20150526</v>
      </c>
      <c r="U928" s="45">
        <v>9.5681586814999999</v>
      </c>
      <c r="V928" s="46">
        <v>9.9549527572999992</v>
      </c>
      <c r="W928" s="34" t="s">
        <v>201</v>
      </c>
      <c r="X928" s="34" t="s">
        <v>44</v>
      </c>
      <c r="Y928" s="34" t="s">
        <v>45</v>
      </c>
      <c r="Z928" s="34" t="s">
        <v>65</v>
      </c>
      <c r="AA928" s="34"/>
      <c r="AB928" s="34"/>
      <c r="AC928" s="22">
        <v>0.90722145080566408</v>
      </c>
      <c r="AD928" s="23" t="s">
        <v>1245</v>
      </c>
      <c r="AE928" s="24">
        <v>1.6191780821917807</v>
      </c>
      <c r="AF928" s="25">
        <v>-0.30157619057280316</v>
      </c>
      <c r="AG928" s="26">
        <v>0</v>
      </c>
      <c r="AH928" s="26">
        <v>0</v>
      </c>
      <c r="AI928" s="27">
        <v>-0.979703707308622</v>
      </c>
      <c r="AJ928" s="27">
        <v>-0.979703707308622</v>
      </c>
      <c r="AK928" s="27">
        <v>-0.979703707308622</v>
      </c>
      <c r="AL928" s="28" t="s">
        <v>1246</v>
      </c>
      <c r="AM928" s="29" t="s">
        <v>48</v>
      </c>
      <c r="AN928" s="29" t="s">
        <v>48</v>
      </c>
      <c r="AO928" s="29" t="s">
        <v>48</v>
      </c>
      <c r="AP928" s="47" t="s">
        <v>255</v>
      </c>
      <c r="AQ928" s="28">
        <v>0</v>
      </c>
      <c r="AR928" s="26">
        <v>1.4999999999999999E-2</v>
      </c>
      <c r="AS928" s="26">
        <v>0</v>
      </c>
    </row>
    <row r="929" spans="1:45" x14ac:dyDescent="0.15">
      <c r="A929" s="64">
        <v>902</v>
      </c>
      <c r="B929" s="64">
        <v>944</v>
      </c>
      <c r="C929" s="11">
        <v>350002</v>
      </c>
      <c r="D929" s="61">
        <v>907</v>
      </c>
      <c r="E929" s="61">
        <v>-6.1538518342021797E-3</v>
      </c>
      <c r="F929" s="61">
        <v>94</v>
      </c>
      <c r="G929" s="61">
        <v>3.0953785164590701E-3</v>
      </c>
      <c r="H929" s="66">
        <v>443</v>
      </c>
      <c r="I929" s="66" t="str">
        <f>H929&amp;"/"&amp;451</f>
        <v>443/451</v>
      </c>
      <c r="J929" s="68">
        <f>H929/451</f>
        <v>0.9822616407982262</v>
      </c>
      <c r="K929" s="18" t="s">
        <v>44</v>
      </c>
      <c r="L929" s="18" t="s">
        <v>45</v>
      </c>
      <c r="M929" s="58" t="s">
        <v>65</v>
      </c>
      <c r="N929" s="18">
        <f>[1]!f_prt_stocktonav(C929,"2017/03/31")</f>
        <v>70.658409118652344</v>
      </c>
      <c r="O929" s="20" t="str">
        <f>[1]!f_info_fundmanager(C929)</f>
        <v>曾海</v>
      </c>
      <c r="P929" s="21">
        <v>1.8027397260273972</v>
      </c>
      <c r="Q929" s="34" t="s">
        <v>3504</v>
      </c>
      <c r="R929" s="34" t="s">
        <v>3505</v>
      </c>
      <c r="S929" s="34" t="s">
        <v>2466</v>
      </c>
      <c r="T929" s="34">
        <v>20050112</v>
      </c>
      <c r="U929" s="45">
        <v>0.30790990899999998</v>
      </c>
      <c r="V929" s="46">
        <v>0.33290136129999998</v>
      </c>
      <c r="W929" s="34" t="s">
        <v>231</v>
      </c>
      <c r="X929" s="34" t="s">
        <v>41</v>
      </c>
      <c r="Y929" s="17" t="s">
        <v>42</v>
      </c>
      <c r="Z929" s="17" t="s">
        <v>181</v>
      </c>
      <c r="AA929" s="34"/>
      <c r="AB929" s="34"/>
      <c r="AC929" s="22">
        <v>0.65128952026367193</v>
      </c>
      <c r="AD929" s="23" t="s">
        <v>3506</v>
      </c>
      <c r="AE929" s="24">
        <v>1.5726027397260274</v>
      </c>
      <c r="AF929" s="25">
        <v>7.5570482718214871E-2</v>
      </c>
      <c r="AG929" s="26">
        <v>-6.2404887081604743E-2</v>
      </c>
      <c r="AH929" s="26">
        <v>-2.3701571789760179E-2</v>
      </c>
      <c r="AI929" s="27">
        <v>0.35577436400147844</v>
      </c>
      <c r="AJ929" s="27">
        <v>-4.377510069387959E-2</v>
      </c>
      <c r="AK929" s="27">
        <v>5.8669848718839492E-3</v>
      </c>
      <c r="AL929" s="28" t="s">
        <v>3507</v>
      </c>
      <c r="AM929" s="29">
        <v>1</v>
      </c>
      <c r="AN929" s="29">
        <v>2</v>
      </c>
      <c r="AO929" s="29" t="s">
        <v>48</v>
      </c>
      <c r="AP929" s="47" t="s">
        <v>3029</v>
      </c>
      <c r="AQ929" s="28">
        <v>0</v>
      </c>
      <c r="AR929" s="26">
        <v>1.4999999999999999E-2</v>
      </c>
      <c r="AS929" s="26">
        <v>0</v>
      </c>
    </row>
    <row r="930" spans="1:45" x14ac:dyDescent="0.15">
      <c r="A930" s="64">
        <v>598</v>
      </c>
      <c r="B930" s="64">
        <v>291</v>
      </c>
      <c r="C930" s="11">
        <v>700001</v>
      </c>
      <c r="D930" s="61">
        <v>908</v>
      </c>
      <c r="E930" s="61">
        <v>-6.1641026726166996E-3</v>
      </c>
      <c r="F930" s="61">
        <v>33</v>
      </c>
      <c r="G930" s="61">
        <v>1.14268105249923E-2</v>
      </c>
      <c r="H930" s="66">
        <v>444</v>
      </c>
      <c r="I930" s="66" t="str">
        <f>H930&amp;"/"&amp;451</f>
        <v>444/451</v>
      </c>
      <c r="J930" s="68">
        <f>H930/451</f>
        <v>0.98447893569844791</v>
      </c>
      <c r="K930" s="18" t="s">
        <v>44</v>
      </c>
      <c r="L930" s="18" t="s">
        <v>45</v>
      </c>
      <c r="M930" s="58" t="s">
        <v>65</v>
      </c>
      <c r="N930" s="18">
        <f>[1]!f_prt_stocktonav(C930,"2017/03/31")</f>
        <v>89.594245910644531</v>
      </c>
      <c r="O930" s="20" t="str">
        <f>[1]!f_info_fundmanager(C930)</f>
        <v>傅浩</v>
      </c>
      <c r="P930" s="21">
        <v>0.62191780821917808</v>
      </c>
      <c r="Q930" s="34" t="s">
        <v>2442</v>
      </c>
      <c r="R930" s="34" t="s">
        <v>2443</v>
      </c>
      <c r="S930" s="34" t="s">
        <v>344</v>
      </c>
      <c r="T930" s="34">
        <v>20110920</v>
      </c>
      <c r="U930" s="45">
        <v>3.3250799984000001</v>
      </c>
      <c r="V930" s="46">
        <v>3.9123804619000002</v>
      </c>
      <c r="W930" s="34" t="s">
        <v>3776</v>
      </c>
      <c r="X930" s="34" t="s">
        <v>44</v>
      </c>
      <c r="Y930" s="34" t="s">
        <v>45</v>
      </c>
      <c r="Z930" s="34" t="s">
        <v>65</v>
      </c>
      <c r="AA930" s="34"/>
      <c r="AB930" s="34"/>
      <c r="AC930" s="22">
        <v>0.76390525817871091</v>
      </c>
      <c r="AD930" s="23" t="s">
        <v>2444</v>
      </c>
      <c r="AE930" s="24">
        <v>0.39178082191780822</v>
      </c>
      <c r="AF930" s="25">
        <v>7.3224881452163215E-2</v>
      </c>
      <c r="AG930" s="26">
        <v>4.4943084107275766E-2</v>
      </c>
      <c r="AH930" s="26">
        <v>9.9813258363983692E-2</v>
      </c>
      <c r="AI930" s="27">
        <v>0.3466860337933102</v>
      </c>
      <c r="AJ930" s="27">
        <v>0.26718604612813074</v>
      </c>
      <c r="AK930" s="27">
        <v>0.42859299908444987</v>
      </c>
      <c r="AL930" s="28" t="s">
        <v>2445</v>
      </c>
      <c r="AM930" s="29">
        <v>2</v>
      </c>
      <c r="AN930" s="29">
        <v>3</v>
      </c>
      <c r="AO930" s="29" t="s">
        <v>48</v>
      </c>
      <c r="AP930" s="47" t="s">
        <v>334</v>
      </c>
      <c r="AQ930" s="28">
        <v>0</v>
      </c>
      <c r="AR930" s="26">
        <v>1.4999999999999999E-2</v>
      </c>
      <c r="AS930" s="26">
        <v>0</v>
      </c>
    </row>
    <row r="931" spans="1:45" x14ac:dyDescent="0.15">
      <c r="A931" s="64">
        <v>343</v>
      </c>
      <c r="B931" s="64">
        <v>760</v>
      </c>
      <c r="C931" s="11">
        <v>1030</v>
      </c>
      <c r="D931" s="61">
        <v>912</v>
      </c>
      <c r="E931" s="61">
        <v>-6.4353650760873701E-3</v>
      </c>
      <c r="F931" s="61">
        <v>104</v>
      </c>
      <c r="G931" s="61">
        <v>2.6884488677746902E-3</v>
      </c>
      <c r="H931" s="66">
        <v>445</v>
      </c>
      <c r="I931" s="66" t="str">
        <f>H931&amp;"/"&amp;451</f>
        <v>445/451</v>
      </c>
      <c r="J931" s="68">
        <f>H931/451</f>
        <v>0.98669623059866962</v>
      </c>
      <c r="K931" s="18" t="s">
        <v>44</v>
      </c>
      <c r="L931" s="18" t="s">
        <v>86</v>
      </c>
      <c r="M931" s="58" t="s">
        <v>65</v>
      </c>
      <c r="N931" s="18">
        <f>[1]!f_prt_stocktonav(C931,"2017/03/31")</f>
        <v>77.935226440429687</v>
      </c>
      <c r="O931" s="20" t="str">
        <f>[1]!f_info_fundmanager(C931)</f>
        <v>肖志刚,李宁</v>
      </c>
      <c r="P931" s="21">
        <v>2.0410958904109591</v>
      </c>
      <c r="Q931" s="34" t="s">
        <v>1518</v>
      </c>
      <c r="R931" s="34" t="s">
        <v>1519</v>
      </c>
      <c r="S931" s="34" t="s">
        <v>1215</v>
      </c>
      <c r="T931" s="34">
        <v>20150317</v>
      </c>
      <c r="U931" s="45">
        <v>3.8282066690000001</v>
      </c>
      <c r="V931" s="46">
        <v>4.0985962074</v>
      </c>
      <c r="W931" s="34" t="s">
        <v>201</v>
      </c>
      <c r="X931" s="34" t="s">
        <v>44</v>
      </c>
      <c r="Y931" s="17" t="s">
        <v>45</v>
      </c>
      <c r="Z931" s="17" t="s">
        <v>65</v>
      </c>
      <c r="AA931" s="34"/>
      <c r="AB931" s="34"/>
      <c r="AC931" s="22">
        <v>0.83861625671386719</v>
      </c>
      <c r="AD931" s="23" t="s">
        <v>1520</v>
      </c>
      <c r="AE931" s="24">
        <v>1.810958904109589</v>
      </c>
      <c r="AF931" s="25">
        <v>-0.16216836194901993</v>
      </c>
      <c r="AG931" s="26">
        <v>0</v>
      </c>
      <c r="AH931" s="26">
        <v>0</v>
      </c>
      <c r="AI931" s="27">
        <v>-0.39117669682485451</v>
      </c>
      <c r="AJ931" s="27">
        <v>-0.39117669682485451</v>
      </c>
      <c r="AK931" s="27">
        <v>-0.39117669682485451</v>
      </c>
      <c r="AL931" s="28" t="s">
        <v>1521</v>
      </c>
      <c r="AM931" s="29" t="s">
        <v>48</v>
      </c>
      <c r="AN931" s="29" t="s">
        <v>48</v>
      </c>
      <c r="AO931" s="29" t="s">
        <v>48</v>
      </c>
      <c r="AP931" s="47" t="s">
        <v>643</v>
      </c>
      <c r="AQ931" s="28">
        <v>0</v>
      </c>
      <c r="AR931" s="26">
        <v>1.4999999999999999E-2</v>
      </c>
      <c r="AS931" s="26">
        <v>0</v>
      </c>
    </row>
    <row r="932" spans="1:45" x14ac:dyDescent="0.15">
      <c r="A932" s="64">
        <v>560</v>
      </c>
      <c r="B932" s="64">
        <v>749</v>
      </c>
      <c r="C932" s="11">
        <v>700003</v>
      </c>
      <c r="D932" s="61">
        <v>915</v>
      </c>
      <c r="E932" s="61">
        <v>-6.5806816911236797E-3</v>
      </c>
      <c r="F932" s="61">
        <v>37</v>
      </c>
      <c r="G932" s="61">
        <v>1.43346492741854E-2</v>
      </c>
      <c r="H932" s="66">
        <v>446</v>
      </c>
      <c r="I932" s="66" t="str">
        <f>H932&amp;"/"&amp;451</f>
        <v>446/451</v>
      </c>
      <c r="J932" s="68">
        <f>H932/451</f>
        <v>0.98891352549889133</v>
      </c>
      <c r="K932" s="18" t="s">
        <v>44</v>
      </c>
      <c r="L932" s="18" t="s">
        <v>45</v>
      </c>
      <c r="M932" s="58" t="s">
        <v>65</v>
      </c>
      <c r="N932" s="18">
        <f>[1]!f_prt_stocktonav(C932,"2017/03/31")</f>
        <v>78.312843322753906</v>
      </c>
      <c r="O932" s="20" t="str">
        <f>[1]!f_info_fundmanager(C932)</f>
        <v>神爱前</v>
      </c>
      <c r="P932" s="21">
        <v>0.69863013698630139</v>
      </c>
      <c r="Q932" s="34" t="s">
        <v>2313</v>
      </c>
      <c r="R932" s="34" t="s">
        <v>2314</v>
      </c>
      <c r="S932" s="34" t="s">
        <v>344</v>
      </c>
      <c r="T932" s="34">
        <v>20120529</v>
      </c>
      <c r="U932" s="45">
        <v>1.3781531010000001</v>
      </c>
      <c r="V932" s="46">
        <v>1.5701899282</v>
      </c>
      <c r="W932" s="34" t="s">
        <v>201</v>
      </c>
      <c r="X932" s="34" t="s">
        <v>44</v>
      </c>
      <c r="Y932" s="34" t="s">
        <v>45</v>
      </c>
      <c r="Z932" s="34" t="s">
        <v>274</v>
      </c>
      <c r="AA932" s="34"/>
      <c r="AB932" s="34"/>
      <c r="AC932" s="22">
        <v>0.72635398864746092</v>
      </c>
      <c r="AD932" s="23" t="s">
        <v>3848</v>
      </c>
      <c r="AE932" s="24">
        <v>1.4273972602739726</v>
      </c>
      <c r="AF932" s="25">
        <v>0.13710430859188882</v>
      </c>
      <c r="AG932" s="26">
        <v>0.1703163781122847</v>
      </c>
      <c r="AH932" s="26">
        <v>0</v>
      </c>
      <c r="AI932" s="27">
        <v>0.5430146280149396</v>
      </c>
      <c r="AJ932" s="27">
        <v>0.59523145692246149</v>
      </c>
      <c r="AK932" s="27">
        <v>0.5430146280149396</v>
      </c>
      <c r="AL932" s="28" t="s">
        <v>226</v>
      </c>
      <c r="AM932" s="29">
        <v>3</v>
      </c>
      <c r="AN932" s="29">
        <v>5</v>
      </c>
      <c r="AO932" s="29" t="s">
        <v>48</v>
      </c>
      <c r="AP932" s="47" t="s">
        <v>334</v>
      </c>
      <c r="AQ932" s="28">
        <v>0</v>
      </c>
      <c r="AR932" s="26">
        <v>1.4999999999999999E-2</v>
      </c>
      <c r="AS932" s="26">
        <v>0</v>
      </c>
    </row>
    <row r="933" spans="1:45" x14ac:dyDescent="0.15">
      <c r="A933" s="64">
        <v>372</v>
      </c>
      <c r="B933" s="64">
        <v>413</v>
      </c>
      <c r="C933" s="11">
        <v>1008</v>
      </c>
      <c r="D933" s="61">
        <v>920</v>
      </c>
      <c r="E933" s="61">
        <v>-6.7918560973579704E-3</v>
      </c>
      <c r="F933" s="61">
        <v>111</v>
      </c>
      <c r="G933" s="61">
        <v>9.2318773866871906E-6</v>
      </c>
      <c r="H933" s="66">
        <v>447</v>
      </c>
      <c r="I933" s="66" t="str">
        <f>H933&amp;"/"&amp;451</f>
        <v>447/451</v>
      </c>
      <c r="J933" s="68">
        <f>H933/451</f>
        <v>0.99113082039911304</v>
      </c>
      <c r="K933" s="18" t="s">
        <v>44</v>
      </c>
      <c r="L933" s="18" t="s">
        <v>87</v>
      </c>
      <c r="M933" s="58" t="s">
        <v>65</v>
      </c>
      <c r="N933" s="18">
        <f>[1]!f_prt_stocktonav(C933,"2017/03/31")</f>
        <v>87.082832336425781</v>
      </c>
      <c r="O933" s="20" t="str">
        <f>[1]!f_info_fundmanager(C933)</f>
        <v>何肖颉,王君正</v>
      </c>
      <c r="P933" s="21">
        <v>2.1753424657534248</v>
      </c>
      <c r="Q933" s="34" t="s">
        <v>1625</v>
      </c>
      <c r="R933" s="34" t="s">
        <v>1626</v>
      </c>
      <c r="S933" s="34" t="s">
        <v>523</v>
      </c>
      <c r="T933" s="34">
        <v>20150127</v>
      </c>
      <c r="U933" s="45">
        <v>24.335611439299999</v>
      </c>
      <c r="V933" s="46">
        <v>25.1329262004</v>
      </c>
      <c r="W933" s="34" t="s">
        <v>201</v>
      </c>
      <c r="X933" s="34" t="s">
        <v>44</v>
      </c>
      <c r="Y933" s="34" t="s">
        <v>87</v>
      </c>
      <c r="Z933" s="34" t="s">
        <v>65</v>
      </c>
      <c r="AA933" s="34" t="s">
        <v>3816</v>
      </c>
      <c r="AB933" s="34"/>
      <c r="AC933" s="22">
        <v>0.90507156372070308</v>
      </c>
      <c r="AD933" s="23" t="s">
        <v>1627</v>
      </c>
      <c r="AE933" s="24">
        <v>1.9452054794520548</v>
      </c>
      <c r="AF933" s="25">
        <v>-6.3490149572451471E-2</v>
      </c>
      <c r="AG933" s="26">
        <v>0</v>
      </c>
      <c r="AH933" s="26">
        <v>0</v>
      </c>
      <c r="AI933" s="27">
        <v>-4.3771860720308531E-2</v>
      </c>
      <c r="AJ933" s="27">
        <v>-4.3771860720308531E-2</v>
      </c>
      <c r="AK933" s="27">
        <v>-4.3771860720308531E-2</v>
      </c>
      <c r="AL933" s="33" t="s">
        <v>1628</v>
      </c>
      <c r="AM933" s="29" t="s">
        <v>48</v>
      </c>
      <c r="AN933" s="29" t="s">
        <v>48</v>
      </c>
      <c r="AO933" s="29" t="s">
        <v>48</v>
      </c>
      <c r="AP933" s="47" t="s">
        <v>255</v>
      </c>
      <c r="AQ933" s="28">
        <v>0</v>
      </c>
      <c r="AR933" s="26">
        <v>1.4999999999999999E-2</v>
      </c>
      <c r="AS933" s="26">
        <v>0</v>
      </c>
    </row>
    <row r="934" spans="1:45" x14ac:dyDescent="0.15">
      <c r="A934" s="64">
        <v>322</v>
      </c>
      <c r="B934" s="64">
        <v>616</v>
      </c>
      <c r="C934" s="11">
        <v>1127</v>
      </c>
      <c r="D934" s="61">
        <v>927</v>
      </c>
      <c r="E934" s="61">
        <v>-7.4121459963991396E-3</v>
      </c>
      <c r="F934" s="61">
        <v>101</v>
      </c>
      <c r="G934" s="61">
        <v>1.53871324043104E-3</v>
      </c>
      <c r="H934" s="66">
        <v>448</v>
      </c>
      <c r="I934" s="66" t="str">
        <f>H934&amp;"/"&amp;451</f>
        <v>448/451</v>
      </c>
      <c r="J934" s="68">
        <f>H934/451</f>
        <v>0.99334811529933487</v>
      </c>
      <c r="K934" s="18" t="s">
        <v>44</v>
      </c>
      <c r="L934" s="18" t="s">
        <v>45</v>
      </c>
      <c r="M934" s="58" t="s">
        <v>65</v>
      </c>
      <c r="N934" s="18">
        <f>[1]!f_prt_stocktonav(C934,"2017/03/31")</f>
        <v>82.435195922851563</v>
      </c>
      <c r="O934" s="20" t="str">
        <f>[1]!f_info_fundmanager(C934)</f>
        <v>辜岚</v>
      </c>
      <c r="P934" s="21">
        <v>1.9753424657534246</v>
      </c>
      <c r="Q934" s="34" t="s">
        <v>1447</v>
      </c>
      <c r="R934" s="34" t="s">
        <v>1448</v>
      </c>
      <c r="S934" s="34" t="s">
        <v>71</v>
      </c>
      <c r="T934" s="34">
        <v>20150410</v>
      </c>
      <c r="U934" s="45">
        <v>18.131238509900001</v>
      </c>
      <c r="V934" s="46">
        <v>19.541031753999999</v>
      </c>
      <c r="W934" s="34" t="s">
        <v>201</v>
      </c>
      <c r="X934" s="34" t="s">
        <v>44</v>
      </c>
      <c r="Y934" s="34" t="s">
        <v>45</v>
      </c>
      <c r="Z934" s="34" t="s">
        <v>65</v>
      </c>
      <c r="AA934" s="34"/>
      <c r="AB934" s="34"/>
      <c r="AC934" s="22">
        <v>0.81116294860839844</v>
      </c>
      <c r="AD934" s="23" t="s">
        <v>1449</v>
      </c>
      <c r="AE934" s="24">
        <v>1.7452054794520548</v>
      </c>
      <c r="AF934" s="25">
        <v>-0.23210054767995036</v>
      </c>
      <c r="AG934" s="26">
        <v>0</v>
      </c>
      <c r="AH934" s="26">
        <v>0</v>
      </c>
      <c r="AI934" s="27">
        <v>-0.53070383561762657</v>
      </c>
      <c r="AJ934" s="27">
        <v>-0.53070383561762657</v>
      </c>
      <c r="AK934" s="27">
        <v>-0.53070383561762657</v>
      </c>
      <c r="AL934" s="28" t="s">
        <v>409</v>
      </c>
      <c r="AM934" s="29" t="s">
        <v>48</v>
      </c>
      <c r="AN934" s="29" t="s">
        <v>48</v>
      </c>
      <c r="AO934" s="29" t="s">
        <v>48</v>
      </c>
      <c r="AP934" s="47" t="s">
        <v>845</v>
      </c>
      <c r="AQ934" s="28">
        <v>0</v>
      </c>
      <c r="AR934" s="26">
        <v>1.4999999999999999E-2</v>
      </c>
      <c r="AS934" s="26">
        <v>0</v>
      </c>
    </row>
    <row r="935" spans="1:45" x14ac:dyDescent="0.15">
      <c r="A935" s="64">
        <v>349</v>
      </c>
      <c r="B935" s="64">
        <v>677</v>
      </c>
      <c r="C935" s="11">
        <v>991</v>
      </c>
      <c r="D935" s="61">
        <v>929</v>
      </c>
      <c r="E935" s="61">
        <v>-7.5227523286109203E-3</v>
      </c>
      <c r="F935" s="61">
        <v>108</v>
      </c>
      <c r="G935" s="61">
        <v>8.5220651787980099E-4</v>
      </c>
      <c r="H935" s="66">
        <v>449</v>
      </c>
      <c r="I935" s="66" t="str">
        <f>H935&amp;"/"&amp;451</f>
        <v>449/451</v>
      </c>
      <c r="J935" s="68">
        <f>H935/451</f>
        <v>0.99556541019955658</v>
      </c>
      <c r="K935" s="18" t="s">
        <v>44</v>
      </c>
      <c r="L935" s="18" t="s">
        <v>87</v>
      </c>
      <c r="M935" s="58" t="s">
        <v>65</v>
      </c>
      <c r="N935" s="18">
        <f>[1]!f_prt_stocktonav(C935,"2017/03/31")</f>
        <v>80.673484802246094</v>
      </c>
      <c r="O935" s="20" t="str">
        <f>[1]!f_info_fundmanager(C935)</f>
        <v>杜洋,宋炳珅</v>
      </c>
      <c r="P935" s="21">
        <v>2.1205479452054794</v>
      </c>
      <c r="Q935" s="34" t="s">
        <v>1541</v>
      </c>
      <c r="R935" s="34" t="s">
        <v>1542</v>
      </c>
      <c r="S935" s="34" t="s">
        <v>523</v>
      </c>
      <c r="T935" s="34">
        <v>20150216</v>
      </c>
      <c r="U935" s="45">
        <v>9.8480981530000005</v>
      </c>
      <c r="V935" s="46">
        <v>10.413013380600001</v>
      </c>
      <c r="W935" s="34" t="s">
        <v>3789</v>
      </c>
      <c r="X935" s="34" t="s">
        <v>44</v>
      </c>
      <c r="Y935" s="34" t="s">
        <v>87</v>
      </c>
      <c r="Z935" s="34" t="s">
        <v>337</v>
      </c>
      <c r="AA935" s="34" t="s">
        <v>3814</v>
      </c>
      <c r="AB935" s="34"/>
      <c r="AC935" s="22">
        <v>0.91698097229003905</v>
      </c>
      <c r="AD935" s="23" t="s">
        <v>1544</v>
      </c>
      <c r="AE935" s="24">
        <v>1.8904109589041096</v>
      </c>
      <c r="AF935" s="25">
        <v>-6.9481759397060916E-3</v>
      </c>
      <c r="AG935" s="26">
        <v>0</v>
      </c>
      <c r="AH935" s="26">
        <v>0</v>
      </c>
      <c r="AI935" s="27">
        <v>0.15590479173062483</v>
      </c>
      <c r="AJ935" s="27">
        <v>0.15590479173062483</v>
      </c>
      <c r="AK935" s="27">
        <v>0.15590479173062483</v>
      </c>
      <c r="AL935" s="33" t="s">
        <v>489</v>
      </c>
      <c r="AM935" s="29" t="s">
        <v>48</v>
      </c>
      <c r="AN935" s="29" t="s">
        <v>48</v>
      </c>
      <c r="AO935" s="29" t="s">
        <v>48</v>
      </c>
      <c r="AP935" s="47" t="s">
        <v>255</v>
      </c>
      <c r="AQ935" s="28">
        <v>0</v>
      </c>
      <c r="AR935" s="26">
        <v>1.4999999999999999E-2</v>
      </c>
      <c r="AS935" s="26">
        <v>0</v>
      </c>
    </row>
    <row r="936" spans="1:45" x14ac:dyDescent="0.15">
      <c r="A936" s="64">
        <v>317</v>
      </c>
      <c r="B936" s="64">
        <v>783</v>
      </c>
      <c r="C936" s="11">
        <v>1120</v>
      </c>
      <c r="D936" s="61">
        <v>932</v>
      </c>
      <c r="E936" s="61">
        <v>-8.1332577200296796E-3</v>
      </c>
      <c r="F936" s="61">
        <v>92</v>
      </c>
      <c r="G936" s="61">
        <v>8.2198188651726699E-4</v>
      </c>
      <c r="H936" s="66">
        <v>450</v>
      </c>
      <c r="I936" s="66" t="str">
        <f>H936&amp;"/"&amp;451</f>
        <v>450/451</v>
      </c>
      <c r="J936" s="68">
        <f>H936/451</f>
        <v>0.99778270509977829</v>
      </c>
      <c r="K936" s="18" t="s">
        <v>44</v>
      </c>
      <c r="L936" s="18" t="s">
        <v>45</v>
      </c>
      <c r="M936" s="58" t="s">
        <v>65</v>
      </c>
      <c r="N936" s="18">
        <f>[1]!f_prt_stocktonav(C936,"2017/03/31")</f>
        <v>77.226821899414063</v>
      </c>
      <c r="O936" s="20" t="str">
        <f>[1]!f_info_fundmanager(C936)</f>
        <v>薛子徵,张玉坤</v>
      </c>
      <c r="P936" s="21">
        <v>1.7671232876712328</v>
      </c>
      <c r="Q936" s="34" t="s">
        <v>1430</v>
      </c>
      <c r="R936" s="34" t="s">
        <v>1431</v>
      </c>
      <c r="S936" s="34" t="s">
        <v>252</v>
      </c>
      <c r="T936" s="34">
        <v>20150415</v>
      </c>
      <c r="U936" s="45">
        <v>2.1778281065999998</v>
      </c>
      <c r="V936" s="46">
        <v>2.2765806376</v>
      </c>
      <c r="W936" s="34" t="s">
        <v>3789</v>
      </c>
      <c r="X936" s="34" t="s">
        <v>41</v>
      </c>
      <c r="Y936" s="34" t="s">
        <v>42</v>
      </c>
      <c r="Z936" s="34" t="s">
        <v>181</v>
      </c>
      <c r="AA936" s="34"/>
      <c r="AB936" s="34"/>
      <c r="AC936" s="22">
        <v>0.60423454284667966</v>
      </c>
      <c r="AD936" s="23" t="s">
        <v>1432</v>
      </c>
      <c r="AE936" s="24">
        <v>1.536986301369863</v>
      </c>
      <c r="AF936" s="25">
        <v>-0.22984716153185267</v>
      </c>
      <c r="AG936" s="26">
        <v>0</v>
      </c>
      <c r="AH936" s="26">
        <v>0</v>
      </c>
      <c r="AI936" s="27">
        <v>-0.5288349830767376</v>
      </c>
      <c r="AJ936" s="27">
        <v>-0.5288349830767376</v>
      </c>
      <c r="AK936" s="27">
        <v>-0.5288349830767376</v>
      </c>
      <c r="AL936" s="28" t="s">
        <v>196</v>
      </c>
      <c r="AM936" s="29" t="s">
        <v>48</v>
      </c>
      <c r="AN936" s="29" t="s">
        <v>48</v>
      </c>
      <c r="AO936" s="29" t="s">
        <v>48</v>
      </c>
      <c r="AP936" s="47" t="s">
        <v>1433</v>
      </c>
      <c r="AQ936" s="28">
        <v>0</v>
      </c>
      <c r="AR936" s="26">
        <v>1.4999999999999999E-2</v>
      </c>
      <c r="AS936" s="26">
        <v>0</v>
      </c>
    </row>
    <row r="937" spans="1:45" x14ac:dyDescent="0.15">
      <c r="A937" s="64">
        <v>792</v>
      </c>
      <c r="B937" s="64">
        <v>199</v>
      </c>
      <c r="C937" s="11">
        <v>162209</v>
      </c>
      <c r="D937" s="61">
        <v>934</v>
      </c>
      <c r="E937" s="61">
        <v>-8.2791808935158296E-3</v>
      </c>
      <c r="F937" s="61">
        <v>98</v>
      </c>
      <c r="G937" s="61">
        <v>2.5830258444687702E-3</v>
      </c>
      <c r="H937" s="66">
        <v>451</v>
      </c>
      <c r="I937" s="66" t="str">
        <f>H937&amp;"/"&amp;451</f>
        <v>451/451</v>
      </c>
      <c r="J937" s="68">
        <f>H937/451</f>
        <v>1</v>
      </c>
      <c r="K937" s="18" t="s">
        <v>44</v>
      </c>
      <c r="L937" s="18" t="s">
        <v>45</v>
      </c>
      <c r="M937" s="58" t="s">
        <v>65</v>
      </c>
      <c r="N937" s="18">
        <f>[1]!f_prt_stocktonav(C937,"2017/03/31")</f>
        <v>91.845710754394531</v>
      </c>
      <c r="O937" s="20" t="str">
        <f>[1]!f_info_fundmanager(C937)</f>
        <v>李坤元</v>
      </c>
      <c r="P937" s="21">
        <v>1.8821917808219177</v>
      </c>
      <c r="Q937" s="34" t="s">
        <v>3090</v>
      </c>
      <c r="R937" s="34" t="s">
        <v>3091</v>
      </c>
      <c r="S937" s="34" t="s">
        <v>263</v>
      </c>
      <c r="T937" s="34">
        <v>20070803</v>
      </c>
      <c r="U937" s="45">
        <v>12.9860656826</v>
      </c>
      <c r="V937" s="46">
        <v>14.251340278400001</v>
      </c>
      <c r="W937" s="34" t="s">
        <v>231</v>
      </c>
      <c r="X937" s="34" t="s">
        <v>44</v>
      </c>
      <c r="Y937" s="34" t="s">
        <v>45</v>
      </c>
      <c r="Z937" s="34" t="s">
        <v>65</v>
      </c>
      <c r="AA937" s="34"/>
      <c r="AB937" s="34"/>
      <c r="AC937" s="22">
        <v>0.89980476379394536</v>
      </c>
      <c r="AD937" s="23" t="s">
        <v>3092</v>
      </c>
      <c r="AE937" s="24">
        <v>1.7643835616438357</v>
      </c>
      <c r="AF937" s="25">
        <v>-3.4450347430083905E-2</v>
      </c>
      <c r="AG937" s="26">
        <v>-4.9865360887705767E-2</v>
      </c>
      <c r="AH937" s="26">
        <v>2.4653774800440731E-2</v>
      </c>
      <c r="AI937" s="27">
        <v>-2.8467073741134826E-2</v>
      </c>
      <c r="AJ937" s="27">
        <v>-2.2811968735119911E-2</v>
      </c>
      <c r="AK937" s="27">
        <v>0.18889249506622668</v>
      </c>
      <c r="AL937" s="28" t="s">
        <v>1750</v>
      </c>
      <c r="AM937" s="29">
        <v>1</v>
      </c>
      <c r="AN937" s="29">
        <v>1</v>
      </c>
      <c r="AO937" s="29" t="s">
        <v>48</v>
      </c>
      <c r="AP937" s="47" t="s">
        <v>3093</v>
      </c>
      <c r="AQ937" s="28">
        <v>0</v>
      </c>
      <c r="AR937" s="26">
        <v>1.4999999999999999E-2</v>
      </c>
      <c r="AS937" s="26">
        <v>0</v>
      </c>
    </row>
    <row r="938" spans="1:45" x14ac:dyDescent="0.15">
      <c r="A938" s="64">
        <v>751</v>
      </c>
      <c r="B938" s="64">
        <v>933</v>
      </c>
      <c r="C938" s="11">
        <v>2031</v>
      </c>
      <c r="D938" s="61">
        <v>122</v>
      </c>
      <c r="E938" s="61">
        <v>1.6566056545640299E-3</v>
      </c>
      <c r="F938" s="61">
        <v>4</v>
      </c>
      <c r="G938" s="61" t="s">
        <v>3745</v>
      </c>
      <c r="H938" s="62"/>
      <c r="I938" s="62"/>
      <c r="J938" s="65"/>
      <c r="K938" s="18" t="s">
        <v>44</v>
      </c>
      <c r="L938" s="18" t="s">
        <v>45</v>
      </c>
      <c r="M938" s="58">
        <v>0</v>
      </c>
      <c r="N938" s="18">
        <f>[1]!f_prt_stocktonav(C938,"2017/03/31")</f>
        <v>70.916915893554688</v>
      </c>
      <c r="O938" s="20" t="str">
        <f>[1]!f_info_fundmanager(C938)</f>
        <v>林晶</v>
      </c>
      <c r="P938" s="21">
        <v>6.575342465753424E-2</v>
      </c>
      <c r="Q938" s="34" t="s">
        <v>2956</v>
      </c>
      <c r="R938" s="34" t="s">
        <v>2957</v>
      </c>
      <c r="S938" s="34" t="s">
        <v>143</v>
      </c>
      <c r="T938" s="34">
        <v>20081023</v>
      </c>
      <c r="U938" s="45">
        <v>9.8106864524000006</v>
      </c>
      <c r="V938" s="46">
        <v>10.096957811699999</v>
      </c>
      <c r="W938" s="34" t="s">
        <v>231</v>
      </c>
      <c r="X938" s="34" t="s">
        <v>41</v>
      </c>
      <c r="Y938" s="34" t="s">
        <v>42</v>
      </c>
      <c r="Z938" s="34" t="s">
        <v>181</v>
      </c>
      <c r="AA938" s="34"/>
      <c r="AB938" s="34"/>
      <c r="AC938" s="22">
        <v>0.67735427856445307</v>
      </c>
      <c r="AD938" s="23" t="s">
        <v>258</v>
      </c>
      <c r="AE938" s="24">
        <v>0.9397260273972603</v>
      </c>
      <c r="AF938" s="25">
        <v>0.19008551234613294</v>
      </c>
      <c r="AG938" s="26">
        <v>0.1732163055742173</v>
      </c>
      <c r="AH938" s="26">
        <v>0.1454285414276546</v>
      </c>
      <c r="AI938" s="27">
        <v>0.91474929033975738</v>
      </c>
      <c r="AJ938" s="27">
        <v>0.75385013439107862</v>
      </c>
      <c r="AK938" s="27">
        <v>0.71382065479556123</v>
      </c>
      <c r="AL938" s="28" t="s">
        <v>240</v>
      </c>
      <c r="AM938" s="29">
        <v>4</v>
      </c>
      <c r="AN938" s="29">
        <v>3</v>
      </c>
      <c r="AO938" s="29" t="s">
        <v>48</v>
      </c>
      <c r="AP938" s="47" t="s">
        <v>592</v>
      </c>
      <c r="AQ938" s="28">
        <v>0</v>
      </c>
      <c r="AR938" s="26">
        <v>1.4999999999999999E-2</v>
      </c>
      <c r="AS938" s="26">
        <v>0</v>
      </c>
    </row>
    <row r="939" spans="1:45" x14ac:dyDescent="0.15">
      <c r="A939" s="64">
        <v>706</v>
      </c>
      <c r="B939" s="64">
        <v>433</v>
      </c>
      <c r="C939" s="11">
        <v>206002</v>
      </c>
      <c r="D939" s="61">
        <v>744</v>
      </c>
      <c r="E939" s="61">
        <v>-3.3771610713947001E-3</v>
      </c>
      <c r="F939" s="61">
        <v>4</v>
      </c>
      <c r="G939" s="61" t="s">
        <v>3745</v>
      </c>
      <c r="H939" s="62"/>
      <c r="I939" s="62"/>
      <c r="J939" s="65"/>
      <c r="K939" s="18" t="s">
        <v>44</v>
      </c>
      <c r="L939" s="18" t="s">
        <v>45</v>
      </c>
      <c r="M939" s="58">
        <v>0</v>
      </c>
      <c r="N939" s="18">
        <f>[1]!f_prt_stocktonav(C939,"2017/03/31")</f>
        <v>86.633918762207031</v>
      </c>
      <c r="O939" s="20" t="str">
        <f>[1]!f_info_fundmanager(C939)</f>
        <v>张清华</v>
      </c>
      <c r="P939" s="21">
        <v>7.6712328767123292E-2</v>
      </c>
      <c r="Q939" s="34" t="s">
        <v>2800</v>
      </c>
      <c r="R939" s="34" t="s">
        <v>2801</v>
      </c>
      <c r="S939" s="34" t="s">
        <v>705</v>
      </c>
      <c r="T939" s="34">
        <v>20090909</v>
      </c>
      <c r="U939" s="45">
        <v>2.1678071596000001</v>
      </c>
      <c r="V939" s="46">
        <v>2.4602960663000002</v>
      </c>
      <c r="W939" s="34" t="s">
        <v>201</v>
      </c>
      <c r="X939" s="34" t="s">
        <v>44</v>
      </c>
      <c r="Y939" s="34" t="s">
        <v>45</v>
      </c>
      <c r="Z939" s="34" t="s">
        <v>817</v>
      </c>
      <c r="AA939" s="34"/>
      <c r="AB939" s="34"/>
      <c r="AC939" s="22">
        <v>0.90468025207519531</v>
      </c>
      <c r="AD939" s="23" t="s">
        <v>2802</v>
      </c>
      <c r="AE939" s="24">
        <v>1.6767123287671233</v>
      </c>
      <c r="AF939" s="25">
        <v>2.3702843364129089E-2</v>
      </c>
      <c r="AG939" s="26">
        <v>8.8648379733657703E-2</v>
      </c>
      <c r="AH939" s="26">
        <v>0.10546339314804133</v>
      </c>
      <c r="AI939" s="27">
        <v>0.14701016102626649</v>
      </c>
      <c r="AJ939" s="27">
        <v>0.41077694035612272</v>
      </c>
      <c r="AK939" s="27">
        <v>0.48848489578645793</v>
      </c>
      <c r="AL939" s="28" t="s">
        <v>380</v>
      </c>
      <c r="AM939" s="29">
        <v>4</v>
      </c>
      <c r="AN939" s="29">
        <v>5</v>
      </c>
      <c r="AO939" s="29" t="s">
        <v>48</v>
      </c>
      <c r="AP939" s="47" t="s">
        <v>2501</v>
      </c>
      <c r="AQ939" s="28">
        <v>0</v>
      </c>
      <c r="AR939" s="26">
        <v>1.4999999999999999E-2</v>
      </c>
      <c r="AS939" s="26">
        <v>0</v>
      </c>
    </row>
    <row r="940" spans="1:45" x14ac:dyDescent="0.15">
      <c r="A940" s="64">
        <v>227</v>
      </c>
      <c r="B940" s="64">
        <v>851</v>
      </c>
      <c r="C940" s="11">
        <v>519959</v>
      </c>
      <c r="D940" s="61">
        <v>774</v>
      </c>
      <c r="E940" s="61">
        <v>-3.6325207719240301E-3</v>
      </c>
      <c r="F940" s="61">
        <v>4</v>
      </c>
      <c r="G940" s="61" t="s">
        <v>3745</v>
      </c>
      <c r="H940" s="62"/>
      <c r="I940" s="62"/>
      <c r="J940" s="65"/>
      <c r="K940" s="18" t="s">
        <v>44</v>
      </c>
      <c r="L940" s="18" t="s">
        <v>45</v>
      </c>
      <c r="M940" s="58">
        <v>0</v>
      </c>
      <c r="N940" s="18">
        <f>[1]!f_prt_stocktonav(C940,"2017/03/31")</f>
        <v>74.331649780273438</v>
      </c>
      <c r="O940" s="20" t="str">
        <f>[1]!f_info_fundmanager(C940)</f>
        <v>叶松</v>
      </c>
      <c r="P940" s="21">
        <v>6.0273972602739728E-2</v>
      </c>
      <c r="Q940" s="34" t="s">
        <v>1060</v>
      </c>
      <c r="R940" s="34" t="s">
        <v>1061</v>
      </c>
      <c r="S940" s="34" t="s">
        <v>206</v>
      </c>
      <c r="T940" s="34">
        <v>20150701</v>
      </c>
      <c r="U940" s="45">
        <v>6.6649540191999996</v>
      </c>
      <c r="V940" s="46">
        <v>7.4691268887</v>
      </c>
      <c r="W940" s="34" t="s">
        <v>3789</v>
      </c>
      <c r="X940" s="34" t="s">
        <v>44</v>
      </c>
      <c r="Y940" s="34" t="s">
        <v>45</v>
      </c>
      <c r="Z940" s="34" t="s">
        <v>65</v>
      </c>
      <c r="AA940" s="34"/>
      <c r="AB940" s="34"/>
      <c r="AC940" s="22">
        <v>0.8377536010742187</v>
      </c>
      <c r="AD940" s="23" t="s">
        <v>1062</v>
      </c>
      <c r="AE940" s="24">
        <v>1.5205479452054795</v>
      </c>
      <c r="AF940" s="25">
        <v>-5.7247625019316024E-2</v>
      </c>
      <c r="AG940" s="26">
        <v>0</v>
      </c>
      <c r="AH940" s="26">
        <v>0</v>
      </c>
      <c r="AI940" s="27">
        <v>-0.13639395200479576</v>
      </c>
      <c r="AJ940" s="27">
        <v>-0.13639395200479576</v>
      </c>
      <c r="AK940" s="27">
        <v>-0.13639395200479576</v>
      </c>
      <c r="AL940" s="28" t="s">
        <v>226</v>
      </c>
      <c r="AM940" s="29" t="s">
        <v>48</v>
      </c>
      <c r="AN940" s="29" t="s">
        <v>48</v>
      </c>
      <c r="AO940" s="29" t="s">
        <v>48</v>
      </c>
      <c r="AP940" s="47" t="s">
        <v>209</v>
      </c>
      <c r="AQ940" s="28">
        <v>0</v>
      </c>
      <c r="AR940" s="26">
        <v>1.4999999999999999E-2</v>
      </c>
      <c r="AS940" s="26">
        <v>0</v>
      </c>
    </row>
    <row r="941" spans="1:45" x14ac:dyDescent="0.15">
      <c r="A941" s="64">
        <v>241</v>
      </c>
      <c r="B941" s="64">
        <v>611</v>
      </c>
      <c r="C941" s="11">
        <v>1319</v>
      </c>
      <c r="D941" s="61" t="s">
        <v>3847</v>
      </c>
      <c r="E941" s="61">
        <v>0</v>
      </c>
      <c r="F941" s="61">
        <v>0</v>
      </c>
      <c r="G941" s="61">
        <v>0</v>
      </c>
      <c r="H941" s="62"/>
      <c r="I941" s="62"/>
      <c r="J941" s="65"/>
      <c r="K941" s="18" t="s">
        <v>44</v>
      </c>
      <c r="L941" s="18" t="s">
        <v>87</v>
      </c>
      <c r="M941" s="58">
        <v>0</v>
      </c>
      <c r="N941" s="18">
        <f>[1]!f_prt_stocktonav(C941,"2017/03/31")</f>
        <v>82.577888488769531</v>
      </c>
      <c r="O941" s="20" t="str">
        <f>[1]!f_info_fundmanager(C941)</f>
        <v>韩林,张燕,郭世凯</v>
      </c>
      <c r="P941" s="21">
        <v>2.7397260273972601E-2</v>
      </c>
      <c r="Q941" s="34" t="s">
        <v>1118</v>
      </c>
      <c r="R941" s="34" t="s">
        <v>1119</v>
      </c>
      <c r="S941" s="34" t="s">
        <v>424</v>
      </c>
      <c r="T941" s="34">
        <v>20150624</v>
      </c>
      <c r="U941" s="45">
        <v>23.5563771395</v>
      </c>
      <c r="V941" s="46">
        <v>25.5252419955</v>
      </c>
      <c r="W941" s="34" t="s">
        <v>3776</v>
      </c>
      <c r="X941" s="34" t="s">
        <v>44</v>
      </c>
      <c r="Y941" s="34" t="s">
        <v>87</v>
      </c>
      <c r="Z941" s="34" t="s">
        <v>274</v>
      </c>
      <c r="AA941" s="34" t="s">
        <v>3797</v>
      </c>
      <c r="AB941" s="34"/>
      <c r="AC941" s="22">
        <v>0.86418556213378905</v>
      </c>
      <c r="AD941" s="23" t="s">
        <v>1121</v>
      </c>
      <c r="AE941" s="24">
        <v>1.5397260273972602</v>
      </c>
      <c r="AF941" s="25">
        <v>-0.17543577652874287</v>
      </c>
      <c r="AG941" s="26">
        <v>0</v>
      </c>
      <c r="AH941" s="26">
        <v>0</v>
      </c>
      <c r="AI941" s="27">
        <v>-0.59235387961692709</v>
      </c>
      <c r="AJ941" s="27">
        <v>-0.59235387961692709</v>
      </c>
      <c r="AK941" s="27">
        <v>-0.59235387961692709</v>
      </c>
      <c r="AL941" s="33" t="s">
        <v>1122</v>
      </c>
      <c r="AM941" s="29" t="s">
        <v>48</v>
      </c>
      <c r="AN941" s="29" t="s">
        <v>48</v>
      </c>
      <c r="AO941" s="29" t="s">
        <v>48</v>
      </c>
      <c r="AP941" s="47" t="s">
        <v>427</v>
      </c>
      <c r="AQ941" s="28">
        <v>0</v>
      </c>
      <c r="AR941" s="26">
        <v>1.4999999999999999E-2</v>
      </c>
      <c r="AS941" s="26">
        <v>0</v>
      </c>
    </row>
    <row r="942" spans="1:45" x14ac:dyDescent="0.15">
      <c r="A942" s="64">
        <v>386</v>
      </c>
      <c r="B942" s="64">
        <v>398</v>
      </c>
      <c r="C942" s="11">
        <v>884</v>
      </c>
      <c r="D942" s="61" t="s">
        <v>3847</v>
      </c>
      <c r="E942" s="61">
        <v>0</v>
      </c>
      <c r="F942" s="61">
        <v>0</v>
      </c>
      <c r="G942" s="61">
        <v>0</v>
      </c>
      <c r="H942" s="62"/>
      <c r="I942" s="62"/>
      <c r="J942" s="65"/>
      <c r="K942" s="18" t="s">
        <v>44</v>
      </c>
      <c r="L942" s="18" t="s">
        <v>45</v>
      </c>
      <c r="M942" s="58">
        <v>0</v>
      </c>
      <c r="N942" s="18">
        <f>[1]!f_prt_stocktonav(C942,"2017/03/31")</f>
        <v>87.547225952148438</v>
      </c>
      <c r="O942" s="20" t="str">
        <f>[1]!f_info_fundmanager(C942)</f>
        <v>蒯学章</v>
      </c>
      <c r="P942" s="21">
        <v>0</v>
      </c>
      <c r="Q942" s="34" t="s">
        <v>1674</v>
      </c>
      <c r="R942" s="34" t="s">
        <v>1675</v>
      </c>
      <c r="S942" s="34" t="s">
        <v>1234</v>
      </c>
      <c r="T942" s="34">
        <v>20141219</v>
      </c>
      <c r="U942" s="45">
        <v>2.9395601746</v>
      </c>
      <c r="V942" s="46">
        <v>3.1524877902999999</v>
      </c>
      <c r="W942" s="34" t="s">
        <v>3789</v>
      </c>
      <c r="X942" s="34" t="s">
        <v>44</v>
      </c>
      <c r="Y942" s="34" t="s">
        <v>45</v>
      </c>
      <c r="Z942" s="34" t="s">
        <v>274</v>
      </c>
      <c r="AA942" s="34"/>
      <c r="AB942" s="34"/>
      <c r="AC942" s="22">
        <v>0.92453651428222661</v>
      </c>
      <c r="AD942" s="23" t="s">
        <v>1676</v>
      </c>
      <c r="AE942" s="24">
        <v>2.0520547945205481</v>
      </c>
      <c r="AF942" s="25">
        <v>1.4123568751032378E-2</v>
      </c>
      <c r="AG942" s="26">
        <v>0</v>
      </c>
      <c r="AH942" s="26">
        <v>0</v>
      </c>
      <c r="AI942" s="27">
        <v>0.19569790930448897</v>
      </c>
      <c r="AJ942" s="27">
        <v>0.19569790930448897</v>
      </c>
      <c r="AK942" s="27">
        <v>0.19569790930448897</v>
      </c>
      <c r="AL942" s="28" t="s">
        <v>1677</v>
      </c>
      <c r="AM942" s="29" t="s">
        <v>48</v>
      </c>
      <c r="AN942" s="29" t="s">
        <v>48</v>
      </c>
      <c r="AO942" s="29" t="s">
        <v>48</v>
      </c>
      <c r="AP942" s="47" t="s">
        <v>1238</v>
      </c>
      <c r="AQ942" s="28">
        <v>0</v>
      </c>
      <c r="AR942" s="26">
        <v>1.4999999999999999E-2</v>
      </c>
      <c r="AS942" s="26">
        <v>0</v>
      </c>
    </row>
    <row r="943" spans="1:45" x14ac:dyDescent="0.15">
      <c r="A943" s="64">
        <v>421</v>
      </c>
      <c r="B943" s="64">
        <v>501</v>
      </c>
      <c r="C943" s="11">
        <v>729</v>
      </c>
      <c r="D943" s="61" t="s">
        <v>3847</v>
      </c>
      <c r="E943" s="61">
        <v>0</v>
      </c>
      <c r="F943" s="61">
        <v>0</v>
      </c>
      <c r="G943" s="61">
        <v>0</v>
      </c>
      <c r="H943" s="62"/>
      <c r="I943" s="62"/>
      <c r="J943" s="65"/>
      <c r="K943" s="18" t="s">
        <v>44</v>
      </c>
      <c r="L943" s="18" t="s">
        <v>45</v>
      </c>
      <c r="M943" s="58">
        <v>0</v>
      </c>
      <c r="N943" s="18">
        <f>[1]!f_prt_stocktonav(C943,"2017/03/31")</f>
        <v>85.241134643554687</v>
      </c>
      <c r="O943" s="20" t="str">
        <f>[1]!f_info_fundmanager(C943)</f>
        <v>许杰</v>
      </c>
      <c r="P943" s="21">
        <v>2.4657534246575342E-2</v>
      </c>
      <c r="Q943" s="34" t="s">
        <v>1807</v>
      </c>
      <c r="R943" s="34" t="s">
        <v>1808</v>
      </c>
      <c r="S943" s="34" t="s">
        <v>307</v>
      </c>
      <c r="T943" s="34">
        <v>20140820</v>
      </c>
      <c r="U943" s="45">
        <v>2.9223712461</v>
      </c>
      <c r="V943" s="46">
        <v>3.2938405883000001</v>
      </c>
      <c r="W943" s="34" t="s">
        <v>3776</v>
      </c>
      <c r="X943" s="34" t="s">
        <v>44</v>
      </c>
      <c r="Y943" s="34" t="s">
        <v>45</v>
      </c>
      <c r="Z943" s="34" t="s">
        <v>274</v>
      </c>
      <c r="AA943" s="34"/>
      <c r="AB943" s="34"/>
      <c r="AC943" s="22">
        <v>0.83859870910644529</v>
      </c>
      <c r="AD943" s="23" t="s">
        <v>1809</v>
      </c>
      <c r="AE943" s="24">
        <v>2.3835616438356166</v>
      </c>
      <c r="AF943" s="25">
        <v>0.15255315269103731</v>
      </c>
      <c r="AG943" s="26">
        <v>0</v>
      </c>
      <c r="AH943" s="26">
        <v>0</v>
      </c>
      <c r="AI943" s="27">
        <v>0.55112418814003494</v>
      </c>
      <c r="AJ943" s="27">
        <v>0.55112418814003494</v>
      </c>
      <c r="AK943" s="27">
        <v>0.55112418814003494</v>
      </c>
      <c r="AL943" s="28" t="s">
        <v>1810</v>
      </c>
      <c r="AM943" s="29" t="s">
        <v>48</v>
      </c>
      <c r="AN943" s="29" t="s">
        <v>48</v>
      </c>
      <c r="AO943" s="29" t="s">
        <v>48</v>
      </c>
      <c r="AP943" s="47" t="s">
        <v>310</v>
      </c>
      <c r="AQ943" s="28">
        <v>0</v>
      </c>
      <c r="AR943" s="26">
        <v>1.4999999999999999E-2</v>
      </c>
      <c r="AS943" s="26">
        <v>0</v>
      </c>
    </row>
    <row r="944" spans="1:45" x14ac:dyDescent="0.15">
      <c r="A944" s="64">
        <v>490</v>
      </c>
      <c r="B944" s="64">
        <v>345</v>
      </c>
      <c r="C944" s="11">
        <v>336</v>
      </c>
      <c r="D944" s="61" t="s">
        <v>3847</v>
      </c>
      <c r="E944" s="61">
        <v>0</v>
      </c>
      <c r="F944" s="61">
        <v>0</v>
      </c>
      <c r="G944" s="61">
        <v>0</v>
      </c>
      <c r="H944" s="62"/>
      <c r="I944" s="62"/>
      <c r="J944" s="65"/>
      <c r="K944" s="18" t="s">
        <v>44</v>
      </c>
      <c r="L944" s="18" t="s">
        <v>45</v>
      </c>
      <c r="M944" s="58">
        <v>0</v>
      </c>
      <c r="N944" s="18">
        <f>[1]!f_prt_stocktonav(C944,"2017/03/31")</f>
        <v>88.602493286132813</v>
      </c>
      <c r="O944" s="20" t="str">
        <f>[1]!f_info_fundmanager(C944)</f>
        <v>赵诣</v>
      </c>
      <c r="P944" s="21">
        <v>2.7397260273972601E-2</v>
      </c>
      <c r="Q944" s="34" t="s">
        <v>2066</v>
      </c>
      <c r="R944" s="34" t="s">
        <v>2067</v>
      </c>
      <c r="S944" s="34" t="s">
        <v>424</v>
      </c>
      <c r="T944" s="34">
        <v>20131105</v>
      </c>
      <c r="U944" s="45">
        <v>3.5270383066000002</v>
      </c>
      <c r="V944" s="46">
        <v>3.7890933595999998</v>
      </c>
      <c r="W944" s="34" t="s">
        <v>3776</v>
      </c>
      <c r="X944" s="34" t="s">
        <v>44</v>
      </c>
      <c r="Y944" s="34" t="s">
        <v>45</v>
      </c>
      <c r="Z944" s="34" t="s">
        <v>274</v>
      </c>
      <c r="AA944" s="34"/>
      <c r="AB944" s="34"/>
      <c r="AC944" s="22">
        <v>0.76912872314453129</v>
      </c>
      <c r="AD944" s="23" t="s">
        <v>1121</v>
      </c>
      <c r="AE944" s="24">
        <v>3.1726027397260275</v>
      </c>
      <c r="AF944" s="25">
        <v>0.11527970832885505</v>
      </c>
      <c r="AG944" s="26">
        <v>0.11962042029655118</v>
      </c>
      <c r="AH944" s="26">
        <v>0</v>
      </c>
      <c r="AI944" s="27">
        <v>0.44926430241542864</v>
      </c>
      <c r="AJ944" s="27">
        <v>0.45730892260556072</v>
      </c>
      <c r="AK944" s="27">
        <v>0.44926430241542864</v>
      </c>
      <c r="AL944" s="28" t="s">
        <v>1452</v>
      </c>
      <c r="AM944" s="29" t="s">
        <v>48</v>
      </c>
      <c r="AN944" s="29" t="s">
        <v>48</v>
      </c>
      <c r="AO944" s="29" t="s">
        <v>48</v>
      </c>
      <c r="AP944" s="47" t="s">
        <v>702</v>
      </c>
      <c r="AQ944" s="28">
        <v>0</v>
      </c>
      <c r="AR944" s="26">
        <v>1.4999999999999999E-2</v>
      </c>
      <c r="AS944" s="26">
        <v>0</v>
      </c>
    </row>
    <row r="945" spans="1:45" x14ac:dyDescent="0.15">
      <c r="A945" s="64">
        <v>500</v>
      </c>
      <c r="B945" s="64">
        <v>385</v>
      </c>
      <c r="C945" s="11">
        <v>219</v>
      </c>
      <c r="D945" s="61" t="s">
        <v>3847</v>
      </c>
      <c r="E945" s="61">
        <v>0</v>
      </c>
      <c r="F945" s="61">
        <v>0</v>
      </c>
      <c r="G945" s="61">
        <v>0</v>
      </c>
      <c r="H945" s="62"/>
      <c r="I945" s="62"/>
      <c r="J945" s="65"/>
      <c r="K945" s="18" t="s">
        <v>44</v>
      </c>
      <c r="L945" s="18" t="s">
        <v>45</v>
      </c>
      <c r="M945" s="58">
        <v>0</v>
      </c>
      <c r="N945" s="18">
        <f>[1]!f_prt_stocktonav(C945,"2017/03/31")</f>
        <v>87.806022644042969</v>
      </c>
      <c r="O945" s="20" t="str">
        <f>[1]!f_info_fundmanager(C945)</f>
        <v>周心鹏</v>
      </c>
      <c r="P945" s="21">
        <v>5.7534246575342465E-2</v>
      </c>
      <c r="Q945" s="34" t="s">
        <v>2100</v>
      </c>
      <c r="R945" s="34" t="s">
        <v>2101</v>
      </c>
      <c r="S945" s="34" t="s">
        <v>413</v>
      </c>
      <c r="T945" s="34">
        <v>20130729</v>
      </c>
      <c r="U945" s="45">
        <v>1.4210188482999999</v>
      </c>
      <c r="V945" s="46">
        <v>1.6733725997</v>
      </c>
      <c r="W945" s="34" t="s">
        <v>1235</v>
      </c>
      <c r="X945" s="34" t="s">
        <v>44</v>
      </c>
      <c r="Y945" s="34" t="s">
        <v>45</v>
      </c>
      <c r="Z945" s="34" t="s">
        <v>274</v>
      </c>
      <c r="AA945" s="34"/>
      <c r="AB945" s="34"/>
      <c r="AC945" s="22">
        <v>0.94487777709960941</v>
      </c>
      <c r="AD945" s="23" t="s">
        <v>2102</v>
      </c>
      <c r="AE945" s="24">
        <v>2.0821917808219177</v>
      </c>
      <c r="AF945" s="25">
        <v>9.6442849427982313E-2</v>
      </c>
      <c r="AG945" s="26">
        <v>0.13136435693042903</v>
      </c>
      <c r="AH945" s="26">
        <v>0</v>
      </c>
      <c r="AI945" s="27">
        <v>0.4060900300223908</v>
      </c>
      <c r="AJ945" s="27">
        <v>0.49785269714550889</v>
      </c>
      <c r="AK945" s="27">
        <v>0.4060900300223908</v>
      </c>
      <c r="AL945" s="28" t="s">
        <v>2103</v>
      </c>
      <c r="AM945" s="29" t="s">
        <v>48</v>
      </c>
      <c r="AN945" s="29" t="s">
        <v>48</v>
      </c>
      <c r="AO945" s="29" t="s">
        <v>48</v>
      </c>
      <c r="AP945" s="47" t="s">
        <v>417</v>
      </c>
      <c r="AQ945" s="28">
        <v>0</v>
      </c>
      <c r="AR945" s="26">
        <v>1.4999999999999999E-2</v>
      </c>
      <c r="AS945" s="26">
        <v>0</v>
      </c>
    </row>
    <row r="946" spans="1:45" x14ac:dyDescent="0.15">
      <c r="A946" s="64">
        <v>522</v>
      </c>
      <c r="B946" s="64">
        <v>871</v>
      </c>
      <c r="C946" s="11">
        <v>39</v>
      </c>
      <c r="D946" s="61" t="s">
        <v>3847</v>
      </c>
      <c r="E946" s="61">
        <v>0</v>
      </c>
      <c r="F946" s="61">
        <v>0</v>
      </c>
      <c r="G946" s="61">
        <v>0</v>
      </c>
      <c r="H946" s="62"/>
      <c r="I946" s="62"/>
      <c r="J946" s="65"/>
      <c r="K946" s="18" t="s">
        <v>44</v>
      </c>
      <c r="L946" s="18" t="s">
        <v>45</v>
      </c>
      <c r="M946" s="58">
        <v>0</v>
      </c>
      <c r="N946" s="18">
        <f>[1]!f_prt_stocktonav(C946,"2017/03/31")</f>
        <v>73.770469665527344</v>
      </c>
      <c r="O946" s="20" t="str">
        <f>[1]!f_info_fundmanager(C946)</f>
        <v>张燕</v>
      </c>
      <c r="P946" s="21">
        <v>2.7397260273972601E-2</v>
      </c>
      <c r="Q946" s="34" t="s">
        <v>2183</v>
      </c>
      <c r="R946" s="34" t="s">
        <v>2184</v>
      </c>
      <c r="S946" s="34" t="s">
        <v>424</v>
      </c>
      <c r="T946" s="34">
        <v>20130326</v>
      </c>
      <c r="U946" s="45">
        <v>4.9888572158000004</v>
      </c>
      <c r="V946" s="46">
        <v>5.4021646233</v>
      </c>
      <c r="W946" s="34" t="s">
        <v>1235</v>
      </c>
      <c r="X946" s="34" t="s">
        <v>44</v>
      </c>
      <c r="Y946" s="34" t="s">
        <v>45</v>
      </c>
      <c r="Z946" s="34" t="s">
        <v>274</v>
      </c>
      <c r="AA946" s="34"/>
      <c r="AB946" s="34"/>
      <c r="AC946" s="22">
        <v>0.76965110778808599</v>
      </c>
      <c r="AD946" s="23" t="s">
        <v>1121</v>
      </c>
      <c r="AE946" s="24">
        <v>3.1671232876712327</v>
      </c>
      <c r="AF946" s="25">
        <v>0.17082839141219952</v>
      </c>
      <c r="AG946" s="26">
        <v>0.18716094977623343</v>
      </c>
      <c r="AH946" s="26">
        <v>0</v>
      </c>
      <c r="AI946" s="27">
        <v>0.60457903492476051</v>
      </c>
      <c r="AJ946" s="27">
        <v>0.59596536881949302</v>
      </c>
      <c r="AK946" s="27">
        <v>0.60457903492476051</v>
      </c>
      <c r="AL946" s="28" t="s">
        <v>2119</v>
      </c>
      <c r="AM946" s="29" t="s">
        <v>48</v>
      </c>
      <c r="AN946" s="29" t="s">
        <v>48</v>
      </c>
      <c r="AO946" s="29" t="s">
        <v>48</v>
      </c>
      <c r="AP946" s="47" t="s">
        <v>702</v>
      </c>
      <c r="AQ946" s="28">
        <v>0</v>
      </c>
      <c r="AR946" s="26">
        <v>1.4999999999999999E-2</v>
      </c>
      <c r="AS946" s="26">
        <v>0</v>
      </c>
    </row>
    <row r="947" spans="1:45" x14ac:dyDescent="0.15">
      <c r="A947" s="64">
        <v>649</v>
      </c>
      <c r="B947" s="64">
        <v>450</v>
      </c>
      <c r="C947" s="11">
        <v>270025</v>
      </c>
      <c r="D947" s="61" t="s">
        <v>3847</v>
      </c>
      <c r="E947" s="61">
        <v>0</v>
      </c>
      <c r="F947" s="61">
        <v>0</v>
      </c>
      <c r="G947" s="61">
        <v>0</v>
      </c>
      <c r="H947" s="62"/>
      <c r="I947" s="62"/>
      <c r="J947" s="65"/>
      <c r="K947" s="18" t="s">
        <v>44</v>
      </c>
      <c r="L947" s="18" t="s">
        <v>45</v>
      </c>
      <c r="M947" s="58">
        <v>0</v>
      </c>
      <c r="N947" s="18">
        <f>[1]!f_prt_stocktonav(C947,"2017/03/31")</f>
        <v>86.305831909179687</v>
      </c>
      <c r="O947" s="20" t="str">
        <f>[1]!f_info_fundmanager(C947)</f>
        <v>邱璟旻</v>
      </c>
      <c r="P947" s="21">
        <v>5.4794520547945206E-3</v>
      </c>
      <c r="Q947" s="34" t="s">
        <v>2620</v>
      </c>
      <c r="R947" s="34" t="s">
        <v>2621</v>
      </c>
      <c r="S947" s="34" t="s">
        <v>132</v>
      </c>
      <c r="T947" s="34">
        <v>20101123</v>
      </c>
      <c r="U947" s="45">
        <v>36.250840658500003</v>
      </c>
      <c r="V947" s="46">
        <v>41.8546521484</v>
      </c>
      <c r="W947" s="34" t="s">
        <v>3776</v>
      </c>
      <c r="X947" s="34" t="s">
        <v>44</v>
      </c>
      <c r="Y947" s="34" t="s">
        <v>45</v>
      </c>
      <c r="Z947" s="34" t="s">
        <v>65</v>
      </c>
      <c r="AA947" s="34"/>
      <c r="AB947" s="34"/>
      <c r="AC947" s="22">
        <v>0.86051887512207026</v>
      </c>
      <c r="AD947" s="23" t="s">
        <v>2622</v>
      </c>
      <c r="AE947" s="24">
        <v>6.1260273972602741</v>
      </c>
      <c r="AF947" s="25">
        <v>0.10488387322933847</v>
      </c>
      <c r="AG947" s="26">
        <v>0.22087570712326296</v>
      </c>
      <c r="AH947" s="26">
        <v>0.19850131635242985</v>
      </c>
      <c r="AI947" s="27">
        <v>0.4567288693485364</v>
      </c>
      <c r="AJ947" s="27">
        <v>0.73570216383272968</v>
      </c>
      <c r="AK947" s="27">
        <v>0.7401455247118216</v>
      </c>
      <c r="AL947" s="28" t="s">
        <v>957</v>
      </c>
      <c r="AM947" s="29">
        <v>5</v>
      </c>
      <c r="AN947" s="29">
        <v>5</v>
      </c>
      <c r="AO947" s="29" t="s">
        <v>48</v>
      </c>
      <c r="AP947" s="47" t="s">
        <v>287</v>
      </c>
      <c r="AQ947" s="28">
        <v>0</v>
      </c>
      <c r="AR947" s="26">
        <v>1.4999999999999999E-2</v>
      </c>
      <c r="AS947" s="26">
        <v>0</v>
      </c>
    </row>
    <row r="948" spans="1:45" x14ac:dyDescent="0.15">
      <c r="A948" s="64">
        <v>744</v>
      </c>
      <c r="B948" s="64">
        <v>655</v>
      </c>
      <c r="C948" s="11">
        <v>200010</v>
      </c>
      <c r="D948" s="61" t="s">
        <v>3847</v>
      </c>
      <c r="E948" s="61">
        <v>0</v>
      </c>
      <c r="F948" s="61">
        <v>0</v>
      </c>
      <c r="G948" s="61">
        <v>0</v>
      </c>
      <c r="H948" s="62"/>
      <c r="I948" s="62"/>
      <c r="J948" s="65"/>
      <c r="K948" s="18" t="s">
        <v>44</v>
      </c>
      <c r="L948" s="18" t="s">
        <v>45</v>
      </c>
      <c r="M948" s="58">
        <v>0</v>
      </c>
      <c r="N948" s="18">
        <f>[1]!f_prt_stocktonav(C948,"2017/03/31")</f>
        <v>81.288986206054688</v>
      </c>
      <c r="O948" s="20" t="str">
        <f>[1]!f_info_fundmanager(C948)</f>
        <v>乔春</v>
      </c>
      <c r="P948" s="21">
        <v>4.1095890410958902E-2</v>
      </c>
      <c r="Q948" s="34" t="s">
        <v>2931</v>
      </c>
      <c r="R948" s="34" t="s">
        <v>2932</v>
      </c>
      <c r="S948" s="34" t="s">
        <v>1172</v>
      </c>
      <c r="T948" s="34">
        <v>20090115</v>
      </c>
      <c r="U948" s="45">
        <v>11.547265816199999</v>
      </c>
      <c r="V948" s="46">
        <v>11.1146177867</v>
      </c>
      <c r="W948" s="34" t="s">
        <v>231</v>
      </c>
      <c r="X948" s="34" t="s">
        <v>44</v>
      </c>
      <c r="Y948" s="34" t="s">
        <v>45</v>
      </c>
      <c r="Z948" s="34" t="s">
        <v>274</v>
      </c>
      <c r="AA948" s="34"/>
      <c r="AB948" s="34"/>
      <c r="AC948" s="22">
        <v>0.85918762207031252</v>
      </c>
      <c r="AD948" s="23" t="s">
        <v>2933</v>
      </c>
      <c r="AE948" s="24">
        <v>3.032876712328767</v>
      </c>
      <c r="AF948" s="25">
        <v>0.10992379612775703</v>
      </c>
      <c r="AG948" s="26">
        <v>0.24837425205982597</v>
      </c>
      <c r="AH948" s="26">
        <v>0.21817723209997752</v>
      </c>
      <c r="AI948" s="27">
        <v>0.46686910432788209</v>
      </c>
      <c r="AJ948" s="27">
        <v>0.74587614895379639</v>
      </c>
      <c r="AK948" s="27">
        <v>0.75147153997454008</v>
      </c>
      <c r="AL948" s="28" t="s">
        <v>2934</v>
      </c>
      <c r="AM948" s="29">
        <v>5</v>
      </c>
      <c r="AN948" s="29">
        <v>5</v>
      </c>
      <c r="AO948" s="29" t="s">
        <v>48</v>
      </c>
      <c r="AP948" s="47" t="s">
        <v>2935</v>
      </c>
      <c r="AQ948" s="28">
        <v>0</v>
      </c>
      <c r="AR948" s="26">
        <v>1.4999999999999999E-2</v>
      </c>
      <c r="AS948" s="26">
        <v>0</v>
      </c>
    </row>
    <row r="949" spans="1:45" x14ac:dyDescent="0.15">
      <c r="A949" s="64">
        <v>879</v>
      </c>
      <c r="B949" s="64">
        <v>919</v>
      </c>
      <c r="C949" s="11">
        <v>530001</v>
      </c>
      <c r="D949" s="61" t="s">
        <v>3847</v>
      </c>
      <c r="E949" s="61">
        <v>0</v>
      </c>
      <c r="F949" s="61">
        <v>0</v>
      </c>
      <c r="G949" s="61">
        <v>0</v>
      </c>
      <c r="H949" s="62"/>
      <c r="I949" s="62"/>
      <c r="J949" s="65"/>
      <c r="K949" s="18" t="s">
        <v>44</v>
      </c>
      <c r="L949" s="18" t="s">
        <v>45</v>
      </c>
      <c r="M949" s="58">
        <v>0</v>
      </c>
      <c r="N949" s="18">
        <f>[1]!f_prt_stocktonav(C949,"2017/03/31")</f>
        <v>71.666061401367188</v>
      </c>
      <c r="O949" s="20" t="str">
        <f>[1]!f_info_fundmanager(C949)</f>
        <v>陶灿</v>
      </c>
      <c r="P949" s="21">
        <v>2.4657534246575342E-2</v>
      </c>
      <c r="Q949" s="34" t="s">
        <v>3412</v>
      </c>
      <c r="R949" s="34" t="s">
        <v>3413</v>
      </c>
      <c r="S949" s="34" t="s">
        <v>307</v>
      </c>
      <c r="T949" s="34">
        <v>20051201</v>
      </c>
      <c r="U949" s="45">
        <v>10.763426640600001</v>
      </c>
      <c r="V949" s="46">
        <v>11.703909832200001</v>
      </c>
      <c r="W949" s="34" t="s">
        <v>231</v>
      </c>
      <c r="X949" s="34" t="s">
        <v>44</v>
      </c>
      <c r="Y949" s="34" t="s">
        <v>45</v>
      </c>
      <c r="Z949" s="34" t="s">
        <v>65</v>
      </c>
      <c r="AA949" s="34"/>
      <c r="AB949" s="34"/>
      <c r="AC949" s="22">
        <v>0.78413246154785154</v>
      </c>
      <c r="AD949" s="23" t="s">
        <v>1809</v>
      </c>
      <c r="AE949" s="24">
        <v>5.2438356164383562</v>
      </c>
      <c r="AF949" s="25">
        <v>0.13949769682287627</v>
      </c>
      <c r="AG949" s="26">
        <v>0.11950574868475596</v>
      </c>
      <c r="AH949" s="26">
        <v>0.10405149519556932</v>
      </c>
      <c r="AI949" s="27">
        <v>0.59608288595766012</v>
      </c>
      <c r="AJ949" s="27">
        <v>0.48739000412125821</v>
      </c>
      <c r="AK949" s="27">
        <v>0.47317485541781901</v>
      </c>
      <c r="AL949" s="28" t="s">
        <v>3414</v>
      </c>
      <c r="AM949" s="29">
        <v>3</v>
      </c>
      <c r="AN949" s="29">
        <v>3</v>
      </c>
      <c r="AO949" s="29" t="s">
        <v>48</v>
      </c>
      <c r="AP949" s="47" t="s">
        <v>3415</v>
      </c>
      <c r="AQ949" s="28">
        <v>0</v>
      </c>
      <c r="AR949" s="26">
        <v>1.4999999999999999E-2</v>
      </c>
      <c r="AS949" s="26">
        <v>0</v>
      </c>
    </row>
    <row r="950" spans="1:45" x14ac:dyDescent="0.15">
      <c r="C950" s="11"/>
      <c r="D950" s="62"/>
      <c r="E950" s="11"/>
      <c r="F950" s="11"/>
      <c r="G950" s="11"/>
      <c r="H950" s="62"/>
      <c r="I950" s="62"/>
      <c r="J950" s="62"/>
      <c r="K950" s="18"/>
      <c r="L950" s="18"/>
      <c r="M950" s="18"/>
      <c r="N950" s="18"/>
      <c r="O950" s="20"/>
      <c r="P950" s="21"/>
      <c r="Q950" s="34"/>
      <c r="R950" s="34"/>
      <c r="S950" s="34"/>
      <c r="T950" s="34"/>
      <c r="U950" s="45"/>
      <c r="V950" s="46"/>
      <c r="W950" s="34"/>
      <c r="X950" s="34"/>
      <c r="Y950" s="34"/>
      <c r="Z950" s="34"/>
      <c r="AA950" s="34"/>
      <c r="AB950" s="34"/>
      <c r="AC950" s="56"/>
      <c r="AD950" s="23"/>
      <c r="AE950" s="24"/>
      <c r="AF950" s="25"/>
      <c r="AG950" s="26"/>
      <c r="AH950" s="26"/>
      <c r="AI950" s="27"/>
      <c r="AJ950" s="27"/>
      <c r="AK950" s="27"/>
      <c r="AL950" s="28"/>
      <c r="AM950" s="29"/>
      <c r="AN950" s="29"/>
      <c r="AO950" s="29"/>
      <c r="AP950" s="47"/>
      <c r="AQ950" s="28"/>
      <c r="AR950" s="26"/>
      <c r="AS950" s="26"/>
    </row>
    <row r="951" spans="1:45" x14ac:dyDescent="0.15">
      <c r="C951" s="11"/>
      <c r="D951" s="62"/>
      <c r="E951" s="11"/>
      <c r="F951" s="11"/>
      <c r="G951" s="11"/>
      <c r="H951" s="62"/>
      <c r="I951" s="62"/>
      <c r="J951" s="62"/>
      <c r="K951" s="18"/>
      <c r="L951" s="18"/>
      <c r="M951" s="18"/>
      <c r="N951" s="18"/>
      <c r="O951" s="20"/>
      <c r="P951" s="21"/>
      <c r="Q951" s="34"/>
      <c r="R951" s="34"/>
      <c r="S951" s="34"/>
      <c r="T951" s="34"/>
      <c r="U951" s="45"/>
      <c r="V951" s="46"/>
      <c r="W951" s="34"/>
      <c r="X951" s="34"/>
      <c r="Y951" s="34"/>
      <c r="Z951" s="34"/>
      <c r="AA951" s="34"/>
      <c r="AB951" s="34"/>
      <c r="AC951" s="56"/>
      <c r="AD951" s="23"/>
      <c r="AE951" s="24"/>
      <c r="AF951" s="25"/>
      <c r="AG951" s="26"/>
      <c r="AH951" s="26"/>
      <c r="AI951" s="27"/>
      <c r="AJ951" s="27"/>
      <c r="AK951" s="27"/>
      <c r="AL951" s="28"/>
      <c r="AM951" s="29"/>
      <c r="AN951" s="29"/>
      <c r="AO951" s="29"/>
      <c r="AP951" s="47"/>
      <c r="AQ951" s="28"/>
      <c r="AR951" s="26"/>
      <c r="AS951" s="26"/>
    </row>
    <row r="952" spans="1:45" x14ac:dyDescent="0.15">
      <c r="C952" s="11"/>
      <c r="D952" s="62"/>
      <c r="E952" s="11"/>
      <c r="F952" s="11"/>
      <c r="G952" s="11"/>
      <c r="H952" s="62"/>
      <c r="I952" s="62"/>
      <c r="J952" s="62"/>
      <c r="K952" s="18"/>
      <c r="L952" s="18"/>
      <c r="M952" s="18"/>
      <c r="N952" s="18"/>
      <c r="O952" s="20"/>
      <c r="P952" s="21"/>
      <c r="Q952" s="34"/>
      <c r="R952" s="34"/>
      <c r="S952" s="34"/>
      <c r="T952" s="34"/>
      <c r="U952" s="45"/>
      <c r="V952" s="46"/>
      <c r="W952" s="34"/>
      <c r="X952" s="34"/>
      <c r="Y952" s="34"/>
      <c r="Z952" s="34"/>
      <c r="AA952" s="34"/>
      <c r="AB952" s="34"/>
      <c r="AC952" s="56"/>
      <c r="AD952" s="23"/>
      <c r="AE952" s="24"/>
      <c r="AF952" s="25"/>
      <c r="AG952" s="26"/>
      <c r="AH952" s="26"/>
      <c r="AI952" s="27"/>
      <c r="AJ952" s="27"/>
      <c r="AK952" s="27"/>
      <c r="AL952" s="28"/>
      <c r="AM952" s="29"/>
      <c r="AN952" s="29"/>
      <c r="AO952" s="29"/>
      <c r="AP952" s="47"/>
      <c r="AQ952" s="28"/>
      <c r="AR952" s="26"/>
      <c r="AS952" s="26"/>
    </row>
    <row r="953" spans="1:45" x14ac:dyDescent="0.15">
      <c r="B953">
        <v>635</v>
      </c>
      <c r="C953" s="11">
        <v>570007</v>
      </c>
      <c r="D953" s="62"/>
      <c r="E953" s="11"/>
      <c r="F953" s="11"/>
      <c r="G953" s="11"/>
      <c r="H953" s="62"/>
      <c r="I953" s="62"/>
      <c r="J953" s="62"/>
      <c r="K953" s="18" t="s">
        <v>44</v>
      </c>
      <c r="L953" s="18" t="s">
        <v>45</v>
      </c>
      <c r="M953" s="18"/>
      <c r="N953" s="18">
        <f>[1]!f_prt_stocktonav(C953,"2017/03/31")</f>
        <v>81.964027404785156</v>
      </c>
      <c r="O953" s="20" t="str">
        <f>[1]!f_info_fundmanager(C953)</f>
        <v>杨霞辉</v>
      </c>
      <c r="P953" s="21">
        <v>-1.3698630136986301E-2</v>
      </c>
      <c r="Q953" s="34" t="s">
        <v>3682</v>
      </c>
      <c r="R953" s="34" t="s">
        <v>3683</v>
      </c>
      <c r="S953" s="34" t="s">
        <v>2351</v>
      </c>
      <c r="T953" s="34">
        <v>20110505</v>
      </c>
      <c r="U953" s="45">
        <v>0.72325616859999997</v>
      </c>
      <c r="V953" s="46">
        <v>0.8206140408</v>
      </c>
      <c r="W953" s="34" t="s">
        <v>231</v>
      </c>
      <c r="X953" s="34" t="s">
        <v>44</v>
      </c>
      <c r="Y953" s="34" t="s">
        <v>45</v>
      </c>
      <c r="Z953" s="34" t="s">
        <v>65</v>
      </c>
      <c r="AA953" s="34"/>
      <c r="AB953" s="34"/>
      <c r="AC953" s="56">
        <v>0.90749404907226561</v>
      </c>
      <c r="AD953" s="23" t="s">
        <v>2352</v>
      </c>
      <c r="AE953" s="24">
        <v>0.84109589041095889</v>
      </c>
      <c r="AF953" s="25">
        <v>4.2943726867049614E-2</v>
      </c>
      <c r="AG953" s="26">
        <v>0.14971901869814808</v>
      </c>
      <c r="AH953" s="26">
        <v>9.9428285733927702E-2</v>
      </c>
      <c r="AI953" s="27">
        <v>0.23883197503733233</v>
      </c>
      <c r="AJ953" s="27">
        <v>0.52444536605180947</v>
      </c>
      <c r="AK953" s="27">
        <v>0.42340064166400571</v>
      </c>
      <c r="AL953" s="28" t="s">
        <v>3684</v>
      </c>
      <c r="AM953" s="29">
        <v>3</v>
      </c>
      <c r="AN953" s="29">
        <v>3</v>
      </c>
      <c r="AO953" s="29" t="s">
        <v>48</v>
      </c>
      <c r="AP953" s="47" t="s">
        <v>367</v>
      </c>
      <c r="AQ953" s="28">
        <v>0</v>
      </c>
      <c r="AR953" s="26">
        <v>1.4999999999999999E-2</v>
      </c>
      <c r="AS953" s="26">
        <v>0</v>
      </c>
    </row>
    <row r="954" spans="1:45" x14ac:dyDescent="0.15">
      <c r="B954">
        <v>457</v>
      </c>
      <c r="C954" s="11">
        <v>519664</v>
      </c>
      <c r="D954" s="62"/>
      <c r="E954" s="11"/>
      <c r="F954" s="11"/>
      <c r="G954" s="11"/>
      <c r="H954" s="62"/>
      <c r="I954" s="62"/>
      <c r="J954" s="62"/>
      <c r="K954" s="18" t="s">
        <v>44</v>
      </c>
      <c r="L954" s="18" t="s">
        <v>45</v>
      </c>
      <c r="M954" s="18"/>
      <c r="N954" s="18">
        <f>[1]!f_prt_stocktonav(C954,"2017/03/31")</f>
        <v>86.162353515625</v>
      </c>
      <c r="O954" s="20" t="str">
        <f>[1]!f_info_fundmanager(C954)</f>
        <v>杨琪</v>
      </c>
      <c r="P954" s="21">
        <v>-2.1917808219178082E-2</v>
      </c>
      <c r="Q954" s="34" t="s">
        <v>3685</v>
      </c>
      <c r="R954" s="34" t="s">
        <v>3686</v>
      </c>
      <c r="S954" s="34" t="s">
        <v>807</v>
      </c>
      <c r="T954" s="34">
        <v>20140529</v>
      </c>
      <c r="U954" s="45">
        <v>4.9966807846999997</v>
      </c>
      <c r="V954" s="46">
        <v>5.4863212395999996</v>
      </c>
      <c r="W954" s="34" t="s">
        <v>1235</v>
      </c>
      <c r="X954" s="34" t="s">
        <v>44</v>
      </c>
      <c r="Y954" s="34" t="s">
        <v>45</v>
      </c>
      <c r="Z954" s="34" t="s">
        <v>274</v>
      </c>
      <c r="AA954" s="34"/>
      <c r="AB954" s="34"/>
      <c r="AC954" s="56">
        <v>0.8093544006347656</v>
      </c>
      <c r="AD954" s="23" t="s">
        <v>2239</v>
      </c>
      <c r="AE954" s="24">
        <v>2.6109589041095891</v>
      </c>
      <c r="AF954" s="25">
        <v>0.17849714039268405</v>
      </c>
      <c r="AG954" s="26">
        <v>0</v>
      </c>
      <c r="AH954" s="26">
        <v>0</v>
      </c>
      <c r="AI954" s="27">
        <v>0.58060927943111251</v>
      </c>
      <c r="AJ954" s="27">
        <v>0.58060927943111251</v>
      </c>
      <c r="AK954" s="27">
        <v>0.58060927943111251</v>
      </c>
      <c r="AL954" s="28" t="s">
        <v>1459</v>
      </c>
      <c r="AM954" s="29" t="s">
        <v>48</v>
      </c>
      <c r="AN954" s="29" t="s">
        <v>48</v>
      </c>
      <c r="AO954" s="29" t="s">
        <v>48</v>
      </c>
      <c r="AP954" s="47" t="s">
        <v>3687</v>
      </c>
      <c r="AQ954" s="28">
        <v>0</v>
      </c>
      <c r="AR954" s="26">
        <v>1.4999999999999999E-2</v>
      </c>
      <c r="AS954" s="26">
        <v>0</v>
      </c>
    </row>
    <row r="955" spans="1:45" x14ac:dyDescent="0.15">
      <c r="B955">
        <v>233</v>
      </c>
      <c r="C955" s="11">
        <v>1479</v>
      </c>
      <c r="D955" s="62"/>
      <c r="E955" s="11"/>
      <c r="F955" s="11"/>
      <c r="G955" s="11"/>
      <c r="H955" s="62"/>
      <c r="I955" s="62"/>
      <c r="J955" s="62"/>
      <c r="K955" s="18" t="s">
        <v>44</v>
      </c>
      <c r="L955" s="18" t="s">
        <v>45</v>
      </c>
      <c r="M955" s="18"/>
      <c r="N955" s="18">
        <f>[1]!f_prt_stocktonav(C955,"2017/03/31")</f>
        <v>91.016685485839844</v>
      </c>
      <c r="O955" s="20" t="str">
        <f>[1]!f_info_fundmanager(C955)</f>
        <v>国晓雯</v>
      </c>
      <c r="P955" s="21">
        <v>-3.0136986301369864E-2</v>
      </c>
      <c r="Q955" s="34" t="s">
        <v>3688</v>
      </c>
      <c r="R955" s="34" t="s">
        <v>3689</v>
      </c>
      <c r="S955" s="34" t="s">
        <v>85</v>
      </c>
      <c r="T955" s="34">
        <v>20160127</v>
      </c>
      <c r="U955" s="45">
        <v>3.2570777338000001</v>
      </c>
      <c r="V955" s="46">
        <v>3.4964508529999998</v>
      </c>
      <c r="W955" s="34" t="s">
        <v>1235</v>
      </c>
      <c r="X955" s="34" t="s">
        <v>44</v>
      </c>
      <c r="Y955" s="17" t="s">
        <v>45</v>
      </c>
      <c r="Z955" s="17" t="s">
        <v>65</v>
      </c>
      <c r="AA955" s="34"/>
      <c r="AB955" s="34"/>
      <c r="AC955" s="56">
        <v>0.82246017456054688</v>
      </c>
      <c r="AD955" s="23" t="s">
        <v>3690</v>
      </c>
      <c r="AE955" s="24">
        <v>0.9452054794520548</v>
      </c>
      <c r="AF955" s="25">
        <v>0.10232058253826072</v>
      </c>
      <c r="AG955" s="26">
        <v>0</v>
      </c>
      <c r="AH955" s="26">
        <v>0</v>
      </c>
      <c r="AI955" s="27">
        <v>0.52854871052622587</v>
      </c>
      <c r="AJ955" s="27">
        <v>0.52854871052622587</v>
      </c>
      <c r="AK955" s="27">
        <v>0.52854871052622587</v>
      </c>
      <c r="AL955" s="28" t="s">
        <v>1226</v>
      </c>
      <c r="AM955" s="29" t="s">
        <v>48</v>
      </c>
      <c r="AN955" s="29" t="s">
        <v>48</v>
      </c>
      <c r="AO955" s="29" t="s">
        <v>48</v>
      </c>
      <c r="AP955" s="47" t="s">
        <v>3691</v>
      </c>
      <c r="AQ955" s="28">
        <v>0</v>
      </c>
      <c r="AR955" s="26">
        <v>1.4999999999999999E-2</v>
      </c>
      <c r="AS955" s="26">
        <v>0</v>
      </c>
    </row>
    <row r="956" spans="1:45" x14ac:dyDescent="0.15">
      <c r="B956">
        <v>540</v>
      </c>
      <c r="C956" s="11">
        <v>1044</v>
      </c>
      <c r="D956" s="62"/>
      <c r="E956" s="11"/>
      <c r="F956" s="11"/>
      <c r="G956" s="11"/>
      <c r="H956" s="62"/>
      <c r="I956" s="62"/>
      <c r="J956" s="62"/>
      <c r="K956" s="18" t="s">
        <v>44</v>
      </c>
      <c r="L956" s="18" t="s">
        <v>87</v>
      </c>
      <c r="M956" s="18"/>
      <c r="N956" s="18">
        <f>[1]!f_prt_stocktonav(C956,"2017/03/31")</f>
        <v>84.264411926269531</v>
      </c>
      <c r="O956" s="20" t="str">
        <f>[1]!f_info_fundmanager(C956)</f>
        <v>谭丽</v>
      </c>
      <c r="P956" s="21">
        <v>-3.0136986301369864E-2</v>
      </c>
      <c r="Q956" s="34" t="s">
        <v>3692</v>
      </c>
      <c r="R956" s="34" t="s">
        <v>3693</v>
      </c>
      <c r="S956" s="34" t="s">
        <v>92</v>
      </c>
      <c r="T956" s="34">
        <v>20150323</v>
      </c>
      <c r="U956" s="45">
        <v>16.373648362099999</v>
      </c>
      <c r="V956" s="46">
        <v>18.347028937000001</v>
      </c>
      <c r="W956" s="34" t="s">
        <v>1235</v>
      </c>
      <c r="X956" s="34" t="s">
        <v>44</v>
      </c>
      <c r="Y956" s="34" t="s">
        <v>45</v>
      </c>
      <c r="Z956" s="34" t="s">
        <v>274</v>
      </c>
      <c r="AA956" s="34"/>
      <c r="AB956" s="34"/>
      <c r="AC956" s="56">
        <v>0.8901483917236328</v>
      </c>
      <c r="AD956" s="23" t="s">
        <v>3694</v>
      </c>
      <c r="AE956" s="24">
        <v>1.7945205479452055</v>
      </c>
      <c r="AF956" s="25">
        <v>-1.9236988093406127E-2</v>
      </c>
      <c r="AG956" s="26">
        <v>0</v>
      </c>
      <c r="AH956" s="26">
        <v>0</v>
      </c>
      <c r="AI956" s="27">
        <v>3.3502867766421023E-2</v>
      </c>
      <c r="AJ956" s="27">
        <v>3.3502867766421023E-2</v>
      </c>
      <c r="AK956" s="27">
        <v>3.3502867766421023E-2</v>
      </c>
      <c r="AL956" s="28" t="s">
        <v>3695</v>
      </c>
      <c r="AM956" s="29" t="s">
        <v>48</v>
      </c>
      <c r="AN956" s="29" t="s">
        <v>48</v>
      </c>
      <c r="AO956" s="29" t="s">
        <v>48</v>
      </c>
      <c r="AP956" s="47" t="s">
        <v>249</v>
      </c>
      <c r="AQ956" s="28">
        <v>0</v>
      </c>
      <c r="AR956" s="26">
        <v>1.4999999999999999E-2</v>
      </c>
      <c r="AS956" s="26">
        <v>0</v>
      </c>
    </row>
    <row r="957" spans="1:45" x14ac:dyDescent="0.15">
      <c r="B957">
        <v>718</v>
      </c>
      <c r="C957" s="11">
        <v>354</v>
      </c>
      <c r="D957" s="62"/>
      <c r="E957" s="11"/>
      <c r="F957" s="11"/>
      <c r="G957" s="11"/>
      <c r="H957" s="62"/>
      <c r="I957" s="62"/>
      <c r="J957" s="62"/>
      <c r="K957" s="18" t="s">
        <v>44</v>
      </c>
      <c r="L957" s="18" t="s">
        <v>87</v>
      </c>
      <c r="M957" s="18"/>
      <c r="N957" s="18">
        <f>[1]!f_prt_stocktonav(C957,"2017/03/31")</f>
        <v>79.538055419921875</v>
      </c>
      <c r="O957" s="20" t="str">
        <f>[1]!f_info_fundmanager(C957)</f>
        <v>乔培涛</v>
      </c>
      <c r="P957" s="21">
        <v>-3.0136986301369864E-2</v>
      </c>
      <c r="Q957" s="34" t="s">
        <v>3696</v>
      </c>
      <c r="R957" s="34" t="s">
        <v>3697</v>
      </c>
      <c r="S957" s="34" t="s">
        <v>364</v>
      </c>
      <c r="T957" s="34">
        <v>20131112</v>
      </c>
      <c r="U957" s="45">
        <v>1.5196740443000001</v>
      </c>
      <c r="V957" s="46">
        <v>2.8307351895999999</v>
      </c>
      <c r="W957" s="34" t="s">
        <v>1235</v>
      </c>
      <c r="X957" s="34" t="s">
        <v>44</v>
      </c>
      <c r="Y957" s="34" t="s">
        <v>87</v>
      </c>
      <c r="Z957" s="34" t="s">
        <v>274</v>
      </c>
      <c r="AA957" s="34" t="s">
        <v>3842</v>
      </c>
      <c r="AB957" s="34"/>
      <c r="AC957" s="56">
        <v>0.81267509460449217</v>
      </c>
      <c r="AD957" s="23" t="s">
        <v>3699</v>
      </c>
      <c r="AE957" s="24">
        <v>3.1534246575342464</v>
      </c>
      <c r="AF957" s="25">
        <v>0.23920179248927087</v>
      </c>
      <c r="AG957" s="26">
        <v>0.24914876077635983</v>
      </c>
      <c r="AH957" s="26">
        <v>0</v>
      </c>
      <c r="AI957" s="27">
        <v>0.89940673216261013</v>
      </c>
      <c r="AJ957" s="27">
        <v>0.91452297077198907</v>
      </c>
      <c r="AK957" s="27">
        <v>0.89940673216261013</v>
      </c>
      <c r="AL957" s="33" t="s">
        <v>380</v>
      </c>
      <c r="AM957" s="29" t="s">
        <v>48</v>
      </c>
      <c r="AN957" s="29" t="s">
        <v>48</v>
      </c>
      <c r="AO957" s="29" t="s">
        <v>48</v>
      </c>
      <c r="AP957" s="47" t="s">
        <v>367</v>
      </c>
      <c r="AQ957" s="28">
        <v>0</v>
      </c>
      <c r="AR957" s="26">
        <v>1.4999999999999999E-2</v>
      </c>
      <c r="AS957" s="26">
        <v>0</v>
      </c>
    </row>
    <row r="958" spans="1:45" x14ac:dyDescent="0.15">
      <c r="B958">
        <v>192</v>
      </c>
      <c r="C958" s="11">
        <v>1468</v>
      </c>
      <c r="D958" s="62"/>
      <c r="E958" s="11"/>
      <c r="F958" s="11"/>
      <c r="G958" s="11"/>
      <c r="H958" s="62"/>
      <c r="I958" s="62"/>
      <c r="J958" s="62"/>
      <c r="K958" s="18" t="s">
        <v>44</v>
      </c>
      <c r="L958" s="18" t="s">
        <v>45</v>
      </c>
      <c r="M958" s="18"/>
      <c r="N958" s="18">
        <f>[1]!f_prt_stocktonav(C958,"2017/03/31")</f>
        <v>91.971847534179688</v>
      </c>
      <c r="O958" s="20" t="str">
        <f>[1]!f_info_fundmanager(C958)</f>
        <v>王小松</v>
      </c>
      <c r="P958" s="21">
        <v>-5.7534246575342465E-2</v>
      </c>
      <c r="Q958" s="34" t="s">
        <v>3700</v>
      </c>
      <c r="R958" s="34" t="s">
        <v>3701</v>
      </c>
      <c r="S958" s="34" t="s">
        <v>132</v>
      </c>
      <c r="T958" s="34">
        <v>20150727</v>
      </c>
      <c r="U958" s="45">
        <v>7.9198001588000002</v>
      </c>
      <c r="V958" s="46">
        <v>9.2300694901</v>
      </c>
      <c r="W958" s="34" t="s">
        <v>1235</v>
      </c>
      <c r="X958" s="34" t="s">
        <v>44</v>
      </c>
      <c r="Y958" s="34" t="s">
        <v>45</v>
      </c>
      <c r="Z958" s="34" t="s">
        <v>65</v>
      </c>
      <c r="AA958" s="34"/>
      <c r="AB958" s="34"/>
      <c r="AC958" s="56">
        <v>0.91308258056640623</v>
      </c>
      <c r="AD958" s="23" t="s">
        <v>3702</v>
      </c>
      <c r="AE958" s="24">
        <v>1.4493150684931506</v>
      </c>
      <c r="AF958" s="25">
        <v>-0.18082791015849373</v>
      </c>
      <c r="AG958" s="26">
        <v>0</v>
      </c>
      <c r="AH958" s="26">
        <v>0</v>
      </c>
      <c r="AI958" s="27">
        <v>-0.43284147950541124</v>
      </c>
      <c r="AJ958" s="27">
        <v>-0.43284147950541124</v>
      </c>
      <c r="AK958" s="27">
        <v>-0.43284147950541124</v>
      </c>
      <c r="AL958" s="28" t="s">
        <v>1830</v>
      </c>
      <c r="AM958" s="29" t="s">
        <v>48</v>
      </c>
      <c r="AN958" s="29" t="s">
        <v>48</v>
      </c>
      <c r="AO958" s="29" t="s">
        <v>48</v>
      </c>
      <c r="AP958" s="47" t="s">
        <v>281</v>
      </c>
      <c r="AQ958" s="28">
        <v>0</v>
      </c>
      <c r="AR958" s="26">
        <v>1.4999999999999999E-2</v>
      </c>
      <c r="AS958" s="26">
        <v>0</v>
      </c>
    </row>
    <row r="959" spans="1:45" x14ac:dyDescent="0.15">
      <c r="B959">
        <v>621</v>
      </c>
      <c r="C959" s="11">
        <v>310358</v>
      </c>
      <c r="D959" s="62"/>
      <c r="E959" s="11"/>
      <c r="F959" s="11"/>
      <c r="G959" s="11"/>
      <c r="H959" s="62"/>
      <c r="I959" s="62"/>
      <c r="J959" s="62"/>
      <c r="K959" s="18" t="s">
        <v>44</v>
      </c>
      <c r="L959" s="18" t="s">
        <v>45</v>
      </c>
      <c r="M959" s="18"/>
      <c r="N959" s="18">
        <f>[1]!f_prt_stocktonav(C959,"2017/03/31")</f>
        <v>82.269912719726563</v>
      </c>
      <c r="O959" s="20" t="str">
        <f>[1]!f_info_fundmanager(C959)</f>
        <v>卢扬</v>
      </c>
      <c r="P959" s="21">
        <v>-5.7534246575342465E-2</v>
      </c>
      <c r="Q959" s="34" t="s">
        <v>3703</v>
      </c>
      <c r="R959" s="34" t="s">
        <v>3704</v>
      </c>
      <c r="S959" s="34" t="s">
        <v>2493</v>
      </c>
      <c r="T959" s="34">
        <v>20061206</v>
      </c>
      <c r="U959" s="45">
        <v>9.9346387183000004</v>
      </c>
      <c r="V959" s="46">
        <v>10.1506244913</v>
      </c>
      <c r="W959" s="34" t="s">
        <v>1235</v>
      </c>
      <c r="X959" s="34" t="s">
        <v>44</v>
      </c>
      <c r="Y959" s="34" t="s">
        <v>45</v>
      </c>
      <c r="Z959" s="34" t="s">
        <v>274</v>
      </c>
      <c r="AA959" s="34"/>
      <c r="AB959" s="34"/>
      <c r="AC959" s="56">
        <v>0.83331970214843754</v>
      </c>
      <c r="AD959" s="23" t="s">
        <v>2987</v>
      </c>
      <c r="AE959" s="24">
        <v>1.5945205479452054</v>
      </c>
      <c r="AF959" s="25">
        <v>6.8195799725482509E-2</v>
      </c>
      <c r="AG959" s="26">
        <v>6.6227630020278427E-2</v>
      </c>
      <c r="AH959" s="26">
        <v>8.9931338641055833E-2</v>
      </c>
      <c r="AI959" s="27">
        <v>0.32635411367755074</v>
      </c>
      <c r="AJ959" s="27">
        <v>0.31051377848819706</v>
      </c>
      <c r="AK959" s="27">
        <v>0.39338242655301897</v>
      </c>
      <c r="AL959" s="28" t="s">
        <v>3705</v>
      </c>
      <c r="AM959" s="29">
        <v>2</v>
      </c>
      <c r="AN959" s="29">
        <v>1</v>
      </c>
      <c r="AO959" s="29" t="s">
        <v>48</v>
      </c>
      <c r="AP959" s="47" t="s">
        <v>2862</v>
      </c>
      <c r="AQ959" s="28">
        <v>0</v>
      </c>
      <c r="AR959" s="26">
        <v>1.4999999999999999E-2</v>
      </c>
      <c r="AS959" s="26">
        <v>0</v>
      </c>
    </row>
    <row r="960" spans="1:45" x14ac:dyDescent="0.15">
      <c r="B960">
        <v>825</v>
      </c>
      <c r="C960" s="11">
        <v>11</v>
      </c>
      <c r="D960" s="62"/>
      <c r="E960" s="11"/>
      <c r="F960" s="11"/>
      <c r="G960" s="11"/>
      <c r="H960" s="62"/>
      <c r="I960" s="62"/>
      <c r="J960" s="62"/>
      <c r="K960" s="18" t="s">
        <v>44</v>
      </c>
      <c r="L960" s="18" t="s">
        <v>45</v>
      </c>
      <c r="M960" s="18"/>
      <c r="N960" s="18">
        <f>[1]!f_prt_stocktonav(C960,"2017/03/31")</f>
        <v>75.795478820800781</v>
      </c>
      <c r="O960" s="20" t="str">
        <f>[1]!f_info_fundmanager(C960)</f>
        <v>陈伟彦</v>
      </c>
      <c r="P960" s="21">
        <v>-8.7671232876712329E-2</v>
      </c>
      <c r="Q960" s="34" t="s">
        <v>3706</v>
      </c>
      <c r="R960" s="34" t="s">
        <v>3707</v>
      </c>
      <c r="S960" s="34" t="s">
        <v>143</v>
      </c>
      <c r="T960" s="34">
        <v>20040811</v>
      </c>
      <c r="U960" s="45">
        <v>18.778142592199998</v>
      </c>
      <c r="V960" s="46">
        <v>19.350135816200002</v>
      </c>
      <c r="W960" s="34" t="s">
        <v>1235</v>
      </c>
      <c r="X960" s="34" t="s">
        <v>44</v>
      </c>
      <c r="Y960" s="34" t="s">
        <v>45</v>
      </c>
      <c r="Z960" s="34" t="s">
        <v>65</v>
      </c>
      <c r="AA960" s="34"/>
      <c r="AB960" s="34"/>
      <c r="AC960" s="56">
        <v>0.83965087890625001</v>
      </c>
      <c r="AD960" s="23" t="s">
        <v>3708</v>
      </c>
      <c r="AE960" s="24">
        <v>1.8602739726027397</v>
      </c>
      <c r="AF960" s="25">
        <v>0.26070006739952567</v>
      </c>
      <c r="AG960" s="26">
        <v>6.4402456760474402E-2</v>
      </c>
      <c r="AH960" s="26">
        <v>7.9718935089224674E-2</v>
      </c>
      <c r="AI960" s="27">
        <v>0.99533984996487013</v>
      </c>
      <c r="AJ960" s="27">
        <v>0.29922318217672317</v>
      </c>
      <c r="AK960" s="27">
        <v>0.37839833134401868</v>
      </c>
      <c r="AL960" s="28" t="s">
        <v>3709</v>
      </c>
      <c r="AM960" s="29">
        <v>2</v>
      </c>
      <c r="AN960" s="29">
        <v>2</v>
      </c>
      <c r="AO960" s="29" t="s">
        <v>48</v>
      </c>
      <c r="AP960" s="47" t="s">
        <v>3710</v>
      </c>
      <c r="AQ960" s="28" t="s">
        <v>3467</v>
      </c>
      <c r="AR960" s="26">
        <v>1.4999999999999999E-2</v>
      </c>
      <c r="AS960" s="26">
        <v>0</v>
      </c>
    </row>
    <row r="961" spans="2:45" x14ac:dyDescent="0.15">
      <c r="B961">
        <v>877</v>
      </c>
      <c r="C961" s="11">
        <v>410006</v>
      </c>
      <c r="D961" s="62"/>
      <c r="E961" s="11"/>
      <c r="F961" s="11"/>
      <c r="G961" s="11"/>
      <c r="H961" s="62"/>
      <c r="I961" s="62"/>
      <c r="J961" s="62"/>
      <c r="K961" s="18" t="s">
        <v>44</v>
      </c>
      <c r="L961" s="18" t="s">
        <v>45</v>
      </c>
      <c r="M961" s="18"/>
      <c r="N961" s="18">
        <f>[1]!f_prt_stocktonav(C961,"2017/03/31")</f>
        <v>73.629127502441406</v>
      </c>
      <c r="O961" s="20" t="str">
        <f>[1]!f_info_fundmanager(C961)</f>
        <v>高靖瑜</v>
      </c>
      <c r="P961" s="21">
        <v>-0.10684931506849316</v>
      </c>
      <c r="Q961" s="34" t="s">
        <v>3711</v>
      </c>
      <c r="R961" s="34" t="s">
        <v>3712</v>
      </c>
      <c r="S961" s="34" t="s">
        <v>1000</v>
      </c>
      <c r="T961" s="34">
        <v>20081224</v>
      </c>
      <c r="U961" s="45">
        <v>0.24584654519999999</v>
      </c>
      <c r="V961" s="46">
        <v>0.23206218040000001</v>
      </c>
      <c r="W961" s="34" t="s">
        <v>1235</v>
      </c>
      <c r="X961" s="34" t="s">
        <v>44</v>
      </c>
      <c r="Y961" s="34" t="s">
        <v>45</v>
      </c>
      <c r="Z961" s="34" t="s">
        <v>337</v>
      </c>
      <c r="AA961" s="34"/>
      <c r="AB961" s="34"/>
      <c r="AC961" s="56">
        <v>0.79986389160156246</v>
      </c>
      <c r="AD961" s="23" t="s">
        <v>3713</v>
      </c>
      <c r="AE961" s="24">
        <v>1.0356164383561643</v>
      </c>
      <c r="AF961" s="25">
        <v>6.8417947527866785E-2</v>
      </c>
      <c r="AG961" s="26">
        <v>0.21391598225267927</v>
      </c>
      <c r="AH961" s="26">
        <v>0.14579254373026185</v>
      </c>
      <c r="AI961" s="27">
        <v>0.32940732939312689</v>
      </c>
      <c r="AJ961" s="27">
        <v>0.70721374229530742</v>
      </c>
      <c r="AK961" s="27">
        <v>0.57048230158510449</v>
      </c>
      <c r="AL961" s="28" t="s">
        <v>1226</v>
      </c>
      <c r="AM961" s="29">
        <v>2</v>
      </c>
      <c r="AN961" s="29">
        <v>4</v>
      </c>
      <c r="AO961" s="29" t="s">
        <v>48</v>
      </c>
      <c r="AP961" s="47" t="s">
        <v>3714</v>
      </c>
      <c r="AQ961" s="28">
        <v>0</v>
      </c>
      <c r="AR961" s="26">
        <v>1.4999999999999999E-2</v>
      </c>
      <c r="AS961" s="26">
        <v>0</v>
      </c>
    </row>
    <row r="962" spans="2:45" x14ac:dyDescent="0.15">
      <c r="B962">
        <v>9</v>
      </c>
      <c r="C962" s="11">
        <v>1040</v>
      </c>
      <c r="D962" s="62"/>
      <c r="E962" s="11"/>
      <c r="F962" s="11"/>
      <c r="G962" s="11"/>
      <c r="H962" s="62"/>
      <c r="I962" s="62"/>
      <c r="J962" s="62"/>
      <c r="K962" s="18" t="s">
        <v>44</v>
      </c>
      <c r="L962" s="18" t="s">
        <v>45</v>
      </c>
      <c r="M962" s="18"/>
      <c r="N962" s="18">
        <f>[1]!f_prt_stocktonav(C962,"2017/03/31")</f>
        <v>94.832084655761719</v>
      </c>
      <c r="O962" s="20" t="str">
        <f>[1]!f_info_fundmanager(C962)</f>
        <v>赵强</v>
      </c>
      <c r="P962" s="21">
        <v>-0.12876712328767123</v>
      </c>
      <c r="Q962" s="34" t="s">
        <v>3715</v>
      </c>
      <c r="R962" s="34" t="s">
        <v>3716</v>
      </c>
      <c r="S962" s="34" t="s">
        <v>569</v>
      </c>
      <c r="T962" s="34">
        <v>20150331</v>
      </c>
      <c r="U962" s="45">
        <v>11.510152249500001</v>
      </c>
      <c r="V962" s="46">
        <v>12.525633661500001</v>
      </c>
      <c r="W962" s="34" t="s">
        <v>1235</v>
      </c>
      <c r="X962" s="34" t="s">
        <v>44</v>
      </c>
      <c r="Y962" s="34" t="s">
        <v>45</v>
      </c>
      <c r="Z962" s="34" t="s">
        <v>274</v>
      </c>
      <c r="AA962" s="34"/>
      <c r="AB962" s="34"/>
      <c r="AC962" s="56">
        <v>0.92639694213867185</v>
      </c>
      <c r="AD962" s="23" t="s">
        <v>3717</v>
      </c>
      <c r="AE962" s="24">
        <v>1.7726027397260273</v>
      </c>
      <c r="AF962" s="25">
        <v>-1.1420251039894969E-2</v>
      </c>
      <c r="AG962" s="26">
        <v>0</v>
      </c>
      <c r="AH962" s="26">
        <v>0</v>
      </c>
      <c r="AI962" s="27">
        <v>0.1052638796658775</v>
      </c>
      <c r="AJ962" s="27">
        <v>0.1052638796658775</v>
      </c>
      <c r="AK962" s="27">
        <v>0.1052638796658775</v>
      </c>
      <c r="AL962" s="28" t="s">
        <v>1459</v>
      </c>
      <c r="AM962" s="29" t="s">
        <v>48</v>
      </c>
      <c r="AN962" s="29" t="s">
        <v>48</v>
      </c>
      <c r="AO962" s="29" t="s">
        <v>48</v>
      </c>
      <c r="AP962" s="47" t="s">
        <v>310</v>
      </c>
      <c r="AQ962" s="28">
        <v>0</v>
      </c>
      <c r="AR962" s="26">
        <v>1.4999999999999999E-2</v>
      </c>
      <c r="AS962" s="26">
        <v>0</v>
      </c>
    </row>
    <row r="963" spans="2:45" x14ac:dyDescent="0.15">
      <c r="B963">
        <v>146</v>
      </c>
      <c r="C963" s="11">
        <v>80015</v>
      </c>
      <c r="D963" s="62"/>
      <c r="E963" s="11"/>
      <c r="F963" s="11"/>
      <c r="G963" s="11"/>
      <c r="H963" s="62"/>
      <c r="I963" s="62"/>
      <c r="J963" s="62"/>
      <c r="K963" s="18" t="s">
        <v>44</v>
      </c>
      <c r="L963" s="18" t="s">
        <v>45</v>
      </c>
      <c r="M963" s="18"/>
      <c r="N963" s="18">
        <f>[1]!f_prt_stocktonav(C963,"2017/03/31")</f>
        <v>92.859542846679688</v>
      </c>
      <c r="O963" s="20" t="str">
        <f>[1]!f_info_fundmanager(C963)</f>
        <v>王超</v>
      </c>
      <c r="P963" s="21">
        <v>-0.13150684931506848</v>
      </c>
      <c r="Q963" s="34" t="s">
        <v>3718</v>
      </c>
      <c r="R963" s="34" t="s">
        <v>3719</v>
      </c>
      <c r="S963" s="34" t="s">
        <v>364</v>
      </c>
      <c r="T963" s="34">
        <v>20120710</v>
      </c>
      <c r="U963" s="45">
        <v>0.4425704983</v>
      </c>
      <c r="V963" s="46">
        <v>0.47709126159999998</v>
      </c>
      <c r="W963" s="34" t="s">
        <v>1235</v>
      </c>
      <c r="X963" s="34" t="s">
        <v>44</v>
      </c>
      <c r="Y963" s="34" t="s">
        <v>45</v>
      </c>
      <c r="Z963" s="34" t="s">
        <v>817</v>
      </c>
      <c r="AA963" s="34"/>
      <c r="AB963" s="34"/>
      <c r="AC963" s="56">
        <v>0.83712142944335932</v>
      </c>
      <c r="AD963" s="23" t="s">
        <v>2160</v>
      </c>
      <c r="AE963" s="24">
        <v>1.4931506849315068</v>
      </c>
      <c r="AF963" s="25">
        <v>-0.23308908577678822</v>
      </c>
      <c r="AG963" s="26">
        <v>0</v>
      </c>
      <c r="AH963" s="26">
        <v>0</v>
      </c>
      <c r="AI963" s="27">
        <v>-0.83291753363514198</v>
      </c>
      <c r="AJ963" s="27">
        <v>-0.83291753363514198</v>
      </c>
      <c r="AK963" s="27">
        <v>-0.83291753363514198</v>
      </c>
      <c r="AL963" s="28" t="s">
        <v>3720</v>
      </c>
      <c r="AM963" s="29" t="s">
        <v>48</v>
      </c>
      <c r="AN963" s="29" t="s">
        <v>48</v>
      </c>
      <c r="AO963" s="29" t="s">
        <v>48</v>
      </c>
      <c r="AP963" s="47" t="s">
        <v>3721</v>
      </c>
      <c r="AQ963" s="28">
        <v>0</v>
      </c>
      <c r="AR963" s="26">
        <v>1.4999999999999999E-2</v>
      </c>
      <c r="AS963" s="26">
        <v>0</v>
      </c>
    </row>
    <row r="964" spans="2:45" x14ac:dyDescent="0.15">
      <c r="B964">
        <v>156</v>
      </c>
      <c r="C964" s="11">
        <v>2300</v>
      </c>
      <c r="D964" s="62"/>
      <c r="E964" s="11"/>
      <c r="F964" s="11"/>
      <c r="G964" s="11"/>
      <c r="H964" s="62"/>
      <c r="I964" s="62"/>
      <c r="J964" s="62"/>
      <c r="K964" s="18" t="s">
        <v>44</v>
      </c>
      <c r="L964" s="18" t="s">
        <v>86</v>
      </c>
      <c r="M964" s="18"/>
      <c r="N964" s="18">
        <f>[1]!f_prt_stocktonav(C964,"2017/03/31")</f>
        <v>92.616729736328125</v>
      </c>
      <c r="O964" s="20" t="str">
        <f>[1]!f_info_fundmanager(C964)</f>
        <v>王超</v>
      </c>
      <c r="P964" s="21">
        <v>-0.13150684931506848</v>
      </c>
      <c r="Q964" s="34" t="s">
        <v>3722</v>
      </c>
      <c r="R964" s="34" t="s">
        <v>3723</v>
      </c>
      <c r="S964" s="34" t="s">
        <v>364</v>
      </c>
      <c r="T964" s="34">
        <v>20160203</v>
      </c>
      <c r="U964" s="45">
        <v>0.7654160592</v>
      </c>
      <c r="V964" s="46">
        <v>1.040182503</v>
      </c>
      <c r="W964" s="34" t="s">
        <v>1235</v>
      </c>
      <c r="X964" s="34" t="s">
        <v>44</v>
      </c>
      <c r="Y964" s="34" t="s">
        <v>64</v>
      </c>
      <c r="Z964" s="34" t="s">
        <v>65</v>
      </c>
      <c r="AA964" s="34"/>
      <c r="AB964" s="34"/>
      <c r="AC964" s="56">
        <v>0.92760734558105473</v>
      </c>
      <c r="AD964" s="23" t="s">
        <v>2160</v>
      </c>
      <c r="AE964" s="24">
        <v>0.92602739726027394</v>
      </c>
      <c r="AF964" s="25">
        <v>2.1942862282742004E-2</v>
      </c>
      <c r="AG964" s="26">
        <v>0</v>
      </c>
      <c r="AH964" s="26">
        <v>0</v>
      </c>
      <c r="AI964" s="27">
        <v>0.1200691348213387</v>
      </c>
      <c r="AJ964" s="27">
        <v>0.1200691348213387</v>
      </c>
      <c r="AK964" s="27">
        <v>0.1200691348213387</v>
      </c>
      <c r="AL964" s="28" t="s">
        <v>3724</v>
      </c>
      <c r="AM964" s="29" t="s">
        <v>48</v>
      </c>
      <c r="AN964" s="29" t="s">
        <v>48</v>
      </c>
      <c r="AO964" s="29" t="s">
        <v>48</v>
      </c>
      <c r="AP964" s="47" t="s">
        <v>367</v>
      </c>
      <c r="AQ964" s="28">
        <v>0</v>
      </c>
      <c r="AR964" s="26">
        <v>1.4999999999999999E-2</v>
      </c>
      <c r="AS964" s="26">
        <v>0</v>
      </c>
    </row>
    <row r="965" spans="2:45" x14ac:dyDescent="0.15">
      <c r="B965">
        <v>191</v>
      </c>
      <c r="C965" s="11">
        <v>594</v>
      </c>
      <c r="D965" s="62"/>
      <c r="E965" s="11"/>
      <c r="F965" s="11"/>
      <c r="G965" s="11"/>
      <c r="H965" s="62"/>
      <c r="I965" s="62"/>
      <c r="J965" s="62"/>
      <c r="K965" s="18" t="s">
        <v>44</v>
      </c>
      <c r="L965" s="18" t="s">
        <v>45</v>
      </c>
      <c r="M965" s="18"/>
      <c r="N965" s="18">
        <f>[1]!f_prt_stocktonav(C965,"2017/03/31")</f>
        <v>91.978675842285156</v>
      </c>
      <c r="O965" s="20" t="str">
        <f>[1]!f_info_fundmanager(C965)</f>
        <v>缪东航</v>
      </c>
      <c r="P965" s="21">
        <v>-0.15068493150684931</v>
      </c>
      <c r="Q965" s="34" t="s">
        <v>3725</v>
      </c>
      <c r="R965" s="34" t="s">
        <v>3726</v>
      </c>
      <c r="S965" s="34" t="s">
        <v>378</v>
      </c>
      <c r="T965" s="34">
        <v>20140529</v>
      </c>
      <c r="U965" s="45">
        <v>0.54410254410000003</v>
      </c>
      <c r="V965" s="46">
        <v>0.5958520732</v>
      </c>
      <c r="W965" s="34" t="s">
        <v>1235</v>
      </c>
      <c r="X965" s="34" t="s">
        <v>44</v>
      </c>
      <c r="Y965" s="34" t="s">
        <v>45</v>
      </c>
      <c r="Z965" s="34" t="s">
        <v>274</v>
      </c>
      <c r="AA965" s="34"/>
      <c r="AB965" s="34"/>
      <c r="AC965" s="56">
        <v>0.84930297851562497</v>
      </c>
      <c r="AD965" s="23" t="s">
        <v>3727</v>
      </c>
      <c r="AE965" s="24">
        <v>2.515068493150685</v>
      </c>
      <c r="AF965" s="25">
        <v>0.16745605933607918</v>
      </c>
      <c r="AG965" s="26">
        <v>0</v>
      </c>
      <c r="AH965" s="26">
        <v>0</v>
      </c>
      <c r="AI965" s="27">
        <v>0.56903612013113691</v>
      </c>
      <c r="AJ965" s="27">
        <v>0.56903612013113691</v>
      </c>
      <c r="AK965" s="27">
        <v>0.56903612013113691</v>
      </c>
      <c r="AL965" s="28" t="s">
        <v>1206</v>
      </c>
      <c r="AM965" s="29" t="s">
        <v>48</v>
      </c>
      <c r="AN965" s="29" t="s">
        <v>48</v>
      </c>
      <c r="AO965" s="29" t="s">
        <v>48</v>
      </c>
      <c r="AP965" s="47" t="s">
        <v>3728</v>
      </c>
      <c r="AQ965" s="28">
        <v>0</v>
      </c>
      <c r="AR965" s="26">
        <v>1.4999999999999999E-2</v>
      </c>
      <c r="AS965" s="26">
        <v>0</v>
      </c>
    </row>
    <row r="966" spans="2:45" x14ac:dyDescent="0.15">
      <c r="B966">
        <v>723</v>
      </c>
      <c r="C966" s="11">
        <v>233001</v>
      </c>
      <c r="D966" s="62"/>
      <c r="E966" s="11"/>
      <c r="F966" s="11"/>
      <c r="G966" s="11"/>
      <c r="H966" s="62"/>
      <c r="I966" s="62"/>
      <c r="J966" s="62"/>
      <c r="K966" s="18" t="s">
        <v>44</v>
      </c>
      <c r="L966" s="18" t="s">
        <v>45</v>
      </c>
      <c r="M966" s="18"/>
      <c r="N966" s="18">
        <f>[1]!f_prt_stocktonav(C966,"2017/03/31")</f>
        <v>79.404228210449219</v>
      </c>
      <c r="O966" s="20" t="str">
        <f>[1]!f_info_fundmanager(C966)</f>
        <v>王大鹏</v>
      </c>
      <c r="P966" s="21">
        <v>-0.15068493150684931</v>
      </c>
      <c r="Q966" s="34" t="s">
        <v>3729</v>
      </c>
      <c r="R966" s="34" t="s">
        <v>3730</v>
      </c>
      <c r="S966" s="34" t="s">
        <v>378</v>
      </c>
      <c r="T966" s="34">
        <v>20040326</v>
      </c>
      <c r="U966" s="45">
        <v>1.3188541343</v>
      </c>
      <c r="V966" s="46">
        <v>1.5059763811</v>
      </c>
      <c r="W966" s="34" t="s">
        <v>1235</v>
      </c>
      <c r="X966" s="34" t="s">
        <v>44</v>
      </c>
      <c r="Y966" s="34" t="s">
        <v>87</v>
      </c>
      <c r="Z966" s="34" t="s">
        <v>274</v>
      </c>
      <c r="AA966" s="34" t="s">
        <v>3843</v>
      </c>
      <c r="AB966" s="34"/>
      <c r="AC966" s="56">
        <v>0.76649261474609376</v>
      </c>
      <c r="AD966" s="23" t="s">
        <v>2367</v>
      </c>
      <c r="AE966" s="24">
        <v>3.2082191780821918</v>
      </c>
      <c r="AF966" s="25">
        <v>6.7471936230436347E-2</v>
      </c>
      <c r="AG966" s="26">
        <v>0.25761666240100478</v>
      </c>
      <c r="AH966" s="26">
        <v>0.16577662639912938</v>
      </c>
      <c r="AI966" s="27">
        <v>0.32976487898423218</v>
      </c>
      <c r="AJ966" s="27">
        <v>0.89248284662590249</v>
      </c>
      <c r="AK966" s="27">
        <v>0.70969759681240641</v>
      </c>
      <c r="AL966" s="33" t="s">
        <v>2614</v>
      </c>
      <c r="AM966" s="29">
        <v>4</v>
      </c>
      <c r="AN966" s="29">
        <v>4</v>
      </c>
      <c r="AO966" s="29" t="s">
        <v>48</v>
      </c>
      <c r="AP966" s="47" t="s">
        <v>2226</v>
      </c>
      <c r="AQ966" s="28">
        <v>0</v>
      </c>
      <c r="AR966" s="26">
        <v>1.4999999999999999E-2</v>
      </c>
      <c r="AS966" s="26">
        <v>0</v>
      </c>
    </row>
    <row r="967" spans="2:45" x14ac:dyDescent="0.15">
      <c r="B967">
        <v>755</v>
      </c>
      <c r="C967" s="11">
        <v>161706</v>
      </c>
      <c r="D967" s="62"/>
      <c r="E967" s="11"/>
      <c r="F967" s="11"/>
      <c r="G967" s="11"/>
      <c r="H967" s="62"/>
      <c r="I967" s="62"/>
      <c r="J967" s="62"/>
      <c r="K967" s="18" t="s">
        <v>44</v>
      </c>
      <c r="L967" s="18" t="s">
        <v>45</v>
      </c>
      <c r="M967" s="18"/>
      <c r="N967" s="18">
        <f>[1]!f_prt_stocktonav(C967,"2017/03/31")</f>
        <v>78.142936706542969</v>
      </c>
      <c r="O967" s="20" t="str">
        <f>[1]!f_info_fundmanager(C967)</f>
        <v>付斌</v>
      </c>
      <c r="P967" s="21">
        <v>-0.16986301369863013</v>
      </c>
      <c r="Q967" s="34" t="s">
        <v>3732</v>
      </c>
      <c r="R967" s="34" t="s">
        <v>3733</v>
      </c>
      <c r="S967" s="34" t="s">
        <v>165</v>
      </c>
      <c r="T967" s="34">
        <v>20051117</v>
      </c>
      <c r="U967" s="45">
        <v>10.908107552700001</v>
      </c>
      <c r="V967" s="46">
        <v>11.701080682100001</v>
      </c>
      <c r="W967" s="34" t="s">
        <v>1235</v>
      </c>
      <c r="X967" s="34" t="s">
        <v>44</v>
      </c>
      <c r="Y967" s="34" t="s">
        <v>45</v>
      </c>
      <c r="Z967" s="34" t="s">
        <v>274</v>
      </c>
      <c r="AA967" s="34"/>
      <c r="AB967" s="34"/>
      <c r="AC967" s="56">
        <v>0.80181083679199217</v>
      </c>
      <c r="AD967" s="23" t="s">
        <v>3734</v>
      </c>
      <c r="AE967" s="24">
        <v>2.56986301369863</v>
      </c>
      <c r="AF967" s="25">
        <v>0.14853907155832125</v>
      </c>
      <c r="AG967" s="26">
        <v>8.4703733566916295E-2</v>
      </c>
      <c r="AH967" s="26">
        <v>6.416288433498174E-2</v>
      </c>
      <c r="AI967" s="27">
        <v>0.589383895317248</v>
      </c>
      <c r="AJ967" s="27">
        <v>0.3745270260430027</v>
      </c>
      <c r="AK967" s="27">
        <v>0.31174376424449346</v>
      </c>
      <c r="AL967" s="28" t="s">
        <v>3735</v>
      </c>
      <c r="AM967" s="29">
        <v>1</v>
      </c>
      <c r="AN967" s="29">
        <v>2</v>
      </c>
      <c r="AO967" s="29" t="s">
        <v>48</v>
      </c>
      <c r="AP967" s="47" t="s">
        <v>3736</v>
      </c>
      <c r="AQ967" s="28" t="s">
        <v>3737</v>
      </c>
      <c r="AR967" s="26">
        <v>1.4999999999999999E-2</v>
      </c>
      <c r="AS967" s="26">
        <v>0</v>
      </c>
    </row>
  </sheetData>
  <sortState ref="A2:AS949">
    <sortCondition descending="1" ref="M1"/>
  </sortState>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13" sqref="J13"/>
    </sheetView>
  </sheetViews>
  <sheetFormatPr defaultRowHeight="13.5" x14ac:dyDescent="0.1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6.2</vt:lpstr>
      <vt:lpstr>3.31</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Sim_Got Ng</dc:creator>
  <cp:lastModifiedBy>Sim_Got Ng</cp:lastModifiedBy>
  <dcterms:created xsi:type="dcterms:W3CDTF">2017-06-07T02:29:40Z</dcterms:created>
  <dcterms:modified xsi:type="dcterms:W3CDTF">2017-06-07T07:28:47Z</dcterms:modified>
</cp:coreProperties>
</file>